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activeTab="9"/>
  </bookViews>
  <sheets>
    <sheet name="Settings" sheetId="24" r:id="rId1"/>
    <sheet name="EUR OIS" sheetId="2" r:id="rId2"/>
    <sheet name="EUR SWAP 3ML" sheetId="3" r:id="rId3"/>
    <sheet name="EUR BASIS 6ML" sheetId="4" r:id="rId4"/>
    <sheet name="EUR BASIS 1ML" sheetId="27" r:id="rId5"/>
    <sheet name="EUR BASIS 12ML" sheetId="28" r:id="rId6"/>
    <sheet name="EUR Forwards" sheetId="20" r:id="rId7"/>
    <sheet name="EUR Calibration" sheetId="21" r:id="rId8"/>
    <sheet name="EUR Swaps" sheetId="29" r:id="rId9"/>
    <sheet name="EUR Numerical Risk" sheetId="30" r:id="rId10"/>
  </sheets>
  <definedNames>
    <definedName name="ApplyTension">Settings!$F$7</definedName>
    <definedName name="COB">Settings!$F$5</definedName>
    <definedName name="Curve.BuildProperties">'EUR OIS'!$E$20:$F$24</definedName>
    <definedName name="Curve.CollectionName">'EUR OIS'!$F$11</definedName>
    <definedName name="Curve.MarketDataTable">'EUR OIS'!$F$12</definedName>
    <definedName name="Curve.OISIndexName">'EUR OIS'!$F$13</definedName>
    <definedName name="EURNumericalRisk.RiskFormula">'EUR Numerical Risk'!$B$8:$J$77</definedName>
    <definedName name="EURNumericalRisk.Totals">'EUR Numerical Risk'!$B$6:$J$6</definedName>
    <definedName name="EURSwaps.Portfolio">'EUR Swaps'!$B$14:$I$51</definedName>
    <definedName name="ForwardCurves.CurveID" localSheetId="6">'EUR Forwards'!$C$5</definedName>
    <definedName name="ForwardCurves.Interpolation" localSheetId="6">'EUR Forwards'!$C$6</definedName>
    <definedName name="ForwardCurves.Periodicity" localSheetId="6">'EUR Forwards'!$C$22</definedName>
    <definedName name="Forwards.EUR1ML" localSheetId="6">'EUR Forwards'!$Q$20:$Q$1519</definedName>
    <definedName name="Forwards.OIS" localSheetId="6">'EUR Forwards'!$E$20:$E$1519</definedName>
    <definedName name="Forwards.StartDate" localSheetId="6">'EUR Forwards'!$C$20:$C$1519</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fo" localSheetId="5">'EUR BASIS 12ML'!$C:$D</definedName>
    <definedName name="Info" localSheetId="4">'EUR BASIS 1ML'!$C:$D</definedName>
    <definedName name="Info" localSheetId="3">'EUR BASIS 6ML'!$C:$D</definedName>
    <definedName name="Info" localSheetId="1">'EUR OIS'!$C:$D</definedName>
    <definedName name="Info" localSheetId="2">'EUR SWAP 3ML'!$C:$D</definedName>
    <definedName name="Interpolation">Settings!$F$6</definedName>
    <definedName name="interpolationFunction">Settings!$G$6</definedName>
    <definedName name="isEUR12MLLoaded">'EUR BASIS 12ML'!$G$8</definedName>
    <definedName name="isEUR1MLLoaded">'EUR BASIS 1ML'!$G$8</definedName>
    <definedName name="isEUR3MLLoaded">'EUR SWAP 3ML'!$F$9</definedName>
    <definedName name="isEUR6MLLoaded">'EUR BASIS 6ML'!$G$8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OIS'!$H$65:$I$89</definedName>
    <definedName name="LiborSwap.Conventions">'EUR OIS'!$K$64:$L$89</definedName>
    <definedName name="LiborSwap.MarketData">'EUR OIS'!$N$65:$O$89</definedName>
    <definedName name="MoneyMarket.Conventions">'EUR SWAP 3ML'!$E$38:$F$43</definedName>
    <definedName name="OIS.Conventions">'EUR OIS'!$E$31:$F$57</definedName>
    <definedName name="OIS.FixingTable">'EUR OIS'!$N$32:$O$57</definedName>
    <definedName name="OIS.MarketData">'EUR OIS'!$H$32:$L$57</definedName>
    <definedName name="Settings.ForecastCurveSet">Settings!$K$6:$K$10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SwapDealInfo">'EUR Swaps'!$13:$52</definedName>
    <definedName name="TenorBasisCurve.EUR12ML.ForwardStarting" localSheetId="5">'EUR BASIS 12ML'!$I$35:$M$76</definedName>
    <definedName name="TenorBasisCurve.EUR1ML.ForwardStarting" localSheetId="4">'EUR BASIS 1ML'!$I$35:$M$76</definedName>
    <definedName name="TenorBasisCurve.EUR3ML.ForwardStarting">'EUR BASIS 6ML'!$I$35:$M$76</definedName>
    <definedName name="TenorBasisCurve1M3M.BuildProperties" localSheetId="4">'EUR BASIS 1ML'!$F$21:$G$27</definedName>
    <definedName name="TenorBasisCurve1M3M.CollectionName" localSheetId="4">'EUR BASIS 1ML'!$G$12</definedName>
    <definedName name="TenorBasisCurve1M3M.IndexName" localSheetId="4">'EUR BASIS 1ML'!$G$14</definedName>
    <definedName name="TenorBasisCurve1M3M.StaticDataTable" localSheetId="4">'EUR BASIS 1ML'!$G$13</definedName>
    <definedName name="TenorBasisCurve3M6M.CollectionName">'EUR BASIS 6ML'!$G$12</definedName>
    <definedName name="TenorBasisCurve3M6M.IndexName">'EUR BASIS 6ML'!$G$14</definedName>
    <definedName name="TenorBasisCurve3M6M.StaticDataTable">'EUR BASIS 6ML'!$G$13</definedName>
    <definedName name="TenorBasisCurve6M12M.BuildProperties" localSheetId="5">'EUR BASIS 12ML'!$F$21:$G$27</definedName>
    <definedName name="TenorBasisCurve6M12M.CollectionName" localSheetId="5">'EUR BASIS 12ML'!$G$12</definedName>
    <definedName name="TenorBasisCurve6M12M.IndexName" localSheetId="5">'EUR BASIS 12ML'!$G$14</definedName>
    <definedName name="TenorBasisCurve6M12M.StaticDataTable" localSheetId="5">'EUR BASIS 12ML'!$G$13</definedName>
    <definedName name="TenorBasisCurve6M6M.BuildProperties">'EUR BASIS 6ML'!$F$21:$G$27</definedName>
    <definedName name="TenorBasisSwap1M3M.Conventions" localSheetId="4">'EUR BASIS 1ML'!$F$34:$G$76</definedName>
    <definedName name="TenorBasisSwap3M6M.Conventions">'EUR BASIS 6ML'!$F$34:$G$76</definedName>
    <definedName name="TenorBasisSwap6M12M.Conventions" localSheetId="5">'EUR BASIS 12ML'!$F$34:$G$76</definedName>
  </definedNames>
  <calcPr calcId="145621" calcMode="manual" calcCompleted="0" calcOnSave="0"/>
</workbook>
</file>

<file path=xl/calcChain.xml><?xml version="1.0" encoding="utf-8"?>
<calcChain xmlns="http://schemas.openxmlformats.org/spreadsheetml/2006/main">
  <c r="AY25" i="21" l="1"/>
  <c r="AY26" i="21"/>
  <c r="AY27" i="21"/>
  <c r="AY28" i="21"/>
  <c r="AY29" i="21"/>
  <c r="AY30" i="21"/>
  <c r="AY31" i="21"/>
  <c r="AY32" i="21"/>
  <c r="AY33" i="21"/>
  <c r="AY34" i="21"/>
  <c r="AY35" i="21"/>
  <c r="AY36" i="21"/>
  <c r="AY37" i="21"/>
  <c r="AY38" i="21"/>
  <c r="K113" i="21" l="1"/>
  <c r="K114" i="21"/>
  <c r="K115" i="21"/>
  <c r="K116" i="21"/>
  <c r="K117" i="21"/>
  <c r="K118" i="21"/>
  <c r="K119" i="21"/>
  <c r="K120" i="21"/>
  <c r="K121" i="21"/>
  <c r="K122" i="21"/>
  <c r="K123" i="21"/>
  <c r="K124" i="21"/>
  <c r="K125" i="21"/>
  <c r="M50" i="4"/>
  <c r="K50" i="4"/>
  <c r="M49" i="4"/>
  <c r="K49" i="4"/>
  <c r="M48" i="4"/>
  <c r="K48" i="4"/>
  <c r="M47" i="4"/>
  <c r="K47" i="4"/>
  <c r="M46" i="4"/>
  <c r="K46" i="4"/>
  <c r="M45" i="4"/>
  <c r="K45" i="4"/>
  <c r="M44" i="4"/>
  <c r="K44" i="4"/>
  <c r="M43" i="4"/>
  <c r="K43" i="4"/>
  <c r="M42" i="4"/>
  <c r="K42" i="4"/>
  <c r="M41" i="4"/>
  <c r="K41" i="4"/>
  <c r="M40" i="4"/>
  <c r="K40" i="4"/>
  <c r="M39" i="4"/>
  <c r="K39" i="4"/>
  <c r="M38" i="4"/>
  <c r="K38" i="4"/>
  <c r="M37" i="4"/>
  <c r="K37" i="4"/>
  <c r="M36" i="4"/>
  <c r="M35" i="4"/>
  <c r="AJ109" i="21"/>
  <c r="AJ108" i="21"/>
  <c r="AJ107" i="21"/>
  <c r="AJ106" i="21"/>
  <c r="AJ105" i="21"/>
  <c r="AJ104" i="21"/>
  <c r="AJ103" i="21"/>
  <c r="AJ102" i="21"/>
  <c r="AJ101" i="21"/>
  <c r="AJ100" i="21"/>
  <c r="AJ99" i="21"/>
  <c r="AJ98" i="21"/>
  <c r="AJ97" i="21"/>
  <c r="AJ91" i="21"/>
  <c r="AJ90" i="21"/>
  <c r="AJ89" i="21"/>
  <c r="AJ88" i="21"/>
  <c r="AJ87" i="21"/>
  <c r="AJ86" i="21"/>
  <c r="AJ85" i="21"/>
  <c r="AJ84" i="21"/>
  <c r="AJ83" i="21"/>
  <c r="AJ82" i="21"/>
  <c r="AJ81" i="21"/>
  <c r="AJ80" i="21"/>
  <c r="AJ79" i="21"/>
  <c r="AJ78" i="21"/>
  <c r="AJ74" i="21"/>
  <c r="AJ73" i="21"/>
  <c r="AJ72" i="21"/>
  <c r="AJ71" i="21"/>
  <c r="AJ70" i="21"/>
  <c r="AJ69" i="21"/>
  <c r="AJ68" i="21"/>
  <c r="AJ67" i="21"/>
  <c r="AJ66" i="21"/>
  <c r="AJ65" i="21"/>
  <c r="AJ64" i="21"/>
  <c r="AJ63" i="21"/>
  <c r="AJ62" i="21"/>
  <c r="AJ61" i="21"/>
  <c r="AJ55" i="21"/>
  <c r="AJ54" i="21"/>
  <c r="AJ53" i="21"/>
  <c r="AJ52" i="21"/>
  <c r="AJ51" i="21"/>
  <c r="AJ50" i="21"/>
  <c r="AJ49" i="21"/>
  <c r="AJ48" i="21"/>
  <c r="AJ47" i="21"/>
  <c r="AJ46" i="21"/>
  <c r="AJ45" i="21"/>
  <c r="AJ44" i="21"/>
  <c r="AJ43" i="21"/>
  <c r="AJ42" i="21"/>
  <c r="AJ38" i="21"/>
  <c r="AJ37" i="21"/>
  <c r="AJ36" i="21"/>
  <c r="AJ35" i="21"/>
  <c r="AJ34" i="21"/>
  <c r="AJ33" i="21"/>
  <c r="AJ32" i="21"/>
  <c r="AJ31" i="21"/>
  <c r="AJ30" i="21"/>
  <c r="AJ29" i="21"/>
  <c r="AJ28" i="21"/>
  <c r="AJ27" i="21"/>
  <c r="AJ26" i="21"/>
  <c r="AJ25" i="21"/>
  <c r="AJ19" i="21"/>
  <c r="AJ18" i="21"/>
  <c r="AJ17" i="21"/>
  <c r="AJ16" i="21"/>
  <c r="AJ15" i="21"/>
  <c r="AJ14" i="21"/>
  <c r="AJ13" i="21"/>
  <c r="AJ12" i="21"/>
  <c r="AJ11" i="21"/>
  <c r="AJ10" i="21"/>
  <c r="AJ9" i="21"/>
  <c r="AJ8" i="21"/>
  <c r="AJ7" i="21"/>
  <c r="AJ6" i="21"/>
  <c r="G13" i="24" l="1"/>
  <c r="I51" i="29"/>
  <c r="H51" i="29"/>
  <c r="G51" i="29"/>
  <c r="F51" i="29"/>
  <c r="E51" i="29"/>
  <c r="D51" i="29"/>
  <c r="C51" i="29"/>
  <c r="I32" i="29"/>
  <c r="H32" i="29"/>
  <c r="G32" i="29"/>
  <c r="F32" i="29"/>
  <c r="E32" i="29"/>
  <c r="D32" i="29"/>
  <c r="C32" i="29"/>
  <c r="I16" i="29" l="1"/>
  <c r="H16" i="29"/>
  <c r="G16" i="29"/>
  <c r="F16" i="29"/>
  <c r="E16" i="29"/>
  <c r="D16" i="29"/>
  <c r="C16" i="29"/>
  <c r="I33" i="29"/>
  <c r="H33" i="29"/>
  <c r="G33" i="29"/>
  <c r="F33" i="29"/>
  <c r="E33" i="29"/>
  <c r="D33" i="29"/>
  <c r="C33" i="29"/>
  <c r="I31" i="29"/>
  <c r="H31" i="29"/>
  <c r="G31" i="29"/>
  <c r="F31" i="29"/>
  <c r="E31" i="29"/>
  <c r="D31" i="29"/>
  <c r="I19" i="29"/>
  <c r="I14" i="29" s="1"/>
  <c r="H19" i="29"/>
  <c r="H14" i="29" s="1"/>
  <c r="G19" i="29"/>
  <c r="G14" i="29" s="1"/>
  <c r="F19" i="29"/>
  <c r="F14" i="29" s="1"/>
  <c r="E19" i="29"/>
  <c r="E14" i="29" s="1"/>
  <c r="D19" i="29"/>
  <c r="D14" i="29" s="1"/>
  <c r="C19" i="29"/>
  <c r="C14" i="29" s="1"/>
  <c r="I17" i="29"/>
  <c r="H17" i="29"/>
  <c r="G17" i="29"/>
  <c r="F17" i="29"/>
  <c r="E17" i="29"/>
  <c r="D17" i="29"/>
  <c r="C17" i="29"/>
  <c r="I34" i="29" l="1"/>
  <c r="H34" i="29"/>
  <c r="G34" i="29"/>
  <c r="F34" i="29"/>
  <c r="E34" i="29"/>
  <c r="D34" i="29"/>
  <c r="C34" i="29"/>
  <c r="E64" i="4"/>
  <c r="E64" i="27"/>
  <c r="E64" i="28"/>
  <c r="F18" i="29"/>
  <c r="H18" i="29"/>
  <c r="F58" i="29"/>
  <c r="G18" i="29"/>
  <c r="H58" i="29"/>
  <c r="I18" i="29"/>
  <c r="I56" i="29" s="1"/>
  <c r="F56" i="29"/>
  <c r="H56" i="29"/>
  <c r="I55" i="29"/>
  <c r="C18" i="29"/>
  <c r="F57" i="29"/>
  <c r="G57" i="29"/>
  <c r="H57" i="29"/>
  <c r="I58" i="29"/>
  <c r="D18" i="29"/>
  <c r="G58" i="29"/>
  <c r="E18" i="29"/>
  <c r="E56" i="29"/>
  <c r="F55" i="29"/>
  <c r="G55" i="29"/>
  <c r="H55" i="29"/>
  <c r="G56" i="29"/>
  <c r="I57" i="29"/>
  <c r="D58" i="29"/>
  <c r="D57" i="29"/>
  <c r="D56" i="29"/>
  <c r="E55" i="29"/>
  <c r="E58" i="29"/>
  <c r="AP125" i="21" l="1"/>
  <c r="AQ125" i="21"/>
  <c r="AN125" i="21"/>
  <c r="AO125" i="21" s="1"/>
  <c r="AJ125" i="21"/>
  <c r="AB125" i="21"/>
  <c r="AA125" i="21"/>
  <c r="Q125" i="21"/>
  <c r="O125" i="21"/>
  <c r="N125" i="21"/>
  <c r="AP124" i="21"/>
  <c r="AQ124" i="21"/>
  <c r="AN124" i="21"/>
  <c r="AO124" i="21" s="1"/>
  <c r="AJ124" i="21"/>
  <c r="AB124" i="21"/>
  <c r="AA124" i="21"/>
  <c r="Q124" i="21"/>
  <c r="O124" i="21"/>
  <c r="N124" i="21"/>
  <c r="AP123" i="21"/>
  <c r="AQ123" i="21"/>
  <c r="AN123" i="21"/>
  <c r="AO123" i="21" s="1"/>
  <c r="AJ123" i="21"/>
  <c r="AB123" i="21"/>
  <c r="AA123" i="21"/>
  <c r="Q123" i="21"/>
  <c r="O123" i="21"/>
  <c r="N123" i="21"/>
  <c r="AP122" i="21"/>
  <c r="AQ122" i="21"/>
  <c r="AN122" i="21"/>
  <c r="AO122" i="21" s="1"/>
  <c r="AJ122" i="21"/>
  <c r="AB122" i="21"/>
  <c r="AA122" i="21"/>
  <c r="Q122" i="21"/>
  <c r="O122" i="21"/>
  <c r="N122" i="21"/>
  <c r="AP121" i="21"/>
  <c r="AQ121" i="21"/>
  <c r="AN121" i="21"/>
  <c r="AO121" i="21" s="1"/>
  <c r="AJ121" i="21"/>
  <c r="AB121" i="21"/>
  <c r="AA121" i="21"/>
  <c r="Q121" i="21"/>
  <c r="O121" i="21"/>
  <c r="N121" i="21"/>
  <c r="AP120" i="21"/>
  <c r="AQ120" i="21"/>
  <c r="AN120" i="21"/>
  <c r="AO120" i="21" s="1"/>
  <c r="AJ120" i="21"/>
  <c r="AB120" i="21"/>
  <c r="AA120" i="21"/>
  <c r="Q120" i="21"/>
  <c r="O120" i="21"/>
  <c r="N120" i="21"/>
  <c r="AP119" i="21"/>
  <c r="AQ119" i="21"/>
  <c r="AN119" i="21"/>
  <c r="AO119" i="21" s="1"/>
  <c r="AJ119" i="21"/>
  <c r="AB119" i="21"/>
  <c r="AA119" i="21"/>
  <c r="Q119" i="21"/>
  <c r="O119" i="21"/>
  <c r="N119" i="21"/>
  <c r="AP118" i="21"/>
  <c r="AQ118" i="21"/>
  <c r="AN118" i="21"/>
  <c r="AO118" i="21" s="1"/>
  <c r="AJ118" i="21"/>
  <c r="AB118" i="21"/>
  <c r="AA118" i="21"/>
  <c r="Q118" i="21"/>
  <c r="O118" i="21"/>
  <c r="N118" i="21"/>
  <c r="AP117" i="21"/>
  <c r="AQ117" i="21"/>
  <c r="AN117" i="21"/>
  <c r="AO117" i="21" s="1"/>
  <c r="AJ117" i="21"/>
  <c r="AB117" i="21"/>
  <c r="AA117" i="21"/>
  <c r="Q117" i="21"/>
  <c r="O117" i="21"/>
  <c r="N117" i="21"/>
  <c r="AP116" i="21"/>
  <c r="AQ116" i="21"/>
  <c r="AN116" i="21"/>
  <c r="AO116" i="21" s="1"/>
  <c r="AJ116" i="21"/>
  <c r="AB116" i="21"/>
  <c r="AA116" i="21"/>
  <c r="Q116" i="21"/>
  <c r="O116" i="21"/>
  <c r="N116" i="21"/>
  <c r="AP115" i="21"/>
  <c r="AQ115" i="21"/>
  <c r="AN115" i="21"/>
  <c r="AO115" i="21" s="1"/>
  <c r="AJ115" i="21"/>
  <c r="AB115" i="21"/>
  <c r="AA115" i="21"/>
  <c r="Q115" i="21"/>
  <c r="O115" i="21"/>
  <c r="N115" i="21"/>
  <c r="AP114" i="21"/>
  <c r="AQ114" i="21"/>
  <c r="AN114" i="21"/>
  <c r="AO114" i="21" s="1"/>
  <c r="AJ114" i="21"/>
  <c r="AB114" i="21"/>
  <c r="AA114" i="21"/>
  <c r="Q114" i="21"/>
  <c r="O114" i="21"/>
  <c r="N114" i="21"/>
  <c r="AQ109" i="21"/>
  <c r="AN109" i="21"/>
  <c r="AO109" i="21" s="1"/>
  <c r="AB109" i="21"/>
  <c r="AA109" i="21"/>
  <c r="Q109" i="21"/>
  <c r="O109" i="21"/>
  <c r="N109" i="21"/>
  <c r="AQ108" i="21"/>
  <c r="AN108" i="21"/>
  <c r="AO108" i="21" s="1"/>
  <c r="AB108" i="21"/>
  <c r="AA108" i="21"/>
  <c r="Q108" i="21"/>
  <c r="O108" i="21"/>
  <c r="N108" i="21"/>
  <c r="AQ107" i="21"/>
  <c r="AN107" i="21"/>
  <c r="AO107" i="21" s="1"/>
  <c r="AB107" i="21"/>
  <c r="AA107" i="21"/>
  <c r="Q107" i="21"/>
  <c r="O107" i="21"/>
  <c r="N107" i="21"/>
  <c r="AQ106" i="21"/>
  <c r="AN106" i="21"/>
  <c r="AO106" i="21" s="1"/>
  <c r="AB106" i="21"/>
  <c r="AA106" i="21"/>
  <c r="Q106" i="21"/>
  <c r="O106" i="21"/>
  <c r="N106" i="21"/>
  <c r="AQ105" i="21"/>
  <c r="AN105" i="21"/>
  <c r="AO105" i="21" s="1"/>
  <c r="AB105" i="21"/>
  <c r="AA105" i="21"/>
  <c r="Q105" i="21"/>
  <c r="O105" i="21"/>
  <c r="N105" i="21"/>
  <c r="AQ104" i="21"/>
  <c r="AN104" i="21"/>
  <c r="AO104" i="21" s="1"/>
  <c r="AB104" i="21"/>
  <c r="AA104" i="21"/>
  <c r="Q104" i="21"/>
  <c r="O104" i="21"/>
  <c r="N104" i="21"/>
  <c r="AQ103" i="21"/>
  <c r="AN103" i="21"/>
  <c r="AO103" i="21" s="1"/>
  <c r="AB103" i="21"/>
  <c r="AA103" i="21"/>
  <c r="Q103" i="21"/>
  <c r="O103" i="21"/>
  <c r="N103" i="21"/>
  <c r="AQ102" i="21"/>
  <c r="AN102" i="21"/>
  <c r="AO102" i="21" s="1"/>
  <c r="AB102" i="21"/>
  <c r="AA102" i="21"/>
  <c r="Q102" i="21"/>
  <c r="O102" i="21"/>
  <c r="N102" i="21"/>
  <c r="AQ101" i="21"/>
  <c r="AN101" i="21"/>
  <c r="AO101" i="21" s="1"/>
  <c r="AB101" i="21"/>
  <c r="AA101" i="21"/>
  <c r="Q101" i="21"/>
  <c r="O101" i="21"/>
  <c r="N101" i="21"/>
  <c r="AQ100" i="21"/>
  <c r="AN100" i="21"/>
  <c r="AO100" i="21" s="1"/>
  <c r="AB100" i="21"/>
  <c r="AA100" i="21"/>
  <c r="Q100" i="21"/>
  <c r="O100" i="21"/>
  <c r="N100" i="21"/>
  <c r="AQ99" i="21"/>
  <c r="AN99" i="21"/>
  <c r="AO99" i="21" s="1"/>
  <c r="AB99" i="21"/>
  <c r="AA99" i="21"/>
  <c r="Q99" i="21"/>
  <c r="O99" i="21"/>
  <c r="N99" i="21"/>
  <c r="AQ98" i="21"/>
  <c r="AN98" i="21"/>
  <c r="AO98" i="21" s="1"/>
  <c r="AB98" i="21"/>
  <c r="AA98" i="21"/>
  <c r="Q98" i="21"/>
  <c r="O98" i="21"/>
  <c r="N98" i="21"/>
  <c r="N78" i="21"/>
  <c r="O78" i="21"/>
  <c r="Q78" i="21"/>
  <c r="AA78" i="21"/>
  <c r="AB78" i="21"/>
  <c r="AN78" i="21"/>
  <c r="AO78" i="21" s="1"/>
  <c r="AQ78" i="21"/>
  <c r="AP78" i="21"/>
  <c r="N79" i="21"/>
  <c r="O79" i="21"/>
  <c r="Q79" i="21"/>
  <c r="AA79" i="21"/>
  <c r="AB79" i="21"/>
  <c r="AN79" i="21"/>
  <c r="AO79" i="21" s="1"/>
  <c r="AQ79" i="21"/>
  <c r="AP79" i="21"/>
  <c r="N80" i="21"/>
  <c r="O80" i="21"/>
  <c r="Q80" i="21"/>
  <c r="AA80" i="21"/>
  <c r="AB80" i="21"/>
  <c r="AN80" i="21"/>
  <c r="AO80" i="21" s="1"/>
  <c r="AQ80" i="21"/>
  <c r="AP80" i="21"/>
  <c r="N81" i="21"/>
  <c r="O81" i="21"/>
  <c r="Q81" i="21"/>
  <c r="AA81" i="21"/>
  <c r="AB81" i="21"/>
  <c r="AN81" i="21"/>
  <c r="AO81" i="21" s="1"/>
  <c r="AQ81" i="21"/>
  <c r="AP81" i="21"/>
  <c r="N82" i="21"/>
  <c r="O82" i="21"/>
  <c r="Q82" i="21"/>
  <c r="AA82" i="21"/>
  <c r="AB82" i="21"/>
  <c r="AN82" i="21"/>
  <c r="AO82" i="21" s="1"/>
  <c r="AQ82" i="21"/>
  <c r="AP82" i="21"/>
  <c r="N83" i="21"/>
  <c r="O83" i="21"/>
  <c r="Q83" i="21"/>
  <c r="AA83" i="21"/>
  <c r="AB83" i="21"/>
  <c r="AN83" i="21"/>
  <c r="AO83" i="21" s="1"/>
  <c r="AQ83" i="21"/>
  <c r="AP83" i="21"/>
  <c r="N84" i="21"/>
  <c r="O84" i="21"/>
  <c r="Q84" i="21"/>
  <c r="AA84" i="21"/>
  <c r="AB84" i="21"/>
  <c r="AN84" i="21"/>
  <c r="AO84" i="21" s="1"/>
  <c r="AQ84" i="21"/>
  <c r="AP84" i="21"/>
  <c r="N85" i="21"/>
  <c r="O85" i="21"/>
  <c r="Q85" i="21"/>
  <c r="AA85" i="21"/>
  <c r="AB85" i="21"/>
  <c r="AN85" i="21"/>
  <c r="AO85" i="21" s="1"/>
  <c r="AQ85" i="21"/>
  <c r="AP85" i="21"/>
  <c r="N86" i="21"/>
  <c r="O86" i="21"/>
  <c r="Q86" i="21"/>
  <c r="AA86" i="21"/>
  <c r="AB86" i="21"/>
  <c r="AN86" i="21"/>
  <c r="AO86" i="21" s="1"/>
  <c r="AQ86" i="21"/>
  <c r="AP86" i="21"/>
  <c r="N87" i="21"/>
  <c r="O87" i="21"/>
  <c r="Q87" i="21"/>
  <c r="AA87" i="21"/>
  <c r="AB87" i="21"/>
  <c r="AN87" i="21"/>
  <c r="AO87" i="21" s="1"/>
  <c r="AQ87" i="21"/>
  <c r="AP87" i="21"/>
  <c r="N88" i="21"/>
  <c r="O88" i="21"/>
  <c r="Q88" i="21"/>
  <c r="AA88" i="21"/>
  <c r="AB88" i="21"/>
  <c r="AN88" i="21"/>
  <c r="AO88" i="21" s="1"/>
  <c r="AQ88" i="21"/>
  <c r="AP88" i="21"/>
  <c r="N89" i="21"/>
  <c r="O89" i="21"/>
  <c r="Q89" i="21"/>
  <c r="AA89" i="21"/>
  <c r="AB89" i="21"/>
  <c r="AN89" i="21"/>
  <c r="AO89" i="21" s="1"/>
  <c r="AQ89" i="21"/>
  <c r="AP89" i="21"/>
  <c r="N90" i="21"/>
  <c r="O90" i="21"/>
  <c r="Q90" i="21"/>
  <c r="AA90" i="21"/>
  <c r="AB90" i="21"/>
  <c r="AN90" i="21"/>
  <c r="AO90" i="21" s="1"/>
  <c r="AQ90" i="21"/>
  <c r="AP90" i="21"/>
  <c r="N91" i="21"/>
  <c r="O91" i="21"/>
  <c r="Q91" i="21"/>
  <c r="AA91" i="21"/>
  <c r="AB91" i="21"/>
  <c r="AN91" i="21"/>
  <c r="AO91" i="21" s="1"/>
  <c r="AQ91" i="21"/>
  <c r="AP91" i="21"/>
  <c r="AQ74" i="21"/>
  <c r="AN74" i="21"/>
  <c r="AO74" i="21" s="1"/>
  <c r="AB74" i="21"/>
  <c r="AA74" i="21"/>
  <c r="Q74" i="21"/>
  <c r="O74" i="21"/>
  <c r="N74" i="21"/>
  <c r="AQ73" i="21"/>
  <c r="AN73" i="21"/>
  <c r="AO73" i="21" s="1"/>
  <c r="AB73" i="21"/>
  <c r="AA73" i="21"/>
  <c r="Q73" i="21"/>
  <c r="O73" i="21"/>
  <c r="N73" i="21"/>
  <c r="AQ72" i="21"/>
  <c r="AN72" i="21"/>
  <c r="AO72" i="21" s="1"/>
  <c r="AB72" i="21"/>
  <c r="AA72" i="21"/>
  <c r="Q72" i="21"/>
  <c r="O72" i="21"/>
  <c r="N72" i="21"/>
  <c r="AQ71" i="21"/>
  <c r="AN71" i="21"/>
  <c r="AO71" i="21" s="1"/>
  <c r="AB71" i="21"/>
  <c r="AA71" i="21"/>
  <c r="Q71" i="21"/>
  <c r="O71" i="21"/>
  <c r="N71" i="21"/>
  <c r="AQ70" i="21"/>
  <c r="AN70" i="21"/>
  <c r="AO70" i="21" s="1"/>
  <c r="AB70" i="21"/>
  <c r="AA70" i="21"/>
  <c r="Q70" i="21"/>
  <c r="O70" i="21"/>
  <c r="N70" i="21"/>
  <c r="AQ69" i="21"/>
  <c r="AN69" i="21"/>
  <c r="AO69" i="21" s="1"/>
  <c r="AB69" i="21"/>
  <c r="AA69" i="21"/>
  <c r="Q69" i="21"/>
  <c r="O69" i="21"/>
  <c r="N69" i="21"/>
  <c r="AQ68" i="21"/>
  <c r="AN68" i="21"/>
  <c r="AO68" i="21" s="1"/>
  <c r="AB68" i="21"/>
  <c r="AA68" i="21"/>
  <c r="Q68" i="21"/>
  <c r="O68" i="21"/>
  <c r="N68" i="21"/>
  <c r="AQ67" i="21"/>
  <c r="AN67" i="21"/>
  <c r="AO67" i="21" s="1"/>
  <c r="AB67" i="21"/>
  <c r="AA67" i="21"/>
  <c r="Q67" i="21"/>
  <c r="O67" i="21"/>
  <c r="N67" i="21"/>
  <c r="AQ66" i="21"/>
  <c r="AN66" i="21"/>
  <c r="AO66" i="21" s="1"/>
  <c r="AB66" i="21"/>
  <c r="AA66" i="21"/>
  <c r="Q66" i="21"/>
  <c r="O66" i="21"/>
  <c r="N66" i="21"/>
  <c r="AQ65" i="21"/>
  <c r="AN65" i="21"/>
  <c r="AO65" i="21" s="1"/>
  <c r="AB65" i="21"/>
  <c r="AA65" i="21"/>
  <c r="Q65" i="21"/>
  <c r="O65" i="21"/>
  <c r="N65" i="21"/>
  <c r="AQ64" i="21"/>
  <c r="AN64" i="21"/>
  <c r="AO64" i="21" s="1"/>
  <c r="AB64" i="21"/>
  <c r="AA64" i="21"/>
  <c r="Q64" i="21"/>
  <c r="O64" i="21"/>
  <c r="N64" i="21"/>
  <c r="AQ63" i="21"/>
  <c r="AN63" i="21"/>
  <c r="AO63" i="21" s="1"/>
  <c r="AB63" i="21"/>
  <c r="AA63" i="21"/>
  <c r="Q63" i="21"/>
  <c r="O63" i="21"/>
  <c r="N63" i="21"/>
  <c r="AQ62" i="21"/>
  <c r="AN62" i="21"/>
  <c r="AO62" i="21" s="1"/>
  <c r="AB62" i="21"/>
  <c r="AA62" i="21"/>
  <c r="Q62" i="21"/>
  <c r="O62" i="21"/>
  <c r="N62" i="21"/>
  <c r="AP55" i="21"/>
  <c r="AQ55" i="21"/>
  <c r="AN55" i="21"/>
  <c r="AO55" i="21" s="1"/>
  <c r="AB55" i="21"/>
  <c r="AA55" i="21"/>
  <c r="Q55" i="21"/>
  <c r="O55" i="21"/>
  <c r="N55" i="21"/>
  <c r="AP54" i="21"/>
  <c r="AQ54" i="21"/>
  <c r="AN54" i="21"/>
  <c r="AO54" i="21" s="1"/>
  <c r="AB54" i="21"/>
  <c r="AA54" i="21"/>
  <c r="Q54" i="21"/>
  <c r="O54" i="21"/>
  <c r="N54" i="21"/>
  <c r="AP53" i="21"/>
  <c r="AQ53" i="21"/>
  <c r="AN53" i="21"/>
  <c r="AO53" i="21" s="1"/>
  <c r="AB53" i="21"/>
  <c r="AA53" i="21"/>
  <c r="Q53" i="21"/>
  <c r="O53" i="21"/>
  <c r="N53" i="21"/>
  <c r="AP52" i="21"/>
  <c r="AQ52" i="21"/>
  <c r="AN52" i="21"/>
  <c r="AO52" i="21" s="1"/>
  <c r="AB52" i="21"/>
  <c r="AA52" i="21"/>
  <c r="Q52" i="21"/>
  <c r="O52" i="21"/>
  <c r="N52" i="21"/>
  <c r="AP51" i="21"/>
  <c r="AQ51" i="21"/>
  <c r="AN51" i="21"/>
  <c r="AO51" i="21" s="1"/>
  <c r="AB51" i="21"/>
  <c r="AA51" i="21"/>
  <c r="Q51" i="21"/>
  <c r="O51" i="21"/>
  <c r="N51" i="21"/>
  <c r="AP50" i="21"/>
  <c r="AQ50" i="21"/>
  <c r="AN50" i="21"/>
  <c r="AO50" i="21" s="1"/>
  <c r="AB50" i="21"/>
  <c r="AA50" i="21"/>
  <c r="Q50" i="21"/>
  <c r="O50" i="21"/>
  <c r="N50" i="21"/>
  <c r="AP49" i="21"/>
  <c r="AQ49" i="21"/>
  <c r="AN49" i="21"/>
  <c r="AO49" i="21" s="1"/>
  <c r="AB49" i="21"/>
  <c r="AA49" i="21"/>
  <c r="Q49" i="21"/>
  <c r="O49" i="21"/>
  <c r="N49" i="21"/>
  <c r="AP48" i="21"/>
  <c r="AQ48" i="21"/>
  <c r="AN48" i="21"/>
  <c r="AO48" i="21" s="1"/>
  <c r="AB48" i="21"/>
  <c r="AA48" i="21"/>
  <c r="Q48" i="21"/>
  <c r="O48" i="21"/>
  <c r="N48" i="21"/>
  <c r="AP47" i="21"/>
  <c r="AQ47" i="21"/>
  <c r="AN47" i="21"/>
  <c r="AO47" i="21" s="1"/>
  <c r="AB47" i="21"/>
  <c r="AA47" i="21"/>
  <c r="Q47" i="21"/>
  <c r="O47" i="21"/>
  <c r="N47" i="21"/>
  <c r="AP46" i="21"/>
  <c r="AQ46" i="21"/>
  <c r="AN46" i="21"/>
  <c r="AO46" i="21" s="1"/>
  <c r="AB46" i="21"/>
  <c r="AA46" i="21"/>
  <c r="Q46" i="21"/>
  <c r="O46" i="21"/>
  <c r="N46" i="21"/>
  <c r="AP45" i="21"/>
  <c r="AQ45" i="21"/>
  <c r="AN45" i="21"/>
  <c r="AO45" i="21" s="1"/>
  <c r="AB45" i="21"/>
  <c r="AA45" i="21"/>
  <c r="Q45" i="21"/>
  <c r="O45" i="21"/>
  <c r="N45" i="21"/>
  <c r="AP44" i="21"/>
  <c r="AQ44" i="21"/>
  <c r="AN44" i="21"/>
  <c r="AO44" i="21" s="1"/>
  <c r="AB44" i="21"/>
  <c r="AA44" i="21"/>
  <c r="Q44" i="21"/>
  <c r="O44" i="21"/>
  <c r="N44" i="21"/>
  <c r="AP43" i="21"/>
  <c r="AQ43" i="21"/>
  <c r="AN43" i="21"/>
  <c r="AO43" i="21" s="1"/>
  <c r="AB43" i="21"/>
  <c r="AA43" i="21"/>
  <c r="Q43" i="21"/>
  <c r="O43" i="21"/>
  <c r="N43" i="21"/>
  <c r="N25" i="21"/>
  <c r="O25" i="21"/>
  <c r="Q25" i="21"/>
  <c r="AA25" i="21"/>
  <c r="AB25" i="21"/>
  <c r="AN25" i="21"/>
  <c r="AO25" i="21" s="1"/>
  <c r="AQ25" i="21"/>
  <c r="N26" i="21"/>
  <c r="O26" i="21"/>
  <c r="Q26" i="21"/>
  <c r="AA26" i="21"/>
  <c r="AB26" i="21"/>
  <c r="AN26" i="21"/>
  <c r="AO26" i="21" s="1"/>
  <c r="AQ26" i="21"/>
  <c r="N27" i="21"/>
  <c r="O27" i="21"/>
  <c r="Q27" i="21"/>
  <c r="AA27" i="21"/>
  <c r="AB27" i="21"/>
  <c r="AN27" i="21"/>
  <c r="AO27" i="21" s="1"/>
  <c r="AQ27" i="21"/>
  <c r="N28" i="21"/>
  <c r="O28" i="21"/>
  <c r="Q28" i="21"/>
  <c r="AA28" i="21"/>
  <c r="AB28" i="21"/>
  <c r="AN28" i="21"/>
  <c r="AO28" i="21" s="1"/>
  <c r="AQ28" i="21"/>
  <c r="N29" i="21"/>
  <c r="O29" i="21"/>
  <c r="Q29" i="21"/>
  <c r="AA29" i="21"/>
  <c r="AB29" i="21"/>
  <c r="AN29" i="21"/>
  <c r="AO29" i="21" s="1"/>
  <c r="AQ29" i="21"/>
  <c r="N30" i="21"/>
  <c r="O30" i="21"/>
  <c r="Q30" i="21"/>
  <c r="AA30" i="21"/>
  <c r="AB30" i="21"/>
  <c r="AN30" i="21"/>
  <c r="AO30" i="21" s="1"/>
  <c r="AQ30" i="21"/>
  <c r="N31" i="21"/>
  <c r="O31" i="21"/>
  <c r="Q31" i="21"/>
  <c r="AA31" i="21"/>
  <c r="AB31" i="21"/>
  <c r="AN31" i="21"/>
  <c r="AO31" i="21" s="1"/>
  <c r="AQ31" i="21"/>
  <c r="N32" i="21"/>
  <c r="O32" i="21"/>
  <c r="Q32" i="21"/>
  <c r="AA32" i="21"/>
  <c r="AB32" i="21"/>
  <c r="AN32" i="21"/>
  <c r="AO32" i="21" s="1"/>
  <c r="AQ32" i="21"/>
  <c r="N33" i="21"/>
  <c r="O33" i="21"/>
  <c r="Q33" i="21"/>
  <c r="AA33" i="21"/>
  <c r="AB33" i="21"/>
  <c r="AN33" i="21"/>
  <c r="AO33" i="21" s="1"/>
  <c r="AQ33" i="21"/>
  <c r="N34" i="21"/>
  <c r="O34" i="21"/>
  <c r="Q34" i="21"/>
  <c r="AA34" i="21"/>
  <c r="AB34" i="21"/>
  <c r="AN34" i="21"/>
  <c r="AO34" i="21" s="1"/>
  <c r="AQ34" i="21"/>
  <c r="N35" i="21"/>
  <c r="O35" i="21"/>
  <c r="Q35" i="21"/>
  <c r="AA35" i="21"/>
  <c r="AB35" i="21"/>
  <c r="AN35" i="21"/>
  <c r="AO35" i="21" s="1"/>
  <c r="AQ35" i="21"/>
  <c r="N36" i="21"/>
  <c r="O36" i="21"/>
  <c r="Q36" i="21"/>
  <c r="AA36" i="21"/>
  <c r="AB36" i="21"/>
  <c r="AN36" i="21"/>
  <c r="AO36" i="21" s="1"/>
  <c r="AQ36" i="21"/>
  <c r="N37" i="21"/>
  <c r="O37" i="21"/>
  <c r="Q37" i="21"/>
  <c r="AA37" i="21"/>
  <c r="AB37" i="21"/>
  <c r="AN37" i="21"/>
  <c r="AO37" i="21" s="1"/>
  <c r="AQ37" i="21"/>
  <c r="N38" i="21"/>
  <c r="O38" i="21"/>
  <c r="Q38" i="21"/>
  <c r="AA38" i="21"/>
  <c r="AB38" i="21"/>
  <c r="AN38" i="21"/>
  <c r="AO38" i="21" s="1"/>
  <c r="AQ38" i="21"/>
  <c r="AP113" i="21"/>
  <c r="AQ113" i="21"/>
  <c r="AN113" i="21"/>
  <c r="AO113" i="21" s="1"/>
  <c r="AJ113" i="21"/>
  <c r="AB113" i="21"/>
  <c r="AA113" i="21"/>
  <c r="Q113" i="21"/>
  <c r="O113" i="21"/>
  <c r="N113" i="21"/>
  <c r="AQ97" i="21"/>
  <c r="AN97" i="21"/>
  <c r="AO97" i="21" s="1"/>
  <c r="AB97" i="21"/>
  <c r="AA97" i="21"/>
  <c r="Q97" i="21"/>
  <c r="O97" i="21"/>
  <c r="N97" i="21"/>
  <c r="AQ61" i="21"/>
  <c r="AN61" i="21"/>
  <c r="AO61" i="21" s="1"/>
  <c r="AB61" i="21"/>
  <c r="AA61" i="21"/>
  <c r="Q61" i="21"/>
  <c r="O61" i="21"/>
  <c r="N61" i="21"/>
  <c r="AP42" i="21"/>
  <c r="AQ42" i="21"/>
  <c r="AN42" i="21"/>
  <c r="AO42" i="21" s="1"/>
  <c r="AB42" i="21"/>
  <c r="AA42" i="21"/>
  <c r="Q42" i="21"/>
  <c r="O42" i="21"/>
  <c r="N42" i="21"/>
  <c r="N6" i="21"/>
  <c r="O6" i="21"/>
  <c r="N7" i="21"/>
  <c r="O7" i="21"/>
  <c r="N8" i="21"/>
  <c r="O8" i="21"/>
  <c r="N9" i="21"/>
  <c r="O9" i="21"/>
  <c r="N10" i="21"/>
  <c r="O10" i="21"/>
  <c r="N11" i="21"/>
  <c r="O11" i="21"/>
  <c r="N12" i="21"/>
  <c r="O12" i="21"/>
  <c r="N13" i="21"/>
  <c r="O13" i="21"/>
  <c r="N14" i="21"/>
  <c r="O14" i="21"/>
  <c r="N15" i="21"/>
  <c r="O15" i="21"/>
  <c r="N16" i="21"/>
  <c r="O16" i="21"/>
  <c r="N17" i="21"/>
  <c r="O17" i="21"/>
  <c r="N18" i="21"/>
  <c r="O18" i="21"/>
  <c r="N19" i="21"/>
  <c r="O19" i="21"/>
  <c r="E57" i="29"/>
  <c r="B91" i="21"/>
  <c r="B90" i="21"/>
  <c r="B47" i="21"/>
  <c r="B42" i="21"/>
  <c r="B27" i="21"/>
  <c r="B117" i="21"/>
  <c r="B55" i="21"/>
  <c r="B31" i="21"/>
  <c r="B26" i="21"/>
  <c r="B68" i="21"/>
  <c r="B121" i="21"/>
  <c r="B118" i="21"/>
  <c r="B45" i="21"/>
  <c r="B109" i="21"/>
  <c r="B78" i="21"/>
  <c r="B63" i="21"/>
  <c r="B28" i="21"/>
  <c r="B70" i="21"/>
  <c r="B107" i="21"/>
  <c r="B49" i="21"/>
  <c r="B98" i="21"/>
  <c r="B101" i="21"/>
  <c r="B115" i="21"/>
  <c r="B104" i="21"/>
  <c r="B100" i="21"/>
  <c r="B44" i="21"/>
  <c r="B6" i="21"/>
  <c r="B89" i="21"/>
  <c r="D55" i="29"/>
  <c r="B87" i="21"/>
  <c r="B97" i="21"/>
  <c r="B82" i="21"/>
  <c r="B99" i="21"/>
  <c r="B71" i="21"/>
  <c r="B29" i="21"/>
  <c r="B48" i="21"/>
  <c r="B72" i="21"/>
  <c r="B66" i="21"/>
  <c r="B81" i="21"/>
  <c r="B43" i="21"/>
  <c r="B30" i="21"/>
  <c r="B116" i="21"/>
  <c r="B25" i="21"/>
  <c r="B88" i="21"/>
  <c r="B36" i="21"/>
  <c r="B65" i="21"/>
  <c r="B69" i="21"/>
  <c r="B123" i="21"/>
  <c r="B83" i="21"/>
  <c r="B74" i="21"/>
  <c r="B114" i="21"/>
  <c r="B103" i="21"/>
  <c r="B34" i="21"/>
  <c r="B80" i="21"/>
  <c r="B106" i="21"/>
  <c r="B124" i="21"/>
  <c r="B119" i="21"/>
  <c r="B79" i="21"/>
  <c r="B37" i="21"/>
  <c r="B102" i="21"/>
  <c r="B64" i="21"/>
  <c r="B105" i="21"/>
  <c r="B120" i="21"/>
  <c r="B122" i="21"/>
  <c r="B46" i="21"/>
  <c r="B73" i="21"/>
  <c r="B53" i="21"/>
  <c r="B32" i="21"/>
  <c r="B35" i="21"/>
  <c r="B67" i="21"/>
  <c r="B52" i="21"/>
  <c r="B51" i="21"/>
  <c r="B61" i="21"/>
  <c r="B50" i="21"/>
  <c r="B38" i="21"/>
  <c r="B84" i="21"/>
  <c r="B108" i="21"/>
  <c r="B62" i="21"/>
  <c r="B86" i="21"/>
  <c r="B85" i="21"/>
  <c r="B54" i="21"/>
  <c r="B125" i="21"/>
  <c r="B113" i="21"/>
  <c r="B33" i="21"/>
  <c r="P88" i="21" l="1"/>
  <c r="X88" i="21"/>
  <c r="AH88" i="21"/>
  <c r="P67" i="21"/>
  <c r="AH67" i="21"/>
  <c r="X67" i="21"/>
  <c r="X101" i="21"/>
  <c r="P101" i="21"/>
  <c r="AH101" i="21"/>
  <c r="P26" i="21"/>
  <c r="AH26" i="21"/>
  <c r="X26" i="21"/>
  <c r="P53" i="21"/>
  <c r="AH53" i="21"/>
  <c r="X53" i="21"/>
  <c r="P85" i="21"/>
  <c r="X85" i="21"/>
  <c r="AH85" i="21"/>
  <c r="AH114" i="21"/>
  <c r="X114" i="21"/>
  <c r="P114" i="21"/>
  <c r="AH31" i="21"/>
  <c r="P31" i="21"/>
  <c r="X31" i="21"/>
  <c r="X54" i="21"/>
  <c r="P54" i="21"/>
  <c r="AH54" i="21"/>
  <c r="AH87" i="21"/>
  <c r="P87" i="21"/>
  <c r="X87" i="21"/>
  <c r="AH119" i="21"/>
  <c r="X119" i="21"/>
  <c r="P119" i="21"/>
  <c r="X121" i="21"/>
  <c r="P121" i="21"/>
  <c r="AH121" i="21"/>
  <c r="AH122" i="21"/>
  <c r="X122" i="21"/>
  <c r="P122" i="21"/>
  <c r="X68" i="21"/>
  <c r="P68" i="21"/>
  <c r="AH68" i="21"/>
  <c r="P45" i="21"/>
  <c r="AH45" i="21"/>
  <c r="X45" i="21"/>
  <c r="X73" i="21"/>
  <c r="P73" i="21"/>
  <c r="AH73" i="21"/>
  <c r="AH102" i="21"/>
  <c r="X102" i="21"/>
  <c r="P102" i="21"/>
  <c r="X65" i="21"/>
  <c r="P65" i="21"/>
  <c r="AH65" i="21"/>
  <c r="AH99" i="21"/>
  <c r="X99" i="21"/>
  <c r="P99" i="21"/>
  <c r="X43" i="21"/>
  <c r="P43" i="21"/>
  <c r="AH43" i="21"/>
  <c r="X78" i="21"/>
  <c r="AH78" i="21"/>
  <c r="P78" i="21"/>
  <c r="P46" i="21"/>
  <c r="AH46" i="21"/>
  <c r="X46" i="21"/>
  <c r="AH79" i="21"/>
  <c r="P79" i="21"/>
  <c r="X79" i="21"/>
  <c r="AH107" i="21"/>
  <c r="X107" i="21"/>
  <c r="P107" i="21"/>
  <c r="AH33" i="21"/>
  <c r="P33" i="21"/>
  <c r="X33" i="21"/>
  <c r="P34" i="21"/>
  <c r="AH34" i="21"/>
  <c r="X34" i="21"/>
  <c r="AH113" i="21"/>
  <c r="X113" i="21"/>
  <c r="P113" i="21"/>
  <c r="X51" i="21"/>
  <c r="P51" i="21"/>
  <c r="AH51" i="21"/>
  <c r="P80" i="21"/>
  <c r="X80" i="21"/>
  <c r="AH80" i="21"/>
  <c r="X109" i="21"/>
  <c r="P109" i="21"/>
  <c r="AH109" i="21"/>
  <c r="X27" i="21"/>
  <c r="P27" i="21"/>
  <c r="AH27" i="21"/>
  <c r="AH55" i="21"/>
  <c r="X55" i="21"/>
  <c r="P55" i="21"/>
  <c r="X89" i="21"/>
  <c r="AH89" i="21"/>
  <c r="P89" i="21"/>
  <c r="P123" i="21"/>
  <c r="AH123" i="21"/>
  <c r="X123" i="21"/>
  <c r="AH25" i="21"/>
  <c r="P25" i="21"/>
  <c r="X25" i="21"/>
  <c r="X28" i="21"/>
  <c r="AH28" i="21"/>
  <c r="P28" i="21"/>
  <c r="X36" i="21"/>
  <c r="AH36" i="21"/>
  <c r="P36" i="21"/>
  <c r="AH48" i="21"/>
  <c r="X48" i="21"/>
  <c r="P48" i="21"/>
  <c r="P62" i="21"/>
  <c r="AH62" i="21"/>
  <c r="X62" i="21"/>
  <c r="P70" i="21"/>
  <c r="AH70" i="21"/>
  <c r="X70" i="21"/>
  <c r="AH82" i="21"/>
  <c r="X82" i="21"/>
  <c r="P82" i="21"/>
  <c r="AH90" i="21"/>
  <c r="X90" i="21"/>
  <c r="P90" i="21"/>
  <c r="X104" i="21"/>
  <c r="P104" i="21"/>
  <c r="AH104" i="21"/>
  <c r="X116" i="21"/>
  <c r="P116" i="21"/>
  <c r="AH116" i="21"/>
  <c r="X124" i="21"/>
  <c r="P124" i="21"/>
  <c r="AH124" i="21"/>
  <c r="X47" i="21"/>
  <c r="P47" i="21"/>
  <c r="AH47" i="21"/>
  <c r="X81" i="21"/>
  <c r="AH81" i="21"/>
  <c r="P81" i="21"/>
  <c r="P115" i="21"/>
  <c r="AH115" i="21"/>
  <c r="X115" i="21"/>
  <c r="X42" i="21"/>
  <c r="AH42" i="21"/>
  <c r="P42" i="21"/>
  <c r="AH29" i="21"/>
  <c r="P29" i="21"/>
  <c r="X29" i="21"/>
  <c r="AH37" i="21"/>
  <c r="P37" i="21"/>
  <c r="X37" i="21"/>
  <c r="X49" i="21"/>
  <c r="P49" i="21"/>
  <c r="AH49" i="21"/>
  <c r="X63" i="21"/>
  <c r="P63" i="21"/>
  <c r="AH63" i="21"/>
  <c r="X71" i="21"/>
  <c r="P71" i="21"/>
  <c r="AH71" i="21"/>
  <c r="P83" i="21"/>
  <c r="X83" i="21"/>
  <c r="AH83" i="21"/>
  <c r="P91" i="21"/>
  <c r="X91" i="21"/>
  <c r="AH91" i="21"/>
  <c r="AH105" i="21"/>
  <c r="X105" i="21"/>
  <c r="P105" i="21"/>
  <c r="AH117" i="21"/>
  <c r="X117" i="21"/>
  <c r="P117" i="21"/>
  <c r="AH125" i="21"/>
  <c r="X125" i="21"/>
  <c r="P125" i="21"/>
  <c r="X35" i="21"/>
  <c r="P35" i="21"/>
  <c r="AH35" i="21"/>
  <c r="AH69" i="21"/>
  <c r="X69" i="21"/>
  <c r="P69" i="21"/>
  <c r="P103" i="21"/>
  <c r="AH103" i="21"/>
  <c r="X103" i="21"/>
  <c r="AH61" i="21"/>
  <c r="X61" i="21"/>
  <c r="P61" i="21"/>
  <c r="P30" i="21"/>
  <c r="X30" i="21"/>
  <c r="AH30" i="21"/>
  <c r="P38" i="21"/>
  <c r="X38" i="21"/>
  <c r="AH38" i="21"/>
  <c r="AH50" i="21"/>
  <c r="X50" i="21"/>
  <c r="P50" i="21"/>
  <c r="AH64" i="21"/>
  <c r="X64" i="21"/>
  <c r="P64" i="21"/>
  <c r="AH72" i="21"/>
  <c r="X72" i="21"/>
  <c r="P72" i="21"/>
  <c r="AH84" i="21"/>
  <c r="P84" i="21"/>
  <c r="X84" i="21"/>
  <c r="X98" i="21"/>
  <c r="P98" i="21"/>
  <c r="AH98" i="21"/>
  <c r="X106" i="21"/>
  <c r="P106" i="21"/>
  <c r="AH106" i="21"/>
  <c r="X118" i="21"/>
  <c r="P118" i="21"/>
  <c r="AH118" i="21"/>
  <c r="X97" i="21"/>
  <c r="P97" i="21"/>
  <c r="AH97" i="21"/>
  <c r="P32" i="21"/>
  <c r="X32" i="21"/>
  <c r="AH32" i="21"/>
  <c r="AH44" i="21"/>
  <c r="X44" i="21"/>
  <c r="P44" i="21"/>
  <c r="AH52" i="21"/>
  <c r="X52" i="21"/>
  <c r="P52" i="21"/>
  <c r="AH66" i="21"/>
  <c r="X66" i="21"/>
  <c r="P66" i="21"/>
  <c r="AH74" i="21"/>
  <c r="X74" i="21"/>
  <c r="P74" i="21"/>
  <c r="X86" i="21"/>
  <c r="AH86" i="21"/>
  <c r="P86" i="21"/>
  <c r="P100" i="21"/>
  <c r="AH100" i="21"/>
  <c r="X100" i="21"/>
  <c r="P108" i="21"/>
  <c r="AH108" i="21"/>
  <c r="X108" i="21"/>
  <c r="P120" i="21"/>
  <c r="AH120" i="21"/>
  <c r="X120" i="21"/>
  <c r="AQ19" i="21"/>
  <c r="AP19" i="21"/>
  <c r="AN19" i="21"/>
  <c r="AO19" i="21" s="1"/>
  <c r="AB19" i="21"/>
  <c r="AA19" i="21"/>
  <c r="Q19" i="21"/>
  <c r="AQ18" i="21"/>
  <c r="AP18" i="21"/>
  <c r="AN18" i="21"/>
  <c r="AO18" i="21" s="1"/>
  <c r="AB18" i="21"/>
  <c r="AA18" i="21"/>
  <c r="Q18" i="21"/>
  <c r="AQ17" i="21"/>
  <c r="AP17" i="21"/>
  <c r="AN17" i="21"/>
  <c r="AO17" i="21" s="1"/>
  <c r="AB17" i="21"/>
  <c r="AA17" i="21"/>
  <c r="Q17" i="21"/>
  <c r="AQ16" i="21"/>
  <c r="AP16" i="21"/>
  <c r="AN16" i="21"/>
  <c r="AO16" i="21" s="1"/>
  <c r="AB16" i="21"/>
  <c r="AA16" i="21"/>
  <c r="Q16" i="21"/>
  <c r="AQ15" i="21"/>
  <c r="AP15" i="21"/>
  <c r="AN15" i="21"/>
  <c r="AO15" i="21" s="1"/>
  <c r="AB15" i="21"/>
  <c r="AA15" i="21"/>
  <c r="Q15" i="21"/>
  <c r="AQ14" i="21"/>
  <c r="AP14" i="21"/>
  <c r="AN14" i="21"/>
  <c r="AO14" i="21" s="1"/>
  <c r="AB14" i="21"/>
  <c r="AA14" i="21"/>
  <c r="Q14" i="21"/>
  <c r="AQ13" i="21"/>
  <c r="AP13" i="21"/>
  <c r="AN13" i="21"/>
  <c r="AO13" i="21" s="1"/>
  <c r="AB13" i="21"/>
  <c r="AA13" i="21"/>
  <c r="Q13" i="21"/>
  <c r="AQ12" i="21"/>
  <c r="AP12" i="21"/>
  <c r="AN12" i="21"/>
  <c r="AO12" i="21" s="1"/>
  <c r="AB12" i="21"/>
  <c r="AA12" i="21"/>
  <c r="Q12" i="21"/>
  <c r="AQ11" i="21"/>
  <c r="AP11" i="21"/>
  <c r="AN11" i="21"/>
  <c r="AO11" i="21" s="1"/>
  <c r="AB11" i="21"/>
  <c r="AA11" i="21"/>
  <c r="Q11" i="21"/>
  <c r="AQ10" i="21"/>
  <c r="AP10" i="21"/>
  <c r="AN10" i="21"/>
  <c r="AO10" i="21" s="1"/>
  <c r="AB10" i="21"/>
  <c r="AA10" i="21"/>
  <c r="Q10" i="21"/>
  <c r="AQ9" i="21"/>
  <c r="AP9" i="21"/>
  <c r="AN9" i="21"/>
  <c r="AO9" i="21" s="1"/>
  <c r="AB9" i="21"/>
  <c r="AA9" i="21"/>
  <c r="Q9" i="21"/>
  <c r="AQ8" i="21"/>
  <c r="AP8" i="21"/>
  <c r="AN8" i="21"/>
  <c r="AO8" i="21" s="1"/>
  <c r="AB8" i="21"/>
  <c r="AA8" i="21"/>
  <c r="Q8" i="21"/>
  <c r="AQ7" i="21"/>
  <c r="AP7" i="21"/>
  <c r="AN7" i="21"/>
  <c r="AO7" i="21" s="1"/>
  <c r="AB7" i="21"/>
  <c r="AA7" i="21"/>
  <c r="Q7" i="21"/>
  <c r="AB6" i="21"/>
  <c r="AQ6" i="21"/>
  <c r="Q6" i="21"/>
  <c r="B16" i="21"/>
  <c r="B10" i="21"/>
  <c r="B17" i="21"/>
  <c r="B19" i="21"/>
  <c r="B7" i="21"/>
  <c r="B18" i="21"/>
  <c r="B15" i="21"/>
  <c r="B13" i="21"/>
  <c r="B14" i="21"/>
  <c r="B12" i="21"/>
  <c r="B11" i="21"/>
  <c r="B8" i="21"/>
  <c r="B9" i="21"/>
  <c r="S20" i="20" l="1"/>
  <c r="O20" i="20"/>
  <c r="K20" i="20"/>
  <c r="G20" i="20"/>
  <c r="X12" i="21" l="1"/>
  <c r="AH12" i="21"/>
  <c r="P12" i="21"/>
  <c r="P10" i="21"/>
  <c r="X10" i="21"/>
  <c r="AH10" i="21"/>
  <c r="AH9" i="21"/>
  <c r="X9" i="21"/>
  <c r="P9" i="21"/>
  <c r="P16" i="21"/>
  <c r="AH16" i="21"/>
  <c r="X16" i="21"/>
  <c r="X15" i="21"/>
  <c r="P15" i="21"/>
  <c r="AH15" i="21"/>
  <c r="P7" i="21"/>
  <c r="AH7" i="21"/>
  <c r="X7" i="21"/>
  <c r="AH19" i="21"/>
  <c r="P19" i="21"/>
  <c r="X19" i="21"/>
  <c r="AH11" i="21"/>
  <c r="P11" i="21"/>
  <c r="X11" i="21"/>
  <c r="P18" i="21"/>
  <c r="X18" i="21"/>
  <c r="AH18" i="21"/>
  <c r="AH17" i="21"/>
  <c r="X17" i="21"/>
  <c r="P17" i="21"/>
  <c r="AH8" i="21"/>
  <c r="X8" i="21"/>
  <c r="P8" i="21"/>
  <c r="P14" i="21"/>
  <c r="AH14" i="21"/>
  <c r="X14" i="21"/>
  <c r="P6" i="21"/>
  <c r="X13" i="21"/>
  <c r="P13" i="21"/>
  <c r="AH13" i="21"/>
  <c r="X6" i="21"/>
  <c r="L20" i="20"/>
  <c r="K21" i="20"/>
  <c r="P20" i="20"/>
  <c r="G21" i="20"/>
  <c r="H20" i="20"/>
  <c r="S21" i="20"/>
  <c r="T20" i="20"/>
  <c r="O21" i="20"/>
  <c r="AY97" i="21" l="1"/>
  <c r="AP97" i="21" s="1"/>
  <c r="AY98" i="21"/>
  <c r="AP98" i="21" s="1"/>
  <c r="AY99" i="21"/>
  <c r="AP99" i="21" s="1"/>
  <c r="AY100" i="21"/>
  <c r="AP100" i="21" s="1"/>
  <c r="AY101" i="21"/>
  <c r="AP101" i="21" s="1"/>
  <c r="AY102" i="21"/>
  <c r="AP102" i="21" s="1"/>
  <c r="AY103" i="21"/>
  <c r="AP103" i="21" s="1"/>
  <c r="AY104" i="21"/>
  <c r="AP104" i="21" s="1"/>
  <c r="AY105" i="21"/>
  <c r="AP105" i="21" s="1"/>
  <c r="AY106" i="21"/>
  <c r="AP106" i="21" s="1"/>
  <c r="AY107" i="21"/>
  <c r="AP107" i="21" s="1"/>
  <c r="AY108" i="21"/>
  <c r="AP108" i="21" s="1"/>
  <c r="AY109" i="21"/>
  <c r="AP109" i="21" s="1"/>
  <c r="AX97" i="21"/>
  <c r="AX98" i="21"/>
  <c r="AX99" i="21"/>
  <c r="AX100" i="21"/>
  <c r="AX101" i="21"/>
  <c r="AX102" i="21"/>
  <c r="AX103" i="21"/>
  <c r="AX104" i="21"/>
  <c r="AX105" i="21"/>
  <c r="AX106" i="21"/>
  <c r="AX107" i="21"/>
  <c r="AX108" i="21"/>
  <c r="AX109" i="21"/>
  <c r="AY61" i="21"/>
  <c r="AY62" i="21"/>
  <c r="AY63" i="21"/>
  <c r="AY64" i="21"/>
  <c r="AY65" i="21"/>
  <c r="AY66" i="21"/>
  <c r="AY67" i="21"/>
  <c r="AY68" i="21"/>
  <c r="AY69" i="21"/>
  <c r="AY70" i="21"/>
  <c r="AY71" i="21"/>
  <c r="AY72" i="21"/>
  <c r="AY73" i="21"/>
  <c r="AY74" i="21"/>
  <c r="AX61" i="21"/>
  <c r="AX62" i="21"/>
  <c r="AX63" i="21"/>
  <c r="AX64" i="21"/>
  <c r="AX65" i="21"/>
  <c r="AX66" i="21"/>
  <c r="AX67" i="21"/>
  <c r="AX68" i="21"/>
  <c r="AX69" i="21"/>
  <c r="AX70" i="21"/>
  <c r="AX71" i="21"/>
  <c r="AX72" i="21"/>
  <c r="AX73" i="21"/>
  <c r="AX74" i="21"/>
  <c r="T9" i="20"/>
  <c r="S18"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F77" i="3"/>
  <c r="AX5" i="21" a="1"/>
  <c r="AY8" i="21" s="1"/>
  <c r="G74" i="3"/>
  <c r="G75" i="3" s="1"/>
  <c r="G76" i="3" s="1"/>
  <c r="G77" i="3" s="1"/>
  <c r="G78" i="3" s="1"/>
  <c r="G79" i="3" s="1"/>
  <c r="G80" i="3" s="1"/>
  <c r="G81" i="3" s="1"/>
  <c r="P21" i="20"/>
  <c r="H21" i="20"/>
  <c r="AP33" i="21" l="1"/>
  <c r="AP25" i="21"/>
  <c r="AP61" i="21"/>
  <c r="AP35" i="21"/>
  <c r="AP71" i="21"/>
  <c r="AP34" i="21"/>
  <c r="AP70" i="21"/>
  <c r="AP32" i="21"/>
  <c r="AP68" i="21"/>
  <c r="AP36" i="21"/>
  <c r="AP72" i="21"/>
  <c r="AP69" i="21"/>
  <c r="AP26" i="21"/>
  <c r="AP62" i="21"/>
  <c r="AP29" i="21"/>
  <c r="AP65" i="21"/>
  <c r="AP28" i="21"/>
  <c r="AP64" i="21"/>
  <c r="AP27" i="21"/>
  <c r="AP63" i="21"/>
  <c r="AX5" i="21"/>
  <c r="AX16" i="21"/>
  <c r="AX12" i="21"/>
  <c r="AX8" i="21"/>
  <c r="AY19" i="21"/>
  <c r="AY15" i="21"/>
  <c r="AY11" i="21"/>
  <c r="AY7" i="21"/>
  <c r="AX19" i="21"/>
  <c r="AX15" i="21"/>
  <c r="AX11" i="21"/>
  <c r="AX7" i="21"/>
  <c r="AY18" i="21"/>
  <c r="AY14" i="21"/>
  <c r="AY10" i="21"/>
  <c r="AY6" i="21"/>
  <c r="AX18" i="21"/>
  <c r="AX14" i="21"/>
  <c r="AX10" i="21"/>
  <c r="AX6" i="21"/>
  <c r="AY17" i="21"/>
  <c r="AY13" i="21"/>
  <c r="AY9" i="21"/>
  <c r="AY5" i="21"/>
  <c r="AX9" i="21"/>
  <c r="AX17" i="21"/>
  <c r="AX13" i="21"/>
  <c r="AY16" i="21"/>
  <c r="AY12" i="21"/>
  <c r="O22" i="20"/>
  <c r="S22" i="20"/>
  <c r="L21" i="20"/>
  <c r="T21" i="20" a="1"/>
  <c r="K22" i="20"/>
  <c r="G22" i="20"/>
  <c r="H22" i="20"/>
  <c r="T21" i="20" l="1"/>
  <c r="AP38" i="21"/>
  <c r="AP74" i="21"/>
  <c r="AP37" i="21"/>
  <c r="AP73" i="21"/>
  <c r="AP31" i="21"/>
  <c r="AP67" i="21"/>
  <c r="AP30" i="21"/>
  <c r="AP66" i="21"/>
  <c r="G18" i="20"/>
  <c r="H9" i="20"/>
  <c r="O23" i="20"/>
  <c r="G21" i="27" l="1"/>
  <c r="C20" i="20" l="1"/>
  <c r="G21" i="4"/>
  <c r="F22" i="3"/>
  <c r="F20" i="2"/>
  <c r="G23" i="20"/>
  <c r="O24" i="20"/>
  <c r="P22" i="20"/>
  <c r="T22" i="20"/>
  <c r="P23" i="20"/>
  <c r="S23" i="20"/>
  <c r="G24" i="20"/>
  <c r="H24" i="20"/>
  <c r="O25" i="20"/>
  <c r="L22" i="20"/>
  <c r="K23" i="20"/>
  <c r="L23" i="20" s="1"/>
  <c r="P24" i="20"/>
  <c r="H23" i="20"/>
  <c r="S24" i="20"/>
  <c r="P25" i="20"/>
  <c r="O26" i="20"/>
  <c r="T24" i="20"/>
  <c r="S25" i="20"/>
  <c r="T25" i="20" s="1"/>
  <c r="O27" i="20"/>
  <c r="P26" i="20"/>
  <c r="P27" i="20"/>
  <c r="O28" i="20"/>
  <c r="P28" i="20"/>
  <c r="O29" i="20"/>
  <c r="P29" i="20"/>
  <c r="O30" i="20"/>
  <c r="O31" i="20"/>
  <c r="P30" i="20"/>
  <c r="P31" i="20"/>
  <c r="O32" i="20"/>
  <c r="P32" i="20"/>
  <c r="O33" i="20"/>
  <c r="O34" i="20"/>
  <c r="P33" i="20"/>
  <c r="P34" i="20"/>
  <c r="O35" i="20"/>
  <c r="P35" i="20"/>
  <c r="O36" i="20"/>
  <c r="P36" i="20"/>
  <c r="O37" i="20"/>
  <c r="O38" i="20"/>
  <c r="P37" i="20"/>
  <c r="O39" i="20"/>
  <c r="P38" i="20"/>
  <c r="O40" i="20"/>
  <c r="P39" i="20"/>
  <c r="O41" i="20"/>
  <c r="P40" i="20"/>
  <c r="P41" i="20"/>
  <c r="O42" i="20"/>
  <c r="P42" i="20"/>
  <c r="O43" i="20"/>
  <c r="P43" i="20"/>
  <c r="O44" i="20"/>
  <c r="O45" i="20"/>
  <c r="P44" i="20"/>
  <c r="P45" i="20"/>
  <c r="O46" i="20"/>
  <c r="O47" i="20"/>
  <c r="P46" i="20"/>
  <c r="O48" i="20"/>
  <c r="P47" i="20"/>
  <c r="O49" i="20"/>
  <c r="P48" i="20"/>
  <c r="O50" i="20"/>
  <c r="P49" i="20"/>
  <c r="P50" i="20"/>
  <c r="O51" i="20"/>
  <c r="O52" i="20"/>
  <c r="P51" i="20"/>
  <c r="O53" i="20"/>
  <c r="P52" i="20"/>
  <c r="O54" i="20"/>
  <c r="P53" i="20"/>
  <c r="O55" i="20"/>
  <c r="P54" i="20"/>
  <c r="O56" i="20"/>
  <c r="P55" i="20"/>
  <c r="O57" i="20"/>
  <c r="P56" i="20"/>
  <c r="P57" i="20"/>
  <c r="O58" i="20"/>
  <c r="O59" i="20"/>
  <c r="P58" i="20"/>
  <c r="O60" i="20"/>
  <c r="P59" i="20"/>
  <c r="P60" i="20"/>
  <c r="O61" i="20"/>
  <c r="P61" i="20"/>
  <c r="O62" i="20"/>
  <c r="P62" i="20"/>
  <c r="O63" i="20"/>
  <c r="O64" i="20"/>
  <c r="P63" i="20"/>
  <c r="O65" i="20"/>
  <c r="P64" i="20"/>
  <c r="O66" i="20"/>
  <c r="P65" i="20"/>
  <c r="P66" i="20"/>
  <c r="O67" i="20"/>
  <c r="P67" i="20"/>
  <c r="O68" i="20"/>
  <c r="P68" i="20"/>
  <c r="O69" i="20"/>
  <c r="O70" i="20"/>
  <c r="P69" i="20"/>
  <c r="O71" i="20"/>
  <c r="P70" i="20"/>
  <c r="O72" i="20"/>
  <c r="P71" i="20"/>
  <c r="P72" i="20"/>
  <c r="O73" i="20"/>
  <c r="P73" i="20"/>
  <c r="O74" i="20"/>
  <c r="P74" i="20"/>
  <c r="O75" i="20"/>
  <c r="P75" i="20"/>
  <c r="O76" i="20"/>
  <c r="O77" i="20"/>
  <c r="P76" i="20"/>
  <c r="P77" i="20"/>
  <c r="O78" i="20"/>
  <c r="P78" i="20"/>
  <c r="O79" i="20"/>
  <c r="P79" i="20"/>
  <c r="O80" i="20"/>
  <c r="P80" i="20"/>
  <c r="O81" i="20"/>
  <c r="P81" i="20"/>
  <c r="O82" i="20"/>
  <c r="P82" i="20"/>
  <c r="O83" i="20"/>
  <c r="P83" i="20"/>
  <c r="O84" i="20"/>
  <c r="O85" i="20"/>
  <c r="P84" i="20"/>
  <c r="P85" i="20"/>
  <c r="O86" i="20"/>
  <c r="O87" i="20"/>
  <c r="P86" i="20"/>
  <c r="O88" i="20"/>
  <c r="P87" i="20"/>
  <c r="P88" i="20"/>
  <c r="O89" i="20"/>
  <c r="P89" i="20"/>
  <c r="O90" i="20"/>
  <c r="O91" i="20"/>
  <c r="P90" i="20"/>
  <c r="P91" i="20"/>
  <c r="O92" i="20"/>
  <c r="O93" i="20"/>
  <c r="P92" i="20"/>
  <c r="P93" i="20"/>
  <c r="O94" i="20"/>
  <c r="P94" i="20"/>
  <c r="O95" i="20"/>
  <c r="P95" i="20"/>
  <c r="O96" i="20"/>
  <c r="P96" i="20"/>
  <c r="O97" i="20"/>
  <c r="P97" i="20"/>
  <c r="O98" i="20"/>
  <c r="O99" i="20"/>
  <c r="P98" i="20"/>
  <c r="O100" i="20"/>
  <c r="P99" i="20"/>
  <c r="P100" i="20"/>
  <c r="O101" i="20"/>
  <c r="P101" i="20"/>
  <c r="O102" i="20"/>
  <c r="O103" i="20"/>
  <c r="P102" i="20"/>
  <c r="O104" i="20"/>
  <c r="P103" i="20"/>
  <c r="O105" i="20"/>
  <c r="P104" i="20"/>
  <c r="O106" i="20"/>
  <c r="P105" i="20"/>
  <c r="P106" i="20"/>
  <c r="O107" i="20"/>
  <c r="O108" i="20"/>
  <c r="P107" i="20"/>
  <c r="P108" i="20"/>
  <c r="O109" i="20"/>
  <c r="P109" i="20"/>
  <c r="O110" i="20"/>
  <c r="P110" i="20"/>
  <c r="O111" i="20"/>
  <c r="O112" i="20"/>
  <c r="P111" i="20"/>
  <c r="P112" i="20"/>
  <c r="O113" i="20"/>
  <c r="P113" i="20"/>
  <c r="O114" i="20"/>
  <c r="P114" i="20"/>
  <c r="O115" i="20"/>
  <c r="O116" i="20"/>
  <c r="P115" i="20"/>
  <c r="O117" i="20"/>
  <c r="P116" i="20"/>
  <c r="O118" i="20"/>
  <c r="P117" i="20"/>
  <c r="O119" i="20"/>
  <c r="P118" i="20"/>
  <c r="O120" i="20"/>
  <c r="P119" i="20"/>
  <c r="O121" i="20"/>
  <c r="P120" i="20"/>
  <c r="O122" i="20"/>
  <c r="P121" i="20"/>
  <c r="P122" i="20"/>
  <c r="O123" i="20"/>
  <c r="O124" i="20"/>
  <c r="P123" i="20"/>
  <c r="P124" i="20"/>
  <c r="O125" i="20"/>
  <c r="P125" i="20"/>
  <c r="O126" i="20"/>
  <c r="P126" i="20"/>
  <c r="O127" i="20"/>
  <c r="O128" i="20"/>
  <c r="P127" i="20"/>
  <c r="P128" i="20"/>
  <c r="O129" i="20"/>
  <c r="P129" i="20"/>
  <c r="O130" i="20"/>
  <c r="O131" i="20"/>
  <c r="P130" i="20"/>
  <c r="O132" i="20"/>
  <c r="P131" i="20"/>
  <c r="O133" i="20"/>
  <c r="P132" i="20"/>
  <c r="P133" i="20"/>
  <c r="O134" i="20"/>
  <c r="O135" i="20"/>
  <c r="P134" i="20"/>
  <c r="O136" i="20"/>
  <c r="P135" i="20"/>
  <c r="O137" i="20"/>
  <c r="P136" i="20"/>
  <c r="P137" i="20"/>
  <c r="O138" i="20"/>
  <c r="P138" i="20"/>
  <c r="O139" i="20"/>
  <c r="P139" i="20"/>
  <c r="O140" i="20"/>
  <c r="O141" i="20"/>
  <c r="P140" i="20"/>
  <c r="O142" i="20"/>
  <c r="P141" i="20"/>
  <c r="P142" i="20"/>
  <c r="O143" i="20"/>
  <c r="O144" i="20"/>
  <c r="P143" i="20"/>
  <c r="P144" i="20"/>
  <c r="O145" i="20"/>
  <c r="P145" i="20"/>
  <c r="O146" i="20"/>
  <c r="O147" i="20"/>
  <c r="P146" i="20"/>
  <c r="O148" i="20"/>
  <c r="P147" i="20"/>
  <c r="O149" i="20"/>
  <c r="P148" i="20"/>
  <c r="P149" i="20"/>
  <c r="O150" i="20"/>
  <c r="O151" i="20"/>
  <c r="P150" i="20"/>
  <c r="O152" i="20"/>
  <c r="P151" i="20"/>
  <c r="O153" i="20"/>
  <c r="P152" i="20"/>
  <c r="O154" i="20"/>
  <c r="P153" i="20"/>
  <c r="O155" i="20"/>
  <c r="P154" i="20"/>
  <c r="O156" i="20"/>
  <c r="P155" i="20"/>
  <c r="O157" i="20"/>
  <c r="P156" i="20"/>
  <c r="P157" i="20"/>
  <c r="O158" i="20"/>
  <c r="P158" i="20"/>
  <c r="O159" i="20"/>
  <c r="O160" i="20"/>
  <c r="P159" i="20"/>
  <c r="P160" i="20"/>
  <c r="O161" i="20"/>
  <c r="O162" i="20"/>
  <c r="P161" i="20"/>
  <c r="O163" i="20"/>
  <c r="P162" i="20"/>
  <c r="O164" i="20"/>
  <c r="P163" i="20"/>
  <c r="P164" i="20"/>
  <c r="O165" i="20"/>
  <c r="O166" i="20"/>
  <c r="P165" i="20"/>
  <c r="O167" i="20"/>
  <c r="P166" i="20"/>
  <c r="O168" i="20"/>
  <c r="P167" i="20"/>
  <c r="O169" i="20"/>
  <c r="P168" i="20"/>
  <c r="P169" i="20"/>
  <c r="O170" i="20"/>
  <c r="P170" i="20"/>
  <c r="O171" i="20"/>
  <c r="P171" i="20"/>
  <c r="O172" i="20"/>
  <c r="O173" i="20"/>
  <c r="P172" i="20"/>
  <c r="P173" i="20"/>
  <c r="O174" i="20"/>
  <c r="P174" i="20"/>
  <c r="O175" i="20"/>
  <c r="O176" i="20"/>
  <c r="P175" i="20"/>
  <c r="P176" i="20"/>
  <c r="O177" i="20"/>
  <c r="O178" i="20"/>
  <c r="P177" i="20"/>
  <c r="P178" i="20"/>
  <c r="O179" i="20"/>
  <c r="P179" i="20"/>
  <c r="O180" i="20"/>
  <c r="P180" i="20"/>
  <c r="O181" i="20"/>
  <c r="P181" i="20"/>
  <c r="O182" i="20"/>
  <c r="O183" i="20"/>
  <c r="P182" i="20"/>
  <c r="O184" i="20"/>
  <c r="P183" i="20"/>
  <c r="P184" i="20"/>
  <c r="O185" i="20"/>
  <c r="P185" i="20"/>
  <c r="O186" i="20"/>
  <c r="P186" i="20"/>
  <c r="O187" i="20"/>
  <c r="O188" i="20"/>
  <c r="P187" i="20"/>
  <c r="O189" i="20"/>
  <c r="P188" i="20"/>
  <c r="P189" i="20"/>
  <c r="O190" i="20"/>
  <c r="P190" i="20"/>
  <c r="O191" i="20"/>
  <c r="P191" i="20"/>
  <c r="O192" i="20"/>
  <c r="O193" i="20"/>
  <c r="P192" i="20"/>
  <c r="O194" i="20"/>
  <c r="P193" i="20"/>
  <c r="P194" i="20"/>
  <c r="O195" i="20"/>
  <c r="O196" i="20"/>
  <c r="P195" i="20"/>
  <c r="O197" i="20"/>
  <c r="P196" i="20"/>
  <c r="O198" i="20"/>
  <c r="P197" i="20"/>
  <c r="P198" i="20"/>
  <c r="O199" i="20"/>
  <c r="P199" i="20"/>
  <c r="O200" i="20"/>
  <c r="O201" i="20"/>
  <c r="P200" i="20"/>
  <c r="O202" i="20"/>
  <c r="P201" i="20"/>
  <c r="P202" i="20"/>
  <c r="O203" i="20"/>
  <c r="O204" i="20"/>
  <c r="P203" i="20"/>
  <c r="O205" i="20"/>
  <c r="P204" i="20"/>
  <c r="O206" i="20"/>
  <c r="P205" i="20"/>
  <c r="P206" i="20"/>
  <c r="O207" i="20"/>
  <c r="O208" i="20"/>
  <c r="P207" i="20"/>
  <c r="P208" i="20"/>
  <c r="O209" i="20"/>
  <c r="O210" i="20"/>
  <c r="P209" i="20"/>
  <c r="P210" i="20"/>
  <c r="O211" i="20"/>
  <c r="P211" i="20"/>
  <c r="O212" i="20"/>
  <c r="P212" i="20"/>
  <c r="O213" i="20"/>
  <c r="P213" i="20"/>
  <c r="O214" i="20"/>
  <c r="P214" i="20"/>
  <c r="O215" i="20"/>
  <c r="P215" i="20"/>
  <c r="O216" i="20"/>
  <c r="O217" i="20"/>
  <c r="P216" i="20"/>
  <c r="O218" i="20"/>
  <c r="P217" i="20"/>
  <c r="P218" i="20"/>
  <c r="O219" i="20"/>
  <c r="P219" i="20"/>
  <c r="O220" i="20"/>
  <c r="P220" i="20"/>
  <c r="O221" i="20"/>
  <c r="P221" i="20"/>
  <c r="O222" i="20"/>
  <c r="O223" i="20"/>
  <c r="P222" i="20"/>
  <c r="P223" i="20"/>
  <c r="O224" i="20"/>
  <c r="P224" i="20"/>
  <c r="O225" i="20"/>
  <c r="O226" i="20"/>
  <c r="P225" i="20"/>
  <c r="P226" i="20"/>
  <c r="O227" i="20"/>
  <c r="O228" i="20"/>
  <c r="P227" i="20"/>
  <c r="P228" i="20"/>
  <c r="O229" i="20"/>
  <c r="P229" i="20"/>
  <c r="O230" i="20"/>
  <c r="O231" i="20"/>
  <c r="P230" i="20"/>
  <c r="P231" i="20"/>
  <c r="O232" i="20"/>
  <c r="O233" i="20"/>
  <c r="P232" i="20"/>
  <c r="P233" i="20"/>
  <c r="O234" i="20"/>
  <c r="O235" i="20"/>
  <c r="P234" i="20"/>
  <c r="O236" i="20"/>
  <c r="P235" i="20"/>
  <c r="P236" i="20"/>
  <c r="O237" i="20"/>
  <c r="P237" i="20"/>
  <c r="O238" i="20"/>
  <c r="P238" i="20"/>
  <c r="O239" i="20"/>
  <c r="O240" i="20"/>
  <c r="P239" i="20"/>
  <c r="P240" i="20"/>
  <c r="O241" i="20"/>
  <c r="P241" i="20"/>
  <c r="O242" i="20"/>
  <c r="O243" i="20"/>
  <c r="P242" i="20"/>
  <c r="P243" i="20"/>
  <c r="O244" i="20"/>
  <c r="P244" i="20"/>
  <c r="O245" i="20"/>
  <c r="P245" i="20"/>
  <c r="O246" i="20"/>
  <c r="P246" i="20"/>
  <c r="O247" i="20"/>
  <c r="O248" i="20"/>
  <c r="P247" i="20"/>
  <c r="P248" i="20"/>
  <c r="O249" i="20"/>
  <c r="O250" i="20"/>
  <c r="P249" i="20"/>
  <c r="P250" i="20"/>
  <c r="O251" i="20"/>
  <c r="O252" i="20"/>
  <c r="P251" i="20"/>
  <c r="P252" i="20"/>
  <c r="O253" i="20"/>
  <c r="O254" i="20"/>
  <c r="P253" i="20"/>
  <c r="O255" i="20"/>
  <c r="P254" i="20"/>
  <c r="O256" i="20"/>
  <c r="P255" i="20"/>
  <c r="P256" i="20"/>
  <c r="O257" i="20"/>
  <c r="O258" i="20"/>
  <c r="P257" i="20"/>
  <c r="O259" i="20"/>
  <c r="P258" i="20"/>
  <c r="P259" i="20"/>
  <c r="O260" i="20"/>
  <c r="P260" i="20"/>
  <c r="O261" i="20"/>
  <c r="O262" i="20"/>
  <c r="P261" i="20"/>
  <c r="P262" i="20"/>
  <c r="O263" i="20"/>
  <c r="P263" i="20"/>
  <c r="O264" i="20"/>
  <c r="O265" i="20"/>
  <c r="P264" i="20"/>
  <c r="P265" i="20"/>
  <c r="O266" i="20"/>
  <c r="P266" i="20"/>
  <c r="O267" i="20"/>
  <c r="P267" i="20"/>
  <c r="O268" i="20"/>
  <c r="O269" i="20"/>
  <c r="P268" i="20"/>
  <c r="P269" i="20"/>
  <c r="O270" i="20"/>
  <c r="O271" i="20"/>
  <c r="P270" i="20"/>
  <c r="P271" i="20"/>
  <c r="O272" i="20"/>
  <c r="O273" i="20"/>
  <c r="P272" i="20"/>
  <c r="O274" i="20"/>
  <c r="P273" i="20"/>
  <c r="P274" i="20"/>
  <c r="O275" i="20"/>
  <c r="O276" i="20"/>
  <c r="P275" i="20"/>
  <c r="O277" i="20"/>
  <c r="P276" i="20"/>
  <c r="O278" i="20"/>
  <c r="P277" i="20"/>
  <c r="O279" i="20"/>
  <c r="P278" i="20"/>
  <c r="O280" i="20"/>
  <c r="P279" i="20"/>
  <c r="O281" i="20"/>
  <c r="P280" i="20"/>
  <c r="O282" i="20"/>
  <c r="P281" i="20"/>
  <c r="P282" i="20"/>
  <c r="O283" i="20"/>
  <c r="O284" i="20"/>
  <c r="P283" i="20"/>
  <c r="P284" i="20"/>
  <c r="O285" i="20"/>
  <c r="P285" i="20"/>
  <c r="O286" i="20"/>
  <c r="O287" i="20"/>
  <c r="P286" i="20"/>
  <c r="P287" i="20"/>
  <c r="O288" i="20"/>
  <c r="O289" i="20"/>
  <c r="P288" i="20"/>
  <c r="P289" i="20"/>
  <c r="O290" i="20"/>
  <c r="O291" i="20"/>
  <c r="P290" i="20"/>
  <c r="P291" i="20"/>
  <c r="O292" i="20"/>
  <c r="O293" i="20"/>
  <c r="P292" i="20"/>
  <c r="P293" i="20"/>
  <c r="O294" i="20"/>
  <c r="O295" i="20"/>
  <c r="P294" i="20"/>
  <c r="P295" i="20"/>
  <c r="O296" i="20"/>
  <c r="O297" i="20"/>
  <c r="P296" i="20"/>
  <c r="P297" i="20"/>
  <c r="O298" i="20"/>
  <c r="P298" i="20"/>
  <c r="O299" i="20"/>
  <c r="O300" i="20"/>
  <c r="P299" i="20"/>
  <c r="O301" i="20"/>
  <c r="P300" i="20"/>
  <c r="P301" i="20"/>
  <c r="O302" i="20"/>
  <c r="P302" i="20"/>
  <c r="O303" i="20"/>
  <c r="O304" i="20"/>
  <c r="P303" i="20"/>
  <c r="P304" i="20"/>
  <c r="O305" i="20"/>
  <c r="O306" i="20"/>
  <c r="P305" i="20"/>
  <c r="P306" i="20"/>
  <c r="O307" i="20"/>
  <c r="P307" i="20"/>
  <c r="O308" i="20"/>
  <c r="O309" i="20"/>
  <c r="P308" i="20"/>
  <c r="P309" i="20"/>
  <c r="O310" i="20"/>
  <c r="P310" i="20"/>
  <c r="O311" i="20"/>
  <c r="O312" i="20"/>
  <c r="P311" i="20"/>
  <c r="P312" i="20"/>
  <c r="O313" i="20"/>
  <c r="P313" i="20"/>
  <c r="O314" i="20"/>
  <c r="P314" i="20"/>
  <c r="O315" i="20"/>
  <c r="P315" i="20"/>
  <c r="O316" i="20"/>
  <c r="P316" i="20"/>
  <c r="O317" i="20"/>
  <c r="O318" i="20"/>
  <c r="P317" i="20"/>
  <c r="P318" i="20"/>
  <c r="O319" i="20"/>
  <c r="P319" i="20"/>
  <c r="O320" i="20"/>
  <c r="O321" i="20"/>
  <c r="P320" i="20"/>
  <c r="O322" i="20"/>
  <c r="P321" i="20"/>
  <c r="O323" i="20"/>
  <c r="P322" i="20"/>
  <c r="P323" i="20"/>
  <c r="O324" i="20"/>
  <c r="P324" i="20"/>
  <c r="O325" i="20"/>
  <c r="O326" i="20"/>
  <c r="P325" i="20"/>
  <c r="O327" i="20"/>
  <c r="P326" i="20"/>
  <c r="O328" i="20"/>
  <c r="P327" i="20"/>
  <c r="P328" i="20"/>
  <c r="O329" i="20"/>
  <c r="P329" i="20"/>
  <c r="O330" i="20"/>
  <c r="P330" i="20"/>
  <c r="O331" i="20"/>
  <c r="P331" i="20"/>
  <c r="O332" i="20"/>
  <c r="O333" i="20"/>
  <c r="P332" i="20"/>
  <c r="O334" i="20"/>
  <c r="P333" i="20"/>
  <c r="O335" i="20"/>
  <c r="P334" i="20"/>
  <c r="P335" i="20"/>
  <c r="O336" i="20"/>
  <c r="O337" i="20"/>
  <c r="P336" i="20"/>
  <c r="P337" i="20"/>
  <c r="O338" i="20"/>
  <c r="O339" i="20"/>
  <c r="P338" i="20"/>
  <c r="P339" i="20"/>
  <c r="O340" i="20"/>
  <c r="P340" i="20"/>
  <c r="O341" i="20"/>
  <c r="O342" i="20"/>
  <c r="P341" i="20"/>
  <c r="P342" i="20"/>
  <c r="O343" i="20"/>
  <c r="P343" i="20"/>
  <c r="O344" i="20"/>
  <c r="O345" i="20"/>
  <c r="P344" i="20"/>
  <c r="O346" i="20"/>
  <c r="P345" i="20"/>
  <c r="O347" i="20"/>
  <c r="P346" i="20"/>
  <c r="O348" i="20"/>
  <c r="P347" i="20"/>
  <c r="O349" i="20"/>
  <c r="P348" i="20"/>
  <c r="O350" i="20"/>
  <c r="P349" i="20"/>
  <c r="O351" i="20"/>
  <c r="P350" i="20"/>
  <c r="P351" i="20"/>
  <c r="O352" i="20"/>
  <c r="P352" i="20"/>
  <c r="O353" i="20"/>
  <c r="O354" i="20"/>
  <c r="P353" i="20"/>
  <c r="O355" i="20"/>
  <c r="P354" i="20"/>
  <c r="O356" i="20"/>
  <c r="P355" i="20"/>
  <c r="O357" i="20"/>
  <c r="P356" i="20"/>
  <c r="P357" i="20"/>
  <c r="O358" i="20"/>
  <c r="O359" i="20"/>
  <c r="P358" i="20"/>
  <c r="P359" i="20"/>
  <c r="O360" i="20"/>
  <c r="O361" i="20"/>
  <c r="P360" i="20"/>
  <c r="O362" i="20"/>
  <c r="P361" i="20"/>
  <c r="O363" i="20"/>
  <c r="P362" i="20"/>
  <c r="O364" i="20"/>
  <c r="P363" i="20"/>
  <c r="P364" i="20"/>
  <c r="O365" i="20"/>
  <c r="P365" i="20"/>
  <c r="O366" i="20"/>
  <c r="P366" i="20"/>
  <c r="O367" i="20"/>
  <c r="O368" i="20"/>
  <c r="P367" i="20"/>
  <c r="O369" i="20"/>
  <c r="P368" i="20"/>
  <c r="P369" i="20"/>
  <c r="O370" i="20"/>
  <c r="O371" i="20"/>
  <c r="P370" i="20"/>
  <c r="P371" i="20"/>
  <c r="O372" i="20"/>
  <c r="P372" i="20"/>
  <c r="O373" i="20"/>
  <c r="P373" i="20"/>
  <c r="O374" i="20"/>
  <c r="P374" i="20"/>
  <c r="O375" i="20"/>
  <c r="P375" i="20"/>
  <c r="O376" i="20"/>
  <c r="P376" i="20"/>
  <c r="O377" i="20"/>
  <c r="P377" i="20"/>
  <c r="O378" i="20"/>
  <c r="P378" i="20"/>
  <c r="O379" i="20"/>
  <c r="P379" i="20"/>
  <c r="O380" i="20"/>
  <c r="O381" i="20"/>
  <c r="P380" i="20"/>
  <c r="O382" i="20"/>
  <c r="P381" i="20"/>
  <c r="P382" i="20"/>
  <c r="O383" i="20"/>
  <c r="P383" i="20"/>
  <c r="O384" i="20"/>
  <c r="O385" i="20"/>
  <c r="P384" i="20"/>
  <c r="P385" i="20"/>
  <c r="O386" i="20"/>
  <c r="O387" i="20"/>
  <c r="P386" i="20"/>
  <c r="O388" i="20"/>
  <c r="P387" i="20"/>
  <c r="P388" i="20"/>
  <c r="O389" i="20"/>
  <c r="O390" i="20"/>
  <c r="P389" i="20"/>
  <c r="O391" i="20"/>
  <c r="P390" i="20"/>
  <c r="P391" i="20"/>
  <c r="O392" i="20"/>
  <c r="P392" i="20"/>
  <c r="O393" i="20"/>
  <c r="P393" i="20"/>
  <c r="O394" i="20"/>
  <c r="O395" i="20"/>
  <c r="P394" i="20"/>
  <c r="P395" i="20"/>
  <c r="O396" i="20"/>
  <c r="P396" i="20"/>
  <c r="O397" i="20"/>
  <c r="P397" i="20"/>
  <c r="O398" i="20"/>
  <c r="O399" i="20"/>
  <c r="P398" i="20"/>
  <c r="O400" i="20"/>
  <c r="P399" i="20"/>
  <c r="O401" i="20"/>
  <c r="P400" i="20"/>
  <c r="P401" i="20"/>
  <c r="O402" i="20"/>
  <c r="O403" i="20"/>
  <c r="P402" i="20"/>
  <c r="P403" i="20"/>
  <c r="O404" i="20"/>
  <c r="O405" i="20"/>
  <c r="P404" i="20"/>
  <c r="P405" i="20"/>
  <c r="O406" i="20"/>
  <c r="O407" i="20"/>
  <c r="P406" i="20"/>
  <c r="O408" i="20"/>
  <c r="P407" i="20"/>
  <c r="O409" i="20"/>
  <c r="P408" i="20"/>
  <c r="O410" i="20"/>
  <c r="P409" i="20"/>
  <c r="O411" i="20"/>
  <c r="P410" i="20"/>
  <c r="P411" i="20"/>
  <c r="O412" i="20"/>
  <c r="O413" i="20"/>
  <c r="P412" i="20"/>
  <c r="O414" i="20"/>
  <c r="P413" i="20"/>
  <c r="O415" i="20"/>
  <c r="P414" i="20"/>
  <c r="P415" i="20"/>
  <c r="O416" i="20"/>
  <c r="P416" i="20"/>
  <c r="O417" i="20"/>
  <c r="O418" i="20"/>
  <c r="P417" i="20"/>
  <c r="O419" i="20"/>
  <c r="P418" i="20"/>
  <c r="P419" i="20"/>
  <c r="O420" i="20"/>
  <c r="P420" i="20"/>
  <c r="O421" i="20"/>
  <c r="O422" i="20"/>
  <c r="P421" i="20"/>
  <c r="O423" i="20"/>
  <c r="P422" i="20"/>
  <c r="O424" i="20"/>
  <c r="P423" i="20"/>
  <c r="O425" i="20"/>
  <c r="P424" i="20"/>
  <c r="O426" i="20"/>
  <c r="P425" i="20"/>
  <c r="O427" i="20"/>
  <c r="P426" i="20"/>
  <c r="O428" i="20"/>
  <c r="P427" i="20"/>
  <c r="O429" i="20"/>
  <c r="P428" i="20"/>
  <c r="O430" i="20"/>
  <c r="P429" i="20"/>
  <c r="P430" i="20"/>
  <c r="O431" i="20"/>
  <c r="O432" i="20"/>
  <c r="P431" i="20"/>
  <c r="P432" i="20"/>
  <c r="O433" i="20"/>
  <c r="P433" i="20"/>
  <c r="O434" i="20"/>
  <c r="O435" i="20"/>
  <c r="P434" i="20"/>
  <c r="P435" i="20"/>
  <c r="O436" i="20"/>
  <c r="P436" i="20"/>
  <c r="O437" i="20"/>
  <c r="O438" i="20"/>
  <c r="P437" i="20"/>
  <c r="O439" i="20"/>
  <c r="P438" i="20"/>
  <c r="O440" i="20"/>
  <c r="P439" i="20"/>
  <c r="O441" i="20"/>
  <c r="P440" i="20"/>
  <c r="P441" i="20"/>
  <c r="O442" i="20"/>
  <c r="P442" i="20"/>
  <c r="O443" i="20"/>
  <c r="P443" i="20"/>
  <c r="O444" i="20"/>
  <c r="O445" i="20"/>
  <c r="P444" i="20"/>
  <c r="P445" i="20"/>
  <c r="O446" i="20"/>
  <c r="O447" i="20"/>
  <c r="P446" i="20"/>
  <c r="P447" i="20"/>
  <c r="O448" i="20"/>
  <c r="P448" i="20"/>
  <c r="O449" i="20"/>
  <c r="P449" i="20"/>
  <c r="O450" i="20"/>
  <c r="P450" i="20"/>
  <c r="O451" i="20"/>
  <c r="P451" i="20"/>
  <c r="O452" i="20"/>
  <c r="P452" i="20"/>
  <c r="O453" i="20"/>
  <c r="P453" i="20"/>
  <c r="O454" i="20"/>
  <c r="O455" i="20"/>
  <c r="P454" i="20"/>
  <c r="O456" i="20"/>
  <c r="P455" i="20"/>
  <c r="P456" i="20"/>
  <c r="O457" i="20"/>
  <c r="O458" i="20"/>
  <c r="P457" i="20"/>
  <c r="P458" i="20"/>
  <c r="O459" i="20"/>
  <c r="P459" i="20"/>
  <c r="O460" i="20"/>
  <c r="P460" i="20"/>
  <c r="O461" i="20"/>
  <c r="O462" i="20"/>
  <c r="P461" i="20"/>
  <c r="P462" i="20"/>
  <c r="O463" i="20"/>
  <c r="P463" i="20"/>
  <c r="O464" i="20"/>
  <c r="O465" i="20"/>
  <c r="P464" i="20"/>
  <c r="P465" i="20"/>
  <c r="O466" i="20"/>
  <c r="P466" i="20"/>
  <c r="O467" i="20"/>
  <c r="O468" i="20"/>
  <c r="P467" i="20"/>
  <c r="O469" i="20"/>
  <c r="P468" i="20"/>
  <c r="P469" i="20"/>
  <c r="O470" i="20"/>
  <c r="P470" i="20"/>
  <c r="O471" i="20"/>
  <c r="P471" i="20"/>
  <c r="O472" i="20"/>
  <c r="P472" i="20"/>
  <c r="O473" i="20"/>
  <c r="P473" i="20"/>
  <c r="O474" i="20"/>
  <c r="P474" i="20"/>
  <c r="O475" i="20"/>
  <c r="P475" i="20"/>
  <c r="O476" i="20"/>
  <c r="P476" i="20"/>
  <c r="O477" i="20"/>
  <c r="P477" i="20"/>
  <c r="O478" i="20"/>
  <c r="P478" i="20"/>
  <c r="O479" i="20"/>
  <c r="P479" i="20"/>
  <c r="O480" i="20"/>
  <c r="P480" i="20"/>
  <c r="O481" i="20"/>
  <c r="P481" i="20"/>
  <c r="O482" i="20"/>
  <c r="O483" i="20"/>
  <c r="P482" i="20"/>
  <c r="O484" i="20"/>
  <c r="P483" i="20"/>
  <c r="P484" i="20"/>
  <c r="O485" i="20"/>
  <c r="O486" i="20"/>
  <c r="P485" i="20"/>
  <c r="O487" i="20"/>
  <c r="P486" i="20"/>
  <c r="O488" i="20"/>
  <c r="P487" i="20"/>
  <c r="P488" i="20"/>
  <c r="O489" i="20"/>
  <c r="O490" i="20"/>
  <c r="P489" i="20"/>
  <c r="O491" i="20"/>
  <c r="P490" i="20"/>
  <c r="P491" i="20"/>
  <c r="O492" i="20"/>
  <c r="P492" i="20"/>
  <c r="O493" i="20"/>
  <c r="O494" i="20"/>
  <c r="P493" i="20"/>
  <c r="O495" i="20"/>
  <c r="P494" i="20"/>
  <c r="P495" i="20"/>
  <c r="O496" i="20"/>
  <c r="P496" i="20"/>
  <c r="O497" i="20"/>
  <c r="O498" i="20"/>
  <c r="P497" i="20"/>
  <c r="P498" i="20"/>
  <c r="O499" i="20"/>
  <c r="P499" i="20"/>
  <c r="O500" i="20"/>
  <c r="O501" i="20"/>
  <c r="P500" i="20"/>
  <c r="P501" i="20"/>
  <c r="O502" i="20"/>
  <c r="O503" i="20"/>
  <c r="P502" i="20"/>
  <c r="P503" i="20"/>
  <c r="O504" i="20"/>
  <c r="P504" i="20"/>
  <c r="O505" i="20"/>
  <c r="O506" i="20"/>
  <c r="P505" i="20"/>
  <c r="P506" i="20"/>
  <c r="O507" i="20"/>
  <c r="P507" i="20"/>
  <c r="O508" i="20"/>
  <c r="P508" i="20"/>
  <c r="O509" i="20"/>
  <c r="P509" i="20"/>
  <c r="O510" i="20"/>
  <c r="P510" i="20"/>
  <c r="O511" i="20"/>
  <c r="O512" i="20"/>
  <c r="P511" i="20"/>
  <c r="O513" i="20"/>
  <c r="P512" i="20"/>
  <c r="P513" i="20"/>
  <c r="O514" i="20"/>
  <c r="P514" i="20"/>
  <c r="O515" i="20"/>
  <c r="P515" i="20"/>
  <c r="O516" i="20"/>
  <c r="P516" i="20"/>
  <c r="O517" i="20"/>
  <c r="O518" i="20"/>
  <c r="P517" i="20"/>
  <c r="P518" i="20"/>
  <c r="O519" i="20"/>
  <c r="O520" i="20"/>
  <c r="P519" i="20"/>
  <c r="P520" i="20"/>
  <c r="O521" i="20"/>
  <c r="O522" i="20"/>
  <c r="P521" i="20"/>
  <c r="O523" i="20"/>
  <c r="P522" i="20"/>
  <c r="O524" i="20"/>
  <c r="P523" i="20"/>
  <c r="P524" i="20"/>
  <c r="O525" i="20"/>
  <c r="P525" i="20"/>
  <c r="O526" i="20"/>
  <c r="P526" i="20"/>
  <c r="O527" i="20"/>
  <c r="P527" i="20"/>
  <c r="O528" i="20"/>
  <c r="O529" i="20"/>
  <c r="P528" i="20"/>
  <c r="P529" i="20"/>
  <c r="O530" i="20"/>
  <c r="O531" i="20"/>
  <c r="P530" i="20"/>
  <c r="O532" i="20"/>
  <c r="P531" i="20"/>
  <c r="O533" i="20"/>
  <c r="P532" i="20"/>
  <c r="O534" i="20"/>
  <c r="P533" i="20"/>
  <c r="O535" i="20"/>
  <c r="P534" i="20"/>
  <c r="O536" i="20"/>
  <c r="P535" i="20"/>
  <c r="P536" i="20"/>
  <c r="O537" i="20"/>
  <c r="P537" i="20"/>
  <c r="O538" i="20"/>
  <c r="O539" i="20"/>
  <c r="P538" i="20"/>
  <c r="P539" i="20"/>
  <c r="O540" i="20"/>
  <c r="O541" i="20"/>
  <c r="P540" i="20"/>
  <c r="P541" i="20"/>
  <c r="O542" i="20"/>
  <c r="P542" i="20"/>
  <c r="O543" i="20"/>
  <c r="O544" i="20"/>
  <c r="P543" i="20"/>
  <c r="P544" i="20"/>
  <c r="O545" i="20"/>
  <c r="O546" i="20"/>
  <c r="P545" i="20"/>
  <c r="P546" i="20"/>
  <c r="O547" i="20"/>
  <c r="P547" i="20"/>
  <c r="O548" i="20"/>
  <c r="O549" i="20"/>
  <c r="P548" i="20"/>
  <c r="P549" i="20"/>
  <c r="O550" i="20"/>
  <c r="P550" i="20"/>
  <c r="O551" i="20"/>
  <c r="P551" i="20"/>
  <c r="O552" i="20"/>
  <c r="O553" i="20"/>
  <c r="P552" i="20"/>
  <c r="P553" i="20"/>
  <c r="O554" i="20"/>
  <c r="O555" i="20"/>
  <c r="P554" i="20"/>
  <c r="P555" i="20"/>
  <c r="O556" i="20"/>
  <c r="O557" i="20"/>
  <c r="P556" i="20"/>
  <c r="O558" i="20"/>
  <c r="P557" i="20"/>
  <c r="O559" i="20"/>
  <c r="P558" i="20"/>
  <c r="P559" i="20"/>
  <c r="O560" i="20"/>
  <c r="O561" i="20"/>
  <c r="P560" i="20"/>
  <c r="O562" i="20"/>
  <c r="P561" i="20"/>
  <c r="O563" i="20"/>
  <c r="P562" i="20"/>
  <c r="O564" i="20"/>
  <c r="P563" i="20"/>
  <c r="O565" i="20"/>
  <c r="P564" i="20"/>
  <c r="P565" i="20"/>
  <c r="O566" i="20"/>
  <c r="P566" i="20"/>
  <c r="O567" i="20"/>
  <c r="O568" i="20"/>
  <c r="P567" i="20"/>
  <c r="O569" i="20"/>
  <c r="P568" i="20"/>
  <c r="P569" i="20"/>
  <c r="O570" i="20"/>
  <c r="P570" i="20"/>
  <c r="O571" i="20"/>
  <c r="P571" i="20"/>
  <c r="O572" i="20"/>
  <c r="O573" i="20"/>
  <c r="P572" i="20"/>
  <c r="O574" i="20"/>
  <c r="P573" i="20"/>
  <c r="O575" i="20"/>
  <c r="P574" i="20"/>
  <c r="O576" i="20"/>
  <c r="P575" i="20"/>
  <c r="P576" i="20"/>
  <c r="O577" i="20"/>
  <c r="O578" i="20"/>
  <c r="P577" i="20"/>
  <c r="O579" i="20"/>
  <c r="P578" i="20"/>
  <c r="P579" i="20"/>
  <c r="O580" i="20"/>
  <c r="O581" i="20"/>
  <c r="P580" i="20"/>
  <c r="P581" i="20"/>
  <c r="O582" i="20"/>
  <c r="P582" i="20"/>
  <c r="O583" i="20"/>
  <c r="P583" i="20"/>
  <c r="O584" i="20"/>
  <c r="O585" i="20"/>
  <c r="P584" i="20"/>
  <c r="P585" i="20"/>
  <c r="O586" i="20"/>
  <c r="P586" i="20"/>
  <c r="O587" i="20"/>
  <c r="O588" i="20"/>
  <c r="P587" i="20"/>
  <c r="O589" i="20"/>
  <c r="P588" i="20"/>
  <c r="O590" i="20"/>
  <c r="P589" i="20"/>
  <c r="O591" i="20"/>
  <c r="P590" i="20"/>
  <c r="O592" i="20"/>
  <c r="P591" i="20"/>
  <c r="P592" i="20"/>
  <c r="O593" i="20"/>
  <c r="O594" i="20"/>
  <c r="P593" i="20"/>
  <c r="P594" i="20"/>
  <c r="O595" i="20"/>
  <c r="P595" i="20"/>
  <c r="O596" i="20"/>
  <c r="P596" i="20"/>
  <c r="O597" i="20"/>
  <c r="O598" i="20"/>
  <c r="P597" i="20"/>
  <c r="O599" i="20"/>
  <c r="P598" i="20"/>
  <c r="P599" i="20"/>
  <c r="O600" i="20"/>
  <c r="P600" i="20"/>
  <c r="O601" i="20"/>
  <c r="O602" i="20"/>
  <c r="P601" i="20"/>
  <c r="O603" i="20"/>
  <c r="P602" i="20"/>
  <c r="O604" i="20"/>
  <c r="P603" i="20"/>
  <c r="O605" i="20"/>
  <c r="P604" i="20"/>
  <c r="P605" i="20"/>
  <c r="O606" i="20"/>
  <c r="O607" i="20"/>
  <c r="P606" i="20"/>
  <c r="O608" i="20"/>
  <c r="P607" i="20"/>
  <c r="O609" i="20"/>
  <c r="P608" i="20"/>
  <c r="P609" i="20"/>
  <c r="O610" i="20"/>
  <c r="O611" i="20"/>
  <c r="P610" i="20"/>
  <c r="P611" i="20"/>
  <c r="O612" i="20"/>
  <c r="O613" i="20"/>
  <c r="P612" i="20"/>
  <c r="O614" i="20"/>
  <c r="P613" i="20"/>
  <c r="P614" i="20"/>
  <c r="O615" i="20"/>
  <c r="O616" i="20"/>
  <c r="P615" i="20"/>
  <c r="P616" i="20"/>
  <c r="O617" i="20"/>
  <c r="O618" i="20"/>
  <c r="P617" i="20"/>
  <c r="O619" i="20"/>
  <c r="P618" i="20"/>
  <c r="P619" i="20"/>
  <c r="O620" i="20"/>
  <c r="O621" i="20"/>
  <c r="P620" i="20"/>
  <c r="O622" i="20"/>
  <c r="P621" i="20"/>
  <c r="O623" i="20"/>
  <c r="P622" i="20"/>
  <c r="P623" i="20"/>
  <c r="O624" i="20"/>
  <c r="O625" i="20"/>
  <c r="P624" i="20"/>
  <c r="O626" i="20"/>
  <c r="P625" i="20"/>
  <c r="P626" i="20"/>
  <c r="O627" i="20"/>
  <c r="P627" i="20"/>
  <c r="O628" i="20"/>
  <c r="O629" i="20"/>
  <c r="P628" i="20"/>
  <c r="O630" i="20"/>
  <c r="P629" i="20"/>
  <c r="P630" i="20"/>
  <c r="O631" i="20"/>
  <c r="P631" i="20"/>
  <c r="O632" i="20"/>
  <c r="P632" i="20"/>
  <c r="O633" i="20"/>
  <c r="P633" i="20"/>
  <c r="O634" i="20"/>
  <c r="O635" i="20"/>
  <c r="P634" i="20"/>
  <c r="O636" i="20"/>
  <c r="P635" i="20"/>
  <c r="P636" i="20"/>
  <c r="O637" i="20"/>
  <c r="O638" i="20"/>
  <c r="P637" i="20"/>
  <c r="P638" i="20"/>
  <c r="O639" i="20"/>
  <c r="O640" i="20"/>
  <c r="P639" i="20"/>
  <c r="P640" i="20"/>
  <c r="O641" i="20"/>
  <c r="O642" i="20"/>
  <c r="P641" i="20"/>
  <c r="O643" i="20"/>
  <c r="P642" i="20"/>
  <c r="O644" i="20"/>
  <c r="P643" i="20"/>
  <c r="P644" i="20"/>
  <c r="O645" i="20"/>
  <c r="P645" i="20"/>
  <c r="O646" i="20"/>
  <c r="P646" i="20"/>
  <c r="O647" i="20"/>
  <c r="P647" i="20"/>
  <c r="O648" i="20"/>
  <c r="O649" i="20"/>
  <c r="P648" i="20"/>
  <c r="O650" i="20"/>
  <c r="P649" i="20"/>
  <c r="O651" i="20"/>
  <c r="P650" i="20"/>
  <c r="O652" i="20"/>
  <c r="P651" i="20"/>
  <c r="O653" i="20"/>
  <c r="P652" i="20"/>
  <c r="P653" i="20"/>
  <c r="O654" i="20"/>
  <c r="P654" i="20"/>
  <c r="O655" i="20"/>
  <c r="P655" i="20"/>
  <c r="O656" i="20"/>
  <c r="P656" i="20"/>
  <c r="O657" i="20"/>
  <c r="O658" i="20"/>
  <c r="P657" i="20"/>
  <c r="P658" i="20"/>
  <c r="O659" i="20"/>
  <c r="P659" i="20"/>
  <c r="O660" i="20"/>
  <c r="P660" i="20"/>
  <c r="O661" i="20"/>
  <c r="P661" i="20"/>
  <c r="O662" i="20"/>
  <c r="O663" i="20"/>
  <c r="P662" i="20"/>
  <c r="P663" i="20"/>
  <c r="O664" i="20"/>
  <c r="O665" i="20"/>
  <c r="P664" i="20"/>
  <c r="O666" i="20"/>
  <c r="P665" i="20"/>
  <c r="P666" i="20"/>
  <c r="O667" i="20"/>
  <c r="P667" i="20"/>
  <c r="O668" i="20"/>
  <c r="O669" i="20"/>
  <c r="P668" i="20"/>
  <c r="P669" i="20"/>
  <c r="O670" i="20"/>
  <c r="P670" i="20"/>
  <c r="O671" i="20"/>
  <c r="P671" i="20"/>
  <c r="O672" i="20"/>
  <c r="P672" i="20"/>
  <c r="O673" i="20"/>
  <c r="P673" i="20"/>
  <c r="O674" i="20"/>
  <c r="O675" i="20"/>
  <c r="P674" i="20"/>
  <c r="P675" i="20"/>
  <c r="O676" i="20"/>
  <c r="O677" i="20"/>
  <c r="P676" i="20"/>
  <c r="O678" i="20"/>
  <c r="P677" i="20"/>
  <c r="O679" i="20"/>
  <c r="P678" i="20"/>
  <c r="O680" i="20"/>
  <c r="P679" i="20"/>
  <c r="O681" i="20"/>
  <c r="P680" i="20"/>
  <c r="O682" i="20"/>
  <c r="P681" i="20"/>
  <c r="P682" i="20"/>
  <c r="O683" i="20"/>
  <c r="P683" i="20"/>
  <c r="O684" i="20"/>
  <c r="O685" i="20"/>
  <c r="P684" i="20"/>
  <c r="P685" i="20"/>
  <c r="O686" i="20"/>
  <c r="P686" i="20"/>
  <c r="O687" i="20"/>
  <c r="P687" i="20"/>
  <c r="O688" i="20"/>
  <c r="P688" i="20"/>
  <c r="O689" i="20"/>
  <c r="P689" i="20"/>
  <c r="O690" i="20"/>
  <c r="O691" i="20"/>
  <c r="P690" i="20"/>
  <c r="O692" i="20"/>
  <c r="P691" i="20"/>
  <c r="P692" i="20"/>
  <c r="O693" i="20"/>
  <c r="P693" i="20"/>
  <c r="O694" i="20"/>
  <c r="P694" i="20"/>
  <c r="O695" i="20"/>
  <c r="O696" i="20"/>
  <c r="P695" i="20"/>
  <c r="P696" i="20"/>
  <c r="O697" i="20"/>
  <c r="O698" i="20"/>
  <c r="P697" i="20"/>
  <c r="O699" i="20"/>
  <c r="P698" i="20"/>
  <c r="O700" i="20"/>
  <c r="P699" i="20"/>
  <c r="P700" i="20"/>
  <c r="O701" i="20"/>
  <c r="O702" i="20"/>
  <c r="P701" i="20"/>
  <c r="O703" i="20"/>
  <c r="P702" i="20"/>
  <c r="O704" i="20"/>
  <c r="P703" i="20"/>
  <c r="O705" i="20"/>
  <c r="P704" i="20"/>
  <c r="O706" i="20"/>
  <c r="P705" i="20"/>
  <c r="P706" i="20"/>
  <c r="O707" i="20"/>
  <c r="O708" i="20"/>
  <c r="P707" i="20"/>
  <c r="O709" i="20"/>
  <c r="P708" i="20"/>
  <c r="O710" i="20"/>
  <c r="P709" i="20"/>
  <c r="O711" i="20"/>
  <c r="P710" i="20"/>
  <c r="P711" i="20"/>
  <c r="O712" i="20"/>
  <c r="P712" i="20"/>
  <c r="O713" i="20"/>
  <c r="O714" i="20"/>
  <c r="P713" i="20"/>
  <c r="O715" i="20"/>
  <c r="P714" i="20"/>
  <c r="O716" i="20"/>
  <c r="P715" i="20"/>
  <c r="O717" i="20"/>
  <c r="P716" i="20"/>
  <c r="O718" i="20"/>
  <c r="P717" i="20"/>
  <c r="O719" i="20"/>
  <c r="P718" i="20"/>
  <c r="O720" i="20"/>
  <c r="P719" i="20"/>
  <c r="P720" i="20"/>
  <c r="O721" i="20"/>
  <c r="P721" i="20"/>
  <c r="O722" i="20"/>
  <c r="P722" i="20"/>
  <c r="O723" i="20"/>
  <c r="P723" i="20"/>
  <c r="O724" i="20"/>
  <c r="P724" i="20"/>
  <c r="O725" i="20"/>
  <c r="O726" i="20"/>
  <c r="P725" i="20"/>
  <c r="O727" i="20"/>
  <c r="P726" i="20"/>
  <c r="P727" i="20"/>
  <c r="O728" i="20"/>
  <c r="O729" i="20"/>
  <c r="P728" i="20"/>
  <c r="P729" i="20"/>
  <c r="O730" i="20"/>
  <c r="O731" i="20"/>
  <c r="P730" i="20"/>
  <c r="P731" i="20"/>
  <c r="O732" i="20"/>
  <c r="P732" i="20"/>
  <c r="O733" i="20"/>
  <c r="P733" i="20"/>
  <c r="O734" i="20"/>
  <c r="O735" i="20"/>
  <c r="P734" i="20"/>
  <c r="P735" i="20"/>
  <c r="O736" i="20"/>
  <c r="O737" i="20"/>
  <c r="P736" i="20"/>
  <c r="P737" i="20"/>
  <c r="O738" i="20"/>
  <c r="P738" i="20"/>
  <c r="O739" i="20"/>
  <c r="P739" i="20"/>
  <c r="O740" i="20"/>
  <c r="P740" i="20"/>
  <c r="O741" i="20"/>
  <c r="P741" i="20"/>
  <c r="O742" i="20"/>
  <c r="O743" i="20"/>
  <c r="P742" i="20"/>
  <c r="P743" i="20"/>
  <c r="O744" i="20"/>
  <c r="O745" i="20"/>
  <c r="P744" i="20"/>
  <c r="P745" i="20"/>
  <c r="O746" i="20"/>
  <c r="P746" i="20"/>
  <c r="O747" i="20"/>
  <c r="P747" i="20"/>
  <c r="O748" i="20"/>
  <c r="O749" i="20"/>
  <c r="P748" i="20"/>
  <c r="P749" i="20"/>
  <c r="O750" i="20"/>
  <c r="O751" i="20"/>
  <c r="P750" i="20"/>
  <c r="O752" i="20"/>
  <c r="P751" i="20"/>
  <c r="O753" i="20"/>
  <c r="P752" i="20"/>
  <c r="O754" i="20"/>
  <c r="P753" i="20"/>
  <c r="O755" i="20"/>
  <c r="P754" i="20"/>
  <c r="O756" i="20"/>
  <c r="P755" i="20"/>
  <c r="O757" i="20"/>
  <c r="P756" i="20"/>
  <c r="O758" i="20"/>
  <c r="P757" i="20"/>
  <c r="P758" i="20"/>
  <c r="O759" i="20"/>
  <c r="O760" i="20"/>
  <c r="P759" i="20"/>
  <c r="O761" i="20"/>
  <c r="P760" i="20"/>
  <c r="O762" i="20"/>
  <c r="P761" i="20"/>
  <c r="O763" i="20"/>
  <c r="P762" i="20"/>
  <c r="P763" i="20"/>
  <c r="O764" i="20"/>
  <c r="P764" i="20"/>
  <c r="O765" i="20"/>
  <c r="P765" i="20"/>
  <c r="O766" i="20"/>
  <c r="P766" i="20"/>
  <c r="O767" i="20"/>
  <c r="P767" i="20"/>
  <c r="O768" i="20"/>
  <c r="O769" i="20"/>
  <c r="P768" i="20"/>
  <c r="O770" i="20"/>
  <c r="P769" i="20"/>
  <c r="O771" i="20"/>
  <c r="P770" i="20"/>
  <c r="P771" i="20"/>
  <c r="O772" i="20"/>
  <c r="P772" i="20"/>
  <c r="O773" i="20"/>
  <c r="P773" i="20"/>
  <c r="O774" i="20"/>
  <c r="O775" i="20"/>
  <c r="P774" i="20"/>
  <c r="P775" i="20"/>
  <c r="O776" i="20"/>
  <c r="P776" i="20"/>
  <c r="O777" i="20"/>
  <c r="O778" i="20"/>
  <c r="P777" i="20"/>
  <c r="O779" i="20"/>
  <c r="P778" i="20"/>
  <c r="P779" i="20"/>
  <c r="O780" i="20"/>
  <c r="O781" i="20"/>
  <c r="P780" i="20"/>
  <c r="O782" i="20"/>
  <c r="P781" i="20"/>
  <c r="O783" i="20"/>
  <c r="P782" i="20"/>
  <c r="O784" i="20"/>
  <c r="P783" i="20"/>
  <c r="P784" i="20"/>
  <c r="O785" i="20"/>
  <c r="P785" i="20"/>
  <c r="O786" i="20"/>
  <c r="O787" i="20"/>
  <c r="P786" i="20"/>
  <c r="O788" i="20"/>
  <c r="P787" i="20"/>
  <c r="O789" i="20"/>
  <c r="P788" i="20"/>
  <c r="P789" i="20"/>
  <c r="O790" i="20"/>
  <c r="O791" i="20"/>
  <c r="P790" i="20"/>
  <c r="O792" i="20"/>
  <c r="P791" i="20"/>
  <c r="P792" i="20"/>
  <c r="O793" i="20"/>
  <c r="O794" i="20"/>
  <c r="P793" i="20"/>
  <c r="O795" i="20"/>
  <c r="P794" i="20"/>
  <c r="P795" i="20"/>
  <c r="O796" i="20"/>
  <c r="O797" i="20"/>
  <c r="P796" i="20"/>
  <c r="O798" i="20"/>
  <c r="P797" i="20"/>
  <c r="O799" i="20"/>
  <c r="P798" i="20"/>
  <c r="P799" i="20"/>
  <c r="O800" i="20"/>
  <c r="P800" i="20"/>
  <c r="O801" i="20"/>
  <c r="P801" i="20"/>
  <c r="O802" i="20"/>
  <c r="O803" i="20"/>
  <c r="P802" i="20"/>
  <c r="O804" i="20"/>
  <c r="P803" i="20"/>
  <c r="P804" i="20"/>
  <c r="O805" i="20"/>
  <c r="O806" i="20"/>
  <c r="P805" i="20"/>
  <c r="O807" i="20"/>
  <c r="P806" i="20"/>
  <c r="O808" i="20"/>
  <c r="P807" i="20"/>
  <c r="P808" i="20"/>
  <c r="O809" i="20"/>
  <c r="O810" i="20"/>
  <c r="P809" i="20"/>
  <c r="P810" i="20"/>
  <c r="O811" i="20"/>
  <c r="O812" i="20"/>
  <c r="P811" i="20"/>
  <c r="P812" i="20"/>
  <c r="O813" i="20"/>
  <c r="P813" i="20"/>
  <c r="O814" i="20"/>
  <c r="P814" i="20"/>
  <c r="O815" i="20"/>
  <c r="P815" i="20"/>
  <c r="O816" i="20"/>
  <c r="P816" i="20"/>
  <c r="O817" i="20"/>
  <c r="O818" i="20"/>
  <c r="P817" i="20"/>
  <c r="O819" i="20"/>
  <c r="P818" i="20"/>
  <c r="P819" i="20"/>
  <c r="O820" i="20"/>
  <c r="P820" i="20"/>
  <c r="O821" i="20"/>
  <c r="P821" i="20"/>
  <c r="O822" i="20"/>
  <c r="O823" i="20"/>
  <c r="P822" i="20"/>
  <c r="O824" i="20"/>
  <c r="P823" i="20"/>
  <c r="O825" i="20"/>
  <c r="P824" i="20"/>
  <c r="O826" i="20"/>
  <c r="P825" i="20"/>
  <c r="P826" i="20"/>
  <c r="O827" i="20"/>
  <c r="O828" i="20"/>
  <c r="P827" i="20"/>
  <c r="P828" i="20"/>
  <c r="O829" i="20"/>
  <c r="O830" i="20"/>
  <c r="P829" i="20"/>
  <c r="P830" i="20"/>
  <c r="O831" i="20"/>
  <c r="P831" i="20"/>
  <c r="O832" i="20"/>
  <c r="O833" i="20"/>
  <c r="P832" i="20"/>
  <c r="O834" i="20"/>
  <c r="P833" i="20"/>
  <c r="O835" i="20"/>
  <c r="P834" i="20"/>
  <c r="O836" i="20"/>
  <c r="P835" i="20"/>
  <c r="P836" i="20"/>
  <c r="O837" i="20"/>
  <c r="P837" i="20"/>
  <c r="O838" i="20"/>
  <c r="O839" i="20"/>
  <c r="P838" i="20"/>
  <c r="O840" i="20"/>
  <c r="P839" i="20"/>
  <c r="P840" i="20"/>
  <c r="O841" i="20"/>
  <c r="P841" i="20"/>
  <c r="O842" i="20"/>
  <c r="O843" i="20"/>
  <c r="P842" i="20"/>
  <c r="O844" i="20"/>
  <c r="P843" i="20"/>
  <c r="O845" i="20"/>
  <c r="P844" i="20"/>
  <c r="O846" i="20"/>
  <c r="P845" i="20"/>
  <c r="P846" i="20"/>
  <c r="O847" i="20"/>
  <c r="P847" i="20"/>
  <c r="O848" i="20"/>
  <c r="P848" i="20"/>
  <c r="O849" i="20"/>
  <c r="P849" i="20"/>
  <c r="O850" i="20"/>
  <c r="O851" i="20"/>
  <c r="P850" i="20"/>
  <c r="P851" i="20"/>
  <c r="O852" i="20"/>
  <c r="P852" i="20"/>
  <c r="O853" i="20"/>
  <c r="O854" i="20"/>
  <c r="P853" i="20"/>
  <c r="P854" i="20"/>
  <c r="O855" i="20"/>
  <c r="O856" i="20"/>
  <c r="P855" i="20"/>
  <c r="O857" i="20"/>
  <c r="P856" i="20"/>
  <c r="O858" i="20"/>
  <c r="P857" i="20"/>
  <c r="P858" i="20"/>
  <c r="O859" i="20"/>
  <c r="P859" i="20"/>
  <c r="O860" i="20"/>
  <c r="O861" i="20"/>
  <c r="P860" i="20"/>
  <c r="O862" i="20"/>
  <c r="P861" i="20"/>
  <c r="O863" i="20"/>
  <c r="P862" i="20"/>
  <c r="O864" i="20"/>
  <c r="P863" i="20"/>
  <c r="P864" i="20"/>
  <c r="O865" i="20"/>
  <c r="P865" i="20"/>
  <c r="O866" i="20"/>
  <c r="P866" i="20"/>
  <c r="O867" i="20"/>
  <c r="P867" i="20"/>
  <c r="O868" i="20"/>
  <c r="P868" i="20"/>
  <c r="O869" i="20"/>
  <c r="O870" i="20"/>
  <c r="P869" i="20"/>
  <c r="O871" i="20"/>
  <c r="P870" i="20"/>
  <c r="P871" i="20"/>
  <c r="O872" i="20"/>
  <c r="O873" i="20"/>
  <c r="P872" i="20"/>
  <c r="O874" i="20"/>
  <c r="P873" i="20"/>
  <c r="P874" i="20"/>
  <c r="O875" i="20"/>
  <c r="O876" i="20"/>
  <c r="P875" i="20"/>
  <c r="P876" i="20"/>
  <c r="O877" i="20"/>
  <c r="P877" i="20"/>
  <c r="O878" i="20"/>
  <c r="P878" i="20"/>
  <c r="O879" i="20"/>
  <c r="P879" i="20"/>
  <c r="O880" i="20"/>
  <c r="O881" i="20"/>
  <c r="P880" i="20"/>
  <c r="P881" i="20"/>
  <c r="O882" i="20"/>
  <c r="P882" i="20"/>
  <c r="O883" i="20"/>
  <c r="P883" i="20"/>
  <c r="O884" i="20"/>
  <c r="O885" i="20"/>
  <c r="P884" i="20"/>
  <c r="O886" i="20"/>
  <c r="P885" i="20"/>
  <c r="P886" i="20"/>
  <c r="O887" i="20"/>
  <c r="O888" i="20"/>
  <c r="P887" i="20"/>
  <c r="P888" i="20"/>
  <c r="O889" i="20"/>
  <c r="P889" i="20"/>
  <c r="O890" i="20"/>
  <c r="P890" i="20"/>
  <c r="O891" i="20"/>
  <c r="O892" i="20"/>
  <c r="P891" i="20"/>
  <c r="P892" i="20"/>
  <c r="O893" i="20"/>
  <c r="P893" i="20"/>
  <c r="O894" i="20"/>
  <c r="O895" i="20"/>
  <c r="P894" i="20"/>
  <c r="P895" i="20"/>
  <c r="O896" i="20"/>
  <c r="O897" i="20"/>
  <c r="P896" i="20"/>
  <c r="P897" i="20"/>
  <c r="O898" i="20"/>
  <c r="P898" i="20"/>
  <c r="O899" i="20"/>
  <c r="P899" i="20"/>
  <c r="O900" i="20"/>
  <c r="O901" i="20"/>
  <c r="P900" i="20"/>
  <c r="P901" i="20"/>
  <c r="O902" i="20"/>
  <c r="P902" i="20"/>
  <c r="O903" i="20"/>
  <c r="P903" i="20"/>
  <c r="O904" i="20"/>
  <c r="O905" i="20"/>
  <c r="P904" i="20"/>
  <c r="P905" i="20"/>
  <c r="O906" i="20"/>
  <c r="O907" i="20"/>
  <c r="P906" i="20"/>
  <c r="O908" i="20"/>
  <c r="P907" i="20"/>
  <c r="O909" i="20"/>
  <c r="P908" i="20"/>
  <c r="O910" i="20"/>
  <c r="P909" i="20"/>
  <c r="P910" i="20"/>
  <c r="O911" i="20"/>
  <c r="O912" i="20"/>
  <c r="P911" i="20"/>
  <c r="P912" i="20"/>
  <c r="O913" i="20"/>
  <c r="P913" i="20"/>
  <c r="O914" i="20"/>
  <c r="O915" i="20"/>
  <c r="P914" i="20"/>
  <c r="P915" i="20"/>
  <c r="O916" i="20"/>
  <c r="P916" i="20"/>
  <c r="O917" i="20"/>
  <c r="O918" i="20"/>
  <c r="P917" i="20"/>
  <c r="O919" i="20"/>
  <c r="P918" i="20"/>
  <c r="P919" i="20"/>
  <c r="O920" i="20"/>
  <c r="O921" i="20"/>
  <c r="P920" i="20"/>
  <c r="O922" i="20"/>
  <c r="P921" i="20"/>
  <c r="O923" i="20"/>
  <c r="P922" i="20"/>
  <c r="O924" i="20"/>
  <c r="P923" i="20"/>
  <c r="P924" i="20"/>
  <c r="O925" i="20"/>
  <c r="O926" i="20"/>
  <c r="P925" i="20"/>
  <c r="O927" i="20"/>
  <c r="P926" i="20"/>
  <c r="P927" i="20"/>
  <c r="O928" i="20"/>
  <c r="P928" i="20"/>
  <c r="O929" i="20"/>
  <c r="O930" i="20"/>
  <c r="P929" i="20"/>
  <c r="O931" i="20"/>
  <c r="P930" i="20"/>
  <c r="O932" i="20"/>
  <c r="P931" i="20"/>
  <c r="P932" i="20"/>
  <c r="O933" i="20"/>
  <c r="P933" i="20"/>
  <c r="O934" i="20"/>
  <c r="O935" i="20"/>
  <c r="P934" i="20"/>
  <c r="O936" i="20"/>
  <c r="P935" i="20"/>
  <c r="O937" i="20"/>
  <c r="P936" i="20"/>
  <c r="P937" i="20"/>
  <c r="O938" i="20"/>
  <c r="P938" i="20"/>
  <c r="O939" i="20"/>
  <c r="P939" i="20"/>
  <c r="O940" i="20"/>
  <c r="O941" i="20"/>
  <c r="P940" i="20"/>
  <c r="O942" i="20"/>
  <c r="P941" i="20"/>
  <c r="O943" i="20"/>
  <c r="P942" i="20"/>
  <c r="O944" i="20"/>
  <c r="P943" i="20"/>
  <c r="O945" i="20"/>
  <c r="P944" i="20"/>
  <c r="O946" i="20"/>
  <c r="P945" i="20"/>
  <c r="O947" i="20"/>
  <c r="P946" i="20"/>
  <c r="O948" i="20"/>
  <c r="P947" i="20"/>
  <c r="P948" i="20"/>
  <c r="O949" i="20"/>
  <c r="O950" i="20"/>
  <c r="P949" i="20"/>
  <c r="O951" i="20"/>
  <c r="P950" i="20"/>
  <c r="P951" i="20"/>
  <c r="O952" i="20"/>
  <c r="P952" i="20"/>
  <c r="O953" i="20"/>
  <c r="O954" i="20"/>
  <c r="P953" i="20"/>
  <c r="O955" i="20"/>
  <c r="P954" i="20"/>
  <c r="P955" i="20"/>
  <c r="O956" i="20"/>
  <c r="O957" i="20"/>
  <c r="P956" i="20"/>
  <c r="O958" i="20"/>
  <c r="P957" i="20"/>
  <c r="O959" i="20"/>
  <c r="P958" i="20"/>
  <c r="P959" i="20"/>
  <c r="O960" i="20"/>
  <c r="P960" i="20"/>
  <c r="O961" i="20"/>
  <c r="P961" i="20"/>
  <c r="O962" i="20"/>
  <c r="P962" i="20"/>
  <c r="O963" i="20"/>
  <c r="O964" i="20"/>
  <c r="P963" i="20"/>
  <c r="P964" i="20"/>
  <c r="O965" i="20"/>
  <c r="O966" i="20"/>
  <c r="P965" i="20"/>
  <c r="O967" i="20"/>
  <c r="P966" i="20"/>
  <c r="O968" i="20"/>
  <c r="P967" i="20"/>
  <c r="O969" i="20"/>
  <c r="P968" i="20"/>
  <c r="P969" i="20"/>
  <c r="O970" i="20"/>
  <c r="O971" i="20"/>
  <c r="P970" i="20"/>
  <c r="O972" i="20"/>
  <c r="P971" i="20"/>
  <c r="O973" i="20"/>
  <c r="P972" i="20"/>
  <c r="P973" i="20"/>
  <c r="O974" i="20"/>
  <c r="P974" i="20"/>
  <c r="O975" i="20"/>
  <c r="O976" i="20"/>
  <c r="P975" i="20"/>
  <c r="O977" i="20"/>
  <c r="P976" i="20"/>
  <c r="P977" i="20"/>
  <c r="O978" i="20"/>
  <c r="O979" i="20"/>
  <c r="P978" i="20"/>
  <c r="P979" i="20"/>
  <c r="O980" i="20"/>
  <c r="P980" i="20"/>
  <c r="O981" i="20"/>
  <c r="O982" i="20"/>
  <c r="P981" i="20"/>
  <c r="O983" i="20"/>
  <c r="P982" i="20"/>
  <c r="P983" i="20"/>
  <c r="O984" i="20"/>
  <c r="O985" i="20"/>
  <c r="P984" i="20"/>
  <c r="O986" i="20"/>
  <c r="P985" i="20"/>
  <c r="O987" i="20"/>
  <c r="P986" i="20"/>
  <c r="P987" i="20"/>
  <c r="O988" i="20"/>
  <c r="O989" i="20"/>
  <c r="P988" i="20"/>
  <c r="P989" i="20"/>
  <c r="O990" i="20"/>
  <c r="P990" i="20"/>
  <c r="O991" i="20"/>
  <c r="O992" i="20"/>
  <c r="P991" i="20"/>
  <c r="P992" i="20"/>
  <c r="O993" i="20"/>
  <c r="O994" i="20"/>
  <c r="P993" i="20"/>
  <c r="P994" i="20"/>
  <c r="O995" i="20"/>
  <c r="O996" i="20"/>
  <c r="P995" i="20"/>
  <c r="O997" i="20"/>
  <c r="P996" i="20"/>
  <c r="O998" i="20"/>
  <c r="P997" i="20"/>
  <c r="O999" i="20"/>
  <c r="P998" i="20"/>
  <c r="P999" i="20"/>
  <c r="O1000" i="20"/>
  <c r="O1001" i="20"/>
  <c r="P1000" i="20"/>
  <c r="P1001" i="20"/>
  <c r="O1002" i="20"/>
  <c r="O1003" i="20"/>
  <c r="P1002" i="20"/>
  <c r="O1004" i="20"/>
  <c r="P1003" i="20"/>
  <c r="P1004" i="20"/>
  <c r="O1005" i="20"/>
  <c r="P1005" i="20"/>
  <c r="O1006" i="20"/>
  <c r="P1006" i="20"/>
  <c r="O1007" i="20"/>
  <c r="P1007" i="20"/>
  <c r="O1008" i="20"/>
  <c r="O1009" i="20"/>
  <c r="P1008" i="20"/>
  <c r="P1009" i="20"/>
  <c r="O1010" i="20"/>
  <c r="O1011" i="20"/>
  <c r="P1010" i="20"/>
  <c r="P1011" i="20"/>
  <c r="O1012" i="20"/>
  <c r="P1012" i="20"/>
  <c r="O1013" i="20"/>
  <c r="O1014" i="20"/>
  <c r="P1013" i="20"/>
  <c r="O1015" i="20"/>
  <c r="P1014" i="20"/>
  <c r="P1015" i="20"/>
  <c r="O1016" i="20"/>
  <c r="O1017" i="20"/>
  <c r="P1016" i="20"/>
  <c r="P1017" i="20"/>
  <c r="O1018" i="20"/>
  <c r="O1019" i="20"/>
  <c r="P1018" i="20"/>
  <c r="O1020" i="20"/>
  <c r="P1019" i="20"/>
  <c r="P1020" i="20"/>
  <c r="O1021" i="20"/>
  <c r="P1021" i="20"/>
  <c r="O1022" i="20"/>
  <c r="P1022" i="20"/>
  <c r="O1023" i="20"/>
  <c r="P1023" i="20"/>
  <c r="O1024" i="20"/>
  <c r="P1024" i="20"/>
  <c r="O1025" i="20"/>
  <c r="P1025" i="20"/>
  <c r="O1026" i="20"/>
  <c r="O1027" i="20"/>
  <c r="P1026" i="20"/>
  <c r="P1027" i="20"/>
  <c r="O1028" i="20"/>
  <c r="P1028" i="20"/>
  <c r="O1029" i="20"/>
  <c r="P1029" i="20"/>
  <c r="O1030" i="20"/>
  <c r="P1030" i="20"/>
  <c r="O1031" i="20"/>
  <c r="P1031" i="20"/>
  <c r="O1032" i="20"/>
  <c r="P1032" i="20"/>
  <c r="O1033" i="20"/>
  <c r="O1034" i="20"/>
  <c r="P1033" i="20"/>
  <c r="P1034" i="20"/>
  <c r="O1035" i="20"/>
  <c r="O1036" i="20"/>
  <c r="P1035" i="20"/>
  <c r="O1037" i="20"/>
  <c r="P1036" i="20"/>
  <c r="O1038" i="20"/>
  <c r="P1037" i="20"/>
  <c r="P1038" i="20"/>
  <c r="O1039" i="20"/>
  <c r="P1039" i="20"/>
  <c r="O1040" i="20"/>
  <c r="O1041" i="20"/>
  <c r="P1040" i="20"/>
  <c r="O1042" i="20"/>
  <c r="P1041" i="20"/>
  <c r="P1042" i="20"/>
  <c r="O1043" i="20"/>
  <c r="O1044" i="20"/>
  <c r="P1043" i="20"/>
  <c r="P1044" i="20"/>
  <c r="O1045" i="20"/>
  <c r="P1045" i="20"/>
  <c r="O1046" i="20"/>
  <c r="O1047" i="20"/>
  <c r="P1046" i="20"/>
  <c r="P1047" i="20"/>
  <c r="O1048" i="20"/>
  <c r="O1049" i="20"/>
  <c r="P1048" i="20"/>
  <c r="O1050" i="20"/>
  <c r="P1049" i="20"/>
  <c r="P1050" i="20"/>
  <c r="O1051" i="20"/>
  <c r="P1051" i="20"/>
  <c r="O1052" i="20"/>
  <c r="O1053" i="20"/>
  <c r="P1052" i="20"/>
  <c r="O1054" i="20"/>
  <c r="P1053" i="20"/>
  <c r="P1054" i="20"/>
  <c r="O1055" i="20"/>
  <c r="O1056" i="20"/>
  <c r="P1055" i="20"/>
  <c r="P1056" i="20"/>
  <c r="O1057" i="20"/>
  <c r="O1058" i="20"/>
  <c r="P1057" i="20"/>
  <c r="O1059" i="20"/>
  <c r="P1058" i="20"/>
  <c r="P1059" i="20"/>
  <c r="O1060" i="20"/>
  <c r="P1060" i="20"/>
  <c r="O1061" i="20"/>
  <c r="O1062" i="20"/>
  <c r="P1061" i="20"/>
  <c r="O1063" i="20"/>
  <c r="P1062" i="20"/>
  <c r="O1064" i="20"/>
  <c r="P1063" i="20"/>
  <c r="P1064" i="20"/>
  <c r="O1065" i="20"/>
  <c r="P1065" i="20"/>
  <c r="O1066" i="20"/>
  <c r="O1067" i="20"/>
  <c r="P1066" i="20"/>
  <c r="P1067" i="20"/>
  <c r="O1068" i="20"/>
  <c r="O1069" i="20"/>
  <c r="P1068" i="20"/>
  <c r="O1070" i="20"/>
  <c r="P1069" i="20"/>
  <c r="O1071" i="20"/>
  <c r="P1070" i="20"/>
  <c r="P1071" i="20"/>
  <c r="O1072" i="20"/>
  <c r="O1073" i="20"/>
  <c r="P1072" i="20"/>
  <c r="O1074" i="20"/>
  <c r="P1073" i="20"/>
  <c r="P1074" i="20"/>
  <c r="O1075" i="20"/>
  <c r="P1075" i="20"/>
  <c r="O1076" i="20"/>
  <c r="O1077" i="20"/>
  <c r="P1076" i="20"/>
  <c r="O1078" i="20"/>
  <c r="P1077" i="20"/>
  <c r="O1079" i="20"/>
  <c r="P1078" i="20"/>
  <c r="O1080" i="20"/>
  <c r="P1079" i="20"/>
  <c r="P1080" i="20"/>
  <c r="O1081" i="20"/>
  <c r="O1082" i="20"/>
  <c r="P1081" i="20"/>
  <c r="O1083" i="20"/>
  <c r="P1082" i="20"/>
  <c r="O1084" i="20"/>
  <c r="P1083" i="20"/>
  <c r="P1084" i="20"/>
  <c r="O1085" i="20"/>
  <c r="P1085" i="20"/>
  <c r="O1086" i="20"/>
  <c r="P1086" i="20"/>
  <c r="O1087" i="20"/>
  <c r="P1087" i="20"/>
  <c r="O1088" i="20"/>
  <c r="O1089" i="20"/>
  <c r="P1088" i="20"/>
  <c r="O1090" i="20"/>
  <c r="P1089" i="20"/>
  <c r="O1091" i="20"/>
  <c r="P1090" i="20"/>
  <c r="O1092" i="20"/>
  <c r="P1091" i="20"/>
  <c r="O1093" i="20"/>
  <c r="P1092" i="20"/>
  <c r="O1094" i="20"/>
  <c r="P1093" i="20"/>
  <c r="P1094" i="20"/>
  <c r="O1095" i="20"/>
  <c r="O1096" i="20"/>
  <c r="P1095" i="20"/>
  <c r="P1096" i="20"/>
  <c r="O1097" i="20"/>
  <c r="O1098" i="20"/>
  <c r="P1097" i="20"/>
  <c r="O1099" i="20"/>
  <c r="P1098" i="20"/>
  <c r="P1099" i="20"/>
  <c r="O1100" i="20"/>
  <c r="P1100" i="20"/>
  <c r="O1101" i="20"/>
  <c r="P1101" i="20"/>
  <c r="O1102" i="20"/>
  <c r="O1103" i="20"/>
  <c r="P1102" i="20"/>
  <c r="P1103" i="20"/>
  <c r="O1104" i="20"/>
  <c r="P1104" i="20"/>
  <c r="O1105" i="20"/>
  <c r="P1105" i="20"/>
  <c r="O1106" i="20"/>
  <c r="P1106" i="20"/>
  <c r="O1107" i="20"/>
  <c r="P1107" i="20"/>
  <c r="O1108" i="20"/>
  <c r="P1108" i="20"/>
  <c r="O1109" i="20"/>
  <c r="P1109" i="20"/>
  <c r="O1110" i="20"/>
  <c r="P1110" i="20"/>
  <c r="O1111" i="20"/>
  <c r="O1112" i="20"/>
  <c r="P1111" i="20"/>
  <c r="O1113" i="20"/>
  <c r="P1112" i="20"/>
  <c r="P1113" i="20"/>
  <c r="O1114" i="20"/>
  <c r="O1115" i="20"/>
  <c r="P1114" i="20"/>
  <c r="P1115" i="20"/>
  <c r="O1116" i="20"/>
  <c r="P1116" i="20"/>
  <c r="O1117" i="20"/>
  <c r="P1117" i="20"/>
  <c r="O1118" i="20"/>
  <c r="P1118" i="20"/>
  <c r="O1119" i="20"/>
  <c r="P1119" i="20"/>
  <c r="O1120" i="20"/>
  <c r="P1120" i="20"/>
  <c r="O1121" i="20"/>
  <c r="P1121" i="20"/>
  <c r="O1122" i="20"/>
  <c r="P1122" i="20"/>
  <c r="O1123" i="20"/>
  <c r="P1123" i="20"/>
  <c r="O1124" i="20"/>
  <c r="P1124" i="20"/>
  <c r="O1125" i="20"/>
  <c r="P1125" i="20"/>
  <c r="O1126" i="20"/>
  <c r="O1127" i="20"/>
  <c r="P1126" i="20"/>
  <c r="P1127" i="20"/>
  <c r="O1128" i="20"/>
  <c r="O1129" i="20"/>
  <c r="P1128" i="20"/>
  <c r="O1130" i="20"/>
  <c r="P1129" i="20"/>
  <c r="P1130" i="20"/>
  <c r="O1131" i="20"/>
  <c r="P1131" i="20"/>
  <c r="O1132" i="20"/>
  <c r="O1133" i="20"/>
  <c r="P1132" i="20"/>
  <c r="P1133" i="20"/>
  <c r="O1134" i="20"/>
  <c r="P1134" i="20"/>
  <c r="O1135" i="20"/>
  <c r="O1136" i="20"/>
  <c r="P1135" i="20"/>
  <c r="O1137" i="20"/>
  <c r="P1136" i="20"/>
  <c r="P1137" i="20"/>
  <c r="O1138" i="20"/>
  <c r="O1139" i="20"/>
  <c r="P1138" i="20"/>
  <c r="P1139" i="20"/>
  <c r="O1140" i="20"/>
  <c r="O1141" i="20"/>
  <c r="P1140" i="20"/>
  <c r="O1142" i="20"/>
  <c r="P1141" i="20"/>
  <c r="O1143" i="20"/>
  <c r="P1142" i="20"/>
  <c r="O1144" i="20"/>
  <c r="P1143" i="20"/>
  <c r="P1144" i="20"/>
  <c r="O1145" i="20"/>
  <c r="P1145" i="20"/>
  <c r="O1146" i="20"/>
  <c r="O1147" i="20"/>
  <c r="P1146" i="20"/>
  <c r="P1147" i="20"/>
  <c r="O1148" i="20"/>
  <c r="P1148" i="20"/>
  <c r="O1149" i="20"/>
  <c r="P1149" i="20"/>
  <c r="O1150" i="20"/>
  <c r="P1150" i="20"/>
  <c r="O1151" i="20"/>
  <c r="P1151" i="20"/>
  <c r="O1152" i="20"/>
  <c r="O1153" i="20"/>
  <c r="P1152" i="20"/>
  <c r="O1154" i="20"/>
  <c r="P1153" i="20"/>
  <c r="P1154" i="20"/>
  <c r="O1155" i="20"/>
  <c r="O1156" i="20"/>
  <c r="P1155" i="20"/>
  <c r="P1156" i="20"/>
  <c r="O1157" i="20"/>
  <c r="O1158" i="20"/>
  <c r="P1157" i="20"/>
  <c r="O1159" i="20"/>
  <c r="P1158" i="20"/>
  <c r="P1159" i="20"/>
  <c r="O1160" i="20"/>
  <c r="O1161" i="20"/>
  <c r="P1160" i="20"/>
  <c r="O1162" i="20"/>
  <c r="P1161" i="20"/>
  <c r="P1162" i="20"/>
  <c r="O1163" i="20"/>
  <c r="P1163" i="20"/>
  <c r="O1164" i="20"/>
  <c r="O1165" i="20"/>
  <c r="P1164" i="20"/>
  <c r="O1166" i="20"/>
  <c r="P1165" i="20"/>
  <c r="O1167" i="20"/>
  <c r="P1166" i="20"/>
  <c r="O1168" i="20"/>
  <c r="P1167" i="20"/>
  <c r="P1168" i="20"/>
  <c r="O1169" i="20"/>
  <c r="P1169" i="20"/>
  <c r="O1170" i="20"/>
  <c r="P1170" i="20"/>
  <c r="O1171" i="20"/>
  <c r="O1172" i="20"/>
  <c r="P1171" i="20"/>
  <c r="O1173" i="20"/>
  <c r="P1172" i="20"/>
  <c r="O1174" i="20"/>
  <c r="P1173" i="20"/>
  <c r="P1174" i="20"/>
  <c r="O1175" i="20"/>
  <c r="P1175" i="20"/>
  <c r="O1176" i="20"/>
  <c r="P1176" i="20"/>
  <c r="O1177" i="20"/>
  <c r="P1177" i="20"/>
  <c r="O1178" i="20"/>
  <c r="O1179" i="20"/>
  <c r="P1178" i="20"/>
  <c r="O1180" i="20"/>
  <c r="P1179" i="20"/>
  <c r="O1181" i="20"/>
  <c r="P1180" i="20"/>
  <c r="O1182" i="20"/>
  <c r="P1181" i="20"/>
  <c r="P1182" i="20"/>
  <c r="O1183" i="20"/>
  <c r="P1183" i="20"/>
  <c r="O1184" i="20"/>
  <c r="P1184" i="20"/>
  <c r="O1185" i="20"/>
  <c r="O1186" i="20"/>
  <c r="P1185" i="20"/>
  <c r="O1187" i="20"/>
  <c r="P1186" i="20"/>
  <c r="P1187" i="20"/>
  <c r="O1188" i="20"/>
  <c r="P1188" i="20"/>
  <c r="O1189" i="20"/>
  <c r="P1189" i="20"/>
  <c r="O1190" i="20"/>
  <c r="P1190" i="20"/>
  <c r="O1191" i="20"/>
  <c r="P1191" i="20"/>
  <c r="O1192" i="20"/>
  <c r="O1193" i="20"/>
  <c r="P1192" i="20"/>
  <c r="P1193" i="20"/>
  <c r="O1194" i="20"/>
  <c r="O1195" i="20"/>
  <c r="P1194" i="20"/>
  <c r="P1195" i="20"/>
  <c r="O1196" i="20"/>
  <c r="O1197" i="20"/>
  <c r="P1196" i="20"/>
  <c r="P1197" i="20"/>
  <c r="O1198" i="20"/>
  <c r="O1199" i="20"/>
  <c r="P1198" i="20"/>
  <c r="O1200" i="20"/>
  <c r="P1199" i="20"/>
  <c r="O1201" i="20"/>
  <c r="P1200" i="20"/>
  <c r="O1202" i="20"/>
  <c r="P1201" i="20"/>
  <c r="O1203" i="20"/>
  <c r="P1202" i="20"/>
  <c r="O1204" i="20"/>
  <c r="P1203" i="20"/>
  <c r="P1204" i="20"/>
  <c r="O1205" i="20"/>
  <c r="P1205" i="20"/>
  <c r="O1206" i="20"/>
  <c r="P1206" i="20"/>
  <c r="O1207" i="20"/>
  <c r="P1207" i="20"/>
  <c r="O1208" i="20"/>
  <c r="O1209" i="20"/>
  <c r="P1208" i="20"/>
  <c r="P1209" i="20"/>
  <c r="O1210" i="20"/>
  <c r="P1210" i="20"/>
  <c r="O1211" i="20"/>
  <c r="P1211" i="20"/>
  <c r="O1212" i="20"/>
  <c r="O1213" i="20"/>
  <c r="P1212" i="20"/>
  <c r="O1214" i="20"/>
  <c r="P1213" i="20"/>
  <c r="P1214" i="20"/>
  <c r="O1215" i="20"/>
  <c r="O1216" i="20"/>
  <c r="P1215" i="20"/>
  <c r="P1216" i="20"/>
  <c r="O1217" i="20"/>
  <c r="P1217" i="20"/>
  <c r="O1218" i="20"/>
  <c r="O1219" i="20"/>
  <c r="P1218" i="20"/>
  <c r="O1220" i="20"/>
  <c r="P1219" i="20"/>
  <c r="O1221" i="20"/>
  <c r="P1220" i="20"/>
  <c r="O1222" i="20"/>
  <c r="P1221" i="20"/>
  <c r="P1222" i="20"/>
  <c r="O1223" i="20"/>
  <c r="P1223" i="20"/>
  <c r="O1224" i="20"/>
  <c r="P1224" i="20"/>
  <c r="O1225" i="20"/>
  <c r="P1225" i="20"/>
  <c r="O1226" i="20"/>
  <c r="O1227" i="20"/>
  <c r="P1226" i="20"/>
  <c r="O1228" i="20"/>
  <c r="P1227" i="20"/>
  <c r="O1229" i="20"/>
  <c r="P1228" i="20"/>
  <c r="P1229" i="20"/>
  <c r="O1230" i="20"/>
  <c r="O1231" i="20"/>
  <c r="P1230" i="20"/>
  <c r="P1231" i="20"/>
  <c r="O1232" i="20"/>
  <c r="O1233" i="20"/>
  <c r="P1232" i="20"/>
  <c r="P1233" i="20"/>
  <c r="O1234" i="20"/>
  <c r="O1235" i="20"/>
  <c r="P1234" i="20"/>
  <c r="O1236" i="20"/>
  <c r="P1235" i="20"/>
  <c r="O1237" i="20"/>
  <c r="P1236" i="20"/>
  <c r="P1237" i="20"/>
  <c r="O1238" i="20"/>
  <c r="O1239" i="20"/>
  <c r="P1238" i="20"/>
  <c r="P1239" i="20"/>
  <c r="O1240" i="20"/>
  <c r="P1240" i="20"/>
  <c r="O1241" i="20"/>
  <c r="O1242" i="20"/>
  <c r="P1241" i="20"/>
  <c r="P1242" i="20"/>
  <c r="O1243" i="20"/>
  <c r="P1243" i="20"/>
  <c r="O1244" i="20"/>
  <c r="P1244" i="20"/>
  <c r="O1245" i="20"/>
  <c r="O1246" i="20"/>
  <c r="P1245" i="20"/>
  <c r="O1247" i="20"/>
  <c r="P1246" i="20"/>
  <c r="O1248" i="20"/>
  <c r="P1247" i="20"/>
  <c r="O1249" i="20"/>
  <c r="P1248" i="20"/>
  <c r="P1249" i="20"/>
  <c r="O1250" i="20"/>
  <c r="P1250" i="20"/>
  <c r="O1251" i="20"/>
  <c r="P1251" i="20"/>
  <c r="O1252" i="20"/>
  <c r="O1253" i="20"/>
  <c r="P1252" i="20"/>
  <c r="O1254" i="20"/>
  <c r="P1253" i="20"/>
  <c r="O1255" i="20"/>
  <c r="P1254" i="20"/>
  <c r="O1256" i="20"/>
  <c r="P1255" i="20"/>
  <c r="P1256" i="20"/>
  <c r="O1257" i="20"/>
  <c r="P1257" i="20"/>
  <c r="O1258" i="20"/>
  <c r="P1258" i="20"/>
  <c r="O1259" i="20"/>
  <c r="O1260" i="20"/>
  <c r="P1259" i="20"/>
  <c r="P1260" i="20"/>
  <c r="O1261" i="20"/>
  <c r="O1262" i="20"/>
  <c r="P1261" i="20"/>
  <c r="P1262" i="20"/>
  <c r="O1263" i="20"/>
  <c r="O1264" i="20"/>
  <c r="P1263" i="20"/>
  <c r="P1264" i="20"/>
  <c r="O1265" i="20"/>
  <c r="O1266" i="20"/>
  <c r="P1265" i="20"/>
  <c r="O1267" i="20"/>
  <c r="P1266" i="20"/>
  <c r="O1268" i="20"/>
  <c r="P1267" i="20"/>
  <c r="O1269" i="20"/>
  <c r="P1268" i="20"/>
  <c r="P1269" i="20"/>
  <c r="O1270" i="20"/>
  <c r="P1270" i="20"/>
  <c r="O1271" i="20"/>
  <c r="P1271" i="20"/>
  <c r="O1272" i="20"/>
  <c r="P1272" i="20"/>
  <c r="O1273" i="20"/>
  <c r="O1274" i="20"/>
  <c r="P1273" i="20"/>
  <c r="P1274" i="20"/>
  <c r="O1275" i="20"/>
  <c r="P1275" i="20"/>
  <c r="O1276" i="20"/>
  <c r="P1276" i="20"/>
  <c r="O1277" i="20"/>
  <c r="P1277" i="20"/>
  <c r="O1278" i="20"/>
  <c r="P1278" i="20"/>
  <c r="O1279" i="20"/>
  <c r="P1279" i="20"/>
  <c r="O1280" i="20"/>
  <c r="P1280" i="20"/>
  <c r="O1281" i="20"/>
  <c r="O1282" i="20"/>
  <c r="P1281" i="20"/>
  <c r="P1282" i="20"/>
  <c r="O1283" i="20"/>
  <c r="P1283" i="20"/>
  <c r="O1284" i="20"/>
  <c r="P1284" i="20"/>
  <c r="O1285" i="20"/>
  <c r="P1285" i="20"/>
  <c r="O1286" i="20"/>
  <c r="O1287" i="20"/>
  <c r="P1286" i="20"/>
  <c r="O1288" i="20"/>
  <c r="P1287" i="20"/>
  <c r="P1288" i="20"/>
  <c r="O1289" i="20"/>
  <c r="O1290" i="20"/>
  <c r="P1289" i="20"/>
  <c r="O1291" i="20"/>
  <c r="P1290" i="20"/>
  <c r="O1292" i="20"/>
  <c r="P1291" i="20"/>
  <c r="O1293" i="20"/>
  <c r="P1292" i="20"/>
  <c r="P1293" i="20"/>
  <c r="O1294" i="20"/>
  <c r="O1295" i="20"/>
  <c r="P1294" i="20"/>
  <c r="P1295" i="20"/>
  <c r="O1296" i="20"/>
  <c r="P1296" i="20"/>
  <c r="O1297" i="20"/>
  <c r="P1297" i="20"/>
  <c r="O1298" i="20"/>
  <c r="P1298" i="20"/>
  <c r="O1299" i="20"/>
  <c r="O1300" i="20"/>
  <c r="P1299" i="20"/>
  <c r="O1301" i="20"/>
  <c r="P1300" i="20"/>
  <c r="P1301" i="20"/>
  <c r="O1302" i="20"/>
  <c r="P1302" i="20"/>
  <c r="O1303" i="20"/>
  <c r="O1304" i="20"/>
  <c r="P1303" i="20"/>
  <c r="O1305" i="20"/>
  <c r="P1304" i="20"/>
  <c r="P1305" i="20"/>
  <c r="O1306" i="20"/>
  <c r="P1306" i="20"/>
  <c r="O1307" i="20"/>
  <c r="O1308" i="20"/>
  <c r="P1307" i="20"/>
  <c r="P1308" i="20"/>
  <c r="O1309" i="20"/>
  <c r="P1309" i="20"/>
  <c r="O1310" i="20"/>
  <c r="P1310" i="20"/>
  <c r="O1311" i="20"/>
  <c r="P1311" i="20"/>
  <c r="O1312" i="20"/>
  <c r="P1312" i="20"/>
  <c r="O1313" i="20"/>
  <c r="P1313" i="20"/>
  <c r="O1314" i="20"/>
  <c r="O1315" i="20"/>
  <c r="P1314" i="20"/>
  <c r="P1315" i="20"/>
  <c r="O1316" i="20"/>
  <c r="O1317" i="20"/>
  <c r="P1316" i="20"/>
  <c r="P1317" i="20"/>
  <c r="O1318" i="20"/>
  <c r="O1319" i="20"/>
  <c r="P1318" i="20"/>
  <c r="O1320" i="20"/>
  <c r="P1319" i="20"/>
  <c r="O1321" i="20"/>
  <c r="P1320" i="20"/>
  <c r="O1322" i="20"/>
  <c r="P1321" i="20"/>
  <c r="O1323" i="20"/>
  <c r="P1322" i="20"/>
  <c r="O1324" i="20"/>
  <c r="P1323" i="20"/>
  <c r="P1324" i="20"/>
  <c r="O1325" i="20"/>
  <c r="P1325" i="20"/>
  <c r="O1326" i="20"/>
  <c r="P1326" i="20"/>
  <c r="O1327" i="20"/>
  <c r="P1327" i="20"/>
  <c r="O1328" i="20"/>
  <c r="P1328" i="20"/>
  <c r="O1329" i="20"/>
  <c r="P1329" i="20"/>
  <c r="O1330" i="20"/>
  <c r="P1330" i="20"/>
  <c r="O1331" i="20"/>
  <c r="P1331" i="20"/>
  <c r="O1332" i="20"/>
  <c r="P1332" i="20"/>
  <c r="O1333" i="20"/>
  <c r="P1333" i="20"/>
  <c r="O1334" i="20"/>
  <c r="P1334" i="20"/>
  <c r="O1335" i="20"/>
  <c r="O1336" i="20"/>
  <c r="P1335" i="20"/>
  <c r="P1336" i="20"/>
  <c r="O1337" i="20"/>
  <c r="P1337" i="20"/>
  <c r="O1338" i="20"/>
  <c r="O1339" i="20"/>
  <c r="P1338" i="20"/>
  <c r="P1339" i="20"/>
  <c r="O1340" i="20"/>
  <c r="P1340" i="20"/>
  <c r="O1341" i="20"/>
  <c r="P1341" i="20"/>
  <c r="O1342" i="20"/>
  <c r="P1342" i="20"/>
  <c r="O1343" i="20"/>
  <c r="P1343" i="20"/>
  <c r="O1344" i="20"/>
  <c r="P1344" i="20"/>
  <c r="O1345" i="20"/>
  <c r="P1345" i="20"/>
  <c r="O1346" i="20"/>
  <c r="O1347" i="20"/>
  <c r="P1346" i="20"/>
  <c r="O1348" i="20"/>
  <c r="P1347" i="20"/>
  <c r="O1349" i="20"/>
  <c r="P1348" i="20"/>
  <c r="P1349" i="20"/>
  <c r="O1350" i="20"/>
  <c r="P1350" i="20"/>
  <c r="O1351" i="20"/>
  <c r="O1352" i="20"/>
  <c r="P1351" i="20"/>
  <c r="P1352" i="20"/>
  <c r="O1353" i="20"/>
  <c r="O1354" i="20"/>
  <c r="P1353" i="20"/>
  <c r="P1354" i="20"/>
  <c r="O1355" i="20"/>
  <c r="O1356" i="20"/>
  <c r="P1355" i="20"/>
  <c r="P1356" i="20"/>
  <c r="O1357" i="20"/>
  <c r="P1357" i="20"/>
  <c r="O1358" i="20"/>
  <c r="P1358" i="20"/>
  <c r="O1359" i="20"/>
  <c r="O1360" i="20"/>
  <c r="P1359" i="20"/>
  <c r="O1361" i="20"/>
  <c r="P1360" i="20"/>
  <c r="P1361" i="20"/>
  <c r="O1362" i="20"/>
  <c r="P1362" i="20"/>
  <c r="O1363" i="20"/>
  <c r="O1364" i="20"/>
  <c r="P1363" i="20"/>
  <c r="O1365" i="20"/>
  <c r="P1364" i="20"/>
  <c r="P1365" i="20"/>
  <c r="O1366" i="20"/>
  <c r="O1367" i="20"/>
  <c r="P1366" i="20"/>
  <c r="P1367" i="20"/>
  <c r="O1368" i="20"/>
  <c r="O1369" i="20"/>
  <c r="P1368" i="20"/>
  <c r="P1369" i="20"/>
  <c r="O1370" i="20"/>
  <c r="P1370" i="20"/>
  <c r="O1371" i="20"/>
  <c r="O1372" i="20"/>
  <c r="P1371" i="20"/>
  <c r="O1373" i="20"/>
  <c r="P1372" i="20"/>
  <c r="O1374" i="20"/>
  <c r="P1373" i="20"/>
  <c r="O1375" i="20"/>
  <c r="P1374" i="20"/>
  <c r="O1376" i="20"/>
  <c r="P1375" i="20"/>
  <c r="P1376" i="20"/>
  <c r="O1377" i="20"/>
  <c r="O1378" i="20"/>
  <c r="P1377" i="20"/>
  <c r="O1379" i="20"/>
  <c r="P1378" i="20"/>
  <c r="O1380" i="20"/>
  <c r="P1379" i="20"/>
  <c r="O1381" i="20"/>
  <c r="P1380" i="20"/>
  <c r="O1382" i="20"/>
  <c r="P1381" i="20"/>
  <c r="P1382" i="20"/>
  <c r="O1383" i="20"/>
  <c r="O1384" i="20"/>
  <c r="P1383" i="20"/>
  <c r="O1385" i="20"/>
  <c r="P1384" i="20"/>
  <c r="P1385" i="20"/>
  <c r="O1386" i="20"/>
  <c r="P1386" i="20"/>
  <c r="O1387" i="20"/>
  <c r="O1388" i="20"/>
  <c r="P1387" i="20"/>
  <c r="P1388" i="20"/>
  <c r="O1389" i="20"/>
  <c r="O1390" i="20"/>
  <c r="P1389" i="20"/>
  <c r="P1390" i="20"/>
  <c r="O1391" i="20"/>
  <c r="P1391" i="20"/>
  <c r="O1392" i="20"/>
  <c r="O1393" i="20"/>
  <c r="P1392" i="20"/>
  <c r="P1393" i="20"/>
  <c r="O1394" i="20"/>
  <c r="O1395" i="20"/>
  <c r="P1394" i="20"/>
  <c r="P1395" i="20"/>
  <c r="O1396" i="20"/>
  <c r="P1396" i="20"/>
  <c r="O1397" i="20"/>
  <c r="O1398" i="20"/>
  <c r="P1397" i="20"/>
  <c r="P1398" i="20"/>
  <c r="O1399" i="20"/>
  <c r="O1400" i="20"/>
  <c r="P1399" i="20"/>
  <c r="P1400" i="20"/>
  <c r="O1401" i="20"/>
  <c r="O1402" i="20"/>
  <c r="P1401" i="20"/>
  <c r="P1402" i="20"/>
  <c r="O1403" i="20"/>
  <c r="O1404" i="20"/>
  <c r="P1403" i="20"/>
  <c r="O1405" i="20"/>
  <c r="P1404" i="20"/>
  <c r="O1406" i="20"/>
  <c r="P1405" i="20"/>
  <c r="O1407" i="20"/>
  <c r="P1406" i="20"/>
  <c r="O1408" i="20"/>
  <c r="P1407" i="20"/>
  <c r="O1409" i="20"/>
  <c r="P1408" i="20"/>
  <c r="O1410" i="20"/>
  <c r="P1409" i="20"/>
  <c r="P1410" i="20"/>
  <c r="O1411" i="20"/>
  <c r="P1411" i="20"/>
  <c r="O1412" i="20"/>
  <c r="P1412" i="20"/>
  <c r="O1413" i="20"/>
  <c r="P1413" i="20"/>
  <c r="O1414" i="20"/>
  <c r="O1415" i="20"/>
  <c r="P1414" i="20"/>
  <c r="P1415" i="20"/>
  <c r="O1416" i="20"/>
  <c r="O1417" i="20"/>
  <c r="P1416" i="20"/>
  <c r="P1417" i="20"/>
  <c r="O1418" i="20"/>
  <c r="O1419" i="20"/>
  <c r="P1418" i="20"/>
  <c r="O1420" i="20"/>
  <c r="P1419" i="20"/>
  <c r="O1421" i="20"/>
  <c r="P1420" i="20"/>
  <c r="P1421" i="20"/>
  <c r="O1422" i="20"/>
  <c r="O1423" i="20"/>
  <c r="P1422" i="20"/>
  <c r="P1423" i="20"/>
  <c r="O1424" i="20"/>
  <c r="O1425" i="20"/>
  <c r="P1424" i="20"/>
  <c r="O1426" i="20"/>
  <c r="P1425" i="20"/>
  <c r="O1427" i="20"/>
  <c r="P1426" i="20"/>
  <c r="O1428" i="20"/>
  <c r="P1427" i="20"/>
  <c r="P1428" i="20"/>
  <c r="O1429" i="20"/>
  <c r="P1429" i="20"/>
  <c r="O1430" i="20"/>
  <c r="O1431" i="20"/>
  <c r="P1430" i="20"/>
  <c r="O1432" i="20"/>
  <c r="P1431" i="20"/>
  <c r="P1432" i="20"/>
  <c r="O1433" i="20"/>
  <c r="O1434" i="20"/>
  <c r="P1433" i="20"/>
  <c r="O1435" i="20"/>
  <c r="P1434" i="20"/>
  <c r="O1436" i="20"/>
  <c r="P1435" i="20"/>
  <c r="P1436" i="20"/>
  <c r="O1437" i="20"/>
  <c r="P1437" i="20"/>
  <c r="O1438" i="20"/>
  <c r="P1438" i="20"/>
  <c r="O1439" i="20"/>
  <c r="P1439" i="20"/>
  <c r="O1440" i="20"/>
  <c r="O1441" i="20"/>
  <c r="P1440" i="20"/>
  <c r="O1442" i="20"/>
  <c r="P1441" i="20"/>
  <c r="O1443" i="20"/>
  <c r="P1442" i="20"/>
  <c r="P1443" i="20"/>
  <c r="O1444" i="20"/>
  <c r="P1444" i="20"/>
  <c r="O1445" i="20"/>
  <c r="O1446" i="20"/>
  <c r="P1445" i="20"/>
  <c r="O1447" i="20"/>
  <c r="P1446" i="20"/>
  <c r="P1447" i="20"/>
  <c r="O1448" i="20"/>
  <c r="O1449" i="20"/>
  <c r="P1448" i="20"/>
  <c r="O1450" i="20"/>
  <c r="P1449" i="20"/>
  <c r="P1450" i="20"/>
  <c r="O1451" i="20"/>
  <c r="P1451" i="20"/>
  <c r="O1452" i="20"/>
  <c r="P1452" i="20"/>
  <c r="O1453" i="20"/>
  <c r="P1453" i="20"/>
  <c r="O1454" i="20"/>
  <c r="P1454" i="20"/>
  <c r="O1455" i="20"/>
  <c r="O1456" i="20"/>
  <c r="P1455" i="20"/>
  <c r="O1457" i="20"/>
  <c r="P1456" i="20"/>
  <c r="P1457" i="20"/>
  <c r="O1458" i="20"/>
  <c r="O1459" i="20"/>
  <c r="P1458" i="20"/>
  <c r="O1460" i="20"/>
  <c r="P1459" i="20"/>
  <c r="O1461" i="20"/>
  <c r="P1460" i="20"/>
  <c r="P1461" i="20"/>
  <c r="O1462" i="20"/>
  <c r="P1462" i="20"/>
  <c r="O1463" i="20"/>
  <c r="P1463" i="20"/>
  <c r="O1464" i="20"/>
  <c r="O1465" i="20"/>
  <c r="P1464" i="20"/>
  <c r="P1465" i="20"/>
  <c r="O1466" i="20"/>
  <c r="P1466" i="20"/>
  <c r="O1467" i="20"/>
  <c r="O1468" i="20"/>
  <c r="P1467" i="20"/>
  <c r="O1469" i="20"/>
  <c r="P1468" i="20"/>
  <c r="O1470" i="20"/>
  <c r="P1469" i="20"/>
  <c r="O1471" i="20"/>
  <c r="P1470" i="20"/>
  <c r="P1471" i="20"/>
  <c r="O1472" i="20"/>
  <c r="P1472" i="20"/>
  <c r="O1473" i="20"/>
  <c r="P1473" i="20"/>
  <c r="O1474" i="20"/>
  <c r="O1475" i="20"/>
  <c r="P1474" i="20"/>
  <c r="O1476" i="20"/>
  <c r="P1475" i="20"/>
  <c r="O1477" i="20"/>
  <c r="P1476" i="20"/>
  <c r="P1477" i="20"/>
  <c r="O1478" i="20"/>
  <c r="O1479" i="20"/>
  <c r="P1478" i="20"/>
  <c r="P1479" i="20"/>
  <c r="O1480" i="20"/>
  <c r="P1480" i="20"/>
  <c r="O1481" i="20"/>
  <c r="O1482" i="20"/>
  <c r="P1481" i="20"/>
  <c r="P1482" i="20"/>
  <c r="O1483" i="20"/>
  <c r="P1483" i="20"/>
  <c r="O1484" i="20"/>
  <c r="O1485" i="20"/>
  <c r="P1484" i="20"/>
  <c r="P1485" i="20"/>
  <c r="O1486" i="20"/>
  <c r="O1487" i="20"/>
  <c r="P1486" i="20"/>
  <c r="P1487" i="20"/>
  <c r="O1488" i="20"/>
  <c r="P1488" i="20"/>
  <c r="O1489" i="20"/>
  <c r="P1489" i="20"/>
  <c r="O1490" i="20"/>
  <c r="P1490" i="20"/>
  <c r="O1491" i="20"/>
  <c r="O1492" i="20"/>
  <c r="P1491" i="20"/>
  <c r="P1492" i="20"/>
  <c r="O1493" i="20"/>
  <c r="P1493" i="20"/>
  <c r="O1494" i="20"/>
  <c r="O1495" i="20"/>
  <c r="P1494" i="20"/>
  <c r="P1495" i="20"/>
  <c r="O1496" i="20"/>
  <c r="O1497" i="20"/>
  <c r="P1496" i="20"/>
  <c r="P1497" i="20"/>
  <c r="O1498" i="20"/>
  <c r="P1498" i="20"/>
  <c r="O1499" i="20"/>
  <c r="P1499" i="20"/>
  <c r="O1500" i="20"/>
  <c r="P1500" i="20"/>
  <c r="O1501" i="20"/>
  <c r="P1501" i="20"/>
  <c r="O1502" i="20"/>
  <c r="P1502" i="20"/>
  <c r="O1503" i="20"/>
  <c r="O1504" i="20"/>
  <c r="P1503" i="20"/>
  <c r="O1505" i="20"/>
  <c r="P1504" i="20"/>
  <c r="O1506" i="20"/>
  <c r="P1505" i="20"/>
  <c r="O1507" i="20"/>
  <c r="P1506" i="20"/>
  <c r="P1507" i="20"/>
  <c r="O1508" i="20"/>
  <c r="O1509" i="20"/>
  <c r="P1508" i="20"/>
  <c r="P1509" i="20"/>
  <c r="O1510" i="20"/>
  <c r="P1510" i="20"/>
  <c r="O1511" i="20"/>
  <c r="P1511" i="20"/>
  <c r="O1512" i="20"/>
  <c r="O1513" i="20"/>
  <c r="P1512" i="20"/>
  <c r="P1513" i="20"/>
  <c r="O1514" i="20"/>
  <c r="P1514" i="20"/>
  <c r="O1515" i="20"/>
  <c r="P1515" i="20"/>
  <c r="O1516" i="20"/>
  <c r="O1517" i="20"/>
  <c r="P1516" i="20"/>
  <c r="P1517" i="20"/>
  <c r="O1518" i="20"/>
  <c r="P1518" i="20"/>
  <c r="O1519" i="20"/>
  <c r="P1519" i="20" s="1"/>
  <c r="G6" i="24" l="1"/>
  <c r="F24" i="3" s="1"/>
  <c r="G23" i="4" l="1"/>
  <c r="G23" i="28"/>
  <c r="G66" i="28"/>
  <c r="G23" i="27"/>
  <c r="G66" i="4"/>
  <c r="G66" i="27"/>
  <c r="F98" i="3"/>
  <c r="F23" i="2"/>
  <c r="F22" i="2"/>
  <c r="F25" i="3"/>
  <c r="G25" i="20"/>
  <c r="T23" i="20"/>
  <c r="S26" i="20"/>
  <c r="S27" i="20" s="1"/>
  <c r="K24" i="20"/>
  <c r="K25" i="20"/>
  <c r="L25" i="20" s="1"/>
  <c r="L24" i="20"/>
  <c r="T26" i="20"/>
  <c r="K26" i="20"/>
  <c r="C21" i="20"/>
  <c r="F7" i="2"/>
  <c r="D20" i="20"/>
  <c r="H25" i="20"/>
  <c r="G26" i="20"/>
  <c r="S28" i="20"/>
  <c r="T27" i="20"/>
  <c r="L26" i="20"/>
  <c r="K27" i="20"/>
  <c r="D21" i="20"/>
  <c r="C22" i="20"/>
  <c r="G27" i="20"/>
  <c r="H26" i="20"/>
  <c r="S29" i="20"/>
  <c r="T28" i="20"/>
  <c r="L27" i="20"/>
  <c r="K28" i="20"/>
  <c r="H27" i="20"/>
  <c r="G28" i="20"/>
  <c r="S30" i="20"/>
  <c r="T29" i="20"/>
  <c r="K29" i="20"/>
  <c r="L28" i="20"/>
  <c r="H28" i="20"/>
  <c r="G29" i="20"/>
  <c r="S31" i="20"/>
  <c r="T30" i="20"/>
  <c r="K30" i="20"/>
  <c r="L29" i="20"/>
  <c r="H29" i="20"/>
  <c r="G30" i="20"/>
  <c r="S32" i="20"/>
  <c r="T31" i="20"/>
  <c r="L30" i="20"/>
  <c r="K31" i="20"/>
  <c r="H30" i="20"/>
  <c r="G31" i="20"/>
  <c r="T32" i="20"/>
  <c r="S33" i="20"/>
  <c r="K32" i="20"/>
  <c r="L31" i="20"/>
  <c r="H31" i="20"/>
  <c r="G32" i="20"/>
  <c r="T33" i="20"/>
  <c r="S34" i="20"/>
  <c r="L32" i="20"/>
  <c r="K33" i="20"/>
  <c r="H32" i="20"/>
  <c r="G33" i="20"/>
  <c r="S35" i="20"/>
  <c r="T34" i="20"/>
  <c r="K34" i="20"/>
  <c r="L33" i="20"/>
  <c r="H33" i="20"/>
  <c r="G34" i="20"/>
  <c r="T35" i="20"/>
  <c r="S36" i="20"/>
  <c r="K35" i="20"/>
  <c r="L34" i="20"/>
  <c r="H34" i="20"/>
  <c r="G35" i="20"/>
  <c r="T36" i="20"/>
  <c r="S37" i="20"/>
  <c r="K36" i="20"/>
  <c r="L35" i="20"/>
  <c r="G36" i="20"/>
  <c r="H35" i="20"/>
  <c r="T37" i="20"/>
  <c r="S38" i="20"/>
  <c r="K37" i="20"/>
  <c r="L36" i="20"/>
  <c r="G37" i="20"/>
  <c r="H36" i="20"/>
  <c r="S39" i="20"/>
  <c r="T38" i="20"/>
  <c r="K38" i="20"/>
  <c r="L37" i="20"/>
  <c r="G38" i="20"/>
  <c r="H37" i="20"/>
  <c r="S40" i="20"/>
  <c r="T39" i="20"/>
  <c r="K39" i="20"/>
  <c r="L38" i="20"/>
  <c r="H38" i="20"/>
  <c r="G39" i="20"/>
  <c r="T40" i="20"/>
  <c r="S41" i="20"/>
  <c r="K40" i="20"/>
  <c r="L39" i="20"/>
  <c r="H39" i="20"/>
  <c r="G40" i="20"/>
  <c r="T41" i="20"/>
  <c r="S42" i="20"/>
  <c r="K41" i="20"/>
  <c r="L40" i="20"/>
  <c r="H40" i="20"/>
  <c r="G41" i="20"/>
  <c r="T42" i="20"/>
  <c r="S43" i="20"/>
  <c r="K42" i="20"/>
  <c r="L41" i="20"/>
  <c r="G42" i="20"/>
  <c r="H41" i="20"/>
  <c r="S44" i="20"/>
  <c r="T43" i="20"/>
  <c r="K43" i="20"/>
  <c r="L42" i="20"/>
  <c r="G43" i="20"/>
  <c r="H42" i="20"/>
  <c r="S45" i="20"/>
  <c r="T44" i="20"/>
  <c r="L43" i="20"/>
  <c r="K44" i="20"/>
  <c r="G44" i="20"/>
  <c r="H43" i="20"/>
  <c r="T45" i="20"/>
  <c r="S46" i="20"/>
  <c r="K45" i="20"/>
  <c r="L44" i="20"/>
  <c r="H44" i="20"/>
  <c r="G45" i="20"/>
  <c r="S47" i="20"/>
  <c r="T46" i="20"/>
  <c r="K46" i="20"/>
  <c r="L45" i="20"/>
  <c r="H45" i="20"/>
  <c r="G46" i="20"/>
  <c r="S48" i="20"/>
  <c r="T47" i="20"/>
  <c r="K47" i="20"/>
  <c r="L46" i="20"/>
  <c r="G47" i="20"/>
  <c r="H46" i="20"/>
  <c r="S49" i="20"/>
  <c r="T48" i="20"/>
  <c r="L47" i="20"/>
  <c r="K48" i="20"/>
  <c r="H47" i="20"/>
  <c r="G48" i="20"/>
  <c r="T49" i="20"/>
  <c r="S50" i="20"/>
  <c r="K49" i="20"/>
  <c r="L48" i="20"/>
  <c r="H48" i="20"/>
  <c r="G49" i="20"/>
  <c r="T50" i="20"/>
  <c r="S51" i="20"/>
  <c r="K50" i="20"/>
  <c r="L49" i="20"/>
  <c r="H49" i="20"/>
  <c r="G50" i="20"/>
  <c r="S52" i="20"/>
  <c r="T51" i="20"/>
  <c r="K51" i="20"/>
  <c r="L50" i="20"/>
  <c r="H50" i="20"/>
  <c r="G51" i="20"/>
  <c r="T52" i="20"/>
  <c r="S53" i="20"/>
  <c r="L51" i="20"/>
  <c r="K52" i="20"/>
  <c r="H51" i="20"/>
  <c r="G52" i="20"/>
  <c r="T53" i="20"/>
  <c r="S54" i="20"/>
  <c r="K53" i="20"/>
  <c r="L52" i="20"/>
  <c r="H52" i="20"/>
  <c r="G53" i="20"/>
  <c r="S55" i="20"/>
  <c r="T54" i="20"/>
  <c r="L53" i="20"/>
  <c r="K54" i="20"/>
  <c r="H53" i="20"/>
  <c r="G54" i="20"/>
  <c r="T55" i="20"/>
  <c r="S56" i="20"/>
  <c r="K55" i="20"/>
  <c r="L54" i="20"/>
  <c r="G55" i="20"/>
  <c r="H54" i="20"/>
  <c r="T56" i="20"/>
  <c r="S57" i="20"/>
  <c r="K56" i="20"/>
  <c r="L55" i="20"/>
  <c r="G56" i="20"/>
  <c r="H55" i="20"/>
  <c r="S58" i="20"/>
  <c r="T57" i="20"/>
  <c r="K57" i="20"/>
  <c r="L56" i="20"/>
  <c r="G57" i="20"/>
  <c r="H56" i="20"/>
  <c r="S59" i="20"/>
  <c r="T58" i="20"/>
  <c r="K58" i="20"/>
  <c r="L57" i="20"/>
  <c r="H57" i="20"/>
  <c r="G58" i="20"/>
  <c r="S60" i="20"/>
  <c r="T59" i="20"/>
  <c r="L58" i="20"/>
  <c r="K59" i="20"/>
  <c r="G59" i="20"/>
  <c r="H58" i="20"/>
  <c r="T60" i="20"/>
  <c r="S61" i="20"/>
  <c r="L59" i="20"/>
  <c r="K60" i="20"/>
  <c r="H59" i="20"/>
  <c r="G60" i="20"/>
  <c r="T61" i="20"/>
  <c r="S62" i="20"/>
  <c r="K61" i="20"/>
  <c r="L60" i="20"/>
  <c r="H60" i="20"/>
  <c r="G61" i="20"/>
  <c r="S63" i="20"/>
  <c r="T62" i="20"/>
  <c r="K62" i="20"/>
  <c r="L61" i="20"/>
  <c r="G62" i="20"/>
  <c r="H61" i="20"/>
  <c r="S64" i="20"/>
  <c r="T63" i="20"/>
  <c r="L62" i="20"/>
  <c r="K63" i="20"/>
  <c r="G63" i="20"/>
  <c r="H62" i="20"/>
  <c r="T64" i="20"/>
  <c r="S65" i="20"/>
  <c r="L63" i="20"/>
  <c r="K64" i="20"/>
  <c r="G64" i="20"/>
  <c r="H63" i="20"/>
  <c r="T65" i="20"/>
  <c r="S66" i="20"/>
  <c r="K65" i="20"/>
  <c r="L64" i="20"/>
  <c r="H64" i="20"/>
  <c r="G65" i="20"/>
  <c r="S67" i="20"/>
  <c r="T66" i="20"/>
  <c r="L65" i="20"/>
  <c r="K66" i="20"/>
  <c r="G66" i="20"/>
  <c r="H65" i="20"/>
  <c r="T67" i="20"/>
  <c r="S68" i="20"/>
  <c r="L66" i="20"/>
  <c r="K67" i="20"/>
  <c r="G67" i="20"/>
  <c r="H66" i="20"/>
  <c r="T68" i="20"/>
  <c r="S69" i="20"/>
  <c r="L67" i="20"/>
  <c r="K68" i="20"/>
  <c r="H67" i="20"/>
  <c r="G68" i="20"/>
  <c r="T69" i="20"/>
  <c r="S70" i="20"/>
  <c r="L68" i="20"/>
  <c r="K69" i="20"/>
  <c r="H68" i="20"/>
  <c r="G69" i="20"/>
  <c r="T70" i="20"/>
  <c r="S71" i="20"/>
  <c r="L69" i="20"/>
  <c r="K70" i="20"/>
  <c r="H69" i="20"/>
  <c r="G70" i="20"/>
  <c r="T71" i="20"/>
  <c r="S72" i="20"/>
  <c r="K71" i="20"/>
  <c r="L70" i="20"/>
  <c r="G71" i="20"/>
  <c r="H70" i="20"/>
  <c r="S73" i="20"/>
  <c r="T72" i="20"/>
  <c r="L71" i="20"/>
  <c r="K72" i="20"/>
  <c r="G72" i="20"/>
  <c r="H71" i="20"/>
  <c r="S74" i="20"/>
  <c r="T73" i="20"/>
  <c r="K73" i="20"/>
  <c r="L72" i="20"/>
  <c r="G73" i="20"/>
  <c r="H72" i="20"/>
  <c r="T74" i="20"/>
  <c r="S75" i="20"/>
  <c r="L73" i="20"/>
  <c r="K74" i="20"/>
  <c r="H73" i="20"/>
  <c r="G74" i="20"/>
  <c r="T75" i="20"/>
  <c r="S76" i="20"/>
  <c r="K75" i="20"/>
  <c r="L74" i="20"/>
  <c r="G75" i="20"/>
  <c r="H74" i="20"/>
  <c r="S77" i="20"/>
  <c r="T76" i="20"/>
  <c r="L75" i="20"/>
  <c r="K76" i="20"/>
  <c r="H75" i="20"/>
  <c r="G76" i="20"/>
  <c r="S78" i="20"/>
  <c r="T77" i="20"/>
  <c r="L76" i="20"/>
  <c r="K77" i="20"/>
  <c r="G77" i="20"/>
  <c r="H76" i="20"/>
  <c r="S79" i="20"/>
  <c r="T78" i="20"/>
  <c r="L77" i="20"/>
  <c r="K78" i="20"/>
  <c r="H77" i="20"/>
  <c r="G78" i="20"/>
  <c r="S80" i="20"/>
  <c r="T79" i="20"/>
  <c r="L78" i="20"/>
  <c r="K79" i="20"/>
  <c r="H78" i="20"/>
  <c r="G79" i="20"/>
  <c r="S81" i="20"/>
  <c r="T80" i="20"/>
  <c r="L79" i="20"/>
  <c r="K80" i="20"/>
  <c r="H79" i="20"/>
  <c r="G80" i="20"/>
  <c r="T81" i="20"/>
  <c r="S82" i="20"/>
  <c r="L80" i="20"/>
  <c r="K81" i="20"/>
  <c r="G81" i="20"/>
  <c r="H80" i="20"/>
  <c r="S83" i="20"/>
  <c r="T82" i="20"/>
  <c r="L81" i="20"/>
  <c r="K82" i="20"/>
  <c r="H81" i="20"/>
  <c r="G82" i="20"/>
  <c r="T83" i="20"/>
  <c r="S84" i="20"/>
  <c r="K83" i="20"/>
  <c r="L82" i="20"/>
  <c r="G83" i="20"/>
  <c r="H82" i="20"/>
  <c r="T84" i="20"/>
  <c r="S85" i="20"/>
  <c r="L83" i="20"/>
  <c r="K84" i="20"/>
  <c r="H83" i="20"/>
  <c r="G84" i="20"/>
  <c r="T85" i="20"/>
  <c r="S86" i="20"/>
  <c r="L84" i="20"/>
  <c r="K85" i="20"/>
  <c r="H84" i="20"/>
  <c r="G85" i="20"/>
  <c r="T86" i="20"/>
  <c r="S87" i="20"/>
  <c r="K86" i="20"/>
  <c r="L85" i="20"/>
  <c r="G86" i="20"/>
  <c r="H85" i="20"/>
  <c r="S88" i="20"/>
  <c r="T87" i="20"/>
  <c r="K87" i="20"/>
  <c r="L86" i="20"/>
  <c r="G87" i="20"/>
  <c r="H86" i="20"/>
  <c r="S89" i="20"/>
  <c r="T88" i="20"/>
  <c r="K88" i="20"/>
  <c r="L87" i="20"/>
  <c r="G88" i="20"/>
  <c r="H87" i="20"/>
  <c r="T89" i="20"/>
  <c r="S90" i="20"/>
  <c r="L88" i="20"/>
  <c r="K89" i="20"/>
  <c r="G89" i="20"/>
  <c r="H88" i="20"/>
  <c r="T90" i="20"/>
  <c r="S91" i="20"/>
  <c r="L89" i="20"/>
  <c r="K90" i="20"/>
  <c r="G90" i="20"/>
  <c r="H89" i="20"/>
  <c r="T91" i="20"/>
  <c r="S92" i="20"/>
  <c r="K91" i="20"/>
  <c r="L90" i="20"/>
  <c r="H90" i="20"/>
  <c r="G91" i="20"/>
  <c r="S93" i="20"/>
  <c r="T92" i="20"/>
  <c r="K92" i="20"/>
  <c r="L91" i="20"/>
  <c r="H91" i="20"/>
  <c r="G92" i="20"/>
  <c r="T93" i="20"/>
  <c r="S94" i="20"/>
  <c r="L92" i="20"/>
  <c r="K93" i="20"/>
  <c r="G93" i="20"/>
  <c r="H92" i="20"/>
  <c r="T94" i="20"/>
  <c r="S95" i="20"/>
  <c r="L93" i="20"/>
  <c r="K94" i="20"/>
  <c r="G94" i="20"/>
  <c r="H93" i="20"/>
  <c r="T95" i="20"/>
  <c r="S96" i="20"/>
  <c r="K95" i="20"/>
  <c r="L94" i="20"/>
  <c r="G95" i="20"/>
  <c r="H94" i="20"/>
  <c r="T96" i="20"/>
  <c r="S97" i="20"/>
  <c r="L95" i="20"/>
  <c r="K96" i="20"/>
  <c r="G96" i="20"/>
  <c r="H95" i="20"/>
  <c r="S98" i="20"/>
  <c r="T97" i="20"/>
  <c r="L96" i="20"/>
  <c r="K97" i="20"/>
  <c r="H96" i="20"/>
  <c r="G97" i="20"/>
  <c r="S99" i="20"/>
  <c r="T98" i="20"/>
  <c r="L97" i="20"/>
  <c r="K98" i="20"/>
  <c r="G98" i="20"/>
  <c r="H97" i="20"/>
  <c r="T99" i="20"/>
  <c r="S100" i="20"/>
  <c r="K99" i="20"/>
  <c r="L98" i="20"/>
  <c r="H98" i="20"/>
  <c r="G99" i="20"/>
  <c r="T100" i="20"/>
  <c r="S101" i="20"/>
  <c r="K100" i="20"/>
  <c r="L99" i="20"/>
  <c r="H99" i="20"/>
  <c r="G100" i="20"/>
  <c r="T101" i="20"/>
  <c r="S102" i="20"/>
  <c r="L100" i="20"/>
  <c r="K101" i="20"/>
  <c r="G101" i="20"/>
  <c r="H100" i="20"/>
  <c r="T102" i="20"/>
  <c r="S103" i="20"/>
  <c r="K102" i="20"/>
  <c r="L101" i="20"/>
  <c r="G102" i="20"/>
  <c r="H101" i="20"/>
  <c r="T103" i="20"/>
  <c r="S104" i="20"/>
  <c r="K103" i="20"/>
  <c r="L102" i="20"/>
  <c r="G103" i="20"/>
  <c r="H102" i="20"/>
  <c r="T104" i="20"/>
  <c r="S105" i="20"/>
  <c r="L103" i="20"/>
  <c r="K104" i="20"/>
  <c r="G104" i="20"/>
  <c r="H103" i="20"/>
  <c r="S106" i="20"/>
  <c r="T105" i="20"/>
  <c r="L104" i="20"/>
  <c r="K105" i="20"/>
  <c r="H104" i="20"/>
  <c r="G105" i="20"/>
  <c r="S107" i="20"/>
  <c r="T106" i="20"/>
  <c r="L105" i="20"/>
  <c r="K106" i="20"/>
  <c r="H105" i="20"/>
  <c r="G106" i="20"/>
  <c r="T107" i="20"/>
  <c r="S108" i="20"/>
  <c r="K107" i="20"/>
  <c r="L106" i="20"/>
  <c r="G107" i="20"/>
  <c r="H106" i="20"/>
  <c r="S109" i="20"/>
  <c r="T108" i="20"/>
  <c r="K108" i="20"/>
  <c r="L107" i="20"/>
  <c r="G108" i="20"/>
  <c r="H107" i="20"/>
  <c r="S110" i="20"/>
  <c r="T109" i="20"/>
  <c r="L108" i="20"/>
  <c r="K109" i="20"/>
  <c r="G109" i="20"/>
  <c r="H108" i="20"/>
  <c r="T110" i="20"/>
  <c r="S111" i="20"/>
  <c r="L109" i="20"/>
  <c r="K110" i="20"/>
  <c r="H109" i="20"/>
  <c r="G110" i="20"/>
  <c r="T111" i="20"/>
  <c r="S112" i="20"/>
  <c r="L110" i="20"/>
  <c r="K111" i="20"/>
  <c r="G111" i="20"/>
  <c r="H110" i="20"/>
  <c r="S113" i="20"/>
  <c r="T112" i="20"/>
  <c r="K112" i="20"/>
  <c r="L111" i="20"/>
  <c r="H111" i="20"/>
  <c r="G112" i="20"/>
  <c r="S114" i="20"/>
  <c r="T113" i="20"/>
  <c r="K113" i="20"/>
  <c r="L112" i="20"/>
  <c r="G113" i="20"/>
  <c r="H112" i="20"/>
  <c r="S115" i="20"/>
  <c r="T114" i="20"/>
  <c r="K114" i="20"/>
  <c r="L113" i="20"/>
  <c r="H113" i="20"/>
  <c r="G114" i="20"/>
  <c r="T115" i="20"/>
  <c r="S116" i="20"/>
  <c r="L114" i="20"/>
  <c r="K115" i="20"/>
  <c r="G115" i="20"/>
  <c r="H114" i="20"/>
  <c r="S117" i="20"/>
  <c r="T116" i="20"/>
  <c r="L115" i="20"/>
  <c r="K116" i="20"/>
  <c r="H115" i="20"/>
  <c r="G116" i="20"/>
  <c r="T117" i="20"/>
  <c r="S118" i="20"/>
  <c r="L116" i="20"/>
  <c r="K117" i="20"/>
  <c r="G117" i="20"/>
  <c r="H116" i="20"/>
  <c r="T118" i="20"/>
  <c r="S119" i="20"/>
  <c r="K118" i="20"/>
  <c r="L117" i="20"/>
  <c r="G118" i="20"/>
  <c r="H117" i="20"/>
  <c r="S120" i="20"/>
  <c r="T119" i="20"/>
  <c r="K119" i="20"/>
  <c r="L118" i="20"/>
  <c r="G119" i="20"/>
  <c r="H118" i="20"/>
  <c r="S121" i="20"/>
  <c r="T120" i="20"/>
  <c r="L119" i="20"/>
  <c r="K120" i="20"/>
  <c r="G120" i="20"/>
  <c r="H119" i="20"/>
  <c r="T121" i="20"/>
  <c r="S122" i="20"/>
  <c r="L120" i="20"/>
  <c r="K121" i="20"/>
  <c r="G121" i="20"/>
  <c r="H120" i="20"/>
  <c r="S123" i="20"/>
  <c r="T122" i="20"/>
  <c r="L121" i="20"/>
  <c r="K122" i="20"/>
  <c r="H121" i="20"/>
  <c r="G122" i="20"/>
  <c r="T123" i="20"/>
  <c r="S124" i="20"/>
  <c r="K123" i="20"/>
  <c r="L122" i="20"/>
  <c r="H122" i="20"/>
  <c r="G123" i="20"/>
  <c r="S125" i="20"/>
  <c r="T124" i="20"/>
  <c r="K124" i="20"/>
  <c r="L123" i="20"/>
  <c r="G124" i="20"/>
  <c r="H123" i="20"/>
  <c r="S126" i="20"/>
  <c r="T125" i="20"/>
  <c r="L124" i="20"/>
  <c r="K125" i="20"/>
  <c r="G125" i="20"/>
  <c r="H124" i="20"/>
  <c r="T126" i="20"/>
  <c r="S127" i="20"/>
  <c r="L125" i="20"/>
  <c r="K126" i="20"/>
  <c r="H125" i="20"/>
  <c r="G126" i="20"/>
  <c r="T127" i="20"/>
  <c r="S128" i="20"/>
  <c r="K127" i="20"/>
  <c r="L126" i="20"/>
  <c r="G127" i="20"/>
  <c r="H126" i="20"/>
  <c r="S129" i="20"/>
  <c r="T128" i="20"/>
  <c r="K128" i="20"/>
  <c r="L127" i="20"/>
  <c r="G128" i="20"/>
  <c r="H127" i="20"/>
  <c r="S130" i="20"/>
  <c r="T129" i="20"/>
  <c r="L128" i="20"/>
  <c r="K129" i="20"/>
  <c r="G129" i="20"/>
  <c r="H128" i="20"/>
  <c r="S131" i="20"/>
  <c r="T130" i="20"/>
  <c r="L129" i="20"/>
  <c r="K130" i="20"/>
  <c r="G130" i="20"/>
  <c r="H129" i="20"/>
  <c r="T131" i="20"/>
  <c r="S132" i="20"/>
  <c r="K131" i="20"/>
  <c r="L130" i="20"/>
  <c r="H130" i="20"/>
  <c r="G131" i="20"/>
  <c r="S133" i="20"/>
  <c r="T132" i="20"/>
  <c r="L131" i="20"/>
  <c r="K132" i="20"/>
  <c r="H131" i="20"/>
  <c r="G132" i="20"/>
  <c r="T133" i="20"/>
  <c r="S134" i="20"/>
  <c r="L132" i="20"/>
  <c r="K133" i="20"/>
  <c r="H132" i="20"/>
  <c r="G133" i="20"/>
  <c r="T134" i="20"/>
  <c r="S135" i="20"/>
  <c r="K134" i="20"/>
  <c r="L133" i="20"/>
  <c r="G134" i="20"/>
  <c r="H133" i="20"/>
  <c r="T135" i="20"/>
  <c r="S136" i="20"/>
  <c r="L134" i="20"/>
  <c r="K135" i="20"/>
  <c r="H134" i="20"/>
  <c r="G135" i="20"/>
  <c r="S137" i="20"/>
  <c r="T136" i="20"/>
  <c r="L135" i="20"/>
  <c r="K136" i="20"/>
  <c r="G136" i="20"/>
  <c r="H135" i="20"/>
  <c r="S138" i="20"/>
  <c r="T137" i="20"/>
  <c r="L136" i="20"/>
  <c r="K137" i="20"/>
  <c r="H136" i="20"/>
  <c r="G137" i="20"/>
  <c r="S139" i="20"/>
  <c r="T138" i="20"/>
  <c r="L137" i="20"/>
  <c r="K138" i="20"/>
  <c r="H137" i="20"/>
  <c r="G138" i="20"/>
  <c r="T139" i="20"/>
  <c r="S140" i="20"/>
  <c r="K139" i="20"/>
  <c r="L138" i="20"/>
  <c r="G139" i="20"/>
  <c r="H138" i="20"/>
  <c r="S141" i="20"/>
  <c r="T140" i="20"/>
  <c r="L139" i="20"/>
  <c r="K140" i="20"/>
  <c r="G140" i="20"/>
  <c r="H139" i="20"/>
  <c r="S142" i="20"/>
  <c r="T141" i="20"/>
  <c r="L140" i="20"/>
  <c r="K141" i="20"/>
  <c r="G141" i="20"/>
  <c r="H140" i="20"/>
  <c r="T142" i="20"/>
  <c r="S143" i="20"/>
  <c r="L141" i="20"/>
  <c r="K142" i="20"/>
  <c r="H141" i="20"/>
  <c r="G142" i="20"/>
  <c r="T143" i="20"/>
  <c r="S144" i="20"/>
  <c r="L142" i="20"/>
  <c r="K143" i="20"/>
  <c r="H142" i="20"/>
  <c r="G143" i="20"/>
  <c r="S145" i="20"/>
  <c r="T144" i="20"/>
  <c r="K144" i="20"/>
  <c r="L143" i="20"/>
  <c r="H143" i="20"/>
  <c r="G144" i="20"/>
  <c r="T145" i="20"/>
  <c r="S146" i="20"/>
  <c r="K145" i="20"/>
  <c r="L144" i="20"/>
  <c r="G145" i="20"/>
  <c r="H144" i="20"/>
  <c r="S147" i="20"/>
  <c r="T146" i="20"/>
  <c r="K146" i="20"/>
  <c r="L145" i="20"/>
  <c r="H145" i="20"/>
  <c r="G146" i="20"/>
  <c r="T147" i="20"/>
  <c r="S148" i="20"/>
  <c r="L146" i="20"/>
  <c r="K147" i="20"/>
  <c r="G147" i="20"/>
  <c r="H146" i="20"/>
  <c r="S149" i="20"/>
  <c r="T148" i="20"/>
  <c r="K148" i="20"/>
  <c r="L147" i="20"/>
  <c r="H147" i="20"/>
  <c r="G148" i="20"/>
  <c r="S150" i="20"/>
  <c r="T149" i="20"/>
  <c r="L148" i="20"/>
  <c r="K149" i="20"/>
  <c r="H148" i="20"/>
  <c r="G149" i="20"/>
  <c r="T150" i="20"/>
  <c r="S151" i="20"/>
  <c r="K150" i="20"/>
  <c r="L149" i="20"/>
  <c r="G150" i="20"/>
  <c r="H149" i="20"/>
  <c r="S152" i="20"/>
  <c r="T151" i="20"/>
  <c r="K151" i="20"/>
  <c r="L150" i="20"/>
  <c r="G151" i="20"/>
  <c r="H150" i="20"/>
  <c r="S153" i="20"/>
  <c r="T152" i="20"/>
  <c r="K152" i="20"/>
  <c r="L151" i="20"/>
  <c r="G152" i="20"/>
  <c r="H151" i="20"/>
  <c r="T153" i="20"/>
  <c r="S154" i="20"/>
  <c r="L152" i="20"/>
  <c r="K153" i="20"/>
  <c r="H152" i="20"/>
  <c r="G153" i="20"/>
  <c r="T154" i="20"/>
  <c r="S155" i="20"/>
  <c r="K154" i="20"/>
  <c r="L153" i="20"/>
  <c r="H153" i="20"/>
  <c r="G154" i="20"/>
  <c r="S156" i="20"/>
  <c r="T155" i="20"/>
  <c r="L154" i="20"/>
  <c r="K155" i="20"/>
  <c r="G155" i="20"/>
  <c r="H154" i="20"/>
  <c r="S157" i="20"/>
  <c r="T156" i="20"/>
  <c r="L155" i="20"/>
  <c r="K156" i="20"/>
  <c r="G156" i="20"/>
  <c r="H155" i="20"/>
  <c r="S158" i="20"/>
  <c r="T157" i="20"/>
  <c r="K157" i="20"/>
  <c r="L156" i="20"/>
  <c r="G157" i="20"/>
  <c r="H156" i="20"/>
  <c r="S159" i="20"/>
  <c r="T158" i="20"/>
  <c r="L157" i="20"/>
  <c r="K158" i="20"/>
  <c r="G158" i="20"/>
  <c r="H157" i="20"/>
  <c r="S160" i="20"/>
  <c r="T159" i="20"/>
  <c r="L158" i="20"/>
  <c r="K159" i="20"/>
  <c r="G159" i="20"/>
  <c r="H158" i="20"/>
  <c r="S161" i="20"/>
  <c r="T160" i="20"/>
  <c r="K160" i="20"/>
  <c r="L159" i="20"/>
  <c r="H159" i="20"/>
  <c r="G160" i="20"/>
  <c r="T161" i="20"/>
  <c r="S162" i="20"/>
  <c r="L160" i="20"/>
  <c r="K161" i="20"/>
  <c r="G161" i="20"/>
  <c r="H160" i="20"/>
  <c r="S163" i="20"/>
  <c r="T162" i="20"/>
  <c r="K162" i="20"/>
  <c r="L161" i="20"/>
  <c r="G162" i="20"/>
  <c r="H161" i="20"/>
  <c r="S164" i="20"/>
  <c r="T163" i="20"/>
  <c r="L162" i="20"/>
  <c r="K163" i="20"/>
  <c r="G163" i="20"/>
  <c r="H162" i="20"/>
  <c r="S165" i="20"/>
  <c r="T164" i="20"/>
  <c r="L163" i="20"/>
  <c r="K164" i="20"/>
  <c r="H163" i="20"/>
  <c r="G164" i="20"/>
  <c r="S166" i="20"/>
  <c r="T165" i="20"/>
  <c r="K165" i="20"/>
  <c r="L164" i="20"/>
  <c r="G165" i="20"/>
  <c r="H164" i="20"/>
  <c r="T166" i="20"/>
  <c r="S167" i="20"/>
  <c r="K166" i="20"/>
  <c r="L165" i="20"/>
  <c r="H165" i="20"/>
  <c r="G166" i="20"/>
  <c r="S168" i="20"/>
  <c r="T167" i="20"/>
  <c r="K167" i="20"/>
  <c r="L166" i="20"/>
  <c r="G167" i="20"/>
  <c r="H166" i="20"/>
  <c r="T168" i="20"/>
  <c r="S169" i="20"/>
  <c r="L167" i="20"/>
  <c r="K168" i="20"/>
  <c r="G168" i="20"/>
  <c r="H167" i="20"/>
  <c r="T169" i="20"/>
  <c r="S170" i="20"/>
  <c r="L168" i="20"/>
  <c r="K169" i="20"/>
  <c r="G169" i="20"/>
  <c r="H168" i="20"/>
  <c r="T170" i="20"/>
  <c r="S171" i="20"/>
  <c r="L169" i="20"/>
  <c r="K170" i="20"/>
  <c r="G170" i="20"/>
  <c r="H169" i="20"/>
  <c r="S172" i="20"/>
  <c r="T171" i="20"/>
  <c r="L170" i="20"/>
  <c r="K171" i="20"/>
  <c r="H170" i="20"/>
  <c r="G171" i="20"/>
  <c r="S173" i="20"/>
  <c r="T172" i="20"/>
  <c r="L171" i="20"/>
  <c r="K172" i="20"/>
  <c r="H171" i="20"/>
  <c r="G172" i="20"/>
  <c r="S174" i="20"/>
  <c r="T173" i="20"/>
  <c r="L172" i="20"/>
  <c r="K173" i="20"/>
  <c r="G173" i="20"/>
  <c r="H172" i="20"/>
  <c r="T174" i="20"/>
  <c r="S175" i="20"/>
  <c r="L173" i="20"/>
  <c r="K174" i="20"/>
  <c r="H173" i="20"/>
  <c r="G174" i="20"/>
  <c r="T175" i="20"/>
  <c r="S176" i="20"/>
  <c r="L174" i="20"/>
  <c r="K175" i="20"/>
  <c r="H174" i="20"/>
  <c r="G175" i="20"/>
  <c r="S177" i="20"/>
  <c r="T176" i="20"/>
  <c r="L175" i="20"/>
  <c r="K176" i="20"/>
  <c r="G176" i="20"/>
  <c r="H175" i="20"/>
  <c r="S178" i="20"/>
  <c r="T177" i="20"/>
  <c r="L176" i="20"/>
  <c r="K177" i="20"/>
  <c r="G177" i="20"/>
  <c r="H176" i="20"/>
  <c r="S179" i="20"/>
  <c r="T178" i="20"/>
  <c r="K178" i="20"/>
  <c r="L177" i="20"/>
  <c r="G178" i="20"/>
  <c r="H177" i="20"/>
  <c r="S180" i="20"/>
  <c r="T179" i="20"/>
  <c r="L178" i="20"/>
  <c r="K179" i="20"/>
  <c r="H178" i="20"/>
  <c r="G179" i="20"/>
  <c r="S181" i="20"/>
  <c r="T180" i="20"/>
  <c r="L179" i="20"/>
  <c r="K180" i="20"/>
  <c r="H179" i="20"/>
  <c r="G180" i="20"/>
  <c r="T181" i="20"/>
  <c r="S182" i="20"/>
  <c r="K181" i="20"/>
  <c r="L180" i="20"/>
  <c r="H180" i="20"/>
  <c r="G181" i="20"/>
  <c r="S183" i="20"/>
  <c r="T182" i="20"/>
  <c r="K182" i="20"/>
  <c r="L181" i="20"/>
  <c r="G182" i="20"/>
  <c r="H181" i="20"/>
  <c r="S184" i="20"/>
  <c r="T183" i="20"/>
  <c r="L182" i="20"/>
  <c r="K183" i="20"/>
  <c r="G183" i="20"/>
  <c r="H182" i="20"/>
  <c r="S185" i="20"/>
  <c r="T184" i="20"/>
  <c r="K184" i="20"/>
  <c r="L183" i="20"/>
  <c r="H183" i="20"/>
  <c r="G184" i="20"/>
  <c r="T185" i="20"/>
  <c r="S186" i="20"/>
  <c r="L184" i="20"/>
  <c r="K185" i="20"/>
  <c r="H184" i="20"/>
  <c r="G185" i="20"/>
  <c r="T186" i="20"/>
  <c r="S187" i="20"/>
  <c r="L185" i="20"/>
  <c r="K186" i="20"/>
  <c r="H185" i="20"/>
  <c r="G186" i="20"/>
  <c r="T187" i="20"/>
  <c r="S188" i="20"/>
  <c r="L186" i="20"/>
  <c r="K187" i="20"/>
  <c r="G187" i="20"/>
  <c r="H186" i="20"/>
  <c r="S189" i="20"/>
  <c r="T188" i="20"/>
  <c r="L187" i="20"/>
  <c r="K188" i="20"/>
  <c r="G188" i="20"/>
  <c r="H187" i="20"/>
  <c r="S190" i="20"/>
  <c r="T189" i="20"/>
  <c r="L188" i="20"/>
  <c r="K189" i="20"/>
  <c r="G189" i="20"/>
  <c r="H188" i="20"/>
  <c r="S191" i="20"/>
  <c r="T190" i="20"/>
  <c r="K190" i="20"/>
  <c r="L189" i="20"/>
  <c r="H189" i="20"/>
  <c r="G190" i="20"/>
  <c r="T191" i="20"/>
  <c r="S192" i="20"/>
  <c r="L190" i="20"/>
  <c r="K191" i="20"/>
  <c r="G191" i="20"/>
  <c r="H190" i="20"/>
  <c r="T192" i="20"/>
  <c r="S193" i="20"/>
  <c r="K192" i="20"/>
  <c r="L191" i="20"/>
  <c r="G192" i="20"/>
  <c r="H191" i="20"/>
  <c r="S194" i="20"/>
  <c r="T193" i="20"/>
  <c r="L192" i="20"/>
  <c r="K193" i="20"/>
  <c r="G193" i="20"/>
  <c r="H192" i="20"/>
  <c r="S195" i="20"/>
  <c r="T194" i="20"/>
  <c r="K194" i="20"/>
  <c r="L193" i="20"/>
  <c r="H193" i="20"/>
  <c r="G194" i="20"/>
  <c r="T195" i="20"/>
  <c r="S196" i="20"/>
  <c r="L194" i="20"/>
  <c r="K195" i="20"/>
  <c r="G195" i="20"/>
  <c r="H194" i="20"/>
  <c r="S197" i="20"/>
  <c r="T196" i="20"/>
  <c r="L195" i="20"/>
  <c r="K196" i="20"/>
  <c r="H195" i="20"/>
  <c r="G196" i="20"/>
  <c r="S198" i="20"/>
  <c r="T197" i="20"/>
  <c r="K197" i="20"/>
  <c r="L196" i="20"/>
  <c r="G197" i="20"/>
  <c r="H196" i="20"/>
  <c r="T198" i="20"/>
  <c r="S199" i="20"/>
  <c r="L197" i="20"/>
  <c r="K198" i="20"/>
  <c r="H197" i="20"/>
  <c r="G198" i="20"/>
  <c r="T199" i="20"/>
  <c r="S200" i="20"/>
  <c r="K199" i="20"/>
  <c r="L198" i="20"/>
  <c r="H198" i="20"/>
  <c r="G199" i="20"/>
  <c r="T200" i="20"/>
  <c r="S201" i="20"/>
  <c r="L199" i="20"/>
  <c r="K200" i="20"/>
  <c r="G200" i="20"/>
  <c r="H199" i="20"/>
  <c r="S202" i="20"/>
  <c r="T201" i="20"/>
  <c r="L200" i="20"/>
  <c r="K201" i="20"/>
  <c r="G201" i="20"/>
  <c r="H200" i="20"/>
  <c r="T202" i="20"/>
  <c r="S203" i="20"/>
  <c r="K202" i="20"/>
  <c r="L201" i="20"/>
  <c r="G202" i="20"/>
  <c r="H201" i="20"/>
  <c r="S204" i="20"/>
  <c r="T203" i="20"/>
  <c r="L202" i="20"/>
  <c r="K203" i="20"/>
  <c r="H202" i="20"/>
  <c r="G203" i="20"/>
  <c r="T204" i="20"/>
  <c r="S205" i="20"/>
  <c r="L203" i="20"/>
  <c r="K204" i="20"/>
  <c r="H203" i="20"/>
  <c r="G204" i="20"/>
  <c r="T205" i="20"/>
  <c r="S206" i="20"/>
  <c r="K205" i="20"/>
  <c r="L204" i="20"/>
  <c r="H204" i="20"/>
  <c r="G205" i="20"/>
  <c r="T206" i="20"/>
  <c r="S207" i="20"/>
  <c r="K206" i="20"/>
  <c r="L205" i="20"/>
  <c r="H205" i="20"/>
  <c r="G206" i="20"/>
  <c r="T207" i="20"/>
  <c r="S208" i="20"/>
  <c r="L206" i="20"/>
  <c r="K207" i="20"/>
  <c r="G207" i="20"/>
  <c r="H206" i="20"/>
  <c r="T208" i="20"/>
  <c r="S209" i="20"/>
  <c r="K208" i="20"/>
  <c r="L207" i="20"/>
  <c r="H207" i="20"/>
  <c r="G208" i="20"/>
  <c r="S210" i="20"/>
  <c r="T209" i="20"/>
  <c r="K209" i="20"/>
  <c r="L208" i="20"/>
  <c r="H208" i="20"/>
  <c r="G209" i="20"/>
  <c r="T210" i="20"/>
  <c r="S211" i="20"/>
  <c r="K210" i="20"/>
  <c r="L209" i="20"/>
  <c r="G210" i="20"/>
  <c r="H209" i="20"/>
  <c r="S212" i="20"/>
  <c r="T211" i="20"/>
  <c r="L210" i="20"/>
  <c r="K211" i="20"/>
  <c r="H210" i="20"/>
  <c r="G211" i="20"/>
  <c r="T212" i="20"/>
  <c r="S213" i="20"/>
  <c r="L211" i="20"/>
  <c r="K212" i="20"/>
  <c r="H211" i="20"/>
  <c r="G212" i="20"/>
  <c r="S214" i="20"/>
  <c r="T213" i="20"/>
  <c r="K213" i="20"/>
  <c r="L212" i="20"/>
  <c r="G213" i="20"/>
  <c r="H212" i="20"/>
  <c r="S215" i="20"/>
  <c r="T214" i="20"/>
  <c r="K214" i="20"/>
  <c r="L213" i="20"/>
  <c r="G214" i="20"/>
  <c r="H213" i="20"/>
  <c r="S216" i="20"/>
  <c r="T215" i="20"/>
  <c r="L214" i="20"/>
  <c r="K215" i="20"/>
  <c r="G215" i="20"/>
  <c r="H214" i="20"/>
  <c r="S217" i="20"/>
  <c r="T216" i="20"/>
  <c r="L215" i="20"/>
  <c r="K216" i="20"/>
  <c r="G216" i="20"/>
  <c r="H215" i="20"/>
  <c r="T217" i="20"/>
  <c r="S218" i="20"/>
  <c r="L216" i="20"/>
  <c r="K217" i="20"/>
  <c r="H216" i="20"/>
  <c r="G217" i="20"/>
  <c r="T218" i="20"/>
  <c r="S219" i="20"/>
  <c r="L217" i="20"/>
  <c r="K218" i="20"/>
  <c r="H217" i="20"/>
  <c r="G218" i="20"/>
  <c r="T219" i="20"/>
  <c r="S220" i="20"/>
  <c r="L218" i="20"/>
  <c r="K219" i="20"/>
  <c r="H218" i="20"/>
  <c r="G219" i="20"/>
  <c r="T220" i="20"/>
  <c r="S221" i="20"/>
  <c r="K220" i="20"/>
  <c r="L219" i="20"/>
  <c r="G220" i="20"/>
  <c r="H219" i="20"/>
  <c r="T221" i="20"/>
  <c r="S222" i="20"/>
  <c r="L220" i="20"/>
  <c r="K221" i="20"/>
  <c r="G221" i="20"/>
  <c r="H220" i="20"/>
  <c r="S223" i="20"/>
  <c r="T222" i="20"/>
  <c r="K222" i="20"/>
  <c r="L221" i="20"/>
  <c r="H221" i="20"/>
  <c r="G222" i="20"/>
  <c r="T223" i="20"/>
  <c r="S224" i="20"/>
  <c r="L222" i="20"/>
  <c r="K223" i="20"/>
  <c r="G223" i="20"/>
  <c r="H222" i="20"/>
  <c r="T224" i="20"/>
  <c r="S225" i="20"/>
  <c r="L223" i="20"/>
  <c r="K224" i="20"/>
  <c r="H223" i="20"/>
  <c r="G224" i="20"/>
  <c r="T225" i="20"/>
  <c r="S226" i="20"/>
  <c r="L224" i="20"/>
  <c r="K225" i="20"/>
  <c r="G225" i="20"/>
  <c r="H224" i="20"/>
  <c r="T226" i="20"/>
  <c r="S227" i="20"/>
  <c r="L225" i="20"/>
  <c r="K226" i="20"/>
  <c r="H225" i="20"/>
  <c r="G226" i="20"/>
  <c r="T227" i="20"/>
  <c r="S228" i="20"/>
  <c r="L226" i="20"/>
  <c r="K227" i="20"/>
  <c r="H226" i="20"/>
  <c r="G227" i="20"/>
  <c r="T228" i="20"/>
  <c r="S229" i="20"/>
  <c r="K228" i="20"/>
  <c r="L227" i="20"/>
  <c r="G228" i="20"/>
  <c r="H227" i="20"/>
  <c r="T229" i="20"/>
  <c r="S230" i="20"/>
  <c r="K229" i="20"/>
  <c r="L228" i="20"/>
  <c r="G229" i="20"/>
  <c r="H228" i="20"/>
  <c r="T230" i="20"/>
  <c r="S231" i="20"/>
  <c r="K230" i="20"/>
  <c r="L229" i="20"/>
  <c r="H229" i="20"/>
  <c r="G230" i="20"/>
  <c r="T231" i="20"/>
  <c r="S232" i="20"/>
  <c r="K231" i="20"/>
  <c r="L230" i="20"/>
  <c r="G231" i="20"/>
  <c r="H230" i="20"/>
  <c r="T232" i="20"/>
  <c r="S233" i="20"/>
  <c r="K232" i="20"/>
  <c r="L231" i="20"/>
  <c r="H231" i="20"/>
  <c r="G232" i="20"/>
  <c r="T233" i="20"/>
  <c r="S234" i="20"/>
  <c r="L232" i="20"/>
  <c r="K233" i="20"/>
  <c r="H232" i="20"/>
  <c r="G233" i="20"/>
  <c r="S235" i="20"/>
  <c r="T234" i="20"/>
  <c r="L233" i="20"/>
  <c r="K234" i="20"/>
  <c r="G234" i="20"/>
  <c r="H233" i="20"/>
  <c r="T235" i="20"/>
  <c r="S236" i="20"/>
  <c r="L234" i="20"/>
  <c r="K235" i="20"/>
  <c r="H234" i="20"/>
  <c r="G235" i="20"/>
  <c r="T236" i="20"/>
  <c r="S237" i="20"/>
  <c r="K236" i="20"/>
  <c r="L235" i="20"/>
  <c r="H235" i="20"/>
  <c r="G236" i="20"/>
  <c r="T237" i="20"/>
  <c r="S238" i="20"/>
  <c r="K237" i="20"/>
  <c r="L236" i="20"/>
  <c r="H236" i="20"/>
  <c r="G237" i="20"/>
  <c r="T238" i="20"/>
  <c r="S239" i="20"/>
  <c r="K238" i="20"/>
  <c r="L237" i="20"/>
  <c r="H237" i="20"/>
  <c r="G238" i="20"/>
  <c r="S240" i="20"/>
  <c r="T239" i="20"/>
  <c r="L238" i="20"/>
  <c r="K239" i="20"/>
  <c r="G239" i="20"/>
  <c r="H238" i="20"/>
  <c r="T240" i="20"/>
  <c r="S241" i="20"/>
  <c r="K240" i="20"/>
  <c r="L239" i="20"/>
  <c r="G240" i="20"/>
  <c r="H239" i="20"/>
  <c r="S242" i="20"/>
  <c r="T241" i="20"/>
  <c r="K241" i="20"/>
  <c r="L240" i="20"/>
  <c r="G241" i="20"/>
  <c r="H240" i="20"/>
  <c r="S243" i="20"/>
  <c r="T242" i="20"/>
  <c r="L241" i="20"/>
  <c r="K242" i="20"/>
  <c r="H241" i="20"/>
  <c r="G242" i="20"/>
  <c r="S244" i="20"/>
  <c r="T243" i="20"/>
  <c r="K243" i="20"/>
  <c r="L242" i="20"/>
  <c r="H242" i="20"/>
  <c r="G243" i="20"/>
  <c r="S245" i="20"/>
  <c r="T244" i="20"/>
  <c r="K244" i="20"/>
  <c r="L243" i="20"/>
  <c r="G244" i="20"/>
  <c r="H243" i="20"/>
  <c r="S246" i="20"/>
  <c r="T245" i="20"/>
  <c r="K245" i="20"/>
  <c r="L244" i="20"/>
  <c r="G245" i="20"/>
  <c r="H244" i="20"/>
  <c r="S247" i="20"/>
  <c r="T246" i="20"/>
  <c r="K246" i="20"/>
  <c r="L245" i="20"/>
  <c r="G246" i="20"/>
  <c r="H245" i="20"/>
  <c r="T247" i="20"/>
  <c r="S248" i="20"/>
  <c r="L246" i="20"/>
  <c r="K247" i="20"/>
  <c r="G247" i="20"/>
  <c r="H246" i="20"/>
  <c r="S249" i="20"/>
  <c r="T248" i="20"/>
  <c r="K248" i="20"/>
  <c r="L247" i="20"/>
  <c r="H247" i="20"/>
  <c r="G248" i="20"/>
  <c r="T249" i="20"/>
  <c r="S250" i="20"/>
  <c r="L248" i="20"/>
  <c r="K249" i="20"/>
  <c r="H248" i="20"/>
  <c r="G249" i="20"/>
  <c r="T250" i="20"/>
  <c r="S251" i="20"/>
  <c r="L249" i="20"/>
  <c r="K250" i="20"/>
  <c r="G250" i="20"/>
  <c r="H249" i="20"/>
  <c r="S252" i="20"/>
  <c r="T251" i="20"/>
  <c r="L250" i="20"/>
  <c r="K251" i="20"/>
  <c r="H250" i="20"/>
  <c r="G251" i="20"/>
  <c r="T252" i="20"/>
  <c r="S253" i="20"/>
  <c r="K252" i="20"/>
  <c r="L251" i="20"/>
  <c r="G252" i="20"/>
  <c r="H251" i="20"/>
  <c r="S254" i="20"/>
  <c r="T253" i="20"/>
  <c r="L252" i="20"/>
  <c r="K253" i="20"/>
  <c r="H252" i="20"/>
  <c r="G253" i="20"/>
  <c r="S255" i="20"/>
  <c r="T254" i="20"/>
  <c r="K254" i="20"/>
  <c r="L253" i="20"/>
  <c r="G254" i="20"/>
  <c r="H253" i="20"/>
  <c r="S256" i="20"/>
  <c r="T255" i="20"/>
  <c r="L254" i="20"/>
  <c r="K255" i="20"/>
  <c r="G255" i="20"/>
  <c r="H254" i="20"/>
  <c r="S257" i="20"/>
  <c r="T256" i="20"/>
  <c r="K256" i="20"/>
  <c r="L255" i="20"/>
  <c r="H255" i="20"/>
  <c r="G256" i="20"/>
  <c r="T257" i="20"/>
  <c r="S258" i="20"/>
  <c r="L256" i="20"/>
  <c r="K257" i="20"/>
  <c r="H256" i="20"/>
  <c r="G257" i="20"/>
  <c r="S259" i="20"/>
  <c r="T258" i="20"/>
  <c r="L257" i="20"/>
  <c r="K258" i="20"/>
  <c r="G258" i="20"/>
  <c r="H257" i="20"/>
  <c r="T259" i="20"/>
  <c r="S260" i="20"/>
  <c r="L258" i="20"/>
  <c r="K259" i="20"/>
  <c r="G259" i="20"/>
  <c r="H258" i="20"/>
  <c r="T260" i="20"/>
  <c r="S261" i="20"/>
  <c r="K260" i="20"/>
  <c r="L259" i="20"/>
  <c r="H259" i="20"/>
  <c r="G260" i="20"/>
  <c r="T261" i="20"/>
  <c r="S262" i="20"/>
  <c r="K261" i="20"/>
  <c r="L260" i="20"/>
  <c r="H260" i="20"/>
  <c r="G261" i="20"/>
  <c r="S263" i="20"/>
  <c r="T262" i="20"/>
  <c r="K262" i="20"/>
  <c r="L261" i="20"/>
  <c r="G262" i="20"/>
  <c r="H261" i="20"/>
  <c r="T263" i="20"/>
  <c r="S264" i="20"/>
  <c r="L262" i="20"/>
  <c r="K263" i="20"/>
  <c r="H262" i="20"/>
  <c r="G263" i="20"/>
  <c r="T264" i="20"/>
  <c r="S265" i="20"/>
  <c r="K264" i="20"/>
  <c r="L263" i="20"/>
  <c r="G264" i="20"/>
  <c r="H263" i="20"/>
  <c r="T265" i="20"/>
  <c r="S266" i="20"/>
  <c r="L264" i="20"/>
  <c r="K265" i="20"/>
  <c r="H264" i="20"/>
  <c r="G265" i="20"/>
  <c r="T266" i="20"/>
  <c r="S267" i="20"/>
  <c r="K266" i="20"/>
  <c r="L265" i="20"/>
  <c r="G266" i="20"/>
  <c r="H265" i="20"/>
  <c r="T267" i="20"/>
  <c r="S268" i="20"/>
  <c r="L266" i="20"/>
  <c r="K267" i="20"/>
  <c r="H266" i="20"/>
  <c r="G267" i="20"/>
  <c r="T268" i="20"/>
  <c r="S269" i="20"/>
  <c r="L267" i="20"/>
  <c r="K268" i="20"/>
  <c r="H267" i="20"/>
  <c r="G268" i="20"/>
  <c r="S270" i="20"/>
  <c r="T269" i="20"/>
  <c r="K269" i="20"/>
  <c r="L268" i="20"/>
  <c r="H268" i="20"/>
  <c r="G269" i="20"/>
  <c r="T270" i="20"/>
  <c r="S271" i="20"/>
  <c r="K270" i="20"/>
  <c r="L269" i="20"/>
  <c r="H269" i="20"/>
  <c r="G270" i="20"/>
  <c r="T271" i="20"/>
  <c r="S272" i="20"/>
  <c r="K271" i="20"/>
  <c r="L270" i="20"/>
  <c r="G271" i="20"/>
  <c r="H270" i="20"/>
  <c r="S273" i="20"/>
  <c r="T272" i="20"/>
  <c r="L271" i="20"/>
  <c r="K272" i="20"/>
  <c r="G272" i="20"/>
  <c r="H271" i="20"/>
  <c r="S274" i="20"/>
  <c r="T273" i="20"/>
  <c r="L272" i="20"/>
  <c r="K273" i="20"/>
  <c r="G273" i="20"/>
  <c r="H272" i="20"/>
  <c r="S275" i="20"/>
  <c r="T274" i="20"/>
  <c r="L273" i="20"/>
  <c r="K274" i="20"/>
  <c r="G274" i="20"/>
  <c r="H273" i="20"/>
  <c r="S276" i="20"/>
  <c r="T275" i="20"/>
  <c r="L274" i="20"/>
  <c r="K275" i="20"/>
  <c r="H274" i="20"/>
  <c r="G275" i="20"/>
  <c r="T276" i="20"/>
  <c r="S277" i="20"/>
  <c r="K276" i="20"/>
  <c r="L275" i="20"/>
  <c r="G276" i="20"/>
  <c r="H275" i="20"/>
  <c r="S278" i="20"/>
  <c r="T277" i="20"/>
  <c r="K277" i="20"/>
  <c r="L276" i="20"/>
  <c r="H276" i="20"/>
  <c r="G277" i="20"/>
  <c r="S279" i="20"/>
  <c r="T278" i="20"/>
  <c r="L277" i="20"/>
  <c r="K278" i="20"/>
  <c r="H277" i="20"/>
  <c r="G278" i="20"/>
  <c r="S280" i="20"/>
  <c r="T279" i="20"/>
  <c r="K279" i="20"/>
  <c r="L278" i="20"/>
  <c r="H278" i="20"/>
  <c r="G279" i="20"/>
  <c r="S281" i="20"/>
  <c r="T280" i="20"/>
  <c r="K280" i="20"/>
  <c r="L279" i="20"/>
  <c r="H279" i="20"/>
  <c r="G280" i="20"/>
  <c r="T281" i="20"/>
  <c r="S282" i="20"/>
  <c r="K281" i="20"/>
  <c r="L280" i="20"/>
  <c r="H280" i="20"/>
  <c r="G281" i="20"/>
  <c r="T282" i="20"/>
  <c r="S283" i="20"/>
  <c r="K282" i="20"/>
  <c r="L281" i="20"/>
  <c r="G282" i="20"/>
  <c r="H281" i="20"/>
  <c r="S284" i="20"/>
  <c r="T283" i="20"/>
  <c r="K283" i="20"/>
  <c r="L282" i="20"/>
  <c r="H282" i="20"/>
  <c r="G283" i="20"/>
  <c r="S285" i="20"/>
  <c r="T284" i="20"/>
  <c r="K284" i="20"/>
  <c r="L283" i="20"/>
  <c r="H283" i="20"/>
  <c r="G284" i="20"/>
  <c r="S286" i="20"/>
  <c r="T285" i="20"/>
  <c r="K285" i="20"/>
  <c r="L284" i="20"/>
  <c r="G285" i="20"/>
  <c r="H284" i="20"/>
  <c r="S287" i="20"/>
  <c r="T286" i="20"/>
  <c r="K286" i="20"/>
  <c r="L285" i="20"/>
  <c r="H285" i="20"/>
  <c r="G286" i="20"/>
  <c r="S288" i="20"/>
  <c r="T287" i="20"/>
  <c r="L286" i="20"/>
  <c r="K287" i="20"/>
  <c r="H286" i="20"/>
  <c r="G287" i="20"/>
  <c r="S289" i="20"/>
  <c r="T288" i="20"/>
  <c r="K288" i="20"/>
  <c r="L287" i="20"/>
  <c r="H287" i="20"/>
  <c r="G288" i="20"/>
  <c r="T289" i="20"/>
  <c r="S290" i="20"/>
  <c r="L288" i="20"/>
  <c r="K289" i="20"/>
  <c r="G289" i="20"/>
  <c r="H288" i="20"/>
  <c r="T290" i="20"/>
  <c r="S291" i="20"/>
  <c r="L289" i="20"/>
  <c r="K290" i="20"/>
  <c r="G290" i="20"/>
  <c r="H289" i="20"/>
  <c r="T291" i="20"/>
  <c r="S292" i="20"/>
  <c r="K291" i="20"/>
  <c r="L290" i="20"/>
  <c r="G291" i="20"/>
  <c r="H290" i="20"/>
  <c r="T292" i="20"/>
  <c r="S293" i="20"/>
  <c r="K292" i="20"/>
  <c r="L291" i="20"/>
  <c r="H291" i="20"/>
  <c r="G292" i="20"/>
  <c r="T293" i="20"/>
  <c r="S294" i="20"/>
  <c r="L292" i="20"/>
  <c r="K293" i="20"/>
  <c r="G293" i="20"/>
  <c r="H292" i="20"/>
  <c r="S295" i="20"/>
  <c r="T294" i="20"/>
  <c r="L293" i="20"/>
  <c r="K294" i="20"/>
  <c r="H293" i="20"/>
  <c r="G294" i="20"/>
  <c r="S296" i="20"/>
  <c r="T295" i="20"/>
  <c r="K295" i="20"/>
  <c r="L294" i="20"/>
  <c r="H294" i="20"/>
  <c r="G295" i="20"/>
  <c r="T296" i="20"/>
  <c r="S297" i="20"/>
  <c r="L295" i="20"/>
  <c r="K296" i="20"/>
  <c r="G296" i="20"/>
  <c r="H295" i="20"/>
  <c r="S298" i="20"/>
  <c r="T297" i="20"/>
  <c r="K297" i="20"/>
  <c r="L296" i="20"/>
  <c r="H296" i="20"/>
  <c r="G297" i="20"/>
  <c r="T298" i="20"/>
  <c r="S299" i="20"/>
  <c r="L297" i="20"/>
  <c r="K298" i="20"/>
  <c r="G298" i="20"/>
  <c r="H297" i="20"/>
  <c r="S300" i="20"/>
  <c r="T299" i="20"/>
  <c r="K299" i="20"/>
  <c r="L298" i="20"/>
  <c r="G299" i="20"/>
  <c r="H298" i="20"/>
  <c r="T300" i="20"/>
  <c r="S301" i="20"/>
  <c r="K300" i="20"/>
  <c r="L299" i="20"/>
  <c r="H299" i="20"/>
  <c r="G300" i="20"/>
  <c r="T301" i="20"/>
  <c r="S302" i="20"/>
  <c r="L300" i="20"/>
  <c r="K301" i="20"/>
  <c r="G301" i="20"/>
  <c r="H300" i="20"/>
  <c r="S303" i="20"/>
  <c r="T302" i="20"/>
  <c r="L301" i="20"/>
  <c r="K302" i="20"/>
  <c r="H301" i="20"/>
  <c r="G302" i="20"/>
  <c r="S304" i="20"/>
  <c r="T303" i="20"/>
  <c r="L302" i="20"/>
  <c r="K303" i="20"/>
  <c r="G303" i="20"/>
  <c r="H302" i="20"/>
  <c r="S305" i="20"/>
  <c r="T304" i="20"/>
  <c r="K304" i="20"/>
  <c r="L303" i="20"/>
  <c r="G304" i="20"/>
  <c r="H303" i="20"/>
  <c r="S306" i="20"/>
  <c r="T305" i="20"/>
  <c r="K305" i="20"/>
  <c r="L304" i="20"/>
  <c r="H304" i="20"/>
  <c r="G305" i="20"/>
  <c r="S307" i="20"/>
  <c r="T306" i="20"/>
  <c r="L305" i="20"/>
  <c r="K306" i="20"/>
  <c r="G306" i="20"/>
  <c r="H305" i="20"/>
  <c r="S308" i="20"/>
  <c r="T307" i="20"/>
  <c r="K307" i="20"/>
  <c r="L306" i="20"/>
  <c r="G307" i="20"/>
  <c r="H306" i="20"/>
  <c r="T308" i="20"/>
  <c r="S309" i="20"/>
  <c r="L307" i="20"/>
  <c r="K308" i="20"/>
  <c r="H307" i="20"/>
  <c r="G308" i="20"/>
  <c r="T309" i="20"/>
  <c r="S310" i="20"/>
  <c r="L308" i="20"/>
  <c r="K309" i="20"/>
  <c r="G309" i="20"/>
  <c r="H308" i="20"/>
  <c r="S311" i="20"/>
  <c r="T310" i="20"/>
  <c r="L309" i="20"/>
  <c r="K310" i="20"/>
  <c r="H309" i="20"/>
  <c r="G310" i="20"/>
  <c r="T311" i="20"/>
  <c r="S312" i="20"/>
  <c r="L310" i="20"/>
  <c r="K311" i="20"/>
  <c r="H310" i="20"/>
  <c r="G311" i="20"/>
  <c r="T312" i="20"/>
  <c r="S313" i="20"/>
  <c r="K312" i="20"/>
  <c r="L311" i="20"/>
  <c r="H311" i="20"/>
  <c r="G312" i="20"/>
  <c r="T313" i="20"/>
  <c r="S314" i="20"/>
  <c r="K313" i="20"/>
  <c r="L312" i="20"/>
  <c r="H312" i="20"/>
  <c r="G313" i="20"/>
  <c r="S315" i="20"/>
  <c r="T314" i="20"/>
  <c r="L313" i="20"/>
  <c r="K314" i="20"/>
  <c r="G314" i="20"/>
  <c r="H313" i="20"/>
  <c r="T315" i="20"/>
  <c r="S316" i="20"/>
  <c r="K315" i="20"/>
  <c r="L314" i="20"/>
  <c r="G315" i="20"/>
  <c r="H314" i="20"/>
  <c r="S317" i="20"/>
  <c r="T316" i="20"/>
  <c r="K316" i="20"/>
  <c r="L315" i="20"/>
  <c r="H315" i="20"/>
  <c r="G316" i="20"/>
  <c r="S318" i="20"/>
  <c r="T317" i="20"/>
  <c r="L316" i="20"/>
  <c r="K317" i="20"/>
  <c r="G317" i="20"/>
  <c r="H316" i="20"/>
  <c r="T318" i="20"/>
  <c r="S319" i="20"/>
  <c r="L317" i="20"/>
  <c r="K318" i="20"/>
  <c r="H317" i="20"/>
  <c r="G318" i="20"/>
  <c r="S320" i="20"/>
  <c r="T319" i="20"/>
  <c r="K319" i="20"/>
  <c r="L318" i="20"/>
  <c r="G319" i="20"/>
  <c r="H318" i="20"/>
  <c r="S321" i="20"/>
  <c r="T320" i="20"/>
  <c r="L319" i="20"/>
  <c r="K320" i="20"/>
  <c r="G320" i="20"/>
  <c r="H319" i="20"/>
  <c r="S322" i="20"/>
  <c r="T321" i="20"/>
  <c r="K321" i="20"/>
  <c r="L320" i="20"/>
  <c r="G321" i="20"/>
  <c r="H320" i="20"/>
  <c r="S323" i="20"/>
  <c r="T322" i="20"/>
  <c r="K322" i="20"/>
  <c r="L321" i="20"/>
  <c r="H321" i="20"/>
  <c r="G322" i="20"/>
  <c r="S324" i="20"/>
  <c r="T323" i="20"/>
  <c r="K323" i="20"/>
  <c r="L322" i="20"/>
  <c r="G323" i="20"/>
  <c r="H322" i="20"/>
  <c r="S325" i="20"/>
  <c r="T324" i="20"/>
  <c r="L323" i="20"/>
  <c r="K324" i="20"/>
  <c r="G324" i="20"/>
  <c r="H323" i="20"/>
  <c r="T325" i="20"/>
  <c r="S326" i="20"/>
  <c r="L324" i="20"/>
  <c r="K325" i="20"/>
  <c r="G325" i="20"/>
  <c r="H324" i="20"/>
  <c r="T326" i="20"/>
  <c r="S327" i="20"/>
  <c r="K326" i="20"/>
  <c r="L325" i="20"/>
  <c r="H325" i="20"/>
  <c r="G326" i="20"/>
  <c r="T327" i="20"/>
  <c r="S328" i="20"/>
  <c r="K327" i="20"/>
  <c r="L326" i="20"/>
  <c r="H326" i="20"/>
  <c r="G327" i="20"/>
  <c r="S329" i="20"/>
  <c r="T328" i="20"/>
  <c r="L327" i="20"/>
  <c r="K328" i="20"/>
  <c r="G328" i="20"/>
  <c r="H327" i="20"/>
  <c r="T329" i="20"/>
  <c r="S330" i="20"/>
  <c r="K329" i="20"/>
  <c r="L328" i="20"/>
  <c r="G329" i="20"/>
  <c r="H328" i="20"/>
  <c r="T330" i="20"/>
  <c r="S331" i="20"/>
  <c r="K330" i="20"/>
  <c r="L329" i="20"/>
  <c r="G330" i="20"/>
  <c r="H329" i="20"/>
  <c r="S332" i="20"/>
  <c r="T331" i="20"/>
  <c r="K331" i="20"/>
  <c r="L330" i="20"/>
  <c r="G331" i="20"/>
  <c r="H330" i="20"/>
  <c r="T332" i="20"/>
  <c r="S333" i="20"/>
  <c r="K332" i="20"/>
  <c r="L331" i="20"/>
  <c r="H331" i="20"/>
  <c r="G332" i="20"/>
  <c r="S334" i="20"/>
  <c r="T333" i="20"/>
  <c r="K333" i="20"/>
  <c r="L332" i="20"/>
  <c r="G333" i="20"/>
  <c r="H332" i="20"/>
  <c r="S335" i="20"/>
  <c r="T334" i="20"/>
  <c r="K334" i="20"/>
  <c r="L333" i="20"/>
  <c r="H333" i="20"/>
  <c r="G334" i="20"/>
  <c r="S336" i="20"/>
  <c r="T335" i="20"/>
  <c r="L334" i="20"/>
  <c r="K335" i="20"/>
  <c r="G335" i="20"/>
  <c r="H334" i="20"/>
  <c r="S337" i="20"/>
  <c r="T336" i="20"/>
  <c r="L335" i="20"/>
  <c r="K336" i="20"/>
  <c r="H335" i="20"/>
  <c r="G336" i="20"/>
  <c r="T337" i="20"/>
  <c r="S338" i="20"/>
  <c r="K337" i="20"/>
  <c r="L336" i="20"/>
  <c r="H336" i="20"/>
  <c r="G337" i="20"/>
  <c r="S339" i="20"/>
  <c r="T338" i="20"/>
  <c r="K338" i="20"/>
  <c r="L337" i="20"/>
  <c r="H337" i="20"/>
  <c r="G338" i="20"/>
  <c r="S340" i="20"/>
  <c r="T339" i="20"/>
  <c r="K339" i="20"/>
  <c r="L338" i="20"/>
  <c r="G339" i="20"/>
  <c r="H338" i="20"/>
  <c r="S341" i="20"/>
  <c r="T340" i="20"/>
  <c r="L339" i="20"/>
  <c r="K340" i="20"/>
  <c r="H339" i="20"/>
  <c r="G340" i="20"/>
  <c r="S342" i="20"/>
  <c r="T341" i="20"/>
  <c r="L340" i="20"/>
  <c r="K341" i="20"/>
  <c r="G341" i="20"/>
  <c r="H340" i="20"/>
  <c r="S343" i="20"/>
  <c r="T342" i="20"/>
  <c r="L341" i="20"/>
  <c r="K342" i="20"/>
  <c r="H341" i="20"/>
  <c r="G342" i="20"/>
  <c r="T343" i="20"/>
  <c r="S344" i="20"/>
  <c r="L342" i="20"/>
  <c r="K343" i="20"/>
  <c r="G343" i="20"/>
  <c r="H342" i="20"/>
  <c r="S345" i="20"/>
  <c r="T344" i="20"/>
  <c r="K344" i="20"/>
  <c r="L343" i="20"/>
  <c r="H343" i="20"/>
  <c r="G344" i="20"/>
  <c r="S346" i="20"/>
  <c r="T345" i="20"/>
  <c r="K345" i="20"/>
  <c r="L344" i="20"/>
  <c r="H344" i="20"/>
  <c r="G345" i="20"/>
  <c r="S347" i="20"/>
  <c r="T346" i="20"/>
  <c r="K346" i="20"/>
  <c r="L345" i="20"/>
  <c r="G346" i="20"/>
  <c r="H345" i="20"/>
  <c r="S348" i="20"/>
  <c r="T347" i="20"/>
  <c r="L346" i="20"/>
  <c r="K347" i="20"/>
  <c r="G347" i="20"/>
  <c r="H346" i="20"/>
  <c r="T348" i="20"/>
  <c r="S349" i="20"/>
  <c r="K348" i="20"/>
  <c r="L347" i="20"/>
  <c r="H347" i="20"/>
  <c r="G348" i="20"/>
  <c r="S350" i="20"/>
  <c r="T349" i="20"/>
  <c r="K349" i="20"/>
  <c r="L348" i="20"/>
  <c r="G349" i="20"/>
  <c r="H348" i="20"/>
  <c r="T350" i="20"/>
  <c r="S351" i="20"/>
  <c r="K350" i="20"/>
  <c r="L349" i="20"/>
  <c r="H349" i="20"/>
  <c r="G350" i="20"/>
  <c r="S352" i="20"/>
  <c r="T351" i="20"/>
  <c r="L350" i="20"/>
  <c r="K351" i="20"/>
  <c r="G351" i="20"/>
  <c r="H350" i="20"/>
  <c r="T352" i="20"/>
  <c r="S353" i="20"/>
  <c r="K352" i="20"/>
  <c r="L351" i="20"/>
  <c r="G352" i="20"/>
  <c r="H351" i="20"/>
  <c r="S354" i="20"/>
  <c r="T353" i="20"/>
  <c r="L352" i="20"/>
  <c r="K353" i="20"/>
  <c r="H352" i="20"/>
  <c r="G353" i="20"/>
  <c r="T354" i="20"/>
  <c r="S355" i="20"/>
  <c r="L353" i="20"/>
  <c r="K354" i="20"/>
  <c r="G354" i="20"/>
  <c r="H353" i="20"/>
  <c r="T355" i="20"/>
  <c r="S356" i="20"/>
  <c r="K355" i="20"/>
  <c r="L354" i="20"/>
  <c r="G355" i="20"/>
  <c r="H354" i="20"/>
  <c r="T356" i="20"/>
  <c r="S357" i="20"/>
  <c r="K356" i="20"/>
  <c r="L355" i="20"/>
  <c r="G356" i="20"/>
  <c r="H355" i="20"/>
  <c r="S358" i="20"/>
  <c r="T357" i="20"/>
  <c r="K357" i="20"/>
  <c r="L356" i="20"/>
  <c r="H356" i="20"/>
  <c r="G357" i="20"/>
  <c r="S359" i="20"/>
  <c r="T358" i="20"/>
  <c r="K358" i="20"/>
  <c r="L357" i="20"/>
  <c r="G358" i="20"/>
  <c r="H357" i="20"/>
  <c r="T359" i="20"/>
  <c r="S360" i="20"/>
  <c r="K359" i="20"/>
  <c r="L358" i="20"/>
  <c r="G359" i="20"/>
  <c r="H358" i="20"/>
  <c r="T360" i="20"/>
  <c r="S361" i="20"/>
  <c r="K360" i="20"/>
  <c r="L359" i="20"/>
  <c r="H359" i="20"/>
  <c r="G360" i="20"/>
  <c r="S362" i="20"/>
  <c r="T361" i="20"/>
  <c r="K361" i="20"/>
  <c r="L360" i="20"/>
  <c r="G361" i="20"/>
  <c r="H360" i="20"/>
  <c r="T362" i="20"/>
  <c r="S363" i="20"/>
  <c r="K362" i="20"/>
  <c r="L361" i="20"/>
  <c r="H361" i="20"/>
  <c r="G362" i="20"/>
  <c r="S364" i="20"/>
  <c r="T363" i="20"/>
  <c r="L362" i="20"/>
  <c r="K363" i="20"/>
  <c r="H362" i="20"/>
  <c r="G363" i="20"/>
  <c r="S365" i="20"/>
  <c r="T364" i="20"/>
  <c r="K364" i="20"/>
  <c r="L363" i="20"/>
  <c r="H363" i="20"/>
  <c r="G364" i="20"/>
  <c r="T365" i="20"/>
  <c r="S366" i="20"/>
  <c r="L364" i="20"/>
  <c r="K365" i="20"/>
  <c r="G365" i="20"/>
  <c r="H364" i="20"/>
  <c r="S367" i="20"/>
  <c r="T366" i="20"/>
  <c r="L365" i="20"/>
  <c r="K366" i="20"/>
  <c r="H365" i="20"/>
  <c r="G366" i="20"/>
  <c r="T367" i="20"/>
  <c r="S368" i="20"/>
  <c r="K367" i="20"/>
  <c r="L366" i="20"/>
  <c r="H366" i="20"/>
  <c r="G367" i="20"/>
  <c r="S369" i="20"/>
  <c r="T368" i="20"/>
  <c r="K368" i="20"/>
  <c r="L367" i="20"/>
  <c r="H367" i="20"/>
  <c r="G368" i="20"/>
  <c r="T369" i="20"/>
  <c r="S370" i="20"/>
  <c r="K369" i="20"/>
  <c r="L368" i="20"/>
  <c r="H368" i="20"/>
  <c r="G369" i="20"/>
  <c r="T370" i="20"/>
  <c r="S371" i="20"/>
  <c r="K370" i="20"/>
  <c r="L369" i="20"/>
  <c r="H369" i="20"/>
  <c r="G370" i="20"/>
  <c r="S372" i="20"/>
  <c r="T371" i="20"/>
  <c r="K371" i="20"/>
  <c r="L370" i="20"/>
  <c r="G371" i="20"/>
  <c r="H370" i="20"/>
  <c r="S373" i="20"/>
  <c r="T372" i="20"/>
  <c r="K372" i="20"/>
  <c r="L371" i="20"/>
  <c r="H371" i="20"/>
  <c r="G372" i="20"/>
  <c r="T373" i="20"/>
  <c r="S374" i="20"/>
  <c r="K373" i="20"/>
  <c r="L372" i="20"/>
  <c r="G373" i="20"/>
  <c r="H372" i="20"/>
  <c r="T374" i="20"/>
  <c r="S375" i="20"/>
  <c r="L373" i="20"/>
  <c r="K374" i="20"/>
  <c r="G374" i="20"/>
  <c r="H373" i="20"/>
  <c r="S376" i="20"/>
  <c r="T375" i="20"/>
  <c r="L374" i="20"/>
  <c r="K375" i="20"/>
  <c r="G375" i="20"/>
  <c r="H374" i="20"/>
  <c r="S377" i="20"/>
  <c r="T376" i="20"/>
  <c r="K376" i="20"/>
  <c r="L375" i="20"/>
  <c r="H375" i="20"/>
  <c r="G376" i="20"/>
  <c r="S378" i="20"/>
  <c r="T377" i="20"/>
  <c r="L376" i="20"/>
  <c r="K377" i="20"/>
  <c r="G377" i="20"/>
  <c r="H376" i="20"/>
  <c r="T378" i="20"/>
  <c r="S379" i="20"/>
  <c r="K378" i="20"/>
  <c r="L377" i="20"/>
  <c r="G378" i="20"/>
  <c r="H377" i="20"/>
  <c r="T379" i="20"/>
  <c r="S380" i="20"/>
  <c r="L378" i="20"/>
  <c r="K379" i="20"/>
  <c r="H378" i="20"/>
  <c r="G379" i="20"/>
  <c r="S381" i="20"/>
  <c r="T380" i="20"/>
  <c r="K380" i="20"/>
  <c r="L379" i="20"/>
  <c r="H379" i="20"/>
  <c r="G380" i="20"/>
  <c r="S382" i="20"/>
  <c r="T381" i="20"/>
  <c r="K381" i="20"/>
  <c r="L380" i="20"/>
  <c r="H380" i="20"/>
  <c r="G381" i="20"/>
  <c r="T382" i="20"/>
  <c r="S383" i="20"/>
  <c r="L381" i="20"/>
  <c r="K382" i="20"/>
  <c r="H381" i="20"/>
  <c r="G382" i="20"/>
  <c r="S384" i="20"/>
  <c r="T383" i="20"/>
  <c r="K383" i="20"/>
  <c r="L382" i="20"/>
  <c r="G383" i="20"/>
  <c r="H382" i="20"/>
  <c r="T384" i="20"/>
  <c r="S385" i="20"/>
  <c r="L383" i="20"/>
  <c r="K384" i="20"/>
  <c r="G384" i="20"/>
  <c r="H383" i="20"/>
  <c r="T385" i="20"/>
  <c r="S386" i="20"/>
  <c r="K385" i="20"/>
  <c r="L384" i="20"/>
  <c r="G385" i="20"/>
  <c r="H384" i="20"/>
  <c r="S387" i="20"/>
  <c r="T386" i="20"/>
  <c r="L385" i="20"/>
  <c r="K386" i="20"/>
  <c r="G386" i="20"/>
  <c r="H385" i="20"/>
  <c r="T387" i="20"/>
  <c r="S388" i="20"/>
  <c r="K387" i="20"/>
  <c r="L386" i="20"/>
  <c r="H386" i="20"/>
  <c r="G387" i="20"/>
  <c r="T388" i="20"/>
  <c r="S389" i="20"/>
  <c r="L387" i="20"/>
  <c r="K388" i="20"/>
  <c r="H387" i="20"/>
  <c r="G388" i="20"/>
  <c r="S390" i="20"/>
  <c r="T389" i="20"/>
  <c r="K389" i="20"/>
  <c r="L388" i="20"/>
  <c r="H388" i="20"/>
  <c r="G389" i="20"/>
  <c r="T390" i="20"/>
  <c r="S391" i="20"/>
  <c r="L389" i="20"/>
  <c r="K390" i="20"/>
  <c r="G390" i="20"/>
  <c r="H389" i="20"/>
  <c r="S392" i="20"/>
  <c r="T391" i="20"/>
  <c r="L390" i="20"/>
  <c r="K391" i="20"/>
  <c r="G391" i="20"/>
  <c r="H390" i="20"/>
  <c r="S393" i="20"/>
  <c r="T392" i="20"/>
  <c r="K392" i="20"/>
  <c r="L391" i="20"/>
  <c r="H391" i="20"/>
  <c r="G392" i="20"/>
  <c r="T393" i="20"/>
  <c r="S394" i="20"/>
  <c r="L392" i="20"/>
  <c r="K393" i="20"/>
  <c r="H392" i="20"/>
  <c r="G393" i="20"/>
  <c r="T394" i="20"/>
  <c r="S395" i="20"/>
  <c r="K394" i="20"/>
  <c r="L393" i="20"/>
  <c r="G394" i="20"/>
  <c r="H393" i="20"/>
  <c r="S396" i="20"/>
  <c r="T395" i="20"/>
  <c r="K395" i="20"/>
  <c r="L394" i="20"/>
  <c r="G395" i="20"/>
  <c r="H394" i="20"/>
  <c r="T396" i="20"/>
  <c r="S397" i="20"/>
  <c r="L395" i="20"/>
  <c r="K396" i="20"/>
  <c r="H395" i="20"/>
  <c r="G396" i="20"/>
  <c r="T397" i="20"/>
  <c r="S398" i="20"/>
  <c r="K397" i="20"/>
  <c r="L396" i="20"/>
  <c r="H396" i="20"/>
  <c r="G397" i="20"/>
  <c r="S399" i="20"/>
  <c r="T398" i="20"/>
  <c r="L397" i="20"/>
  <c r="K398" i="20"/>
  <c r="H397" i="20"/>
  <c r="G398" i="20"/>
  <c r="S400" i="20"/>
  <c r="T399" i="20"/>
  <c r="L398" i="20"/>
  <c r="K399" i="20"/>
  <c r="H398" i="20"/>
  <c r="G399" i="20"/>
  <c r="T400" i="20"/>
  <c r="S401" i="20"/>
  <c r="K400" i="20"/>
  <c r="L399" i="20"/>
  <c r="H399" i="20"/>
  <c r="G400" i="20"/>
  <c r="S402" i="20"/>
  <c r="T401" i="20"/>
  <c r="L400" i="20"/>
  <c r="K401" i="20"/>
  <c r="G401" i="20"/>
  <c r="H400" i="20"/>
  <c r="S403" i="20"/>
  <c r="T402" i="20"/>
  <c r="L401" i="20"/>
  <c r="K402" i="20"/>
  <c r="H401" i="20"/>
  <c r="G402" i="20"/>
  <c r="T403" i="20"/>
  <c r="S404" i="20"/>
  <c r="K403" i="20"/>
  <c r="L402" i="20"/>
  <c r="G403" i="20"/>
  <c r="H402" i="20"/>
  <c r="T404" i="20"/>
  <c r="S405" i="20"/>
  <c r="K404" i="20"/>
  <c r="L403" i="20"/>
  <c r="H403" i="20"/>
  <c r="G404" i="20"/>
  <c r="T405" i="20"/>
  <c r="S406" i="20"/>
  <c r="L404" i="20"/>
  <c r="K405" i="20"/>
  <c r="G405" i="20"/>
  <c r="H404" i="20"/>
  <c r="T406" i="20"/>
  <c r="S407" i="20"/>
  <c r="L405" i="20"/>
  <c r="K406" i="20"/>
  <c r="H405" i="20"/>
  <c r="G406" i="20"/>
  <c r="S408" i="20"/>
  <c r="T407" i="20"/>
  <c r="K407" i="20"/>
  <c r="L406" i="20"/>
  <c r="G407" i="20"/>
  <c r="H406" i="20"/>
  <c r="T408" i="20"/>
  <c r="S409" i="20"/>
  <c r="L407" i="20"/>
  <c r="K408" i="20"/>
  <c r="G408" i="20"/>
  <c r="H407" i="20"/>
  <c r="T409" i="20"/>
  <c r="S410" i="20"/>
  <c r="L408" i="20"/>
  <c r="K409" i="20"/>
  <c r="H408" i="20"/>
  <c r="G409" i="20"/>
  <c r="T410" i="20"/>
  <c r="S411" i="20"/>
  <c r="L409" i="20"/>
  <c r="K410" i="20"/>
  <c r="G410" i="20"/>
  <c r="H409" i="20"/>
  <c r="T411" i="20"/>
  <c r="S412" i="20"/>
  <c r="L410" i="20"/>
  <c r="K411" i="20"/>
  <c r="H410" i="20"/>
  <c r="G411" i="20"/>
  <c r="S413" i="20"/>
  <c r="T412" i="20"/>
  <c r="K412" i="20"/>
  <c r="L411" i="20"/>
  <c r="H411" i="20"/>
  <c r="G412" i="20"/>
  <c r="S414" i="20"/>
  <c r="T413" i="20"/>
  <c r="L412" i="20"/>
  <c r="K413" i="20"/>
  <c r="G413" i="20"/>
  <c r="H412" i="20"/>
  <c r="T414" i="20"/>
  <c r="S415" i="20"/>
  <c r="L413" i="20"/>
  <c r="K414" i="20"/>
  <c r="H413" i="20"/>
  <c r="G414" i="20"/>
  <c r="T415" i="20"/>
  <c r="S416" i="20"/>
  <c r="L414" i="20"/>
  <c r="K415" i="20"/>
  <c r="H414" i="20"/>
  <c r="G415" i="20"/>
  <c r="T416" i="20"/>
  <c r="S417" i="20"/>
  <c r="K416" i="20"/>
  <c r="L415" i="20"/>
  <c r="H415" i="20"/>
  <c r="G416" i="20"/>
  <c r="T417" i="20"/>
  <c r="S418" i="20"/>
  <c r="K417" i="20"/>
  <c r="L416" i="20"/>
  <c r="H416" i="20"/>
  <c r="G417" i="20"/>
  <c r="S419" i="20"/>
  <c r="T418" i="20"/>
  <c r="K418" i="20"/>
  <c r="L417" i="20"/>
  <c r="G418" i="20"/>
  <c r="H417" i="20"/>
  <c r="S420" i="20"/>
  <c r="T419" i="20"/>
  <c r="K419" i="20"/>
  <c r="L418" i="20"/>
  <c r="H418" i="20"/>
  <c r="G419" i="20"/>
  <c r="T420" i="20"/>
  <c r="S421" i="20"/>
  <c r="K420" i="20"/>
  <c r="L419" i="20"/>
  <c r="G420" i="20"/>
  <c r="H419" i="20"/>
  <c r="S422" i="20"/>
  <c r="T421" i="20"/>
  <c r="K421" i="20"/>
  <c r="L420" i="20"/>
  <c r="H420" i="20"/>
  <c r="G421" i="20"/>
  <c r="S423" i="20"/>
  <c r="T422" i="20"/>
  <c r="L421" i="20"/>
  <c r="K422" i="20"/>
  <c r="H421" i="20"/>
  <c r="G422" i="20"/>
  <c r="S424" i="20"/>
  <c r="T423" i="20"/>
  <c r="L422" i="20"/>
  <c r="K423" i="20"/>
  <c r="H422" i="20"/>
  <c r="G423" i="20"/>
  <c r="T424" i="20"/>
  <c r="S425" i="20"/>
  <c r="K424" i="20"/>
  <c r="L423" i="20"/>
  <c r="H423" i="20"/>
  <c r="G424" i="20"/>
  <c r="T425" i="20"/>
  <c r="S426" i="20"/>
  <c r="L424" i="20"/>
  <c r="K425" i="20"/>
  <c r="G425" i="20"/>
  <c r="H424" i="20"/>
  <c r="S427" i="20"/>
  <c r="T426" i="20"/>
  <c r="L425" i="20"/>
  <c r="K426" i="20"/>
  <c r="G426" i="20"/>
  <c r="H425" i="20"/>
  <c r="T427" i="20"/>
  <c r="S428" i="20"/>
  <c r="L426" i="20"/>
  <c r="K427" i="20"/>
  <c r="G427" i="20"/>
  <c r="H426" i="20"/>
  <c r="T428" i="20"/>
  <c r="S429" i="20"/>
  <c r="L427" i="20"/>
  <c r="K428" i="20"/>
  <c r="H427" i="20"/>
  <c r="G428" i="20"/>
  <c r="T429" i="20"/>
  <c r="S430" i="20"/>
  <c r="K429" i="20"/>
  <c r="L428" i="20"/>
  <c r="H428" i="20"/>
  <c r="G429" i="20"/>
  <c r="S431" i="20"/>
  <c r="T430" i="20"/>
  <c r="L429" i="20"/>
  <c r="K430" i="20"/>
  <c r="H429" i="20"/>
  <c r="G430" i="20"/>
  <c r="S432" i="20"/>
  <c r="T431" i="20"/>
  <c r="L430" i="20"/>
  <c r="K431" i="20"/>
  <c r="G431" i="20"/>
  <c r="H430" i="20"/>
  <c r="T432" i="20"/>
  <c r="S433" i="20"/>
  <c r="L431" i="20"/>
  <c r="K432" i="20"/>
  <c r="H431" i="20"/>
  <c r="G432" i="20"/>
  <c r="T433" i="20"/>
  <c r="S434" i="20"/>
  <c r="L432" i="20"/>
  <c r="K433" i="20"/>
  <c r="G433" i="20"/>
  <c r="H432" i="20"/>
  <c r="S435" i="20"/>
  <c r="T434" i="20"/>
  <c r="L433" i="20"/>
  <c r="K434" i="20"/>
  <c r="H433" i="20"/>
  <c r="G434" i="20"/>
  <c r="S436" i="20"/>
  <c r="T435" i="20"/>
  <c r="K435" i="20"/>
  <c r="L434" i="20"/>
  <c r="H434" i="20"/>
  <c r="G435" i="20"/>
  <c r="T436" i="20"/>
  <c r="S437" i="20"/>
  <c r="K436" i="20"/>
  <c r="L435" i="20"/>
  <c r="H435" i="20"/>
  <c r="G436" i="20"/>
  <c r="S438" i="20"/>
  <c r="T437" i="20"/>
  <c r="K437" i="20"/>
  <c r="L436" i="20"/>
  <c r="H436" i="20"/>
  <c r="G437" i="20"/>
  <c r="S439" i="20"/>
  <c r="T438" i="20"/>
  <c r="L437" i="20"/>
  <c r="K438" i="20"/>
  <c r="H437" i="20"/>
  <c r="G438" i="20"/>
  <c r="T439" i="20"/>
  <c r="S440" i="20"/>
  <c r="K439" i="20"/>
  <c r="L438" i="20"/>
  <c r="G439" i="20"/>
  <c r="H438" i="20"/>
  <c r="S441" i="20"/>
  <c r="T440" i="20"/>
  <c r="L439" i="20"/>
  <c r="K440" i="20"/>
  <c r="G440" i="20"/>
  <c r="H439" i="20"/>
  <c r="S442" i="20"/>
  <c r="T441" i="20"/>
  <c r="L440" i="20"/>
  <c r="K441" i="20"/>
  <c r="G441" i="20"/>
  <c r="H440" i="20"/>
  <c r="S443" i="20"/>
  <c r="T442" i="20"/>
  <c r="L441" i="20"/>
  <c r="K442" i="20"/>
  <c r="H441" i="20"/>
  <c r="G442" i="20"/>
  <c r="S444" i="20"/>
  <c r="T443" i="20"/>
  <c r="K443" i="20"/>
  <c r="L442" i="20"/>
  <c r="G443" i="20"/>
  <c r="H442" i="20"/>
  <c r="S445" i="20"/>
  <c r="T444" i="20"/>
  <c r="K444" i="20"/>
  <c r="L443" i="20"/>
  <c r="G444" i="20"/>
  <c r="H443" i="20"/>
  <c r="S446" i="20"/>
  <c r="T445" i="20"/>
  <c r="L444" i="20"/>
  <c r="K445" i="20"/>
  <c r="H444" i="20"/>
  <c r="G445" i="20"/>
  <c r="S447" i="20"/>
  <c r="T446" i="20"/>
  <c r="L445" i="20"/>
  <c r="K446" i="20"/>
  <c r="G446" i="20"/>
  <c r="H445" i="20"/>
  <c r="T447" i="20"/>
  <c r="S448" i="20"/>
  <c r="K447" i="20"/>
  <c r="L446" i="20"/>
  <c r="H446" i="20"/>
  <c r="G447" i="20"/>
  <c r="T448" i="20"/>
  <c r="S449" i="20"/>
  <c r="K448" i="20"/>
  <c r="L447" i="20"/>
  <c r="G448" i="20"/>
  <c r="H447" i="20"/>
  <c r="T449" i="20"/>
  <c r="S450" i="20"/>
  <c r="K449" i="20"/>
  <c r="L448" i="20"/>
  <c r="G449" i="20"/>
  <c r="H448" i="20"/>
  <c r="S451" i="20"/>
  <c r="T450" i="20"/>
  <c r="K450" i="20"/>
  <c r="L449" i="20"/>
  <c r="H449" i="20"/>
  <c r="G450" i="20"/>
  <c r="S452" i="20"/>
  <c r="T451" i="20"/>
  <c r="K451" i="20"/>
  <c r="L450" i="20"/>
  <c r="H450" i="20"/>
  <c r="G451" i="20"/>
  <c r="S453" i="20"/>
  <c r="T452" i="20"/>
  <c r="K452" i="20"/>
  <c r="L451" i="20"/>
  <c r="G452" i="20"/>
  <c r="H451" i="20"/>
  <c r="S454" i="20"/>
  <c r="T453" i="20"/>
  <c r="K453" i="20"/>
  <c r="L452" i="20"/>
  <c r="G453" i="20"/>
  <c r="H452" i="20"/>
  <c r="S455" i="20"/>
  <c r="T454" i="20"/>
  <c r="L453" i="20"/>
  <c r="K454" i="20"/>
  <c r="G454" i="20"/>
  <c r="H453" i="20"/>
  <c r="T455" i="20"/>
  <c r="S456" i="20"/>
  <c r="K455" i="20"/>
  <c r="L454" i="20"/>
  <c r="G455" i="20"/>
  <c r="H454" i="20"/>
  <c r="S457" i="20"/>
  <c r="T456" i="20"/>
  <c r="L455" i="20"/>
  <c r="K456" i="20"/>
  <c r="G456" i="20"/>
  <c r="H455" i="20"/>
  <c r="S458" i="20"/>
  <c r="T457" i="20"/>
  <c r="K457" i="20"/>
  <c r="L456" i="20"/>
  <c r="H456" i="20"/>
  <c r="G457" i="20"/>
  <c r="T458" i="20"/>
  <c r="S459" i="20"/>
  <c r="L457" i="20"/>
  <c r="K458" i="20"/>
  <c r="G458" i="20"/>
  <c r="H457" i="20"/>
  <c r="S460" i="20"/>
  <c r="T459" i="20"/>
  <c r="L458" i="20"/>
  <c r="K459" i="20"/>
  <c r="G459" i="20"/>
  <c r="H458" i="20"/>
  <c r="S461" i="20"/>
  <c r="T460" i="20"/>
  <c r="L459" i="20"/>
  <c r="K460" i="20"/>
  <c r="H459" i="20"/>
  <c r="G460" i="20"/>
  <c r="S462" i="20"/>
  <c r="T461" i="20"/>
  <c r="K461" i="20"/>
  <c r="L460" i="20"/>
  <c r="H460" i="20"/>
  <c r="G461" i="20"/>
  <c r="S463" i="20"/>
  <c r="T462" i="20"/>
  <c r="L461" i="20"/>
  <c r="K462" i="20"/>
  <c r="H461" i="20"/>
  <c r="G462" i="20"/>
  <c r="S464" i="20"/>
  <c r="T463" i="20"/>
  <c r="K463" i="20"/>
  <c r="L462" i="20"/>
  <c r="H462" i="20"/>
  <c r="G463" i="20"/>
  <c r="S465" i="20"/>
  <c r="T464" i="20"/>
  <c r="L463" i="20"/>
  <c r="K464" i="20"/>
  <c r="H463" i="20"/>
  <c r="G464" i="20"/>
  <c r="S466" i="20"/>
  <c r="T465" i="20"/>
  <c r="K465" i="20"/>
  <c r="L464" i="20"/>
  <c r="H464" i="20"/>
  <c r="G465" i="20"/>
  <c r="T466" i="20"/>
  <c r="S467" i="20"/>
  <c r="L465" i="20"/>
  <c r="K466" i="20"/>
  <c r="G466" i="20"/>
  <c r="H465" i="20"/>
  <c r="T467" i="20"/>
  <c r="S468" i="20"/>
  <c r="K467" i="20"/>
  <c r="L466" i="20"/>
  <c r="G467" i="20"/>
  <c r="H466" i="20"/>
  <c r="S469" i="20"/>
  <c r="T468" i="20"/>
  <c r="K468" i="20"/>
  <c r="L467" i="20"/>
  <c r="H467" i="20"/>
  <c r="G468" i="20"/>
  <c r="S470" i="20"/>
  <c r="T469" i="20"/>
  <c r="L468" i="20"/>
  <c r="K469" i="20"/>
  <c r="H468" i="20"/>
  <c r="G469" i="20"/>
  <c r="S471" i="20"/>
  <c r="T470" i="20"/>
  <c r="L469" i="20"/>
  <c r="K470" i="20"/>
  <c r="G470" i="20"/>
  <c r="H469" i="20"/>
  <c r="S472" i="20"/>
  <c r="T471" i="20"/>
  <c r="K471" i="20"/>
  <c r="L470" i="20"/>
  <c r="H470" i="20"/>
  <c r="G471" i="20"/>
  <c r="T472" i="20"/>
  <c r="S473" i="20"/>
  <c r="K472" i="20"/>
  <c r="L471" i="20"/>
  <c r="G472" i="20"/>
  <c r="H471" i="20"/>
  <c r="T473" i="20"/>
  <c r="S474" i="20"/>
  <c r="L472" i="20"/>
  <c r="K473" i="20"/>
  <c r="G473" i="20"/>
  <c r="H472" i="20"/>
  <c r="T474" i="20"/>
  <c r="S475" i="20"/>
  <c r="L473" i="20"/>
  <c r="K474" i="20"/>
  <c r="G474" i="20"/>
  <c r="H473" i="20"/>
  <c r="T475" i="20"/>
  <c r="S476" i="20"/>
  <c r="K475" i="20"/>
  <c r="L474" i="20"/>
  <c r="G475" i="20"/>
  <c r="H474" i="20"/>
  <c r="T476" i="20"/>
  <c r="S477" i="20"/>
  <c r="K476" i="20"/>
  <c r="L475" i="20"/>
  <c r="H475" i="20"/>
  <c r="G476" i="20"/>
  <c r="S478" i="20"/>
  <c r="T477" i="20"/>
  <c r="K477" i="20"/>
  <c r="L476" i="20"/>
  <c r="G477" i="20"/>
  <c r="H476" i="20"/>
  <c r="S479" i="20"/>
  <c r="T478" i="20"/>
  <c r="L477" i="20"/>
  <c r="K478" i="20"/>
  <c r="H477" i="20"/>
  <c r="G478" i="20"/>
  <c r="T479" i="20"/>
  <c r="S480" i="20"/>
  <c r="L478" i="20"/>
  <c r="K479" i="20"/>
  <c r="H478" i="20"/>
  <c r="G479" i="20"/>
  <c r="T480" i="20"/>
  <c r="S481" i="20"/>
  <c r="K480" i="20"/>
  <c r="L479" i="20"/>
  <c r="G480" i="20"/>
  <c r="H479" i="20"/>
  <c r="T481" i="20"/>
  <c r="S482" i="20"/>
  <c r="K481" i="20"/>
  <c r="L480" i="20"/>
  <c r="H480" i="20"/>
  <c r="G481" i="20"/>
  <c r="S483" i="20"/>
  <c r="T482" i="20"/>
  <c r="K482" i="20"/>
  <c r="L481" i="20"/>
  <c r="H481" i="20"/>
  <c r="G482" i="20"/>
  <c r="T483" i="20"/>
  <c r="S484" i="20"/>
  <c r="K483" i="20"/>
  <c r="L482" i="20"/>
  <c r="H482" i="20"/>
  <c r="G483" i="20"/>
  <c r="T484" i="20"/>
  <c r="S485" i="20"/>
  <c r="K484" i="20"/>
  <c r="L483" i="20"/>
  <c r="H483" i="20"/>
  <c r="G484" i="20"/>
  <c r="T485" i="20"/>
  <c r="S486" i="20"/>
  <c r="K485" i="20"/>
  <c r="L484" i="20"/>
  <c r="H484" i="20"/>
  <c r="G485" i="20"/>
  <c r="T486" i="20"/>
  <c r="S487" i="20"/>
  <c r="L485" i="20"/>
  <c r="K486" i="20"/>
  <c r="H485" i="20"/>
  <c r="G486" i="20"/>
  <c r="T487" i="20"/>
  <c r="S488" i="20"/>
  <c r="K487" i="20"/>
  <c r="L486" i="20"/>
  <c r="H486" i="20"/>
  <c r="G487" i="20"/>
  <c r="S489" i="20"/>
  <c r="T488" i="20"/>
  <c r="K488" i="20"/>
  <c r="L487" i="20"/>
  <c r="G488" i="20"/>
  <c r="H487" i="20"/>
  <c r="S490" i="20"/>
  <c r="T489" i="20"/>
  <c r="K489" i="20"/>
  <c r="L488" i="20"/>
  <c r="H488" i="20"/>
  <c r="G489" i="20"/>
  <c r="S491" i="20"/>
  <c r="T490" i="20"/>
  <c r="L489" i="20"/>
  <c r="K490" i="20"/>
  <c r="G490" i="20"/>
  <c r="H489" i="20"/>
  <c r="S492" i="20"/>
  <c r="T491" i="20"/>
  <c r="K491" i="20"/>
  <c r="L490" i="20"/>
  <c r="G491" i="20"/>
  <c r="H490" i="20"/>
  <c r="S493" i="20"/>
  <c r="T492" i="20"/>
  <c r="K492" i="20"/>
  <c r="L491" i="20"/>
  <c r="H491" i="20"/>
  <c r="G492" i="20"/>
  <c r="T493" i="20"/>
  <c r="S494" i="20"/>
  <c r="K493" i="20"/>
  <c r="L492" i="20"/>
  <c r="H492" i="20"/>
  <c r="G493" i="20"/>
  <c r="T494" i="20"/>
  <c r="S495" i="20"/>
  <c r="K494" i="20"/>
  <c r="L493" i="20"/>
  <c r="G494" i="20"/>
  <c r="H493" i="20"/>
  <c r="S496" i="20"/>
  <c r="T495" i="20"/>
  <c r="L494" i="20"/>
  <c r="K495" i="20"/>
  <c r="H494" i="20"/>
  <c r="G495" i="20"/>
  <c r="S497" i="20"/>
  <c r="T496" i="20"/>
  <c r="K496" i="20"/>
  <c r="L495" i="20"/>
  <c r="H495" i="20"/>
  <c r="G496" i="20"/>
  <c r="T497" i="20"/>
  <c r="S498" i="20"/>
  <c r="L496" i="20"/>
  <c r="K497" i="20"/>
  <c r="H496" i="20"/>
  <c r="G497" i="20"/>
  <c r="S499" i="20"/>
  <c r="T498" i="20"/>
  <c r="K498" i="20"/>
  <c r="L497" i="20"/>
  <c r="G498" i="20"/>
  <c r="H497" i="20"/>
  <c r="S500" i="20"/>
  <c r="T499" i="20"/>
  <c r="L498" i="20"/>
  <c r="K499" i="20"/>
  <c r="G499" i="20"/>
  <c r="H498" i="20"/>
  <c r="S501" i="20"/>
  <c r="T500" i="20"/>
  <c r="K500" i="20"/>
  <c r="L499" i="20"/>
  <c r="G500" i="20"/>
  <c r="H499" i="20"/>
  <c r="S502" i="20"/>
  <c r="T501" i="20"/>
  <c r="K501" i="20"/>
  <c r="L500" i="20"/>
  <c r="H500" i="20"/>
  <c r="G501" i="20"/>
  <c r="T502" i="20"/>
  <c r="S503" i="20"/>
  <c r="K502" i="20"/>
  <c r="L501" i="20"/>
  <c r="H501" i="20"/>
  <c r="G502" i="20"/>
  <c r="S504" i="20"/>
  <c r="T503" i="20"/>
  <c r="K503" i="20"/>
  <c r="L502" i="20"/>
  <c r="G503" i="20"/>
  <c r="H502" i="20"/>
  <c r="T504" i="20"/>
  <c r="S505" i="20"/>
  <c r="L503" i="20"/>
  <c r="K504" i="20"/>
  <c r="H503" i="20"/>
  <c r="G504" i="20"/>
  <c r="T505" i="20"/>
  <c r="S506" i="20"/>
  <c r="K505" i="20"/>
  <c r="L504" i="20"/>
  <c r="G505" i="20"/>
  <c r="H504" i="20"/>
  <c r="T506" i="20"/>
  <c r="S507" i="20"/>
  <c r="L505" i="20"/>
  <c r="K506" i="20"/>
  <c r="H505" i="20"/>
  <c r="G506" i="20"/>
  <c r="S508" i="20"/>
  <c r="T507" i="20"/>
  <c r="L506" i="20"/>
  <c r="K507" i="20"/>
  <c r="G507" i="20"/>
  <c r="H506" i="20"/>
  <c r="S509" i="20"/>
  <c r="T508" i="20"/>
  <c r="L507" i="20"/>
  <c r="K508" i="20"/>
  <c r="G508" i="20"/>
  <c r="H507" i="20"/>
  <c r="S510" i="20"/>
  <c r="T509" i="20"/>
  <c r="K509" i="20"/>
  <c r="L508" i="20"/>
  <c r="G509" i="20"/>
  <c r="H508" i="20"/>
  <c r="S511" i="20"/>
  <c r="T510" i="20"/>
  <c r="K510" i="20"/>
  <c r="L509" i="20"/>
  <c r="G510" i="20"/>
  <c r="H509" i="20"/>
  <c r="T511" i="20"/>
  <c r="S512" i="20"/>
  <c r="K511" i="20"/>
  <c r="L510" i="20"/>
  <c r="H510" i="20"/>
  <c r="G511" i="20"/>
  <c r="S513" i="20"/>
  <c r="T512" i="20"/>
  <c r="L511" i="20"/>
  <c r="K512" i="20"/>
  <c r="H511" i="20"/>
  <c r="G512" i="20"/>
  <c r="T513" i="20"/>
  <c r="S514" i="20"/>
  <c r="K513" i="20"/>
  <c r="L512" i="20"/>
  <c r="H512" i="20"/>
  <c r="G513" i="20"/>
  <c r="T514" i="20"/>
  <c r="S515" i="20"/>
  <c r="L513" i="20"/>
  <c r="K514" i="20"/>
  <c r="G514" i="20"/>
  <c r="H513" i="20"/>
  <c r="T515" i="20"/>
  <c r="S516" i="20"/>
  <c r="L514" i="20"/>
  <c r="K515" i="20"/>
  <c r="H514" i="20"/>
  <c r="G515" i="20"/>
  <c r="S517" i="20"/>
  <c r="T516" i="20"/>
  <c r="L515" i="20"/>
  <c r="K516" i="20"/>
  <c r="H515" i="20"/>
  <c r="G516" i="20"/>
  <c r="S518" i="20"/>
  <c r="T517" i="20"/>
  <c r="L516" i="20"/>
  <c r="K517" i="20"/>
  <c r="G517" i="20"/>
  <c r="H516" i="20"/>
  <c r="S519" i="20"/>
  <c r="T518" i="20"/>
  <c r="K518" i="20"/>
  <c r="L517" i="20"/>
  <c r="H517" i="20"/>
  <c r="G518" i="20"/>
  <c r="S520" i="20"/>
  <c r="T519" i="20"/>
  <c r="K519" i="20"/>
  <c r="L518" i="20"/>
  <c r="G519" i="20"/>
  <c r="H518" i="20"/>
  <c r="T520" i="20"/>
  <c r="S521" i="20"/>
  <c r="L519" i="20"/>
  <c r="K520" i="20"/>
  <c r="G520" i="20"/>
  <c r="H519" i="20"/>
  <c r="T521" i="20"/>
  <c r="S522" i="20"/>
  <c r="L520" i="20"/>
  <c r="K521" i="20"/>
  <c r="H520" i="20"/>
  <c r="G521" i="20"/>
  <c r="S523" i="20"/>
  <c r="T522" i="20"/>
  <c r="L521" i="20"/>
  <c r="K522" i="20"/>
  <c r="H521" i="20"/>
  <c r="G522" i="20"/>
  <c r="S524" i="20"/>
  <c r="T523" i="20"/>
  <c r="K523" i="20"/>
  <c r="L522" i="20"/>
  <c r="G523" i="20"/>
  <c r="H522" i="20"/>
  <c r="T524" i="20"/>
  <c r="S525" i="20"/>
  <c r="K524" i="20"/>
  <c r="L523" i="20"/>
  <c r="H523" i="20"/>
  <c r="G524" i="20"/>
  <c r="S526" i="20"/>
  <c r="T525" i="20"/>
  <c r="K525" i="20"/>
  <c r="L524" i="20"/>
  <c r="G525" i="20"/>
  <c r="H524" i="20"/>
  <c r="T526" i="20"/>
  <c r="S527" i="20"/>
  <c r="L525" i="20"/>
  <c r="K526" i="20"/>
  <c r="G526" i="20"/>
  <c r="H525" i="20"/>
  <c r="S528" i="20"/>
  <c r="T527" i="20"/>
  <c r="K527" i="20"/>
  <c r="L526" i="20"/>
  <c r="H526" i="20"/>
  <c r="G527" i="20"/>
  <c r="S529" i="20"/>
  <c r="T528" i="20"/>
  <c r="L527" i="20"/>
  <c r="K528" i="20"/>
  <c r="H527" i="20"/>
  <c r="G528" i="20"/>
  <c r="T529" i="20"/>
  <c r="S530" i="20"/>
  <c r="L528" i="20"/>
  <c r="K529" i="20"/>
  <c r="G529" i="20"/>
  <c r="H528" i="20"/>
  <c r="S531" i="20"/>
  <c r="T530" i="20"/>
  <c r="L529" i="20"/>
  <c r="K530" i="20"/>
  <c r="H529" i="20"/>
  <c r="G530" i="20"/>
  <c r="T531" i="20"/>
  <c r="S532" i="20"/>
  <c r="L530" i="20"/>
  <c r="K531" i="20"/>
  <c r="H530" i="20"/>
  <c r="G531" i="20"/>
  <c r="T532" i="20"/>
  <c r="S533" i="20"/>
  <c r="L531" i="20"/>
  <c r="K532" i="20"/>
  <c r="H531" i="20"/>
  <c r="G532" i="20"/>
  <c r="S534" i="20"/>
  <c r="T533" i="20"/>
  <c r="K533" i="20"/>
  <c r="L532" i="20"/>
  <c r="G533" i="20"/>
  <c r="H532" i="20"/>
  <c r="T534" i="20"/>
  <c r="S535" i="20"/>
  <c r="L533" i="20"/>
  <c r="K534" i="20"/>
  <c r="H533" i="20"/>
  <c r="G534" i="20"/>
  <c r="S536" i="20"/>
  <c r="T535" i="20"/>
  <c r="K535" i="20"/>
  <c r="L534" i="20"/>
  <c r="G535" i="20"/>
  <c r="H534" i="20"/>
  <c r="T536" i="20"/>
  <c r="S537" i="20"/>
  <c r="L535" i="20"/>
  <c r="K536" i="20"/>
  <c r="G536" i="20"/>
  <c r="H535" i="20"/>
  <c r="T537" i="20"/>
  <c r="S538" i="20"/>
  <c r="K537" i="20"/>
  <c r="L536" i="20"/>
  <c r="G537" i="20"/>
  <c r="H536" i="20"/>
  <c r="S539" i="20"/>
  <c r="T538" i="20"/>
  <c r="K538" i="20"/>
  <c r="L537" i="20"/>
  <c r="G538" i="20"/>
  <c r="H537" i="20"/>
  <c r="S540" i="20"/>
  <c r="T539" i="20"/>
  <c r="L538" i="20"/>
  <c r="K539" i="20"/>
  <c r="G539" i="20"/>
  <c r="H538" i="20"/>
  <c r="S541" i="20"/>
  <c r="T540" i="20"/>
  <c r="L539" i="20"/>
  <c r="K540" i="20"/>
  <c r="H539" i="20"/>
  <c r="G540" i="20"/>
  <c r="S542" i="20"/>
  <c r="T541" i="20"/>
  <c r="L540" i="20"/>
  <c r="K541" i="20"/>
  <c r="H540" i="20"/>
  <c r="G541" i="20"/>
  <c r="S543" i="20"/>
  <c r="T542" i="20"/>
  <c r="L541" i="20"/>
  <c r="K542" i="20"/>
  <c r="H541" i="20"/>
  <c r="G542" i="20"/>
  <c r="T543" i="20"/>
  <c r="S544" i="20"/>
  <c r="L542" i="20"/>
  <c r="K543" i="20"/>
  <c r="G543" i="20"/>
  <c r="H542" i="20"/>
  <c r="T544" i="20"/>
  <c r="S545" i="20"/>
  <c r="K544" i="20"/>
  <c r="L543" i="20"/>
  <c r="H543" i="20"/>
  <c r="G544" i="20"/>
  <c r="S546" i="20"/>
  <c r="T545" i="20"/>
  <c r="K545" i="20"/>
  <c r="L544" i="20"/>
  <c r="G545" i="20"/>
  <c r="H544" i="20"/>
  <c r="S547" i="20"/>
  <c r="T546" i="20"/>
  <c r="K546" i="20"/>
  <c r="L545" i="20"/>
  <c r="H545" i="20"/>
  <c r="G546" i="20"/>
  <c r="S548" i="20"/>
  <c r="T547" i="20"/>
  <c r="L546" i="20"/>
  <c r="K547" i="20"/>
  <c r="G547" i="20"/>
  <c r="H546" i="20"/>
  <c r="S549" i="20"/>
  <c r="T548" i="20"/>
  <c r="K548" i="20"/>
  <c r="L547" i="20"/>
  <c r="G548" i="20"/>
  <c r="H547" i="20"/>
  <c r="T549" i="20"/>
  <c r="S550" i="20"/>
  <c r="L548" i="20"/>
  <c r="K549" i="20"/>
  <c r="H548" i="20"/>
  <c r="G549" i="20"/>
  <c r="T550" i="20"/>
  <c r="S551" i="20"/>
  <c r="K550" i="20"/>
  <c r="L549" i="20"/>
  <c r="G550" i="20"/>
  <c r="H549" i="20"/>
  <c r="S552" i="20"/>
  <c r="T551" i="20"/>
  <c r="K551" i="20"/>
  <c r="L550" i="20"/>
  <c r="H550" i="20"/>
  <c r="G551" i="20"/>
  <c r="S553" i="20"/>
  <c r="T552" i="20"/>
  <c r="K552" i="20"/>
  <c r="L551" i="20"/>
  <c r="G552" i="20"/>
  <c r="H551" i="20"/>
  <c r="S554" i="20"/>
  <c r="T553" i="20"/>
  <c r="L552" i="20"/>
  <c r="K553" i="20"/>
  <c r="G553" i="20"/>
  <c r="H552" i="20"/>
  <c r="T554" i="20"/>
  <c r="S555" i="20"/>
  <c r="K554" i="20"/>
  <c r="L553" i="20"/>
  <c r="G554" i="20"/>
  <c r="H553" i="20"/>
  <c r="T555" i="20"/>
  <c r="S556" i="20"/>
  <c r="L554" i="20"/>
  <c r="K555" i="20"/>
  <c r="G555" i="20"/>
  <c r="H554" i="20"/>
  <c r="S557" i="20"/>
  <c r="T556" i="20"/>
  <c r="L555" i="20"/>
  <c r="K556" i="20"/>
  <c r="H555" i="20"/>
  <c r="G556" i="20"/>
  <c r="S558" i="20"/>
  <c r="T557" i="20"/>
  <c r="K557" i="20"/>
  <c r="L556" i="20"/>
  <c r="H556" i="20"/>
  <c r="G557" i="20"/>
  <c r="T558" i="20"/>
  <c r="S559" i="20"/>
  <c r="L557" i="20"/>
  <c r="K558" i="20"/>
  <c r="H557" i="20"/>
  <c r="G558" i="20"/>
  <c r="T559" i="20"/>
  <c r="S560" i="20"/>
  <c r="L558" i="20"/>
  <c r="K559" i="20"/>
  <c r="H558" i="20"/>
  <c r="G559" i="20"/>
  <c r="S561" i="20"/>
  <c r="T560" i="20"/>
  <c r="L559" i="20"/>
  <c r="K560" i="20"/>
  <c r="G560" i="20"/>
  <c r="H559" i="20"/>
  <c r="T561" i="20"/>
  <c r="S562" i="20"/>
  <c r="L560" i="20"/>
  <c r="K561" i="20"/>
  <c r="H560" i="20"/>
  <c r="G561" i="20"/>
  <c r="S563" i="20"/>
  <c r="T562" i="20"/>
  <c r="L561" i="20"/>
  <c r="K562" i="20"/>
  <c r="H561" i="20"/>
  <c r="G562" i="20"/>
  <c r="S564" i="20"/>
  <c r="T563" i="20"/>
  <c r="L562" i="20"/>
  <c r="K563" i="20"/>
  <c r="G563" i="20"/>
  <c r="H562" i="20"/>
  <c r="S565" i="20"/>
  <c r="T564" i="20"/>
  <c r="L563" i="20"/>
  <c r="K564" i="20"/>
  <c r="H563" i="20"/>
  <c r="G564" i="20"/>
  <c r="S566" i="20"/>
  <c r="T565" i="20"/>
  <c r="L564" i="20"/>
  <c r="K565" i="20"/>
  <c r="G565" i="20"/>
  <c r="H564" i="20"/>
  <c r="S567" i="20"/>
  <c r="T566" i="20"/>
  <c r="K566" i="20"/>
  <c r="L565" i="20"/>
  <c r="H565" i="20"/>
  <c r="G566" i="20"/>
  <c r="S568" i="20"/>
  <c r="T567" i="20"/>
  <c r="L566" i="20"/>
  <c r="K567" i="20"/>
  <c r="G567" i="20"/>
  <c r="H566" i="20"/>
  <c r="T568" i="20"/>
  <c r="S569" i="20"/>
  <c r="K568" i="20"/>
  <c r="L567" i="20"/>
  <c r="G568" i="20"/>
  <c r="H567" i="20"/>
  <c r="T569" i="20"/>
  <c r="S570" i="20"/>
  <c r="K569" i="20"/>
  <c r="L568" i="20"/>
  <c r="H568" i="20"/>
  <c r="G569" i="20"/>
  <c r="T570" i="20"/>
  <c r="S571" i="20"/>
  <c r="K570" i="20"/>
  <c r="L569" i="20"/>
  <c r="H569" i="20"/>
  <c r="G570" i="20"/>
  <c r="T571" i="20"/>
  <c r="S572" i="20"/>
  <c r="K571" i="20"/>
  <c r="L570" i="20"/>
  <c r="G571" i="20"/>
  <c r="H570" i="20"/>
  <c r="S573" i="20"/>
  <c r="T572" i="20"/>
  <c r="K572" i="20"/>
  <c r="L571" i="20"/>
  <c r="H571" i="20"/>
  <c r="G572" i="20"/>
  <c r="T573" i="20"/>
  <c r="S574" i="20"/>
  <c r="L572" i="20"/>
  <c r="K573" i="20"/>
  <c r="G573" i="20"/>
  <c r="H572" i="20"/>
  <c r="S575" i="20"/>
  <c r="T574" i="20"/>
  <c r="L573" i="20"/>
  <c r="K574" i="20"/>
  <c r="G574" i="20"/>
  <c r="H573" i="20"/>
  <c r="S576" i="20"/>
  <c r="T575" i="20"/>
  <c r="L574" i="20"/>
  <c r="K575" i="20"/>
  <c r="H574" i="20"/>
  <c r="G575" i="20"/>
  <c r="T576" i="20"/>
  <c r="S577" i="20"/>
  <c r="K576" i="20"/>
  <c r="L575" i="20"/>
  <c r="H575" i="20"/>
  <c r="G576" i="20"/>
  <c r="S578" i="20"/>
  <c r="T577" i="20"/>
  <c r="K577" i="20"/>
  <c r="L576" i="20"/>
  <c r="H576" i="20"/>
  <c r="G577" i="20"/>
  <c r="S579" i="20"/>
  <c r="T578" i="20"/>
  <c r="L577" i="20"/>
  <c r="K578" i="20"/>
  <c r="H577" i="20"/>
  <c r="G578" i="20"/>
  <c r="T579" i="20"/>
  <c r="S580" i="20"/>
  <c r="L578" i="20"/>
  <c r="K579" i="20"/>
  <c r="H578" i="20"/>
  <c r="G579" i="20"/>
  <c r="S581" i="20"/>
  <c r="T580" i="20"/>
  <c r="L579" i="20"/>
  <c r="K580" i="20"/>
  <c r="G580" i="20"/>
  <c r="H579" i="20"/>
  <c r="T581" i="20"/>
  <c r="S582" i="20"/>
  <c r="L580" i="20"/>
  <c r="K581" i="20"/>
  <c r="G581" i="20"/>
  <c r="H580" i="20"/>
  <c r="T582" i="20"/>
  <c r="S583" i="20"/>
  <c r="K582" i="20"/>
  <c r="L581" i="20"/>
  <c r="H581" i="20"/>
  <c r="G582" i="20"/>
  <c r="T583" i="20"/>
  <c r="S584" i="20"/>
  <c r="K583" i="20"/>
  <c r="L582" i="20"/>
  <c r="G583" i="20"/>
  <c r="H582" i="20"/>
  <c r="S585" i="20"/>
  <c r="T584" i="20"/>
  <c r="L583" i="20"/>
  <c r="K584" i="20"/>
  <c r="H583" i="20"/>
  <c r="G584" i="20"/>
  <c r="S586" i="20"/>
  <c r="T585" i="20"/>
  <c r="L584" i="20"/>
  <c r="K585" i="20"/>
  <c r="H584" i="20"/>
  <c r="G585" i="20"/>
  <c r="T586" i="20"/>
  <c r="S587" i="20"/>
  <c r="K586" i="20"/>
  <c r="L585" i="20"/>
  <c r="G586" i="20"/>
  <c r="H585" i="20"/>
  <c r="T587" i="20"/>
  <c r="S588" i="20"/>
  <c r="L586" i="20"/>
  <c r="K587" i="20"/>
  <c r="H586" i="20"/>
  <c r="G587" i="20"/>
  <c r="S589" i="20"/>
  <c r="T588" i="20"/>
  <c r="L587" i="20"/>
  <c r="K588" i="20"/>
  <c r="G588" i="20"/>
  <c r="H587" i="20"/>
  <c r="S590" i="20"/>
  <c r="T589" i="20"/>
  <c r="K589" i="20"/>
  <c r="L588" i="20"/>
  <c r="G589" i="20"/>
  <c r="H588" i="20"/>
  <c r="S591" i="20"/>
  <c r="T590" i="20"/>
  <c r="K590" i="20"/>
  <c r="L589" i="20"/>
  <c r="H589" i="20"/>
  <c r="G590" i="20"/>
  <c r="T591" i="20"/>
  <c r="S592" i="20"/>
  <c r="L590" i="20"/>
  <c r="K591" i="20"/>
  <c r="G591" i="20"/>
  <c r="H590" i="20"/>
  <c r="S593" i="20"/>
  <c r="T592" i="20"/>
  <c r="K592" i="20"/>
  <c r="L591" i="20"/>
  <c r="G592" i="20"/>
  <c r="H591" i="20"/>
  <c r="S594" i="20"/>
  <c r="T593" i="20"/>
  <c r="K593" i="20"/>
  <c r="L592" i="20"/>
  <c r="H592" i="20"/>
  <c r="G593" i="20"/>
  <c r="S595" i="20"/>
  <c r="T594" i="20"/>
  <c r="L593" i="20"/>
  <c r="K594" i="20"/>
  <c r="G594" i="20"/>
  <c r="H593" i="20"/>
  <c r="T595" i="20"/>
  <c r="S596" i="20"/>
  <c r="K595" i="20"/>
  <c r="L594" i="20"/>
  <c r="H594" i="20"/>
  <c r="G595" i="20"/>
  <c r="S597" i="20"/>
  <c r="T596" i="20"/>
  <c r="K596" i="20"/>
  <c r="L595" i="20"/>
  <c r="G596" i="20"/>
  <c r="H595" i="20"/>
  <c r="T597" i="20"/>
  <c r="S598" i="20"/>
  <c r="L596" i="20"/>
  <c r="K597" i="20"/>
  <c r="H596" i="20"/>
  <c r="G597" i="20"/>
  <c r="T598" i="20"/>
  <c r="S599" i="20"/>
  <c r="K598" i="20"/>
  <c r="L597" i="20"/>
  <c r="H597" i="20"/>
  <c r="G598" i="20"/>
  <c r="S600" i="20"/>
  <c r="T599" i="20"/>
  <c r="L598" i="20"/>
  <c r="K599" i="20"/>
  <c r="G599" i="20"/>
  <c r="H598" i="20"/>
  <c r="T600" i="20"/>
  <c r="S601" i="20"/>
  <c r="K600" i="20"/>
  <c r="L599" i="20"/>
  <c r="H599" i="20"/>
  <c r="G600" i="20"/>
  <c r="T601" i="20"/>
  <c r="S602" i="20"/>
  <c r="L600" i="20"/>
  <c r="K601" i="20"/>
  <c r="G601" i="20"/>
  <c r="H600" i="20"/>
  <c r="T602" i="20"/>
  <c r="S603" i="20"/>
  <c r="K602" i="20"/>
  <c r="L601" i="20"/>
  <c r="G602" i="20"/>
  <c r="H601" i="20"/>
  <c r="T603" i="20"/>
  <c r="S604" i="20"/>
  <c r="L602" i="20"/>
  <c r="K603" i="20"/>
  <c r="H602" i="20"/>
  <c r="G603" i="20"/>
  <c r="S605" i="20"/>
  <c r="T604" i="20"/>
  <c r="L603" i="20"/>
  <c r="K604" i="20"/>
  <c r="H603" i="20"/>
  <c r="G604" i="20"/>
  <c r="T605" i="20"/>
  <c r="S606" i="20"/>
  <c r="K605" i="20"/>
  <c r="L604" i="20"/>
  <c r="H604" i="20"/>
  <c r="G605" i="20"/>
  <c r="S607" i="20"/>
  <c r="T606" i="20"/>
  <c r="L605" i="20"/>
  <c r="K606" i="20"/>
  <c r="H605" i="20"/>
  <c r="G606" i="20"/>
  <c r="S608" i="20"/>
  <c r="T607" i="20"/>
  <c r="L606" i="20"/>
  <c r="K607" i="20"/>
  <c r="H606" i="20"/>
  <c r="G607" i="20"/>
  <c r="T608" i="20"/>
  <c r="S609" i="20"/>
  <c r="K608" i="20"/>
  <c r="L607" i="20"/>
  <c r="H607" i="20"/>
  <c r="G608" i="20"/>
  <c r="S610" i="20"/>
  <c r="T609" i="20"/>
  <c r="K609" i="20"/>
  <c r="L608" i="20"/>
  <c r="H608" i="20"/>
  <c r="G609" i="20"/>
  <c r="T610" i="20"/>
  <c r="S611" i="20"/>
  <c r="K610" i="20"/>
  <c r="L609" i="20"/>
  <c r="G610" i="20"/>
  <c r="H609" i="20"/>
  <c r="S612" i="20"/>
  <c r="T611" i="20"/>
  <c r="K611" i="20"/>
  <c r="L610" i="20"/>
  <c r="H610" i="20"/>
  <c r="G611" i="20"/>
  <c r="S613" i="20"/>
  <c r="T612" i="20"/>
  <c r="L611" i="20"/>
  <c r="K612" i="20"/>
  <c r="H611" i="20"/>
  <c r="G612" i="20"/>
  <c r="S614" i="20"/>
  <c r="T613" i="20"/>
  <c r="L612" i="20"/>
  <c r="K613" i="20"/>
  <c r="G613" i="20"/>
  <c r="H612" i="20"/>
  <c r="T614" i="20"/>
  <c r="S615" i="20"/>
  <c r="L613" i="20"/>
  <c r="K614" i="20"/>
  <c r="G614" i="20"/>
  <c r="H613" i="20"/>
  <c r="S616" i="20"/>
  <c r="T615" i="20"/>
  <c r="K615" i="20"/>
  <c r="L614" i="20"/>
  <c r="G615" i="20"/>
  <c r="H614" i="20"/>
  <c r="S617" i="20"/>
  <c r="T616" i="20"/>
  <c r="L615" i="20"/>
  <c r="K616" i="20"/>
  <c r="H615" i="20"/>
  <c r="G616" i="20"/>
  <c r="S618" i="20"/>
  <c r="T617" i="20"/>
  <c r="L616" i="20"/>
  <c r="K617" i="20"/>
  <c r="G617" i="20"/>
  <c r="H616" i="20"/>
  <c r="T618" i="20"/>
  <c r="S619" i="20"/>
  <c r="L617" i="20"/>
  <c r="K618" i="20"/>
  <c r="G618" i="20"/>
  <c r="H617" i="20"/>
  <c r="T619" i="20"/>
  <c r="S620" i="20"/>
  <c r="L618" i="20"/>
  <c r="K619" i="20"/>
  <c r="H618" i="20"/>
  <c r="G619" i="20"/>
  <c r="S621" i="20"/>
  <c r="T620" i="20"/>
  <c r="K620" i="20"/>
  <c r="L619" i="20"/>
  <c r="H619" i="20"/>
  <c r="G620" i="20"/>
  <c r="T621" i="20"/>
  <c r="S622" i="20"/>
  <c r="K621" i="20"/>
  <c r="L620" i="20"/>
  <c r="G621" i="20"/>
  <c r="H620" i="20"/>
  <c r="T622" i="20"/>
  <c r="S623" i="20"/>
  <c r="K622" i="20"/>
  <c r="L621" i="20"/>
  <c r="G622" i="20"/>
  <c r="H621" i="20"/>
  <c r="S624" i="20"/>
  <c r="T623" i="20"/>
  <c r="L622" i="20"/>
  <c r="K623" i="20"/>
  <c r="G623" i="20"/>
  <c r="H622" i="20"/>
  <c r="T624" i="20"/>
  <c r="S625" i="20"/>
  <c r="L623" i="20"/>
  <c r="K624" i="20"/>
  <c r="H623" i="20"/>
  <c r="G624" i="20"/>
  <c r="T625" i="20"/>
  <c r="S626" i="20"/>
  <c r="K625" i="20"/>
  <c r="L624" i="20"/>
  <c r="H624" i="20"/>
  <c r="G625" i="20"/>
  <c r="T626" i="20"/>
  <c r="S627" i="20"/>
  <c r="L625" i="20"/>
  <c r="K626" i="20"/>
  <c r="H625" i="20"/>
  <c r="G626" i="20"/>
  <c r="T627" i="20"/>
  <c r="S628" i="20"/>
  <c r="K627" i="20"/>
  <c r="L626" i="20"/>
  <c r="G627" i="20"/>
  <c r="H626" i="20"/>
  <c r="S629" i="20"/>
  <c r="T628" i="20"/>
  <c r="L627" i="20"/>
  <c r="K628" i="20"/>
  <c r="H627" i="20"/>
  <c r="G628" i="20"/>
  <c r="T629" i="20"/>
  <c r="S630" i="20"/>
  <c r="L628" i="20"/>
  <c r="K629" i="20"/>
  <c r="G629" i="20"/>
  <c r="H628" i="20"/>
  <c r="T630" i="20"/>
  <c r="S631" i="20"/>
  <c r="K630" i="20"/>
  <c r="L629" i="20"/>
  <c r="G630" i="20"/>
  <c r="H629" i="20"/>
  <c r="S632" i="20"/>
  <c r="T631" i="20"/>
  <c r="L630" i="20"/>
  <c r="K631" i="20"/>
  <c r="H630" i="20"/>
  <c r="G631" i="20"/>
  <c r="S633" i="20"/>
  <c r="T632" i="20"/>
  <c r="K632" i="20"/>
  <c r="L631" i="20"/>
  <c r="G632" i="20"/>
  <c r="H631" i="20"/>
  <c r="S634" i="20"/>
  <c r="T633" i="20"/>
  <c r="K633" i="20"/>
  <c r="L632" i="20"/>
  <c r="G633" i="20"/>
  <c r="H632" i="20"/>
  <c r="T634" i="20"/>
  <c r="S635" i="20"/>
  <c r="K634" i="20"/>
  <c r="L633" i="20"/>
  <c r="H633" i="20"/>
  <c r="G634" i="20"/>
  <c r="S636" i="20"/>
  <c r="T635" i="20"/>
  <c r="K635" i="20"/>
  <c r="L634" i="20"/>
  <c r="H634" i="20"/>
  <c r="G635" i="20"/>
  <c r="S637" i="20"/>
  <c r="T636" i="20"/>
  <c r="L635" i="20"/>
  <c r="K636" i="20"/>
  <c r="H635" i="20"/>
  <c r="G636" i="20"/>
  <c r="T637" i="20"/>
  <c r="S638" i="20"/>
  <c r="K637" i="20"/>
  <c r="L636" i="20"/>
  <c r="G637" i="20"/>
  <c r="H636" i="20"/>
  <c r="S639" i="20"/>
  <c r="T638" i="20"/>
  <c r="K638" i="20"/>
  <c r="L637" i="20"/>
  <c r="G638" i="20"/>
  <c r="H637" i="20"/>
  <c r="T639" i="20"/>
  <c r="S640" i="20"/>
  <c r="L638" i="20"/>
  <c r="K639" i="20"/>
  <c r="G639" i="20"/>
  <c r="H638" i="20"/>
  <c r="T640" i="20"/>
  <c r="S641" i="20"/>
  <c r="L639" i="20"/>
  <c r="K640" i="20"/>
  <c r="G640" i="20"/>
  <c r="H639" i="20"/>
  <c r="T641" i="20"/>
  <c r="S642" i="20"/>
  <c r="K641" i="20"/>
  <c r="L640" i="20"/>
  <c r="G641" i="20"/>
  <c r="H640" i="20"/>
  <c r="T642" i="20"/>
  <c r="S643" i="20"/>
  <c r="L641" i="20"/>
  <c r="K642" i="20"/>
  <c r="H641" i="20"/>
  <c r="G642" i="20"/>
  <c r="T643" i="20"/>
  <c r="S644" i="20"/>
  <c r="K643" i="20"/>
  <c r="L642" i="20"/>
  <c r="H642" i="20"/>
  <c r="G643" i="20"/>
  <c r="S645" i="20"/>
  <c r="T644" i="20"/>
  <c r="L643" i="20"/>
  <c r="K644" i="20"/>
  <c r="H643" i="20"/>
  <c r="G644" i="20"/>
  <c r="T645" i="20"/>
  <c r="S646" i="20"/>
  <c r="K645" i="20"/>
  <c r="L644" i="20"/>
  <c r="G645" i="20"/>
  <c r="H644" i="20"/>
  <c r="T646" i="20"/>
  <c r="S647" i="20"/>
  <c r="L645" i="20"/>
  <c r="K646" i="20"/>
  <c r="G646" i="20"/>
  <c r="H645" i="20"/>
  <c r="T647" i="20"/>
  <c r="S648" i="20"/>
  <c r="K647" i="20"/>
  <c r="L646" i="20"/>
  <c r="G647" i="20"/>
  <c r="H646" i="20"/>
  <c r="S649" i="20"/>
  <c r="T648" i="20"/>
  <c r="L647" i="20"/>
  <c r="K648" i="20"/>
  <c r="G648" i="20"/>
  <c r="H647" i="20"/>
  <c r="T649" i="20"/>
  <c r="S650" i="20"/>
  <c r="K649" i="20"/>
  <c r="L648" i="20"/>
  <c r="H648" i="20"/>
  <c r="G649" i="20"/>
  <c r="T650" i="20"/>
  <c r="S651" i="20"/>
  <c r="L649" i="20"/>
  <c r="K650" i="20"/>
  <c r="H649" i="20"/>
  <c r="G650" i="20"/>
  <c r="T651" i="20"/>
  <c r="S652" i="20"/>
  <c r="K651" i="20"/>
  <c r="L650" i="20"/>
  <c r="H650" i="20"/>
  <c r="G651" i="20"/>
  <c r="T652" i="20"/>
  <c r="S653" i="20"/>
  <c r="K652" i="20"/>
  <c r="L651" i="20"/>
  <c r="G652" i="20"/>
  <c r="H651" i="20"/>
  <c r="S654" i="20"/>
  <c r="T653" i="20"/>
  <c r="K653" i="20"/>
  <c r="L652" i="20"/>
  <c r="G653" i="20"/>
  <c r="H652" i="20"/>
  <c r="T654" i="20"/>
  <c r="S655" i="20"/>
  <c r="K654" i="20"/>
  <c r="L653" i="20"/>
  <c r="G654" i="20"/>
  <c r="H653" i="20"/>
  <c r="T655" i="20"/>
  <c r="S656" i="20"/>
  <c r="K655" i="20"/>
  <c r="L654" i="20"/>
  <c r="G655" i="20"/>
  <c r="H654" i="20"/>
  <c r="S657" i="20"/>
  <c r="T656" i="20"/>
  <c r="L655" i="20"/>
  <c r="K656" i="20"/>
  <c r="G656" i="20"/>
  <c r="H655" i="20"/>
  <c r="S658" i="20"/>
  <c r="T657" i="20"/>
  <c r="L656" i="20"/>
  <c r="K657" i="20"/>
  <c r="H656" i="20"/>
  <c r="G657" i="20"/>
  <c r="T658" i="20"/>
  <c r="S659" i="20"/>
  <c r="K658" i="20"/>
  <c r="L657" i="20"/>
  <c r="G658" i="20"/>
  <c r="H657" i="20"/>
  <c r="T659" i="20"/>
  <c r="S660" i="20"/>
  <c r="K659" i="20"/>
  <c r="L658" i="20"/>
  <c r="G659" i="20"/>
  <c r="H658" i="20"/>
  <c r="T660" i="20"/>
  <c r="S661" i="20"/>
  <c r="K660" i="20"/>
  <c r="L659" i="20"/>
  <c r="H659" i="20"/>
  <c r="G660" i="20"/>
  <c r="T661" i="20"/>
  <c r="S662" i="20"/>
  <c r="L660" i="20"/>
  <c r="K661" i="20"/>
  <c r="G661" i="20"/>
  <c r="H660" i="20"/>
  <c r="S663" i="20"/>
  <c r="T662" i="20"/>
  <c r="K662" i="20"/>
  <c r="L661" i="20"/>
  <c r="G662" i="20"/>
  <c r="H661" i="20"/>
  <c r="S664" i="20"/>
  <c r="T663" i="20"/>
  <c r="K663" i="20"/>
  <c r="L662" i="20"/>
  <c r="H662" i="20"/>
  <c r="G663" i="20"/>
  <c r="T664" i="20"/>
  <c r="S665" i="20"/>
  <c r="L663" i="20"/>
  <c r="K664" i="20"/>
  <c r="H663" i="20"/>
  <c r="G664" i="20"/>
  <c r="T665" i="20"/>
  <c r="S666" i="20"/>
  <c r="K665" i="20"/>
  <c r="L664" i="20"/>
  <c r="G665" i="20"/>
  <c r="H664" i="20"/>
  <c r="T666" i="20"/>
  <c r="S667" i="20"/>
  <c r="K666" i="20"/>
  <c r="L665" i="20"/>
  <c r="G666" i="20"/>
  <c r="H665" i="20"/>
  <c r="S668" i="20"/>
  <c r="T667" i="20"/>
  <c r="L666" i="20"/>
  <c r="K667" i="20"/>
  <c r="G667" i="20"/>
  <c r="H666" i="20"/>
  <c r="T668" i="20"/>
  <c r="S669" i="20"/>
  <c r="K668" i="20"/>
  <c r="L667" i="20"/>
  <c r="G668" i="20"/>
  <c r="H667" i="20"/>
  <c r="S670" i="20"/>
  <c r="T669" i="20"/>
  <c r="L668" i="20"/>
  <c r="K669" i="20"/>
  <c r="H668" i="20"/>
  <c r="G669" i="20"/>
  <c r="S671" i="20"/>
  <c r="T670" i="20"/>
  <c r="L669" i="20"/>
  <c r="K670" i="20"/>
  <c r="G670" i="20"/>
  <c r="H669" i="20"/>
  <c r="S672" i="20"/>
  <c r="T671" i="20"/>
  <c r="L670" i="20"/>
  <c r="K671" i="20"/>
  <c r="G671" i="20"/>
  <c r="H670" i="20"/>
  <c r="T672" i="20"/>
  <c r="S673" i="20"/>
  <c r="K672" i="20"/>
  <c r="L671" i="20"/>
  <c r="H671" i="20"/>
  <c r="G672" i="20"/>
  <c r="T673" i="20"/>
  <c r="S674" i="20"/>
  <c r="L672" i="20"/>
  <c r="K673" i="20"/>
  <c r="H672" i="20"/>
  <c r="G673" i="20"/>
  <c r="T674" i="20"/>
  <c r="S675" i="20"/>
  <c r="K674" i="20"/>
  <c r="L673" i="20"/>
  <c r="G674" i="20"/>
  <c r="H673" i="20"/>
  <c r="S676" i="20"/>
  <c r="T675" i="20"/>
  <c r="K675" i="20"/>
  <c r="L674" i="20"/>
  <c r="H674" i="20"/>
  <c r="G675" i="20"/>
  <c r="T676" i="20"/>
  <c r="S677" i="20"/>
  <c r="L675" i="20"/>
  <c r="K676" i="20"/>
  <c r="H675" i="20"/>
  <c r="G676" i="20"/>
  <c r="T677" i="20"/>
  <c r="S678" i="20"/>
  <c r="L676" i="20"/>
  <c r="K677" i="20"/>
  <c r="H676" i="20"/>
  <c r="G677" i="20"/>
  <c r="S679" i="20"/>
  <c r="T678" i="20"/>
  <c r="L677" i="20"/>
  <c r="K678" i="20"/>
  <c r="G678" i="20"/>
  <c r="H677" i="20"/>
  <c r="S680" i="20"/>
  <c r="T679" i="20"/>
  <c r="L678" i="20"/>
  <c r="K679" i="20"/>
  <c r="H678" i="20"/>
  <c r="G679" i="20"/>
  <c r="S681" i="20"/>
  <c r="T680" i="20"/>
  <c r="K680" i="20"/>
  <c r="L679" i="20"/>
  <c r="G680" i="20"/>
  <c r="H679" i="20"/>
  <c r="S682" i="20"/>
  <c r="T681" i="20"/>
  <c r="L680" i="20"/>
  <c r="K681" i="20"/>
  <c r="G681" i="20"/>
  <c r="H680" i="20"/>
  <c r="T682" i="20"/>
  <c r="S683" i="20"/>
  <c r="K682" i="20"/>
  <c r="L681" i="20"/>
  <c r="H681" i="20"/>
  <c r="G682" i="20"/>
  <c r="T683" i="20"/>
  <c r="S684" i="20"/>
  <c r="K683" i="20"/>
  <c r="L682" i="20"/>
  <c r="G683" i="20"/>
  <c r="H682" i="20"/>
  <c r="T684" i="20"/>
  <c r="S685" i="20"/>
  <c r="K684" i="20"/>
  <c r="L683" i="20"/>
  <c r="G684" i="20"/>
  <c r="H683" i="20"/>
  <c r="T685" i="20"/>
  <c r="S686" i="20"/>
  <c r="L684" i="20"/>
  <c r="K685" i="20"/>
  <c r="G685" i="20"/>
  <c r="H684" i="20"/>
  <c r="T686" i="20"/>
  <c r="S687" i="20"/>
  <c r="K686" i="20"/>
  <c r="L685" i="20"/>
  <c r="H685" i="20"/>
  <c r="G686" i="20"/>
  <c r="S688" i="20"/>
  <c r="T687" i="20"/>
  <c r="K687" i="20"/>
  <c r="L686" i="20"/>
  <c r="H686" i="20"/>
  <c r="G687" i="20"/>
  <c r="T688" i="20"/>
  <c r="S689" i="20"/>
  <c r="K688" i="20"/>
  <c r="L687" i="20"/>
  <c r="G688" i="20"/>
  <c r="H687" i="20"/>
  <c r="T689" i="20"/>
  <c r="S690" i="20"/>
  <c r="K689" i="20"/>
  <c r="L688" i="20"/>
  <c r="H688" i="20"/>
  <c r="G689" i="20"/>
  <c r="S691" i="20"/>
  <c r="T690" i="20"/>
  <c r="K690" i="20"/>
  <c r="L689" i="20"/>
  <c r="G690" i="20"/>
  <c r="H689" i="20"/>
  <c r="T691" i="20"/>
  <c r="S692" i="20"/>
  <c r="K691" i="20"/>
  <c r="L690" i="20"/>
  <c r="H690" i="20"/>
  <c r="G691" i="20"/>
  <c r="S693" i="20"/>
  <c r="T692" i="20"/>
  <c r="K692" i="20"/>
  <c r="L691" i="20"/>
  <c r="G692" i="20"/>
  <c r="H691" i="20"/>
  <c r="S694" i="20"/>
  <c r="T693" i="20"/>
  <c r="L692" i="20"/>
  <c r="K693" i="20"/>
  <c r="G693" i="20"/>
  <c r="H692" i="20"/>
  <c r="T694" i="20"/>
  <c r="S695" i="20"/>
  <c r="L693" i="20"/>
  <c r="K694" i="20"/>
  <c r="G694" i="20"/>
  <c r="H693" i="20"/>
  <c r="S696" i="20"/>
  <c r="T695" i="20"/>
  <c r="L694" i="20"/>
  <c r="K695" i="20"/>
  <c r="G695" i="20"/>
  <c r="H694" i="20"/>
  <c r="T696" i="20"/>
  <c r="S697" i="20"/>
  <c r="K696" i="20"/>
  <c r="L695" i="20"/>
  <c r="H695" i="20"/>
  <c r="G696" i="20"/>
  <c r="S698" i="20"/>
  <c r="T697" i="20"/>
  <c r="L696" i="20"/>
  <c r="K697" i="20"/>
  <c r="H696" i="20"/>
  <c r="G697" i="20"/>
  <c r="T698" i="20"/>
  <c r="S699" i="20"/>
  <c r="L697" i="20"/>
  <c r="K698" i="20"/>
  <c r="H697" i="20"/>
  <c r="G698" i="20"/>
  <c r="T699" i="20"/>
  <c r="S700" i="20"/>
  <c r="K699" i="20"/>
  <c r="L698" i="20"/>
  <c r="G699" i="20"/>
  <c r="H698" i="20"/>
  <c r="T700" i="20"/>
  <c r="S701" i="20"/>
  <c r="L699" i="20"/>
  <c r="K700" i="20"/>
  <c r="G700" i="20"/>
  <c r="H699" i="20"/>
  <c r="T701" i="20"/>
  <c r="S702" i="20"/>
  <c r="K701" i="20"/>
  <c r="L700" i="20"/>
  <c r="G701" i="20"/>
  <c r="H700" i="20"/>
  <c r="S703" i="20"/>
  <c r="T702" i="20"/>
  <c r="K702" i="20"/>
  <c r="L701" i="20"/>
  <c r="H701" i="20"/>
  <c r="G702" i="20"/>
  <c r="T703" i="20"/>
  <c r="S704" i="20"/>
  <c r="L702" i="20"/>
  <c r="K703" i="20"/>
  <c r="H702" i="20"/>
  <c r="G703" i="20"/>
  <c r="S705" i="20"/>
  <c r="T704" i="20"/>
  <c r="L703" i="20"/>
  <c r="K704" i="20"/>
  <c r="G704" i="20"/>
  <c r="H703" i="20"/>
  <c r="T705" i="20"/>
  <c r="S706" i="20"/>
  <c r="L704" i="20"/>
  <c r="K705" i="20"/>
  <c r="G705" i="20"/>
  <c r="H704" i="20"/>
  <c r="T706" i="20"/>
  <c r="S707" i="20"/>
  <c r="L705" i="20"/>
  <c r="K706" i="20"/>
  <c r="G706" i="20"/>
  <c r="H705" i="20"/>
  <c r="S708" i="20"/>
  <c r="T707" i="20"/>
  <c r="K707" i="20"/>
  <c r="L706" i="20"/>
  <c r="H706" i="20"/>
  <c r="G707" i="20"/>
  <c r="S709" i="20"/>
  <c r="T708" i="20"/>
  <c r="K708" i="20"/>
  <c r="L707" i="20"/>
  <c r="H707" i="20"/>
  <c r="G708" i="20"/>
  <c r="T709" i="20"/>
  <c r="S710" i="20"/>
  <c r="K709" i="20"/>
  <c r="L708" i="20"/>
  <c r="H708" i="20"/>
  <c r="G709" i="20"/>
  <c r="S711" i="20"/>
  <c r="T710" i="20"/>
  <c r="L709" i="20"/>
  <c r="K710" i="20"/>
  <c r="H709" i="20"/>
  <c r="G710" i="20"/>
  <c r="T711" i="20"/>
  <c r="S712" i="20"/>
  <c r="L710" i="20"/>
  <c r="K711" i="20"/>
  <c r="G711" i="20"/>
  <c r="H710" i="20"/>
  <c r="S713" i="20"/>
  <c r="T712" i="20"/>
  <c r="L711" i="20"/>
  <c r="K712" i="20"/>
  <c r="H711" i="20"/>
  <c r="G712" i="20"/>
  <c r="T713" i="20"/>
  <c r="S714" i="20"/>
  <c r="K713" i="20"/>
  <c r="L712" i="20"/>
  <c r="H712" i="20"/>
  <c r="G713" i="20"/>
  <c r="T714" i="20"/>
  <c r="S715" i="20"/>
  <c r="K714" i="20"/>
  <c r="L713" i="20"/>
  <c r="H713" i="20"/>
  <c r="G714" i="20"/>
  <c r="T715" i="20"/>
  <c r="S716" i="20"/>
  <c r="K715" i="20"/>
  <c r="L714" i="20"/>
  <c r="G715" i="20"/>
  <c r="H714" i="20"/>
  <c r="T716" i="20"/>
  <c r="S717" i="20"/>
  <c r="K716" i="20"/>
  <c r="L715" i="20"/>
  <c r="G716" i="20"/>
  <c r="H715" i="20"/>
  <c r="S718" i="20"/>
  <c r="T717" i="20"/>
  <c r="L716" i="20"/>
  <c r="K717" i="20"/>
  <c r="H716" i="20"/>
  <c r="G717" i="20"/>
  <c r="T718" i="20"/>
  <c r="S719" i="20"/>
  <c r="K718" i="20"/>
  <c r="L717" i="20"/>
  <c r="H717" i="20"/>
  <c r="G718" i="20"/>
  <c r="S720" i="20"/>
  <c r="T719" i="20"/>
  <c r="L718" i="20"/>
  <c r="K719" i="20"/>
  <c r="H718" i="20"/>
  <c r="G719" i="20"/>
  <c r="T720" i="20"/>
  <c r="S721" i="20"/>
  <c r="K720" i="20"/>
  <c r="L719" i="20"/>
  <c r="G720" i="20"/>
  <c r="H719" i="20"/>
  <c r="S722" i="20"/>
  <c r="T721" i="20"/>
  <c r="K721" i="20"/>
  <c r="L720" i="20"/>
  <c r="G721" i="20"/>
  <c r="H720" i="20"/>
  <c r="S723" i="20"/>
  <c r="T722" i="20"/>
  <c r="K722" i="20"/>
  <c r="L721" i="20"/>
  <c r="G722" i="20"/>
  <c r="H721" i="20"/>
  <c r="S724" i="20"/>
  <c r="T723" i="20"/>
  <c r="L722" i="20"/>
  <c r="K723" i="20"/>
  <c r="H722" i="20"/>
  <c r="G723" i="20"/>
  <c r="T724" i="20"/>
  <c r="S725" i="20"/>
  <c r="K724" i="20"/>
  <c r="L723" i="20"/>
  <c r="H723" i="20"/>
  <c r="G724" i="20"/>
  <c r="T725" i="20"/>
  <c r="S726" i="20"/>
  <c r="K725" i="20"/>
  <c r="L724" i="20"/>
  <c r="H724" i="20"/>
  <c r="G725" i="20"/>
  <c r="S727" i="20"/>
  <c r="T726" i="20"/>
  <c r="K726" i="20"/>
  <c r="L725" i="20"/>
  <c r="G726" i="20"/>
  <c r="H725" i="20"/>
  <c r="T727" i="20"/>
  <c r="S728" i="20"/>
  <c r="K727" i="20"/>
  <c r="L726" i="20"/>
  <c r="G727" i="20"/>
  <c r="H726" i="20"/>
  <c r="T728" i="20"/>
  <c r="S729" i="20"/>
  <c r="L727" i="20"/>
  <c r="K728" i="20"/>
  <c r="H727" i="20"/>
  <c r="G728" i="20"/>
  <c r="S730" i="20"/>
  <c r="T729" i="20"/>
  <c r="K729" i="20"/>
  <c r="L728" i="20"/>
  <c r="H728" i="20"/>
  <c r="G729" i="20"/>
  <c r="S731" i="20"/>
  <c r="T730" i="20"/>
  <c r="L729" i="20"/>
  <c r="K730" i="20"/>
  <c r="H729" i="20"/>
  <c r="G730" i="20"/>
  <c r="T731" i="20"/>
  <c r="S732" i="20"/>
  <c r="K731" i="20"/>
  <c r="L730" i="20"/>
  <c r="H730" i="20"/>
  <c r="G731" i="20"/>
  <c r="T732" i="20"/>
  <c r="S733" i="20"/>
  <c r="K732" i="20"/>
  <c r="L731" i="20"/>
  <c r="G732" i="20"/>
  <c r="H731" i="20"/>
  <c r="T733" i="20"/>
  <c r="S734" i="20"/>
  <c r="L732" i="20"/>
  <c r="K733" i="20"/>
  <c r="G733" i="20"/>
  <c r="H732" i="20"/>
  <c r="S735" i="20"/>
  <c r="T734" i="20"/>
  <c r="K734" i="20"/>
  <c r="L733" i="20"/>
  <c r="H733" i="20"/>
  <c r="G734" i="20"/>
  <c r="T735" i="20"/>
  <c r="S736" i="20"/>
  <c r="L734" i="20"/>
  <c r="K735" i="20"/>
  <c r="H734" i="20"/>
  <c r="G735" i="20"/>
  <c r="S737" i="20"/>
  <c r="T736" i="20"/>
  <c r="L735" i="20"/>
  <c r="K736" i="20"/>
  <c r="G736" i="20"/>
  <c r="H735" i="20"/>
  <c r="S738" i="20"/>
  <c r="T737" i="20"/>
  <c r="K737" i="20"/>
  <c r="L736" i="20"/>
  <c r="G737" i="20"/>
  <c r="H736" i="20"/>
  <c r="S739" i="20"/>
  <c r="T738" i="20"/>
  <c r="K738" i="20"/>
  <c r="L737" i="20"/>
  <c r="G738" i="20"/>
  <c r="H737" i="20"/>
  <c r="S740" i="20"/>
  <c r="T739" i="20"/>
  <c r="K739" i="20"/>
  <c r="L738" i="20"/>
  <c r="H738" i="20"/>
  <c r="G739" i="20"/>
  <c r="T740" i="20"/>
  <c r="S741" i="20"/>
  <c r="K740" i="20"/>
  <c r="L739" i="20"/>
  <c r="G740" i="20"/>
  <c r="H739" i="20"/>
  <c r="S742" i="20"/>
  <c r="T741" i="20"/>
  <c r="L740" i="20"/>
  <c r="K741" i="20"/>
  <c r="G741" i="20"/>
  <c r="H740" i="20"/>
  <c r="S743" i="20"/>
  <c r="T742" i="20"/>
  <c r="L741" i="20"/>
  <c r="K742" i="20"/>
  <c r="H741" i="20"/>
  <c r="G742" i="20"/>
  <c r="T743" i="20"/>
  <c r="S744" i="20"/>
  <c r="L742" i="20"/>
  <c r="K743" i="20"/>
  <c r="G743" i="20"/>
  <c r="H742" i="20"/>
  <c r="T744" i="20"/>
  <c r="S745" i="20"/>
  <c r="K744" i="20"/>
  <c r="L743" i="20"/>
  <c r="H743" i="20"/>
  <c r="G744" i="20"/>
  <c r="S746" i="20"/>
  <c r="T745" i="20"/>
  <c r="K745" i="20"/>
  <c r="L744" i="20"/>
  <c r="H744" i="20"/>
  <c r="G745" i="20"/>
  <c r="S747" i="20"/>
  <c r="T746" i="20"/>
  <c r="K746" i="20"/>
  <c r="L745" i="20"/>
  <c r="G746" i="20"/>
  <c r="H745" i="20"/>
  <c r="T747" i="20"/>
  <c r="S748" i="20"/>
  <c r="K747" i="20"/>
  <c r="L746" i="20"/>
  <c r="G747" i="20"/>
  <c r="H746" i="20"/>
  <c r="T748" i="20"/>
  <c r="S749" i="20"/>
  <c r="K748" i="20"/>
  <c r="L747" i="20"/>
  <c r="H747" i="20"/>
  <c r="G748" i="20"/>
  <c r="S750" i="20"/>
  <c r="T749" i="20"/>
  <c r="K749" i="20"/>
  <c r="L748" i="20"/>
  <c r="G749" i="20"/>
  <c r="H748" i="20"/>
  <c r="T750" i="20"/>
  <c r="S751" i="20"/>
  <c r="K750" i="20"/>
  <c r="L749" i="20"/>
  <c r="H749" i="20"/>
  <c r="G750" i="20"/>
  <c r="T751" i="20"/>
  <c r="S752" i="20"/>
  <c r="L750" i="20"/>
  <c r="K751" i="20"/>
  <c r="G751" i="20"/>
  <c r="H750" i="20"/>
  <c r="T752" i="20"/>
  <c r="S753" i="20"/>
  <c r="L751" i="20"/>
  <c r="K752" i="20"/>
  <c r="G752" i="20"/>
  <c r="H751" i="20"/>
  <c r="T753" i="20"/>
  <c r="S754" i="20"/>
  <c r="L752" i="20"/>
  <c r="K753" i="20"/>
  <c r="H752" i="20"/>
  <c r="G753" i="20"/>
  <c r="S755" i="20"/>
  <c r="T754" i="20"/>
  <c r="L753" i="20"/>
  <c r="K754" i="20"/>
  <c r="G754" i="20"/>
  <c r="H753" i="20"/>
  <c r="S756" i="20"/>
  <c r="T755" i="20"/>
  <c r="K755" i="20"/>
  <c r="L754" i="20"/>
  <c r="G755" i="20"/>
  <c r="H754" i="20"/>
  <c r="S757" i="20"/>
  <c r="T756" i="20"/>
  <c r="K756" i="20"/>
  <c r="L755" i="20"/>
  <c r="G756" i="20"/>
  <c r="H755" i="20"/>
  <c r="T757" i="20"/>
  <c r="S758" i="20"/>
  <c r="L756" i="20"/>
  <c r="K757" i="20"/>
  <c r="H756" i="20"/>
  <c r="G757" i="20"/>
  <c r="S759" i="20"/>
  <c r="T758" i="20"/>
  <c r="L757" i="20"/>
  <c r="K758" i="20"/>
  <c r="H757" i="20"/>
  <c r="G758" i="20"/>
  <c r="T759" i="20"/>
  <c r="S760" i="20"/>
  <c r="K759" i="20"/>
  <c r="L758" i="20"/>
  <c r="H758" i="20"/>
  <c r="G759" i="20"/>
  <c r="S761" i="20"/>
  <c r="T760" i="20"/>
  <c r="K760" i="20"/>
  <c r="L759" i="20"/>
  <c r="H759" i="20"/>
  <c r="G760" i="20"/>
  <c r="T761" i="20"/>
  <c r="S762" i="20"/>
  <c r="K761" i="20"/>
  <c r="L760" i="20"/>
  <c r="H760" i="20"/>
  <c r="G761" i="20"/>
  <c r="S763" i="20"/>
  <c r="T762" i="20"/>
  <c r="K762" i="20"/>
  <c r="L761" i="20"/>
  <c r="G762" i="20"/>
  <c r="H761" i="20"/>
  <c r="S764" i="20"/>
  <c r="T763" i="20"/>
  <c r="K763" i="20"/>
  <c r="L762" i="20"/>
  <c r="H762" i="20"/>
  <c r="G763" i="20"/>
  <c r="T764" i="20"/>
  <c r="S765" i="20"/>
  <c r="K764" i="20"/>
  <c r="L763" i="20"/>
  <c r="H763" i="20"/>
  <c r="G764" i="20"/>
  <c r="S766" i="20"/>
  <c r="T765" i="20"/>
  <c r="L764" i="20"/>
  <c r="K765" i="20"/>
  <c r="H764" i="20"/>
  <c r="G765" i="20"/>
  <c r="T766" i="20"/>
  <c r="S767" i="20"/>
  <c r="L765" i="20"/>
  <c r="K766" i="20"/>
  <c r="G766" i="20"/>
  <c r="H765" i="20"/>
  <c r="T767" i="20"/>
  <c r="S768" i="20"/>
  <c r="K767" i="20"/>
  <c r="L766" i="20"/>
  <c r="G767" i="20"/>
  <c r="H766" i="20"/>
  <c r="S769" i="20"/>
  <c r="T768" i="20"/>
  <c r="L767" i="20"/>
  <c r="K768" i="20"/>
  <c r="G768" i="20"/>
  <c r="H767" i="20"/>
  <c r="S770" i="20"/>
  <c r="T769" i="20"/>
  <c r="L768" i="20"/>
  <c r="K769" i="20"/>
  <c r="H768" i="20"/>
  <c r="G769" i="20"/>
  <c r="S771" i="20"/>
  <c r="T770" i="20"/>
  <c r="L769" i="20"/>
  <c r="K770" i="20"/>
  <c r="H769" i="20"/>
  <c r="G770" i="20"/>
  <c r="S772" i="20"/>
  <c r="T771" i="20"/>
  <c r="K771" i="20"/>
  <c r="L770" i="20"/>
  <c r="G771" i="20"/>
  <c r="H770" i="20"/>
  <c r="T772" i="20"/>
  <c r="S773" i="20"/>
  <c r="K772" i="20"/>
  <c r="L771" i="20"/>
  <c r="G772" i="20"/>
  <c r="H771" i="20"/>
  <c r="T773" i="20"/>
  <c r="S774" i="20"/>
  <c r="K773" i="20"/>
  <c r="L772" i="20"/>
  <c r="H772" i="20"/>
  <c r="G773" i="20"/>
  <c r="S775" i="20"/>
  <c r="T774" i="20"/>
  <c r="K774" i="20"/>
  <c r="L773" i="20"/>
  <c r="G774" i="20"/>
  <c r="H773" i="20"/>
  <c r="T775" i="20"/>
  <c r="S776" i="20"/>
  <c r="K775" i="20"/>
  <c r="L774" i="20"/>
  <c r="H774" i="20"/>
  <c r="G775" i="20"/>
  <c r="S777" i="20"/>
  <c r="T776" i="20"/>
  <c r="K776" i="20"/>
  <c r="L775" i="20"/>
  <c r="H775" i="20"/>
  <c r="G776" i="20"/>
  <c r="T777" i="20"/>
  <c r="S778" i="20"/>
  <c r="K777" i="20"/>
  <c r="L776" i="20"/>
  <c r="G777" i="20"/>
  <c r="H776" i="20"/>
  <c r="S779" i="20"/>
  <c r="T778" i="20"/>
  <c r="L777" i="20"/>
  <c r="K778" i="20"/>
  <c r="H777" i="20"/>
  <c r="G778" i="20"/>
  <c r="T779" i="20"/>
  <c r="S780" i="20"/>
  <c r="K779" i="20"/>
  <c r="L778" i="20"/>
  <c r="H778" i="20"/>
  <c r="G779" i="20"/>
  <c r="T780" i="20"/>
  <c r="S781" i="20"/>
  <c r="L779" i="20"/>
  <c r="K780" i="20"/>
  <c r="G780" i="20"/>
  <c r="H779" i="20"/>
  <c r="S782" i="20"/>
  <c r="T781" i="20"/>
  <c r="L780" i="20"/>
  <c r="K781" i="20"/>
  <c r="H780" i="20"/>
  <c r="G781" i="20"/>
  <c r="T782" i="20"/>
  <c r="S783" i="20"/>
  <c r="K782" i="20"/>
  <c r="L781" i="20"/>
  <c r="G782" i="20"/>
  <c r="H781" i="20"/>
  <c r="S784" i="20"/>
  <c r="T783" i="20"/>
  <c r="L782" i="20"/>
  <c r="K783" i="20"/>
  <c r="G783" i="20"/>
  <c r="H782" i="20"/>
  <c r="S785" i="20"/>
  <c r="T784" i="20"/>
  <c r="K784" i="20"/>
  <c r="L783" i="20"/>
  <c r="H783" i="20"/>
  <c r="G784" i="20"/>
  <c r="S786" i="20"/>
  <c r="T785" i="20"/>
  <c r="K785" i="20"/>
  <c r="L784" i="20"/>
  <c r="H784" i="20"/>
  <c r="G785" i="20"/>
  <c r="S787" i="20"/>
  <c r="T786" i="20"/>
  <c r="L785" i="20"/>
  <c r="K786" i="20"/>
  <c r="H785" i="20"/>
  <c r="G786" i="20"/>
  <c r="S788" i="20"/>
  <c r="T787" i="20"/>
  <c r="K787" i="20"/>
  <c r="L786" i="20"/>
  <c r="G787" i="20"/>
  <c r="H786" i="20"/>
  <c r="T788" i="20"/>
  <c r="S789" i="20"/>
  <c r="L787" i="20"/>
  <c r="K788" i="20"/>
  <c r="G788" i="20"/>
  <c r="H787" i="20"/>
  <c r="S790" i="20"/>
  <c r="T789" i="20"/>
  <c r="K789" i="20"/>
  <c r="L788" i="20"/>
  <c r="H788" i="20"/>
  <c r="G789" i="20"/>
  <c r="S791" i="20"/>
  <c r="T790" i="20"/>
  <c r="K790" i="20"/>
  <c r="L789" i="20"/>
  <c r="G790" i="20"/>
  <c r="H789" i="20"/>
  <c r="T791" i="20"/>
  <c r="S792" i="20"/>
  <c r="L790" i="20"/>
  <c r="K791" i="20"/>
  <c r="H790" i="20"/>
  <c r="G791" i="20"/>
  <c r="T792" i="20"/>
  <c r="S793" i="20"/>
  <c r="L791" i="20"/>
  <c r="K792" i="20"/>
  <c r="G792" i="20"/>
  <c r="H791" i="20"/>
  <c r="S794" i="20"/>
  <c r="T793" i="20"/>
  <c r="L792" i="20"/>
  <c r="K793" i="20"/>
  <c r="G793" i="20"/>
  <c r="H792" i="20"/>
  <c r="S795" i="20"/>
  <c r="T794" i="20"/>
  <c r="K794" i="20"/>
  <c r="L793" i="20"/>
  <c r="G794" i="20"/>
  <c r="H793" i="20"/>
  <c r="T795" i="20"/>
  <c r="S796" i="20"/>
  <c r="K795" i="20"/>
  <c r="L794" i="20"/>
  <c r="H794" i="20"/>
  <c r="G795" i="20"/>
  <c r="T796" i="20"/>
  <c r="S797" i="20"/>
  <c r="L795" i="20"/>
  <c r="K796" i="20"/>
  <c r="G796" i="20"/>
  <c r="H795" i="20"/>
  <c r="T797" i="20"/>
  <c r="S798" i="20"/>
  <c r="L796" i="20"/>
  <c r="K797" i="20"/>
  <c r="G797" i="20"/>
  <c r="H796" i="20"/>
  <c r="S799" i="20"/>
  <c r="T798" i="20"/>
  <c r="K798" i="20"/>
  <c r="L797" i="20"/>
  <c r="H797" i="20"/>
  <c r="G798" i="20"/>
  <c r="S800" i="20"/>
  <c r="T799" i="20"/>
  <c r="K799" i="20"/>
  <c r="L798" i="20"/>
  <c r="G799" i="20"/>
  <c r="H798" i="20"/>
  <c r="S801" i="20"/>
  <c r="T800" i="20"/>
  <c r="K800" i="20"/>
  <c r="L799" i="20"/>
  <c r="H799" i="20"/>
  <c r="G800" i="20"/>
  <c r="S802" i="20"/>
  <c r="T801" i="20"/>
  <c r="K801" i="20"/>
  <c r="L800" i="20"/>
  <c r="G801" i="20"/>
  <c r="H800" i="20"/>
  <c r="S803" i="20"/>
  <c r="T802" i="20"/>
  <c r="L801" i="20"/>
  <c r="K802" i="20"/>
  <c r="G802" i="20"/>
  <c r="H801" i="20"/>
  <c r="S804" i="20"/>
  <c r="T803" i="20"/>
  <c r="L802" i="20"/>
  <c r="K803" i="20"/>
  <c r="G803" i="20"/>
  <c r="H802" i="20"/>
  <c r="S805" i="20"/>
  <c r="T804" i="20"/>
  <c r="L803" i="20"/>
  <c r="K804" i="20"/>
  <c r="G804" i="20"/>
  <c r="H803" i="20"/>
  <c r="S806" i="20"/>
  <c r="T805" i="20"/>
  <c r="K805" i="20"/>
  <c r="L804" i="20"/>
  <c r="H804" i="20"/>
  <c r="G805" i="20"/>
  <c r="T806" i="20"/>
  <c r="S807" i="20"/>
  <c r="K806" i="20"/>
  <c r="L805" i="20"/>
  <c r="G806" i="20"/>
  <c r="H805" i="20"/>
  <c r="T807" i="20"/>
  <c r="S808" i="20"/>
  <c r="K807" i="20"/>
  <c r="L806" i="20"/>
  <c r="G807" i="20"/>
  <c r="H806" i="20"/>
  <c r="T808" i="20"/>
  <c r="S809" i="20"/>
  <c r="K808" i="20"/>
  <c r="L807" i="20"/>
  <c r="G808" i="20"/>
  <c r="H807" i="20"/>
  <c r="T809" i="20"/>
  <c r="S810" i="20"/>
  <c r="L808" i="20"/>
  <c r="K809" i="20"/>
  <c r="H808" i="20"/>
  <c r="G809" i="20"/>
  <c r="S811" i="20"/>
  <c r="T810" i="20"/>
  <c r="K810" i="20"/>
  <c r="L809" i="20"/>
  <c r="H809" i="20"/>
  <c r="G810" i="20"/>
  <c r="T811" i="20"/>
  <c r="S812" i="20"/>
  <c r="L810" i="20"/>
  <c r="K811" i="20"/>
  <c r="G811" i="20"/>
  <c r="H810" i="20"/>
  <c r="S813" i="20"/>
  <c r="T812" i="20"/>
  <c r="L811" i="20"/>
  <c r="K812" i="20"/>
  <c r="H811" i="20"/>
  <c r="G812" i="20"/>
  <c r="S814" i="20"/>
  <c r="T813" i="20"/>
  <c r="K813" i="20"/>
  <c r="L812" i="20"/>
  <c r="H812" i="20"/>
  <c r="G813" i="20"/>
  <c r="T814" i="20"/>
  <c r="S815" i="20"/>
  <c r="L813" i="20"/>
  <c r="K814" i="20"/>
  <c r="G814" i="20"/>
  <c r="H813" i="20"/>
  <c r="S816" i="20"/>
  <c r="T815" i="20"/>
  <c r="L814" i="20"/>
  <c r="K815" i="20"/>
  <c r="H814" i="20"/>
  <c r="G815" i="20"/>
  <c r="S817" i="20"/>
  <c r="T816" i="20"/>
  <c r="K816" i="20"/>
  <c r="L815" i="20"/>
  <c r="H815" i="20"/>
  <c r="G816" i="20"/>
  <c r="T817" i="20"/>
  <c r="S818" i="20"/>
  <c r="K817" i="20"/>
  <c r="L816" i="20"/>
  <c r="H816" i="20"/>
  <c r="G817" i="20"/>
  <c r="S819" i="20"/>
  <c r="T818" i="20"/>
  <c r="K818" i="20"/>
  <c r="L817" i="20"/>
  <c r="H817" i="20"/>
  <c r="G818" i="20"/>
  <c r="T819" i="20"/>
  <c r="S820" i="20"/>
  <c r="L818" i="20"/>
  <c r="K819" i="20"/>
  <c r="G819" i="20"/>
  <c r="H818" i="20"/>
  <c r="T820" i="20"/>
  <c r="S821" i="20"/>
  <c r="K820" i="20"/>
  <c r="L819" i="20"/>
  <c r="H819" i="20"/>
  <c r="G820" i="20"/>
  <c r="T821" i="20"/>
  <c r="S822" i="20"/>
  <c r="K821" i="20"/>
  <c r="L820" i="20"/>
  <c r="G821" i="20"/>
  <c r="H820" i="20"/>
  <c r="S823" i="20"/>
  <c r="T822" i="20"/>
  <c r="K822" i="20"/>
  <c r="L821" i="20"/>
  <c r="H821" i="20"/>
  <c r="G822" i="20"/>
  <c r="T823" i="20"/>
  <c r="S824" i="20"/>
  <c r="K823" i="20"/>
  <c r="L822" i="20"/>
  <c r="H822" i="20"/>
  <c r="G823" i="20"/>
  <c r="S825" i="20"/>
  <c r="T824" i="20"/>
  <c r="L823" i="20"/>
  <c r="K824" i="20"/>
  <c r="H823" i="20"/>
  <c r="G824" i="20"/>
  <c r="S826" i="20"/>
  <c r="T825" i="20"/>
  <c r="L824" i="20"/>
  <c r="K825" i="20"/>
  <c r="H824" i="20"/>
  <c r="G825" i="20"/>
  <c r="T826" i="20"/>
  <c r="S827" i="20"/>
  <c r="L825" i="20"/>
  <c r="K826" i="20"/>
  <c r="H825" i="20"/>
  <c r="G826" i="20"/>
  <c r="T827" i="20"/>
  <c r="S828" i="20"/>
  <c r="K827" i="20"/>
  <c r="L826" i="20"/>
  <c r="H826" i="20"/>
  <c r="G827" i="20"/>
  <c r="S829" i="20"/>
  <c r="T828" i="20"/>
  <c r="L827" i="20"/>
  <c r="K828" i="20"/>
  <c r="G828" i="20"/>
  <c r="H827" i="20"/>
  <c r="S830" i="20"/>
  <c r="T829" i="20"/>
  <c r="L828" i="20"/>
  <c r="K829" i="20"/>
  <c r="G829" i="20"/>
  <c r="H828" i="20"/>
  <c r="T830" i="20"/>
  <c r="S831" i="20"/>
  <c r="L829" i="20"/>
  <c r="K830" i="20"/>
  <c r="G830" i="20"/>
  <c r="H829" i="20"/>
  <c r="T831" i="20"/>
  <c r="S832" i="20"/>
  <c r="L830" i="20"/>
  <c r="K831" i="20"/>
  <c r="H830" i="20"/>
  <c r="G831" i="20"/>
  <c r="T832" i="20"/>
  <c r="S833" i="20"/>
  <c r="L831" i="20"/>
  <c r="K832" i="20"/>
  <c r="G832" i="20"/>
  <c r="H831" i="20"/>
  <c r="T833" i="20"/>
  <c r="S834" i="20"/>
  <c r="K833" i="20"/>
  <c r="L832" i="20"/>
  <c r="G833" i="20"/>
  <c r="H832" i="20"/>
  <c r="T834" i="20"/>
  <c r="S835" i="20"/>
  <c r="K834" i="20"/>
  <c r="L833" i="20"/>
  <c r="G834" i="20"/>
  <c r="H833" i="20"/>
  <c r="T835" i="20"/>
  <c r="S836" i="20"/>
  <c r="L834" i="20"/>
  <c r="K835" i="20"/>
  <c r="H834" i="20"/>
  <c r="G835" i="20"/>
  <c r="S837" i="20"/>
  <c r="T836" i="20"/>
  <c r="L835" i="20"/>
  <c r="K836" i="20"/>
  <c r="H835" i="20"/>
  <c r="G836" i="20"/>
  <c r="T837" i="20"/>
  <c r="S838" i="20"/>
  <c r="K837" i="20"/>
  <c r="L836" i="20"/>
  <c r="H836" i="20"/>
  <c r="G837" i="20"/>
  <c r="T838" i="20"/>
  <c r="S839" i="20"/>
  <c r="L837" i="20"/>
  <c r="K838" i="20"/>
  <c r="H837" i="20"/>
  <c r="G838" i="20"/>
  <c r="S840" i="20"/>
  <c r="T839" i="20"/>
  <c r="K839" i="20"/>
  <c r="L838" i="20"/>
  <c r="G839" i="20"/>
  <c r="H838" i="20"/>
  <c r="T840" i="20"/>
  <c r="S841" i="20"/>
  <c r="K840" i="20"/>
  <c r="L839" i="20"/>
  <c r="G840" i="20"/>
  <c r="H839" i="20"/>
  <c r="S842" i="20"/>
  <c r="T841" i="20"/>
  <c r="K841" i="20"/>
  <c r="L840" i="20"/>
  <c r="G841" i="20"/>
  <c r="H840" i="20"/>
  <c r="T842" i="20"/>
  <c r="S843" i="20"/>
  <c r="L841" i="20"/>
  <c r="K842" i="20"/>
  <c r="H841" i="20"/>
  <c r="G842" i="20"/>
  <c r="T843" i="20"/>
  <c r="S844" i="20"/>
  <c r="K843" i="20"/>
  <c r="L842" i="20"/>
  <c r="H842" i="20"/>
  <c r="G843" i="20"/>
  <c r="T844" i="20"/>
  <c r="S845" i="20"/>
  <c r="L843" i="20"/>
  <c r="K844" i="20"/>
  <c r="G844" i="20"/>
  <c r="H843" i="20"/>
  <c r="T845" i="20"/>
  <c r="S846" i="20"/>
  <c r="L844" i="20"/>
  <c r="K845" i="20"/>
  <c r="G845" i="20"/>
  <c r="H844" i="20"/>
  <c r="T846" i="20"/>
  <c r="S847" i="20"/>
  <c r="L845" i="20"/>
  <c r="K846" i="20"/>
  <c r="H845" i="20"/>
  <c r="G846" i="20"/>
  <c r="T847" i="20"/>
  <c r="S848" i="20"/>
  <c r="L846" i="20"/>
  <c r="K847" i="20"/>
  <c r="G847" i="20"/>
  <c r="H846" i="20"/>
  <c r="T848" i="20"/>
  <c r="S849" i="20"/>
  <c r="K848" i="20"/>
  <c r="L847" i="20"/>
  <c r="G848" i="20"/>
  <c r="H847" i="20"/>
  <c r="T849" i="20"/>
  <c r="S850" i="20"/>
  <c r="K849" i="20"/>
  <c r="L848" i="20"/>
  <c r="G849" i="20"/>
  <c r="H848" i="20"/>
  <c r="S851" i="20"/>
  <c r="T850" i="20"/>
  <c r="K850" i="20"/>
  <c r="L849" i="20"/>
  <c r="H849" i="20"/>
  <c r="G850" i="20"/>
  <c r="S852" i="20"/>
  <c r="T851" i="20"/>
  <c r="L850" i="20"/>
  <c r="K851" i="20"/>
  <c r="G851" i="20"/>
  <c r="H850" i="20"/>
  <c r="S853" i="20"/>
  <c r="T852" i="20"/>
  <c r="K852" i="20"/>
  <c r="L851" i="20"/>
  <c r="H851" i="20"/>
  <c r="G852" i="20"/>
  <c r="T853" i="20"/>
  <c r="S854" i="20"/>
  <c r="L852" i="20"/>
  <c r="K853" i="20"/>
  <c r="G853" i="20"/>
  <c r="H852" i="20"/>
  <c r="S855" i="20"/>
  <c r="T854" i="20"/>
  <c r="L853" i="20"/>
  <c r="K854" i="20"/>
  <c r="H853" i="20"/>
  <c r="G854" i="20"/>
  <c r="T855" i="20"/>
  <c r="S856" i="20"/>
  <c r="L854" i="20"/>
  <c r="K855" i="20"/>
  <c r="G855" i="20"/>
  <c r="H854" i="20"/>
  <c r="T856" i="20"/>
  <c r="S857" i="20"/>
  <c r="L855" i="20"/>
  <c r="K856" i="20"/>
  <c r="G856" i="20"/>
  <c r="H855" i="20"/>
  <c r="T857" i="20"/>
  <c r="S858" i="20"/>
  <c r="K857" i="20"/>
  <c r="L856" i="20"/>
  <c r="H856" i="20"/>
  <c r="G857" i="20"/>
  <c r="S859" i="20"/>
  <c r="T858" i="20"/>
  <c r="L857" i="20"/>
  <c r="K858" i="20"/>
  <c r="G858" i="20"/>
  <c r="H857" i="20"/>
  <c r="S860" i="20"/>
  <c r="T859" i="20"/>
  <c r="L858" i="20"/>
  <c r="K859" i="20"/>
  <c r="G859" i="20"/>
  <c r="H858" i="20"/>
  <c r="S861" i="20"/>
  <c r="T860" i="20"/>
  <c r="K860" i="20"/>
  <c r="L859" i="20"/>
  <c r="H859" i="20"/>
  <c r="G860" i="20"/>
  <c r="S862" i="20"/>
  <c r="T861" i="20"/>
  <c r="K861" i="20"/>
  <c r="L860" i="20"/>
  <c r="G861" i="20"/>
  <c r="H860" i="20"/>
  <c r="S863" i="20"/>
  <c r="T862" i="20"/>
  <c r="K862" i="20"/>
  <c r="L861" i="20"/>
  <c r="G862" i="20"/>
  <c r="H861" i="20"/>
  <c r="T863" i="20"/>
  <c r="S864" i="20"/>
  <c r="L862" i="20"/>
  <c r="K863" i="20"/>
  <c r="H862" i="20"/>
  <c r="G863" i="20"/>
  <c r="T864" i="20"/>
  <c r="S865" i="20"/>
  <c r="K864" i="20"/>
  <c r="L863" i="20"/>
  <c r="H863" i="20"/>
  <c r="G864" i="20"/>
  <c r="T865" i="20"/>
  <c r="S866" i="20"/>
  <c r="L864" i="20"/>
  <c r="K865" i="20"/>
  <c r="H864" i="20"/>
  <c r="G865" i="20"/>
  <c r="T866" i="20"/>
  <c r="S867" i="20"/>
  <c r="L865" i="20"/>
  <c r="K866" i="20"/>
  <c r="H865" i="20"/>
  <c r="G866" i="20"/>
  <c r="S868" i="20"/>
  <c r="T867" i="20"/>
  <c r="L866" i="20"/>
  <c r="K867" i="20"/>
  <c r="H866" i="20"/>
  <c r="G867" i="20"/>
  <c r="T868" i="20"/>
  <c r="S869" i="20"/>
  <c r="L867" i="20"/>
  <c r="K868" i="20"/>
  <c r="G868" i="20"/>
  <c r="H867" i="20"/>
  <c r="T869" i="20"/>
  <c r="S870" i="20"/>
  <c r="L868" i="20"/>
  <c r="K869" i="20"/>
  <c r="H868" i="20"/>
  <c r="G869" i="20"/>
  <c r="T870" i="20"/>
  <c r="S871" i="20"/>
  <c r="K870" i="20"/>
  <c r="L869" i="20"/>
  <c r="G870" i="20"/>
  <c r="H869" i="20"/>
  <c r="S872" i="20"/>
  <c r="T871" i="20"/>
  <c r="L870" i="20"/>
  <c r="K871" i="20"/>
  <c r="G871" i="20"/>
  <c r="H870" i="20"/>
  <c r="S873" i="20"/>
  <c r="T872" i="20"/>
  <c r="K872" i="20"/>
  <c r="L871" i="20"/>
  <c r="G872" i="20"/>
  <c r="H871" i="20"/>
  <c r="S874" i="20"/>
  <c r="T873" i="20"/>
  <c r="K873" i="20"/>
  <c r="L872" i="20"/>
  <c r="G873" i="20"/>
  <c r="H872" i="20"/>
  <c r="T874" i="20"/>
  <c r="S875" i="20"/>
  <c r="L873" i="20"/>
  <c r="K874" i="20"/>
  <c r="G874" i="20"/>
  <c r="H873" i="20"/>
  <c r="S876" i="20"/>
  <c r="T875" i="20"/>
  <c r="K875" i="20"/>
  <c r="L874" i="20"/>
  <c r="H874" i="20"/>
  <c r="G875" i="20"/>
  <c r="T876" i="20"/>
  <c r="S877" i="20"/>
  <c r="K876" i="20"/>
  <c r="L875" i="20"/>
  <c r="G876" i="20"/>
  <c r="H875" i="20"/>
  <c r="T877" i="20"/>
  <c r="S878" i="20"/>
  <c r="L876" i="20"/>
  <c r="K877" i="20"/>
  <c r="G877" i="20"/>
  <c r="H876" i="20"/>
  <c r="S879" i="20"/>
  <c r="T878" i="20"/>
  <c r="L877" i="20"/>
  <c r="K878" i="20"/>
  <c r="G878" i="20"/>
  <c r="H877" i="20"/>
  <c r="S880" i="20"/>
  <c r="T879" i="20"/>
  <c r="K879" i="20"/>
  <c r="L878" i="20"/>
  <c r="G879" i="20"/>
  <c r="H878" i="20"/>
  <c r="S881" i="20"/>
  <c r="T880" i="20"/>
  <c r="L879" i="20"/>
  <c r="K880" i="20"/>
  <c r="G880" i="20"/>
  <c r="H879" i="20"/>
  <c r="S882" i="20"/>
  <c r="T881" i="20"/>
  <c r="K881" i="20"/>
  <c r="L880" i="20"/>
  <c r="H880" i="20"/>
  <c r="G881" i="20"/>
  <c r="T882" i="20"/>
  <c r="S883" i="20"/>
  <c r="K882" i="20"/>
  <c r="L881" i="20"/>
  <c r="H881" i="20"/>
  <c r="G882" i="20"/>
  <c r="T883" i="20"/>
  <c r="S884" i="20"/>
  <c r="L882" i="20"/>
  <c r="K883" i="20"/>
  <c r="H882" i="20"/>
  <c r="G883" i="20"/>
  <c r="S885" i="20"/>
  <c r="T884" i="20"/>
  <c r="K884" i="20"/>
  <c r="L883" i="20"/>
  <c r="G884" i="20"/>
  <c r="H883" i="20"/>
  <c r="T885" i="20"/>
  <c r="S886" i="20"/>
  <c r="L884" i="20"/>
  <c r="K885" i="20"/>
  <c r="G885" i="20"/>
  <c r="H884" i="20"/>
  <c r="S887" i="20"/>
  <c r="T886" i="20"/>
  <c r="L885" i="20"/>
  <c r="K886" i="20"/>
  <c r="G886" i="20"/>
  <c r="H885" i="20"/>
  <c r="S888" i="20"/>
  <c r="T887" i="20"/>
  <c r="K887" i="20"/>
  <c r="L886" i="20"/>
  <c r="G887" i="20"/>
  <c r="H886" i="20"/>
  <c r="S889" i="20"/>
  <c r="T888" i="20"/>
  <c r="L887" i="20"/>
  <c r="K888" i="20"/>
  <c r="H887" i="20"/>
  <c r="G888" i="20"/>
  <c r="S890" i="20"/>
  <c r="T889" i="20"/>
  <c r="K889" i="20"/>
  <c r="L888" i="20"/>
  <c r="G889" i="20"/>
  <c r="H888" i="20"/>
  <c r="S891" i="20"/>
  <c r="T890" i="20"/>
  <c r="L889" i="20"/>
  <c r="K890" i="20"/>
  <c r="G890" i="20"/>
  <c r="H889" i="20"/>
  <c r="T891" i="20"/>
  <c r="S892" i="20"/>
  <c r="K891" i="20"/>
  <c r="L890" i="20"/>
  <c r="G891" i="20"/>
  <c r="H890" i="20"/>
  <c r="S893" i="20"/>
  <c r="T892" i="20"/>
  <c r="K892" i="20"/>
  <c r="L891" i="20"/>
  <c r="G892" i="20"/>
  <c r="H891" i="20"/>
  <c r="T893" i="20"/>
  <c r="S894" i="20"/>
  <c r="K893" i="20"/>
  <c r="L892" i="20"/>
  <c r="G893" i="20"/>
  <c r="H892" i="20"/>
  <c r="S895" i="20"/>
  <c r="T894" i="20"/>
  <c r="K894" i="20"/>
  <c r="L893" i="20"/>
  <c r="H893" i="20"/>
  <c r="G894" i="20"/>
  <c r="S896" i="20"/>
  <c r="T895" i="20"/>
  <c r="K895" i="20"/>
  <c r="L894" i="20"/>
  <c r="G895" i="20"/>
  <c r="H894" i="20"/>
  <c r="T896" i="20"/>
  <c r="S897" i="20"/>
  <c r="K896" i="20"/>
  <c r="L895" i="20"/>
  <c r="H895" i="20"/>
  <c r="G896" i="20"/>
  <c r="S898" i="20"/>
  <c r="T897" i="20"/>
  <c r="K897" i="20"/>
  <c r="L896" i="20"/>
  <c r="H896" i="20"/>
  <c r="G897" i="20"/>
  <c r="S899" i="20"/>
  <c r="T898" i="20"/>
  <c r="K898" i="20"/>
  <c r="L897" i="20"/>
  <c r="G898" i="20"/>
  <c r="H897" i="20"/>
  <c r="T899" i="20"/>
  <c r="S900" i="20"/>
  <c r="K899" i="20"/>
  <c r="L898" i="20"/>
  <c r="G899" i="20"/>
  <c r="H898" i="20"/>
  <c r="S901" i="20"/>
  <c r="T900" i="20"/>
  <c r="K900" i="20"/>
  <c r="L899" i="20"/>
  <c r="G900" i="20"/>
  <c r="H899" i="20"/>
  <c r="T901" i="20"/>
  <c r="S902" i="20"/>
  <c r="L900" i="20"/>
  <c r="K901" i="20"/>
  <c r="G901" i="20"/>
  <c r="H900" i="20"/>
  <c r="S903" i="20"/>
  <c r="T902" i="20"/>
  <c r="L901" i="20"/>
  <c r="K902" i="20"/>
  <c r="H901" i="20"/>
  <c r="G902" i="20"/>
  <c r="T903" i="20"/>
  <c r="S904" i="20"/>
  <c r="L902" i="20"/>
  <c r="K903" i="20"/>
  <c r="G903" i="20"/>
  <c r="H902" i="20"/>
  <c r="T904" i="20"/>
  <c r="S905" i="20"/>
  <c r="K904" i="20"/>
  <c r="L903" i="20"/>
  <c r="H903" i="20"/>
  <c r="G904" i="20"/>
  <c r="S906" i="20"/>
  <c r="T905" i="20"/>
  <c r="K905" i="20"/>
  <c r="L904" i="20"/>
  <c r="H904" i="20"/>
  <c r="G905" i="20"/>
  <c r="S907" i="20"/>
  <c r="T906" i="20"/>
  <c r="L905" i="20"/>
  <c r="K906" i="20"/>
  <c r="H905" i="20"/>
  <c r="G906" i="20"/>
  <c r="S908" i="20"/>
  <c r="T907" i="20"/>
  <c r="K907" i="20"/>
  <c r="L906" i="20"/>
  <c r="G907" i="20"/>
  <c r="H906" i="20"/>
  <c r="S909" i="20"/>
  <c r="T908" i="20"/>
  <c r="L907" i="20"/>
  <c r="K908" i="20"/>
  <c r="H907" i="20"/>
  <c r="G908" i="20"/>
  <c r="T909" i="20"/>
  <c r="S910" i="20"/>
  <c r="L908" i="20"/>
  <c r="K909" i="20"/>
  <c r="G909" i="20"/>
  <c r="H908" i="20"/>
  <c r="S911" i="20"/>
  <c r="T910" i="20"/>
  <c r="L909" i="20"/>
  <c r="K910" i="20"/>
  <c r="H909" i="20"/>
  <c r="G910" i="20"/>
  <c r="T911" i="20"/>
  <c r="S912" i="20"/>
  <c r="K911" i="20"/>
  <c r="L910" i="20"/>
  <c r="G911" i="20"/>
  <c r="H910" i="20"/>
  <c r="T912" i="20"/>
  <c r="S913" i="20"/>
  <c r="K912" i="20"/>
  <c r="L911" i="20"/>
  <c r="G912" i="20"/>
  <c r="H911" i="20"/>
  <c r="S914" i="20"/>
  <c r="T913" i="20"/>
  <c r="K913" i="20"/>
  <c r="L912" i="20"/>
  <c r="H912" i="20"/>
  <c r="G913" i="20"/>
  <c r="T914" i="20"/>
  <c r="S915" i="20"/>
  <c r="K914" i="20"/>
  <c r="L913" i="20"/>
  <c r="G914" i="20"/>
  <c r="H913" i="20"/>
  <c r="S916" i="20"/>
  <c r="T915" i="20"/>
  <c r="L914" i="20"/>
  <c r="K915" i="20"/>
  <c r="H914" i="20"/>
  <c r="G915" i="20"/>
  <c r="T916" i="20"/>
  <c r="S917" i="20"/>
  <c r="K916" i="20"/>
  <c r="L915" i="20"/>
  <c r="G916" i="20"/>
  <c r="H915" i="20"/>
  <c r="S918" i="20"/>
  <c r="T917" i="20"/>
  <c r="L916" i="20"/>
  <c r="K917" i="20"/>
  <c r="G917" i="20"/>
  <c r="H916" i="20"/>
  <c r="S919" i="20"/>
  <c r="T918" i="20"/>
  <c r="L917" i="20"/>
  <c r="K918" i="20"/>
  <c r="H917" i="20"/>
  <c r="G918" i="20"/>
  <c r="S920" i="20"/>
  <c r="T919" i="20"/>
  <c r="K919" i="20"/>
  <c r="L918" i="20"/>
  <c r="G919" i="20"/>
  <c r="H918" i="20"/>
  <c r="T920" i="20"/>
  <c r="S921" i="20"/>
  <c r="K920" i="20"/>
  <c r="L919" i="20"/>
  <c r="G920" i="20"/>
  <c r="H919" i="20"/>
  <c r="T921" i="20"/>
  <c r="S922" i="20"/>
  <c r="L920" i="20"/>
  <c r="K921" i="20"/>
  <c r="H920" i="20"/>
  <c r="G921" i="20"/>
  <c r="T922" i="20"/>
  <c r="S923" i="20"/>
  <c r="L921" i="20"/>
  <c r="K922" i="20"/>
  <c r="H921" i="20"/>
  <c r="G922" i="20"/>
  <c r="S924" i="20"/>
  <c r="T923" i="20"/>
  <c r="L922" i="20"/>
  <c r="K923" i="20"/>
  <c r="H922" i="20"/>
  <c r="G923" i="20"/>
  <c r="S925" i="20"/>
  <c r="T924" i="20"/>
  <c r="L923" i="20"/>
  <c r="K924" i="20"/>
  <c r="G924" i="20"/>
  <c r="H923" i="20"/>
  <c r="S926" i="20"/>
  <c r="T925" i="20"/>
  <c r="L924" i="20"/>
  <c r="K925" i="20"/>
  <c r="G925" i="20"/>
  <c r="H924" i="20"/>
  <c r="T926" i="20"/>
  <c r="S927" i="20"/>
  <c r="K926" i="20"/>
  <c r="L925" i="20"/>
  <c r="G926" i="20"/>
  <c r="H925" i="20"/>
  <c r="S928" i="20"/>
  <c r="T927" i="20"/>
  <c r="K927" i="20"/>
  <c r="L926" i="20"/>
  <c r="H926" i="20"/>
  <c r="G927" i="20"/>
  <c r="S929" i="20"/>
  <c r="T928" i="20"/>
  <c r="L927" i="20"/>
  <c r="K928" i="20"/>
  <c r="G928" i="20"/>
  <c r="H927" i="20"/>
  <c r="S930" i="20"/>
  <c r="T929" i="20"/>
  <c r="L928" i="20"/>
  <c r="K929" i="20"/>
  <c r="H928" i="20"/>
  <c r="G929" i="20"/>
  <c r="S931" i="20"/>
  <c r="T930" i="20"/>
  <c r="K930" i="20"/>
  <c r="L929" i="20"/>
  <c r="H929" i="20"/>
  <c r="G930" i="20"/>
  <c r="T931" i="20"/>
  <c r="S932" i="20"/>
  <c r="L930" i="20"/>
  <c r="K931" i="20"/>
  <c r="G931" i="20"/>
  <c r="H930" i="20"/>
  <c r="S933" i="20"/>
  <c r="T932" i="20"/>
  <c r="L931" i="20"/>
  <c r="K932" i="20"/>
  <c r="G932" i="20"/>
  <c r="H931" i="20"/>
  <c r="S934" i="20"/>
  <c r="T933" i="20"/>
  <c r="L932" i="20"/>
  <c r="K933" i="20"/>
  <c r="G933" i="20"/>
  <c r="H932" i="20"/>
  <c r="S935" i="20"/>
  <c r="T934" i="20"/>
  <c r="K934" i="20"/>
  <c r="L933" i="20"/>
  <c r="G934" i="20"/>
  <c r="H933" i="20"/>
  <c r="S936" i="20"/>
  <c r="T935" i="20"/>
  <c r="K935" i="20"/>
  <c r="L934" i="20"/>
  <c r="G935" i="20"/>
  <c r="H934" i="20"/>
  <c r="T936" i="20"/>
  <c r="S937" i="20"/>
  <c r="L935" i="20"/>
  <c r="K936" i="20"/>
  <c r="G936" i="20"/>
  <c r="H935" i="20"/>
  <c r="S938" i="20"/>
  <c r="T937" i="20"/>
  <c r="K937" i="20"/>
  <c r="L936" i="20"/>
  <c r="H936" i="20"/>
  <c r="G937" i="20"/>
  <c r="S939" i="20"/>
  <c r="T938" i="20"/>
  <c r="K938" i="20"/>
  <c r="L937" i="20"/>
  <c r="H937" i="20"/>
  <c r="G938" i="20"/>
  <c r="T939" i="20"/>
  <c r="S940" i="20"/>
  <c r="K939" i="20"/>
  <c r="L938" i="20"/>
  <c r="H938" i="20"/>
  <c r="G939" i="20"/>
  <c r="S941" i="20"/>
  <c r="T940" i="20"/>
  <c r="L939" i="20"/>
  <c r="K940" i="20"/>
  <c r="G940" i="20"/>
  <c r="H939" i="20"/>
  <c r="S942" i="20"/>
  <c r="T941" i="20"/>
  <c r="K941" i="20"/>
  <c r="L940" i="20"/>
  <c r="H940" i="20"/>
  <c r="G941" i="20"/>
  <c r="T942" i="20"/>
  <c r="S943" i="20"/>
  <c r="K942" i="20"/>
  <c r="L941" i="20"/>
  <c r="G942" i="20"/>
  <c r="H941" i="20"/>
  <c r="T943" i="20"/>
  <c r="S944" i="20"/>
  <c r="K943" i="20"/>
  <c r="L942" i="20"/>
  <c r="H942" i="20"/>
  <c r="G943" i="20"/>
  <c r="S945" i="20"/>
  <c r="T944" i="20"/>
  <c r="K944" i="20"/>
  <c r="L943" i="20"/>
  <c r="G944" i="20"/>
  <c r="H943" i="20"/>
  <c r="T945" i="20"/>
  <c r="S946" i="20"/>
  <c r="L944" i="20"/>
  <c r="K945" i="20"/>
  <c r="G945" i="20"/>
  <c r="H944" i="20"/>
  <c r="T946" i="20"/>
  <c r="S947" i="20"/>
  <c r="K946" i="20"/>
  <c r="L945" i="20"/>
  <c r="G946" i="20"/>
  <c r="H945" i="20"/>
  <c r="T947" i="20"/>
  <c r="S948" i="20"/>
  <c r="K947" i="20"/>
  <c r="L946" i="20"/>
  <c r="H946" i="20"/>
  <c r="G947" i="20"/>
  <c r="S949" i="20"/>
  <c r="T948" i="20"/>
  <c r="K948" i="20"/>
  <c r="L947" i="20"/>
  <c r="G948" i="20"/>
  <c r="H947" i="20"/>
  <c r="T949" i="20"/>
  <c r="S950" i="20"/>
  <c r="K949" i="20"/>
  <c r="L948" i="20"/>
  <c r="H948" i="20"/>
  <c r="G949" i="20"/>
  <c r="T950" i="20"/>
  <c r="S951" i="20"/>
  <c r="L949" i="20"/>
  <c r="K950" i="20"/>
  <c r="H949" i="20"/>
  <c r="G950" i="20"/>
  <c r="S952" i="20"/>
  <c r="T951" i="20"/>
  <c r="K951" i="20"/>
  <c r="L950" i="20"/>
  <c r="H950" i="20"/>
  <c r="G951" i="20"/>
  <c r="T952" i="20"/>
  <c r="S953" i="20"/>
  <c r="K952" i="20"/>
  <c r="L951" i="20"/>
  <c r="G952" i="20"/>
  <c r="H951" i="20"/>
  <c r="S954" i="20"/>
  <c r="T953" i="20"/>
  <c r="L952" i="20"/>
  <c r="K953" i="20"/>
  <c r="G953" i="20"/>
  <c r="H952" i="20"/>
  <c r="T954" i="20"/>
  <c r="S955" i="20"/>
  <c r="L953" i="20"/>
  <c r="K954" i="20"/>
  <c r="H953" i="20"/>
  <c r="G954" i="20"/>
  <c r="S956" i="20"/>
  <c r="T955" i="20"/>
  <c r="L954" i="20"/>
  <c r="K955" i="20"/>
  <c r="G955" i="20"/>
  <c r="H954" i="20"/>
  <c r="S957" i="20"/>
  <c r="T956" i="20"/>
  <c r="K956" i="20"/>
  <c r="L955" i="20"/>
  <c r="G956" i="20"/>
  <c r="H955" i="20"/>
  <c r="S958" i="20"/>
  <c r="T957" i="20"/>
  <c r="L956" i="20"/>
  <c r="K957" i="20"/>
  <c r="H956" i="20"/>
  <c r="G957" i="20"/>
  <c r="S959" i="20"/>
  <c r="T958" i="20"/>
  <c r="K958" i="20"/>
  <c r="L957" i="20"/>
  <c r="H957" i="20"/>
  <c r="G958" i="20"/>
  <c r="T959" i="20"/>
  <c r="S960" i="20"/>
  <c r="K959" i="20"/>
  <c r="L958" i="20"/>
  <c r="G959" i="20"/>
  <c r="H958" i="20"/>
  <c r="T960" i="20"/>
  <c r="S961" i="20"/>
  <c r="K960" i="20"/>
  <c r="L959" i="20"/>
  <c r="G960" i="20"/>
  <c r="H959" i="20"/>
  <c r="S962" i="20"/>
  <c r="T961" i="20"/>
  <c r="K961" i="20"/>
  <c r="L960" i="20"/>
  <c r="G961" i="20"/>
  <c r="H960" i="20"/>
  <c r="T962" i="20"/>
  <c r="S963" i="20"/>
  <c r="L961" i="20"/>
  <c r="K962" i="20"/>
  <c r="G962" i="20"/>
  <c r="H961" i="20"/>
  <c r="T963" i="20"/>
  <c r="S964" i="20"/>
  <c r="L962" i="20"/>
  <c r="K963" i="20"/>
  <c r="G963" i="20"/>
  <c r="H962" i="20"/>
  <c r="T964" i="20"/>
  <c r="S965" i="20"/>
  <c r="L963" i="20"/>
  <c r="K964" i="20"/>
  <c r="H963" i="20"/>
  <c r="G964" i="20"/>
  <c r="T965" i="20"/>
  <c r="S966" i="20"/>
  <c r="L964" i="20"/>
  <c r="K965" i="20"/>
  <c r="G965" i="20"/>
  <c r="H964" i="20"/>
  <c r="S967" i="20"/>
  <c r="T966" i="20"/>
  <c r="K966" i="20"/>
  <c r="L965" i="20"/>
  <c r="H965" i="20"/>
  <c r="G966" i="20"/>
  <c r="T967" i="20"/>
  <c r="S968" i="20"/>
  <c r="K967" i="20"/>
  <c r="L966" i="20"/>
  <c r="H966" i="20"/>
  <c r="G967" i="20"/>
  <c r="S969" i="20"/>
  <c r="T968" i="20"/>
  <c r="K968" i="20"/>
  <c r="L967" i="20"/>
  <c r="G968" i="20"/>
  <c r="H967" i="20"/>
  <c r="S970" i="20"/>
  <c r="T969" i="20"/>
  <c r="L968" i="20"/>
  <c r="K969" i="20"/>
  <c r="G969" i="20"/>
  <c r="H968" i="20"/>
  <c r="S971" i="20"/>
  <c r="T970" i="20"/>
  <c r="K970" i="20"/>
  <c r="L969" i="20"/>
  <c r="H969" i="20"/>
  <c r="G970" i="20"/>
  <c r="T971" i="20"/>
  <c r="S972" i="20"/>
  <c r="K971" i="20"/>
  <c r="L970" i="20"/>
  <c r="G971" i="20"/>
  <c r="H970" i="20"/>
  <c r="S973" i="20"/>
  <c r="T972" i="20"/>
  <c r="K972" i="20"/>
  <c r="L971" i="20"/>
  <c r="G972" i="20"/>
  <c r="H971" i="20"/>
  <c r="S974" i="20"/>
  <c r="T973" i="20"/>
  <c r="K973" i="20"/>
  <c r="L972" i="20"/>
  <c r="H972" i="20"/>
  <c r="G973" i="20"/>
  <c r="T974" i="20"/>
  <c r="S975" i="20"/>
  <c r="L973" i="20"/>
  <c r="K974" i="20"/>
  <c r="G974" i="20"/>
  <c r="H973" i="20"/>
  <c r="T975" i="20"/>
  <c r="S976" i="20"/>
  <c r="K975" i="20"/>
  <c r="L974" i="20"/>
  <c r="G975" i="20"/>
  <c r="H974" i="20"/>
  <c r="T976" i="20"/>
  <c r="S977" i="20"/>
  <c r="K976" i="20"/>
  <c r="L975" i="20"/>
  <c r="G976" i="20"/>
  <c r="H975" i="20"/>
  <c r="T977" i="20"/>
  <c r="S978" i="20"/>
  <c r="L976" i="20"/>
  <c r="K977" i="20"/>
  <c r="H976" i="20"/>
  <c r="G977" i="20"/>
  <c r="S979" i="20"/>
  <c r="T978" i="20"/>
  <c r="K978" i="20"/>
  <c r="L977" i="20"/>
  <c r="H977" i="20"/>
  <c r="G978" i="20"/>
  <c r="S980" i="20"/>
  <c r="T979" i="20"/>
  <c r="L978" i="20"/>
  <c r="K979" i="20"/>
  <c r="H978" i="20"/>
  <c r="G979" i="20"/>
  <c r="T980" i="20"/>
  <c r="S981" i="20"/>
  <c r="K980" i="20"/>
  <c r="L979" i="20"/>
  <c r="G980" i="20"/>
  <c r="H979" i="20"/>
  <c r="T981" i="20"/>
  <c r="S982" i="20"/>
  <c r="K981" i="20"/>
  <c r="L980" i="20"/>
  <c r="G981" i="20"/>
  <c r="H980" i="20"/>
  <c r="T982" i="20"/>
  <c r="S983" i="20"/>
  <c r="L981" i="20"/>
  <c r="K982" i="20"/>
  <c r="H981" i="20"/>
  <c r="G982" i="20"/>
  <c r="T983" i="20"/>
  <c r="S984" i="20"/>
  <c r="K983" i="20"/>
  <c r="L982" i="20"/>
  <c r="G983" i="20"/>
  <c r="H982" i="20"/>
  <c r="S985" i="20"/>
  <c r="T984" i="20"/>
  <c r="L983" i="20"/>
  <c r="K984" i="20"/>
  <c r="G984" i="20"/>
  <c r="H983" i="20"/>
  <c r="T985" i="20"/>
  <c r="S986" i="20"/>
  <c r="L984" i="20"/>
  <c r="K985" i="20"/>
  <c r="G985" i="20"/>
  <c r="H984" i="20"/>
  <c r="T986" i="20"/>
  <c r="S987" i="20"/>
  <c r="L985" i="20"/>
  <c r="K986" i="20"/>
  <c r="H985" i="20"/>
  <c r="G986" i="20"/>
  <c r="T987" i="20"/>
  <c r="S988" i="20"/>
  <c r="L986" i="20"/>
  <c r="K987" i="20"/>
  <c r="H986" i="20"/>
  <c r="G987" i="20"/>
  <c r="S989" i="20"/>
  <c r="T988" i="20"/>
  <c r="L987" i="20"/>
  <c r="K988" i="20"/>
  <c r="G988" i="20"/>
  <c r="H987" i="20"/>
  <c r="S990" i="20"/>
  <c r="T989" i="20"/>
  <c r="L988" i="20"/>
  <c r="K989" i="20"/>
  <c r="H988" i="20"/>
  <c r="G989" i="20"/>
  <c r="S991" i="20"/>
  <c r="T990" i="20"/>
  <c r="L989" i="20"/>
  <c r="K990" i="20"/>
  <c r="H989" i="20"/>
  <c r="G990" i="20"/>
  <c r="S992" i="20"/>
  <c r="T991" i="20"/>
  <c r="L990" i="20"/>
  <c r="K991" i="20"/>
  <c r="H990" i="20"/>
  <c r="G991" i="20"/>
  <c r="T992" i="20"/>
  <c r="S993" i="20"/>
  <c r="K992" i="20"/>
  <c r="L991" i="20"/>
  <c r="G992" i="20"/>
  <c r="H991" i="20"/>
  <c r="T993" i="20"/>
  <c r="S994" i="20"/>
  <c r="L992" i="20"/>
  <c r="K993" i="20"/>
  <c r="H992" i="20"/>
  <c r="G993" i="20"/>
  <c r="S995" i="20"/>
  <c r="T994" i="20"/>
  <c r="L993" i="20"/>
  <c r="K994" i="20"/>
  <c r="G994" i="20"/>
  <c r="H993" i="20"/>
  <c r="T995" i="20"/>
  <c r="S996" i="20"/>
  <c r="L994" i="20"/>
  <c r="K995" i="20"/>
  <c r="H994" i="20"/>
  <c r="G995" i="20"/>
  <c r="S997" i="20"/>
  <c r="T996" i="20"/>
  <c r="K996" i="20"/>
  <c r="L995" i="20"/>
  <c r="G996" i="20"/>
  <c r="H995" i="20"/>
  <c r="T997" i="20"/>
  <c r="S998" i="20"/>
  <c r="K997" i="20"/>
  <c r="L996" i="20"/>
  <c r="G997" i="20"/>
  <c r="H996" i="20"/>
  <c r="S999" i="20"/>
  <c r="T998" i="20"/>
  <c r="K998" i="20"/>
  <c r="L997" i="20"/>
  <c r="G998" i="20"/>
  <c r="H997" i="20"/>
  <c r="T999" i="20"/>
  <c r="S1000" i="20"/>
  <c r="K999" i="20"/>
  <c r="L998" i="20"/>
  <c r="H998" i="20"/>
  <c r="G999" i="20"/>
  <c r="T1000" i="20"/>
  <c r="S1001" i="20"/>
  <c r="L999" i="20"/>
  <c r="K1000" i="20"/>
  <c r="H999" i="20"/>
  <c r="G1000" i="20"/>
  <c r="T1001" i="20"/>
  <c r="S1002" i="20"/>
  <c r="K1001" i="20"/>
  <c r="L1000" i="20"/>
  <c r="G1001" i="20"/>
  <c r="H1000" i="20"/>
  <c r="T1002" i="20"/>
  <c r="S1003" i="20"/>
  <c r="K1002" i="20"/>
  <c r="L1001" i="20"/>
  <c r="H1001" i="20"/>
  <c r="G1002" i="20"/>
  <c r="T1003" i="20"/>
  <c r="S1004" i="20"/>
  <c r="K1003" i="20"/>
  <c r="L1002" i="20"/>
  <c r="H1002" i="20"/>
  <c r="G1003" i="20"/>
  <c r="S1005" i="20"/>
  <c r="T1004" i="20"/>
  <c r="L1003" i="20"/>
  <c r="K1004" i="20"/>
  <c r="H1003" i="20"/>
  <c r="G1004" i="20"/>
  <c r="T1005" i="20"/>
  <c r="S1006" i="20"/>
  <c r="K1005" i="20"/>
  <c r="L1004" i="20"/>
  <c r="H1004" i="20"/>
  <c r="G1005" i="20"/>
  <c r="T1006" i="20"/>
  <c r="S1007" i="20"/>
  <c r="K1006" i="20"/>
  <c r="L1005" i="20"/>
  <c r="H1005" i="20"/>
  <c r="G1006" i="20"/>
  <c r="S1008" i="20"/>
  <c r="T1007" i="20"/>
  <c r="L1006" i="20"/>
  <c r="K1007" i="20"/>
  <c r="G1007" i="20"/>
  <c r="H1006" i="20"/>
  <c r="S1009" i="20"/>
  <c r="T1008" i="20"/>
  <c r="K1008" i="20"/>
  <c r="L1007" i="20"/>
  <c r="G1008" i="20"/>
  <c r="H1007" i="20"/>
  <c r="S1010" i="20"/>
  <c r="T1009" i="20"/>
  <c r="K1009" i="20"/>
  <c r="L1008" i="20"/>
  <c r="G1009" i="20"/>
  <c r="H1008" i="20"/>
  <c r="S1011" i="20"/>
  <c r="T1010" i="20"/>
  <c r="L1009" i="20"/>
  <c r="K1010" i="20"/>
  <c r="G1010" i="20"/>
  <c r="H1009" i="20"/>
  <c r="S1012" i="20"/>
  <c r="T1011" i="20"/>
  <c r="L1010" i="20"/>
  <c r="K1011" i="20"/>
  <c r="G1011" i="20"/>
  <c r="H1010" i="20"/>
  <c r="S1013" i="20"/>
  <c r="T1012" i="20"/>
  <c r="K1012" i="20"/>
  <c r="L1011" i="20"/>
  <c r="H1011" i="20"/>
  <c r="G1012" i="20"/>
  <c r="S1014" i="20"/>
  <c r="T1013" i="20"/>
  <c r="K1013" i="20"/>
  <c r="L1012" i="20"/>
  <c r="H1012" i="20"/>
  <c r="G1013" i="20"/>
  <c r="T1014" i="20"/>
  <c r="S1015" i="20"/>
  <c r="L1013" i="20"/>
  <c r="K1014" i="20"/>
  <c r="H1013" i="20"/>
  <c r="G1014" i="20"/>
  <c r="S1016" i="20"/>
  <c r="T1015" i="20"/>
  <c r="K1015" i="20"/>
  <c r="L1014" i="20"/>
  <c r="G1015" i="20"/>
  <c r="H1014" i="20"/>
  <c r="S1017" i="20"/>
  <c r="T1016" i="20"/>
  <c r="K1016" i="20"/>
  <c r="L1015" i="20"/>
  <c r="H1015" i="20"/>
  <c r="G1016" i="20"/>
  <c r="T1017" i="20"/>
  <c r="S1018" i="20"/>
  <c r="L1016" i="20"/>
  <c r="K1017" i="20"/>
  <c r="G1017" i="20"/>
  <c r="H1016" i="20"/>
  <c r="S1019" i="20"/>
  <c r="T1018" i="20"/>
  <c r="L1017" i="20"/>
  <c r="K1018" i="20"/>
  <c r="H1017" i="20"/>
  <c r="G1018" i="20"/>
  <c r="T1019" i="20"/>
  <c r="S1020" i="20"/>
  <c r="L1018" i="20"/>
  <c r="K1019" i="20"/>
  <c r="G1019" i="20"/>
  <c r="H1018" i="20"/>
  <c r="S1021" i="20"/>
  <c r="T1020" i="20"/>
  <c r="K1020" i="20"/>
  <c r="L1019" i="20"/>
  <c r="G1020" i="20"/>
  <c r="H1019" i="20"/>
  <c r="T1021" i="20"/>
  <c r="S1022" i="20"/>
  <c r="K1021" i="20"/>
  <c r="L1020" i="20"/>
  <c r="H1020" i="20"/>
  <c r="G1021" i="20"/>
  <c r="S1023" i="20"/>
  <c r="T1022" i="20"/>
  <c r="L1021" i="20"/>
  <c r="K1022" i="20"/>
  <c r="G1022" i="20"/>
  <c r="H1021" i="20"/>
  <c r="S1024" i="20"/>
  <c r="T1023" i="20"/>
  <c r="L1022" i="20"/>
  <c r="K1023" i="20"/>
  <c r="H1022" i="20"/>
  <c r="G1023" i="20"/>
  <c r="S1025" i="20"/>
  <c r="T1024" i="20"/>
  <c r="L1023" i="20"/>
  <c r="K1024" i="20"/>
  <c r="H1023" i="20"/>
  <c r="G1024" i="20"/>
  <c r="T1025" i="20"/>
  <c r="S1026" i="20"/>
  <c r="L1024" i="20"/>
  <c r="K1025" i="20"/>
  <c r="H1024" i="20"/>
  <c r="G1025" i="20"/>
  <c r="T1026" i="20"/>
  <c r="S1027" i="20"/>
  <c r="K1026" i="20"/>
  <c r="L1025" i="20"/>
  <c r="H1025" i="20"/>
  <c r="G1026" i="20"/>
  <c r="T1027" i="20"/>
  <c r="S1028" i="20"/>
  <c r="L1026" i="20"/>
  <c r="K1027" i="20"/>
  <c r="G1027" i="20"/>
  <c r="H1026" i="20"/>
  <c r="S1029" i="20"/>
  <c r="T1028" i="20"/>
  <c r="L1027" i="20"/>
  <c r="K1028" i="20"/>
  <c r="H1027" i="20"/>
  <c r="G1028" i="20"/>
  <c r="S1030" i="20"/>
  <c r="T1029" i="20"/>
  <c r="L1028" i="20"/>
  <c r="K1029" i="20"/>
  <c r="G1029" i="20"/>
  <c r="H1028" i="20"/>
  <c r="T1030" i="20"/>
  <c r="S1031" i="20"/>
  <c r="L1029" i="20"/>
  <c r="K1030" i="20"/>
  <c r="H1029" i="20"/>
  <c r="G1030" i="20"/>
  <c r="S1032" i="20"/>
  <c r="T1031" i="20"/>
  <c r="K1031" i="20"/>
  <c r="L1030" i="20"/>
  <c r="H1030" i="20"/>
  <c r="G1031" i="20"/>
  <c r="S1033" i="20"/>
  <c r="T1032" i="20"/>
  <c r="K1032" i="20"/>
  <c r="L1031" i="20"/>
  <c r="H1031" i="20"/>
  <c r="G1032" i="20"/>
  <c r="S1034" i="20"/>
  <c r="T1033" i="20"/>
  <c r="L1032" i="20"/>
  <c r="K1033" i="20"/>
  <c r="G1033" i="20"/>
  <c r="H1032" i="20"/>
  <c r="T1034" i="20"/>
  <c r="S1035" i="20"/>
  <c r="K1034" i="20"/>
  <c r="L1033" i="20"/>
  <c r="H1033" i="20"/>
  <c r="G1034" i="20"/>
  <c r="S1036" i="20"/>
  <c r="T1035" i="20"/>
  <c r="K1035" i="20"/>
  <c r="L1034" i="20"/>
  <c r="G1035" i="20"/>
  <c r="H1034" i="20"/>
  <c r="S1037" i="20"/>
  <c r="T1036" i="20"/>
  <c r="L1035" i="20"/>
  <c r="K1036" i="20"/>
  <c r="H1035" i="20"/>
  <c r="G1036" i="20"/>
  <c r="T1037" i="20"/>
  <c r="S1038" i="20"/>
  <c r="L1036" i="20"/>
  <c r="K1037" i="20"/>
  <c r="G1037" i="20"/>
  <c r="H1036" i="20"/>
  <c r="S1039" i="20"/>
  <c r="T1038" i="20"/>
  <c r="K1038" i="20"/>
  <c r="L1037" i="20"/>
  <c r="G1038" i="20"/>
  <c r="H1037" i="20"/>
  <c r="S1040" i="20"/>
  <c r="T1039" i="20"/>
  <c r="L1038" i="20"/>
  <c r="K1039" i="20"/>
  <c r="H1038" i="20"/>
  <c r="G1039" i="20"/>
  <c r="S1041" i="20"/>
  <c r="T1040" i="20"/>
  <c r="L1039" i="20"/>
  <c r="K1040" i="20"/>
  <c r="H1039" i="20"/>
  <c r="G1040" i="20"/>
  <c r="S1042" i="20"/>
  <c r="T1041" i="20"/>
  <c r="L1040" i="20"/>
  <c r="K1041" i="20"/>
  <c r="H1040" i="20"/>
  <c r="G1041" i="20"/>
  <c r="S1043" i="20"/>
  <c r="T1042" i="20"/>
  <c r="K1042" i="20"/>
  <c r="L1041" i="20"/>
  <c r="G1042" i="20"/>
  <c r="H1041" i="20"/>
  <c r="T1043" i="20"/>
  <c r="S1044" i="20"/>
  <c r="K1043" i="20"/>
  <c r="L1042" i="20"/>
  <c r="H1042" i="20"/>
  <c r="G1043" i="20"/>
  <c r="S1045" i="20"/>
  <c r="T1044" i="20"/>
  <c r="K1044" i="20"/>
  <c r="L1043" i="20"/>
  <c r="G1044" i="20"/>
  <c r="H1043" i="20"/>
  <c r="S1046" i="20"/>
  <c r="T1045" i="20"/>
  <c r="K1045" i="20"/>
  <c r="L1044" i="20"/>
  <c r="G1045" i="20"/>
  <c r="H1044" i="20"/>
  <c r="T1046" i="20"/>
  <c r="S1047" i="20"/>
  <c r="K1046" i="20"/>
  <c r="L1045" i="20"/>
  <c r="H1045" i="20"/>
  <c r="G1046" i="20"/>
  <c r="S1048" i="20"/>
  <c r="T1047" i="20"/>
  <c r="L1046" i="20"/>
  <c r="K1047" i="20"/>
  <c r="G1047" i="20"/>
  <c r="H1046" i="20"/>
  <c r="S1049" i="20"/>
  <c r="T1048" i="20"/>
  <c r="L1047" i="20"/>
  <c r="K1048" i="20"/>
  <c r="H1047" i="20"/>
  <c r="G1048" i="20"/>
  <c r="S1050" i="20"/>
  <c r="T1049" i="20"/>
  <c r="K1049" i="20"/>
  <c r="L1048" i="20"/>
  <c r="H1048" i="20"/>
  <c r="G1049" i="20"/>
  <c r="T1050" i="20"/>
  <c r="S1051" i="20"/>
  <c r="K1050" i="20"/>
  <c r="L1049" i="20"/>
  <c r="H1049" i="20"/>
  <c r="G1050" i="20"/>
  <c r="S1052" i="20"/>
  <c r="T1051" i="20"/>
  <c r="K1051" i="20"/>
  <c r="L1050" i="20"/>
  <c r="G1051" i="20"/>
  <c r="H1050" i="20"/>
  <c r="T1052" i="20"/>
  <c r="S1053" i="20"/>
  <c r="L1051" i="20"/>
  <c r="K1052" i="20"/>
  <c r="G1052" i="20"/>
  <c r="H1051" i="20"/>
  <c r="T1053" i="20"/>
  <c r="S1054" i="20"/>
  <c r="K1053" i="20"/>
  <c r="L1052" i="20"/>
  <c r="G1053" i="20"/>
  <c r="H1052" i="20"/>
  <c r="S1055" i="20"/>
  <c r="T1054" i="20"/>
  <c r="L1053" i="20"/>
  <c r="K1054" i="20"/>
  <c r="G1054" i="20"/>
  <c r="H1053" i="20"/>
  <c r="T1055" i="20"/>
  <c r="S1056" i="20"/>
  <c r="L1054" i="20"/>
  <c r="K1055" i="20"/>
  <c r="G1055" i="20"/>
  <c r="H1054" i="20"/>
  <c r="S1057" i="20"/>
  <c r="T1056" i="20"/>
  <c r="L1055" i="20"/>
  <c r="K1056" i="20"/>
  <c r="H1055" i="20"/>
  <c r="G1056" i="20"/>
  <c r="T1057" i="20"/>
  <c r="S1058" i="20"/>
  <c r="K1057" i="20"/>
  <c r="L1056" i="20"/>
  <c r="H1056" i="20"/>
  <c r="G1057" i="20"/>
  <c r="S1059" i="20"/>
  <c r="T1058" i="20"/>
  <c r="L1057" i="20"/>
  <c r="K1058" i="20"/>
  <c r="G1058" i="20"/>
  <c r="H1057" i="20"/>
  <c r="T1059" i="20"/>
  <c r="S1060" i="20"/>
  <c r="K1059" i="20"/>
  <c r="L1058" i="20"/>
  <c r="G1059" i="20"/>
  <c r="H1058" i="20"/>
  <c r="T1060" i="20"/>
  <c r="S1061" i="20"/>
  <c r="K1060" i="20"/>
  <c r="L1059" i="20"/>
  <c r="H1059" i="20"/>
  <c r="G1060" i="20"/>
  <c r="T1061" i="20"/>
  <c r="S1062" i="20"/>
  <c r="L1060" i="20"/>
  <c r="K1061" i="20"/>
  <c r="G1061" i="20"/>
  <c r="H1060" i="20"/>
  <c r="T1062" i="20"/>
  <c r="S1063" i="20"/>
  <c r="L1061" i="20"/>
  <c r="K1062" i="20"/>
  <c r="H1061" i="20"/>
  <c r="G1062" i="20"/>
  <c r="T1063" i="20"/>
  <c r="S1064" i="20"/>
  <c r="L1062" i="20"/>
  <c r="K1063" i="20"/>
  <c r="H1062" i="20"/>
  <c r="G1063" i="20"/>
  <c r="S1065" i="20"/>
  <c r="T1064" i="20"/>
  <c r="L1063" i="20"/>
  <c r="K1064" i="20"/>
  <c r="G1064" i="20"/>
  <c r="H1063" i="20"/>
  <c r="S1066" i="20"/>
  <c r="T1065" i="20"/>
  <c r="L1064" i="20"/>
  <c r="K1065" i="20"/>
  <c r="G1065" i="20"/>
  <c r="H1064" i="20"/>
  <c r="T1066" i="20"/>
  <c r="S1067" i="20"/>
  <c r="L1065" i="20"/>
  <c r="K1066" i="20"/>
  <c r="H1065" i="20"/>
  <c r="G1066" i="20"/>
  <c r="S1068" i="20"/>
  <c r="T1067" i="20"/>
  <c r="L1066" i="20"/>
  <c r="K1067" i="20"/>
  <c r="H1066" i="20"/>
  <c r="G1067" i="20"/>
  <c r="S1069" i="20"/>
  <c r="T1068" i="20"/>
  <c r="L1067" i="20"/>
  <c r="K1068" i="20"/>
  <c r="G1068" i="20"/>
  <c r="H1067" i="20"/>
  <c r="T1069" i="20"/>
  <c r="S1070" i="20"/>
  <c r="K1069" i="20"/>
  <c r="L1068" i="20"/>
  <c r="H1068" i="20"/>
  <c r="G1069" i="20"/>
  <c r="T1070" i="20"/>
  <c r="S1071" i="20"/>
  <c r="K1070" i="20"/>
  <c r="L1069" i="20"/>
  <c r="H1069" i="20"/>
  <c r="G1070" i="20"/>
  <c r="S1072" i="20"/>
  <c r="T1071" i="20"/>
  <c r="K1071" i="20"/>
  <c r="L1070" i="20"/>
  <c r="H1070" i="20"/>
  <c r="G1071" i="20"/>
  <c r="S1073" i="20"/>
  <c r="T1072" i="20"/>
  <c r="L1071" i="20"/>
  <c r="K1072" i="20"/>
  <c r="H1071" i="20"/>
  <c r="G1072" i="20"/>
  <c r="S1074" i="20"/>
  <c r="T1073" i="20"/>
  <c r="L1072" i="20"/>
  <c r="K1073" i="20"/>
  <c r="H1072" i="20"/>
  <c r="G1073" i="20"/>
  <c r="S1075" i="20"/>
  <c r="T1074" i="20"/>
  <c r="K1074" i="20"/>
  <c r="L1073" i="20"/>
  <c r="G1074" i="20"/>
  <c r="H1073" i="20"/>
  <c r="S1076" i="20"/>
  <c r="T1075" i="20"/>
  <c r="K1075" i="20"/>
  <c r="L1074" i="20"/>
  <c r="H1074" i="20"/>
  <c r="G1075" i="20"/>
  <c r="T1076" i="20"/>
  <c r="S1077" i="20"/>
  <c r="K1076" i="20"/>
  <c r="L1075" i="20"/>
  <c r="H1075" i="20"/>
  <c r="G1076" i="20"/>
  <c r="T1077" i="20"/>
  <c r="S1078" i="20"/>
  <c r="K1077" i="20"/>
  <c r="L1076" i="20"/>
  <c r="G1077" i="20"/>
  <c r="H1076" i="20"/>
  <c r="T1078" i="20"/>
  <c r="S1079" i="20"/>
  <c r="L1077" i="20"/>
  <c r="K1078" i="20"/>
  <c r="G1078" i="20"/>
  <c r="H1077" i="20"/>
  <c r="S1080" i="20"/>
  <c r="T1079" i="20"/>
  <c r="L1078" i="20"/>
  <c r="K1079" i="20"/>
  <c r="G1079" i="20"/>
  <c r="H1078" i="20"/>
  <c r="S1081" i="20"/>
  <c r="T1080" i="20"/>
  <c r="L1079" i="20"/>
  <c r="K1080" i="20"/>
  <c r="G1080" i="20"/>
  <c r="H1079" i="20"/>
  <c r="S1082" i="20"/>
  <c r="T1081" i="20"/>
  <c r="L1080" i="20"/>
  <c r="K1081" i="20"/>
  <c r="H1080" i="20"/>
  <c r="G1081" i="20"/>
  <c r="S1083" i="20"/>
  <c r="T1082" i="20"/>
  <c r="K1082" i="20"/>
  <c r="L1081" i="20"/>
  <c r="H1081" i="20"/>
  <c r="G1082" i="20"/>
  <c r="S1084" i="20"/>
  <c r="T1083" i="20"/>
  <c r="K1083" i="20"/>
  <c r="L1082" i="20"/>
  <c r="G1083" i="20"/>
  <c r="H1082" i="20"/>
  <c r="S1085" i="20"/>
  <c r="T1084" i="20"/>
  <c r="L1083" i="20"/>
  <c r="K1084" i="20"/>
  <c r="H1083" i="20"/>
  <c r="G1084" i="20"/>
  <c r="S1086" i="20"/>
  <c r="T1085" i="20"/>
  <c r="K1085" i="20"/>
  <c r="L1084" i="20"/>
  <c r="H1084" i="20"/>
  <c r="G1085" i="20"/>
  <c r="T1086" i="20"/>
  <c r="S1087" i="20"/>
  <c r="K1086" i="20"/>
  <c r="L1085" i="20"/>
  <c r="H1085" i="20"/>
  <c r="G1086" i="20"/>
  <c r="S1088" i="20"/>
  <c r="T1087" i="20"/>
  <c r="L1086" i="20"/>
  <c r="K1087" i="20"/>
  <c r="H1086" i="20"/>
  <c r="G1087" i="20"/>
  <c r="T1088" i="20"/>
  <c r="S1089" i="20"/>
  <c r="L1087" i="20"/>
  <c r="K1088" i="20"/>
  <c r="H1087" i="20"/>
  <c r="G1088" i="20"/>
  <c r="S1090" i="20"/>
  <c r="T1089" i="20"/>
  <c r="L1088" i="20"/>
  <c r="K1089" i="20"/>
  <c r="H1088" i="20"/>
  <c r="G1089" i="20"/>
  <c r="T1090" i="20"/>
  <c r="S1091" i="20"/>
  <c r="K1090" i="20"/>
  <c r="L1089" i="20"/>
  <c r="G1090" i="20"/>
  <c r="H1089" i="20"/>
  <c r="S1092" i="20"/>
  <c r="T1091" i="20"/>
  <c r="L1090" i="20"/>
  <c r="K1091" i="20"/>
  <c r="H1090" i="20"/>
  <c r="G1091" i="20"/>
  <c r="S1093" i="20"/>
  <c r="T1092" i="20"/>
  <c r="K1092" i="20"/>
  <c r="L1091" i="20"/>
  <c r="H1091" i="20"/>
  <c r="G1092" i="20"/>
  <c r="S1094" i="20"/>
  <c r="T1093" i="20"/>
  <c r="K1093" i="20"/>
  <c r="L1092" i="20"/>
  <c r="H1092" i="20"/>
  <c r="G1093" i="20"/>
  <c r="S1095" i="20"/>
  <c r="T1094" i="20"/>
  <c r="K1094" i="20"/>
  <c r="L1093" i="20"/>
  <c r="H1093" i="20"/>
  <c r="G1094" i="20"/>
  <c r="T1095" i="20"/>
  <c r="S1096" i="20"/>
  <c r="K1095" i="20"/>
  <c r="L1094" i="20"/>
  <c r="G1095" i="20"/>
  <c r="H1094" i="20"/>
  <c r="S1097" i="20"/>
  <c r="T1096" i="20"/>
  <c r="L1095" i="20"/>
  <c r="K1096" i="20"/>
  <c r="G1096" i="20"/>
  <c r="H1095" i="20"/>
  <c r="S1098" i="20"/>
  <c r="T1097" i="20"/>
  <c r="K1097" i="20"/>
  <c r="L1096" i="20"/>
  <c r="H1096" i="20"/>
  <c r="G1097" i="20"/>
  <c r="S1099" i="20"/>
  <c r="T1098" i="20"/>
  <c r="K1098" i="20"/>
  <c r="L1097" i="20"/>
  <c r="G1098" i="20"/>
  <c r="H1097" i="20"/>
  <c r="T1099" i="20"/>
  <c r="S1100" i="20"/>
  <c r="K1099" i="20"/>
  <c r="L1098" i="20"/>
  <c r="H1098" i="20"/>
  <c r="G1099" i="20"/>
  <c r="S1101" i="20"/>
  <c r="T1100" i="20"/>
  <c r="L1099" i="20"/>
  <c r="K1100" i="20"/>
  <c r="H1099" i="20"/>
  <c r="G1100" i="20"/>
  <c r="S1102" i="20"/>
  <c r="T1101" i="20"/>
  <c r="K1101" i="20"/>
  <c r="L1100" i="20"/>
  <c r="H1100" i="20"/>
  <c r="G1101" i="20"/>
  <c r="T1102" i="20"/>
  <c r="S1103" i="20"/>
  <c r="L1101" i="20"/>
  <c r="K1102" i="20"/>
  <c r="G1102" i="20"/>
  <c r="H1101" i="20"/>
  <c r="S1104" i="20"/>
  <c r="T1103" i="20"/>
  <c r="K1103" i="20"/>
  <c r="L1102" i="20"/>
  <c r="G1103" i="20"/>
  <c r="H1102" i="20"/>
  <c r="S1105" i="20"/>
  <c r="T1104" i="20"/>
  <c r="L1103" i="20"/>
  <c r="K1104" i="20"/>
  <c r="G1104" i="20"/>
  <c r="H1103" i="20"/>
  <c r="T1105" i="20"/>
  <c r="S1106" i="20"/>
  <c r="L1104" i="20"/>
  <c r="K1105" i="20"/>
  <c r="H1104" i="20"/>
  <c r="G1105" i="20"/>
  <c r="T1106" i="20"/>
  <c r="S1107" i="20"/>
  <c r="K1106" i="20"/>
  <c r="L1105" i="20"/>
  <c r="G1106" i="20"/>
  <c r="H1105" i="20"/>
  <c r="T1107" i="20"/>
  <c r="S1108" i="20"/>
  <c r="K1107" i="20"/>
  <c r="L1106" i="20"/>
  <c r="G1107" i="20"/>
  <c r="H1106" i="20"/>
  <c r="T1108" i="20"/>
  <c r="S1109" i="20"/>
  <c r="K1108" i="20"/>
  <c r="L1107" i="20"/>
  <c r="H1107" i="20"/>
  <c r="G1108" i="20"/>
  <c r="S1110" i="20"/>
  <c r="T1109" i="20"/>
  <c r="K1109" i="20"/>
  <c r="L1108" i="20"/>
  <c r="H1108" i="20"/>
  <c r="G1109" i="20"/>
  <c r="T1110" i="20"/>
  <c r="S1111" i="20"/>
  <c r="L1109" i="20"/>
  <c r="K1110" i="20"/>
  <c r="G1110" i="20"/>
  <c r="H1109" i="20"/>
  <c r="T1111" i="20"/>
  <c r="S1112" i="20"/>
  <c r="L1110" i="20"/>
  <c r="K1111" i="20"/>
  <c r="G1111" i="20"/>
  <c r="H1110" i="20"/>
  <c r="S1113" i="20"/>
  <c r="T1112" i="20"/>
  <c r="K1112" i="20"/>
  <c r="L1111" i="20"/>
  <c r="H1111" i="20"/>
  <c r="G1112" i="20"/>
  <c r="S1114" i="20"/>
  <c r="T1113" i="20"/>
  <c r="L1112" i="20"/>
  <c r="K1113" i="20"/>
  <c r="G1113" i="20"/>
  <c r="H1112" i="20"/>
  <c r="T1114" i="20"/>
  <c r="S1115" i="20"/>
  <c r="K1114" i="20"/>
  <c r="L1113" i="20"/>
  <c r="G1114" i="20"/>
  <c r="H1113" i="20"/>
  <c r="S1116" i="20"/>
  <c r="T1115" i="20"/>
  <c r="L1114" i="20"/>
  <c r="K1115" i="20"/>
  <c r="H1114" i="20"/>
  <c r="G1115" i="20"/>
  <c r="T1116" i="20"/>
  <c r="S1117" i="20"/>
  <c r="K1116" i="20"/>
  <c r="L1115" i="20"/>
  <c r="G1116" i="20"/>
  <c r="H1115" i="20"/>
  <c r="S1118" i="20"/>
  <c r="T1117" i="20"/>
  <c r="L1116" i="20"/>
  <c r="K1117" i="20"/>
  <c r="G1117" i="20"/>
  <c r="H1116" i="20"/>
  <c r="T1118" i="20"/>
  <c r="S1119" i="20"/>
  <c r="K1118" i="20"/>
  <c r="L1117" i="20"/>
  <c r="H1117" i="20"/>
  <c r="G1118" i="20"/>
  <c r="S1120" i="20"/>
  <c r="T1119" i="20"/>
  <c r="L1118" i="20"/>
  <c r="K1119" i="20"/>
  <c r="H1118" i="20"/>
  <c r="G1119" i="20"/>
  <c r="S1121" i="20"/>
  <c r="T1120" i="20"/>
  <c r="K1120" i="20"/>
  <c r="L1119" i="20"/>
  <c r="H1119" i="20"/>
  <c r="G1120" i="20"/>
  <c r="T1121" i="20"/>
  <c r="S1122" i="20"/>
  <c r="L1120" i="20"/>
  <c r="K1121" i="20"/>
  <c r="G1121" i="20"/>
  <c r="H1120" i="20"/>
  <c r="T1122" i="20"/>
  <c r="S1123" i="20"/>
  <c r="L1121" i="20"/>
  <c r="K1122" i="20"/>
  <c r="G1122" i="20"/>
  <c r="H1121" i="20"/>
  <c r="S1124" i="20"/>
  <c r="T1123" i="20"/>
  <c r="K1123" i="20"/>
  <c r="L1122" i="20"/>
  <c r="G1123" i="20"/>
  <c r="H1122" i="20"/>
  <c r="T1124" i="20"/>
  <c r="S1125" i="20"/>
  <c r="K1124" i="20"/>
  <c r="L1123" i="20"/>
  <c r="G1124" i="20"/>
  <c r="H1123" i="20"/>
  <c r="T1125" i="20"/>
  <c r="S1126" i="20"/>
  <c r="K1125" i="20"/>
  <c r="L1124" i="20"/>
  <c r="H1124" i="20"/>
  <c r="G1125" i="20"/>
  <c r="S1127" i="20"/>
  <c r="T1126" i="20"/>
  <c r="K1126" i="20"/>
  <c r="L1125" i="20"/>
  <c r="H1125" i="20"/>
  <c r="G1126" i="20"/>
  <c r="S1128" i="20"/>
  <c r="T1127" i="20"/>
  <c r="K1127" i="20"/>
  <c r="L1126" i="20"/>
  <c r="G1127" i="20"/>
  <c r="H1126" i="20"/>
  <c r="S1129" i="20"/>
  <c r="T1128" i="20"/>
  <c r="K1128" i="20"/>
  <c r="L1127" i="20"/>
  <c r="H1127" i="20"/>
  <c r="G1128" i="20"/>
  <c r="T1129" i="20"/>
  <c r="S1130" i="20"/>
  <c r="K1129" i="20"/>
  <c r="L1128" i="20"/>
  <c r="H1128" i="20"/>
  <c r="G1129" i="20"/>
  <c r="S1131" i="20"/>
  <c r="T1130" i="20"/>
  <c r="L1129" i="20"/>
  <c r="K1130" i="20"/>
  <c r="H1129" i="20"/>
  <c r="G1130" i="20"/>
  <c r="T1131" i="20"/>
  <c r="S1132" i="20"/>
  <c r="K1131" i="20"/>
  <c r="L1130" i="20"/>
  <c r="G1131" i="20"/>
  <c r="H1130" i="20"/>
  <c r="T1132" i="20"/>
  <c r="S1133" i="20"/>
  <c r="K1132" i="20"/>
  <c r="L1131" i="20"/>
  <c r="H1131" i="20"/>
  <c r="G1132" i="20"/>
  <c r="T1133" i="20"/>
  <c r="S1134" i="20"/>
  <c r="K1133" i="20"/>
  <c r="L1132" i="20"/>
  <c r="G1133" i="20"/>
  <c r="H1132" i="20"/>
  <c r="S1135" i="20"/>
  <c r="T1134" i="20"/>
  <c r="L1133" i="20"/>
  <c r="K1134" i="20"/>
  <c r="G1134" i="20"/>
  <c r="H1133" i="20"/>
  <c r="S1136" i="20"/>
  <c r="T1135" i="20"/>
  <c r="K1135" i="20"/>
  <c r="L1134" i="20"/>
  <c r="H1134" i="20"/>
  <c r="G1135" i="20"/>
  <c r="T1136" i="20"/>
  <c r="S1137" i="20"/>
  <c r="L1135" i="20"/>
  <c r="K1136" i="20"/>
  <c r="G1136" i="20"/>
  <c r="H1135" i="20"/>
  <c r="T1137" i="20"/>
  <c r="S1138" i="20"/>
  <c r="L1136" i="20"/>
  <c r="K1137" i="20"/>
  <c r="G1137" i="20"/>
  <c r="H1136" i="20"/>
  <c r="T1138" i="20"/>
  <c r="S1139" i="20"/>
  <c r="K1138" i="20"/>
  <c r="L1137" i="20"/>
  <c r="G1138" i="20"/>
  <c r="H1137" i="20"/>
  <c r="S1140" i="20"/>
  <c r="T1139" i="20"/>
  <c r="K1139" i="20"/>
  <c r="L1138" i="20"/>
  <c r="H1138" i="20"/>
  <c r="G1139" i="20"/>
  <c r="T1140" i="20"/>
  <c r="S1141" i="20"/>
  <c r="K1140" i="20"/>
  <c r="L1139" i="20"/>
  <c r="G1140" i="20"/>
  <c r="H1139" i="20"/>
  <c r="T1141" i="20"/>
  <c r="S1142" i="20"/>
  <c r="K1141" i="20"/>
  <c r="L1140" i="20"/>
  <c r="G1141" i="20"/>
  <c r="H1140" i="20"/>
  <c r="T1142" i="20"/>
  <c r="S1143" i="20"/>
  <c r="K1142" i="20"/>
  <c r="L1141" i="20"/>
  <c r="H1141" i="20"/>
  <c r="G1142" i="20"/>
  <c r="T1143" i="20"/>
  <c r="S1144" i="20"/>
  <c r="L1142" i="20"/>
  <c r="K1143" i="20"/>
  <c r="H1142" i="20"/>
  <c r="G1143" i="20"/>
  <c r="S1145" i="20"/>
  <c r="T1144" i="20"/>
  <c r="K1144" i="20"/>
  <c r="L1143" i="20"/>
  <c r="H1143" i="20"/>
  <c r="G1144" i="20"/>
  <c r="S1146" i="20"/>
  <c r="T1145" i="20"/>
  <c r="L1144" i="20"/>
  <c r="K1145" i="20"/>
  <c r="H1144" i="20"/>
  <c r="G1145" i="20"/>
  <c r="T1146" i="20"/>
  <c r="S1147" i="20"/>
  <c r="L1145" i="20"/>
  <c r="K1146" i="20"/>
  <c r="G1146" i="20"/>
  <c r="H1145" i="20"/>
  <c r="S1148" i="20"/>
  <c r="T1147" i="20"/>
  <c r="L1146" i="20"/>
  <c r="K1147" i="20"/>
  <c r="H1146" i="20"/>
  <c r="G1147" i="20"/>
  <c r="S1149" i="20"/>
  <c r="T1148" i="20"/>
  <c r="L1147" i="20"/>
  <c r="K1148" i="20"/>
  <c r="H1147" i="20"/>
  <c r="G1148" i="20"/>
  <c r="S1150" i="20"/>
  <c r="T1149" i="20"/>
  <c r="K1149" i="20"/>
  <c r="L1148" i="20"/>
  <c r="G1149" i="20"/>
  <c r="H1148" i="20"/>
  <c r="S1151" i="20"/>
  <c r="T1150" i="20"/>
  <c r="K1150" i="20"/>
  <c r="L1149" i="20"/>
  <c r="G1150" i="20"/>
  <c r="H1149" i="20"/>
  <c r="S1152" i="20"/>
  <c r="T1151" i="20"/>
  <c r="L1150" i="20"/>
  <c r="K1151" i="20"/>
  <c r="G1151" i="20"/>
  <c r="H1150" i="20"/>
  <c r="S1153" i="20"/>
  <c r="T1152" i="20"/>
  <c r="L1151" i="20"/>
  <c r="K1152" i="20"/>
  <c r="H1151" i="20"/>
  <c r="G1152" i="20"/>
  <c r="T1153" i="20"/>
  <c r="S1154" i="20"/>
  <c r="L1152" i="20"/>
  <c r="K1153" i="20"/>
  <c r="H1152" i="20"/>
  <c r="G1153" i="20"/>
  <c r="S1155" i="20"/>
  <c r="T1154" i="20"/>
  <c r="K1154" i="20"/>
  <c r="L1153" i="20"/>
  <c r="G1154" i="20"/>
  <c r="H1153" i="20"/>
  <c r="S1156" i="20"/>
  <c r="T1155" i="20"/>
  <c r="K1155" i="20"/>
  <c r="L1154" i="20"/>
  <c r="G1155" i="20"/>
  <c r="H1154" i="20"/>
  <c r="S1157" i="20"/>
  <c r="T1156" i="20"/>
  <c r="L1155" i="20"/>
  <c r="K1156" i="20"/>
  <c r="G1156" i="20"/>
  <c r="H1155" i="20"/>
  <c r="T1157" i="20"/>
  <c r="S1158" i="20"/>
  <c r="L1156" i="20"/>
  <c r="K1157" i="20"/>
  <c r="G1157" i="20"/>
  <c r="H1156" i="20"/>
  <c r="S1159" i="20"/>
  <c r="T1158" i="20"/>
  <c r="L1157" i="20"/>
  <c r="K1158" i="20"/>
  <c r="G1158" i="20"/>
  <c r="H1157" i="20"/>
  <c r="S1160" i="20"/>
  <c r="T1159" i="20"/>
  <c r="K1159" i="20"/>
  <c r="L1158" i="20"/>
  <c r="H1158" i="20"/>
  <c r="G1159" i="20"/>
  <c r="T1160" i="20"/>
  <c r="S1161" i="20"/>
  <c r="L1159" i="20"/>
  <c r="K1160" i="20"/>
  <c r="G1160" i="20"/>
  <c r="H1159" i="20"/>
  <c r="T1161" i="20"/>
  <c r="S1162" i="20"/>
  <c r="L1160" i="20"/>
  <c r="K1161" i="20"/>
  <c r="G1161" i="20"/>
  <c r="H1160" i="20"/>
  <c r="T1162" i="20"/>
  <c r="S1163" i="20"/>
  <c r="L1161" i="20"/>
  <c r="K1162" i="20"/>
  <c r="G1162" i="20"/>
  <c r="H1161" i="20"/>
  <c r="T1163" i="20"/>
  <c r="S1164" i="20"/>
  <c r="L1162" i="20"/>
  <c r="K1163" i="20"/>
  <c r="H1162" i="20"/>
  <c r="G1163" i="20"/>
  <c r="T1164" i="20"/>
  <c r="S1165" i="20"/>
  <c r="L1163" i="20"/>
  <c r="K1164" i="20"/>
  <c r="G1164" i="20"/>
  <c r="H1163" i="20"/>
  <c r="T1165" i="20"/>
  <c r="S1166" i="20"/>
  <c r="K1165" i="20"/>
  <c r="L1164" i="20"/>
  <c r="G1165" i="20"/>
  <c r="H1164" i="20"/>
  <c r="S1167" i="20"/>
  <c r="T1166" i="20"/>
  <c r="K1166" i="20"/>
  <c r="L1165" i="20"/>
  <c r="H1165" i="20"/>
  <c r="G1166" i="20"/>
  <c r="S1168" i="20"/>
  <c r="T1167" i="20"/>
  <c r="K1167" i="20"/>
  <c r="L1166" i="20"/>
  <c r="H1166" i="20"/>
  <c r="G1167" i="20"/>
  <c r="S1169" i="20"/>
  <c r="T1168" i="20"/>
  <c r="L1167" i="20"/>
  <c r="K1168" i="20"/>
  <c r="H1167" i="20"/>
  <c r="G1168" i="20"/>
  <c r="S1170" i="20"/>
  <c r="T1169" i="20"/>
  <c r="L1168" i="20"/>
  <c r="K1169" i="20"/>
  <c r="H1168" i="20"/>
  <c r="G1169" i="20"/>
  <c r="T1170" i="20"/>
  <c r="S1171" i="20"/>
  <c r="L1169" i="20"/>
  <c r="K1170" i="20"/>
  <c r="H1169" i="20"/>
  <c r="G1170" i="20"/>
  <c r="T1171" i="20"/>
  <c r="S1172" i="20"/>
  <c r="L1170" i="20"/>
  <c r="K1171" i="20"/>
  <c r="H1170" i="20"/>
  <c r="G1171" i="20"/>
  <c r="T1172" i="20"/>
  <c r="S1173" i="20"/>
  <c r="K1172" i="20"/>
  <c r="L1171" i="20"/>
  <c r="H1171" i="20"/>
  <c r="G1172" i="20"/>
  <c r="T1173" i="20"/>
  <c r="S1174" i="20"/>
  <c r="K1173" i="20"/>
  <c r="L1172" i="20"/>
  <c r="H1172" i="20"/>
  <c r="G1173" i="20"/>
  <c r="S1175" i="20"/>
  <c r="T1174" i="20"/>
  <c r="K1174" i="20"/>
  <c r="L1173" i="20"/>
  <c r="G1174" i="20"/>
  <c r="H1173" i="20"/>
  <c r="S1176" i="20"/>
  <c r="T1175" i="20"/>
  <c r="K1175" i="20"/>
  <c r="L1174" i="20"/>
  <c r="H1174" i="20"/>
  <c r="G1175" i="20"/>
  <c r="T1176" i="20"/>
  <c r="S1177" i="20"/>
  <c r="K1176" i="20"/>
  <c r="L1175" i="20"/>
  <c r="G1176" i="20"/>
  <c r="H1175" i="20"/>
  <c r="T1177" i="20"/>
  <c r="S1178" i="20"/>
  <c r="L1176" i="20"/>
  <c r="K1177" i="20"/>
  <c r="H1176" i="20"/>
  <c r="G1177" i="20"/>
  <c r="T1178" i="20"/>
  <c r="S1179" i="20"/>
  <c r="L1177" i="20"/>
  <c r="K1178" i="20"/>
  <c r="G1178" i="20"/>
  <c r="H1177" i="20"/>
  <c r="S1180" i="20"/>
  <c r="T1179" i="20"/>
  <c r="L1178" i="20"/>
  <c r="K1179" i="20"/>
  <c r="H1178" i="20"/>
  <c r="G1179" i="20"/>
  <c r="T1180" i="20"/>
  <c r="S1181" i="20"/>
  <c r="L1179" i="20"/>
  <c r="K1180" i="20"/>
  <c r="G1180" i="20"/>
  <c r="H1179" i="20"/>
  <c r="S1182" i="20"/>
  <c r="T1181" i="20"/>
  <c r="L1180" i="20"/>
  <c r="K1181" i="20"/>
  <c r="H1180" i="20"/>
  <c r="G1181" i="20"/>
  <c r="S1183" i="20"/>
  <c r="T1182" i="20"/>
  <c r="L1181" i="20"/>
  <c r="K1182" i="20"/>
  <c r="G1182" i="20"/>
  <c r="H1181" i="20"/>
  <c r="T1183" i="20"/>
  <c r="S1184" i="20"/>
  <c r="L1182" i="20"/>
  <c r="K1183" i="20"/>
  <c r="H1182" i="20"/>
  <c r="G1183" i="20"/>
  <c r="S1185" i="20"/>
  <c r="T1184" i="20"/>
  <c r="K1184" i="20"/>
  <c r="L1183" i="20"/>
  <c r="G1184" i="20"/>
  <c r="H1183" i="20"/>
  <c r="T1185" i="20"/>
  <c r="S1186" i="20"/>
  <c r="K1185" i="20"/>
  <c r="L1184" i="20"/>
  <c r="H1184" i="20"/>
  <c r="G1185" i="20"/>
  <c r="S1187" i="20"/>
  <c r="T1186" i="20"/>
  <c r="L1185" i="20"/>
  <c r="K1186" i="20"/>
  <c r="H1185" i="20"/>
  <c r="G1186" i="20"/>
  <c r="S1188" i="20"/>
  <c r="T1187" i="20"/>
  <c r="L1186" i="20"/>
  <c r="K1187" i="20"/>
  <c r="H1186" i="20"/>
  <c r="G1187" i="20"/>
  <c r="T1188" i="20"/>
  <c r="S1189" i="20"/>
  <c r="L1187" i="20"/>
  <c r="K1188" i="20"/>
  <c r="G1188" i="20"/>
  <c r="H1187" i="20"/>
  <c r="S1190" i="20"/>
  <c r="T1189" i="20"/>
  <c r="K1189" i="20"/>
  <c r="L1188" i="20"/>
  <c r="G1189" i="20"/>
  <c r="H1188" i="20"/>
  <c r="T1190" i="20"/>
  <c r="S1191" i="20"/>
  <c r="L1189" i="20"/>
  <c r="K1190" i="20"/>
  <c r="G1190" i="20"/>
  <c r="H1189" i="20"/>
  <c r="T1191" i="20"/>
  <c r="S1192" i="20"/>
  <c r="K1191" i="20"/>
  <c r="L1190" i="20"/>
  <c r="H1190" i="20"/>
  <c r="G1191" i="20"/>
  <c r="T1192" i="20"/>
  <c r="S1193" i="20"/>
  <c r="L1191" i="20"/>
  <c r="K1192" i="20"/>
  <c r="G1192" i="20"/>
  <c r="H1191" i="20"/>
  <c r="T1193" i="20"/>
  <c r="S1194" i="20"/>
  <c r="L1192" i="20"/>
  <c r="K1193" i="20"/>
  <c r="H1192" i="20"/>
  <c r="G1193" i="20"/>
  <c r="T1194" i="20"/>
  <c r="S1195" i="20"/>
  <c r="L1193" i="20"/>
  <c r="K1194" i="20"/>
  <c r="G1194" i="20"/>
  <c r="H1193" i="20"/>
  <c r="S1196" i="20"/>
  <c r="T1195" i="20"/>
  <c r="L1194" i="20"/>
  <c r="K1195" i="20"/>
  <c r="H1194" i="20"/>
  <c r="G1195" i="20"/>
  <c r="S1197" i="20"/>
  <c r="T1196" i="20"/>
  <c r="L1195" i="20"/>
  <c r="K1196" i="20"/>
  <c r="G1196" i="20"/>
  <c r="H1195" i="20"/>
  <c r="T1197" i="20"/>
  <c r="S1198" i="20"/>
  <c r="K1197" i="20"/>
  <c r="L1196" i="20"/>
  <c r="G1197" i="20"/>
  <c r="H1196" i="20"/>
  <c r="S1199" i="20"/>
  <c r="T1198" i="20"/>
  <c r="K1198" i="20"/>
  <c r="L1197" i="20"/>
  <c r="H1197" i="20"/>
  <c r="G1198" i="20"/>
  <c r="T1199" i="20"/>
  <c r="S1200" i="20"/>
  <c r="K1199" i="20"/>
  <c r="L1198" i="20"/>
  <c r="G1199" i="20"/>
  <c r="H1198" i="20"/>
  <c r="S1201" i="20"/>
  <c r="T1200" i="20"/>
  <c r="L1199" i="20"/>
  <c r="K1200" i="20"/>
  <c r="G1200" i="20"/>
  <c r="H1199" i="20"/>
  <c r="S1202" i="20"/>
  <c r="T1201" i="20"/>
  <c r="K1201" i="20"/>
  <c r="L1200" i="20"/>
  <c r="G1201" i="20"/>
  <c r="H1200" i="20"/>
  <c r="S1203" i="20"/>
  <c r="T1202" i="20"/>
  <c r="K1202" i="20"/>
  <c r="L1201" i="20"/>
  <c r="G1202" i="20"/>
  <c r="H1201" i="20"/>
  <c r="S1204" i="20"/>
  <c r="T1203" i="20"/>
  <c r="L1202" i="20"/>
  <c r="K1203" i="20"/>
  <c r="H1202" i="20"/>
  <c r="G1203" i="20"/>
  <c r="T1204" i="20"/>
  <c r="S1205" i="20"/>
  <c r="L1203" i="20"/>
  <c r="K1204" i="20"/>
  <c r="H1203" i="20"/>
  <c r="G1204" i="20"/>
  <c r="T1205" i="20"/>
  <c r="S1206" i="20"/>
  <c r="K1205" i="20"/>
  <c r="L1204" i="20"/>
  <c r="G1205" i="20"/>
  <c r="H1204" i="20"/>
  <c r="T1206" i="20"/>
  <c r="S1207" i="20"/>
  <c r="K1206" i="20"/>
  <c r="L1205" i="20"/>
  <c r="H1205" i="20"/>
  <c r="G1206" i="20"/>
  <c r="S1208" i="20"/>
  <c r="T1207" i="20"/>
  <c r="L1206" i="20"/>
  <c r="K1207" i="20"/>
  <c r="G1207" i="20"/>
  <c r="H1206" i="20"/>
  <c r="S1209" i="20"/>
  <c r="T1208" i="20"/>
  <c r="K1208" i="20"/>
  <c r="L1207" i="20"/>
  <c r="H1207" i="20"/>
  <c r="G1208" i="20"/>
  <c r="T1209" i="20"/>
  <c r="S1210" i="20"/>
  <c r="K1209" i="20"/>
  <c r="L1208" i="20"/>
  <c r="G1209" i="20"/>
  <c r="H1208" i="20"/>
  <c r="T1210" i="20"/>
  <c r="S1211" i="20"/>
  <c r="L1209" i="20"/>
  <c r="K1210" i="20"/>
  <c r="G1210" i="20"/>
  <c r="H1209" i="20"/>
  <c r="S1212" i="20"/>
  <c r="T1211" i="20"/>
  <c r="L1210" i="20"/>
  <c r="K1211" i="20"/>
  <c r="H1210" i="20"/>
  <c r="G1211" i="20"/>
  <c r="T1212" i="20"/>
  <c r="S1213" i="20"/>
  <c r="K1212" i="20"/>
  <c r="L1211" i="20"/>
  <c r="G1212" i="20"/>
  <c r="H1211" i="20"/>
  <c r="S1214" i="20"/>
  <c r="T1213" i="20"/>
  <c r="L1212" i="20"/>
  <c r="K1213" i="20"/>
  <c r="G1213" i="20"/>
  <c r="H1212" i="20"/>
  <c r="S1215" i="20"/>
  <c r="T1214" i="20"/>
  <c r="K1214" i="20"/>
  <c r="L1213" i="20"/>
  <c r="G1214" i="20"/>
  <c r="H1213" i="20"/>
  <c r="T1215" i="20"/>
  <c r="S1216" i="20"/>
  <c r="K1215" i="20"/>
  <c r="L1214" i="20"/>
  <c r="G1215" i="20"/>
  <c r="H1214" i="20"/>
  <c r="S1217" i="20"/>
  <c r="T1216" i="20"/>
  <c r="L1215" i="20"/>
  <c r="K1216" i="20"/>
  <c r="G1216" i="20"/>
  <c r="H1215" i="20"/>
  <c r="S1218" i="20"/>
  <c r="T1217" i="20"/>
  <c r="K1217" i="20"/>
  <c r="L1216" i="20"/>
  <c r="G1217" i="20"/>
  <c r="H1216" i="20"/>
  <c r="S1219" i="20"/>
  <c r="T1218" i="20"/>
  <c r="L1217" i="20"/>
  <c r="K1218" i="20"/>
  <c r="H1217" i="20"/>
  <c r="G1218" i="20"/>
  <c r="S1220" i="20"/>
  <c r="T1219" i="20"/>
  <c r="L1218" i="20"/>
  <c r="K1219" i="20"/>
  <c r="G1219" i="20"/>
  <c r="H1218" i="20"/>
  <c r="S1221" i="20"/>
  <c r="T1220" i="20"/>
  <c r="K1220" i="20"/>
  <c r="L1219" i="20"/>
  <c r="H1219" i="20"/>
  <c r="G1220" i="20"/>
  <c r="S1222" i="20"/>
  <c r="T1221" i="20"/>
  <c r="L1220" i="20"/>
  <c r="K1221" i="20"/>
  <c r="G1221" i="20"/>
  <c r="H1220" i="20"/>
  <c r="S1223" i="20"/>
  <c r="T1222" i="20"/>
  <c r="L1221" i="20"/>
  <c r="K1222" i="20"/>
  <c r="G1222" i="20"/>
  <c r="H1221" i="20"/>
  <c r="T1223" i="20"/>
  <c r="S1224" i="20"/>
  <c r="K1223" i="20"/>
  <c r="L1222" i="20"/>
  <c r="G1223" i="20"/>
  <c r="H1222" i="20"/>
  <c r="T1224" i="20"/>
  <c r="S1225" i="20"/>
  <c r="L1223" i="20"/>
  <c r="K1224" i="20"/>
  <c r="H1223" i="20"/>
  <c r="G1224" i="20"/>
  <c r="S1226" i="20"/>
  <c r="T1225" i="20"/>
  <c r="K1225" i="20"/>
  <c r="L1224" i="20"/>
  <c r="H1224" i="20"/>
  <c r="G1225" i="20"/>
  <c r="T1226" i="20"/>
  <c r="S1227" i="20"/>
  <c r="K1226" i="20"/>
  <c r="L1225" i="20"/>
  <c r="G1226" i="20"/>
  <c r="H1225" i="20"/>
  <c r="S1228" i="20"/>
  <c r="T1227" i="20"/>
  <c r="K1227" i="20"/>
  <c r="L1226" i="20"/>
  <c r="H1226" i="20"/>
  <c r="G1227" i="20"/>
  <c r="S1229" i="20"/>
  <c r="T1228" i="20"/>
  <c r="K1228" i="20"/>
  <c r="L1227" i="20"/>
  <c r="H1227" i="20"/>
  <c r="G1228" i="20"/>
  <c r="T1229" i="20"/>
  <c r="S1230" i="20"/>
  <c r="K1229" i="20"/>
  <c r="L1228" i="20"/>
  <c r="H1228" i="20"/>
  <c r="G1229" i="20"/>
  <c r="S1231" i="20"/>
  <c r="T1230" i="20"/>
  <c r="L1229" i="20"/>
  <c r="K1230" i="20"/>
  <c r="G1230" i="20"/>
  <c r="H1229" i="20"/>
  <c r="S1232" i="20"/>
  <c r="T1231" i="20"/>
  <c r="K1231" i="20"/>
  <c r="L1230" i="20"/>
  <c r="G1231" i="20"/>
  <c r="H1230" i="20"/>
  <c r="S1233" i="20"/>
  <c r="T1232" i="20"/>
  <c r="L1231" i="20"/>
  <c r="K1232" i="20"/>
  <c r="G1232" i="20"/>
  <c r="H1231" i="20"/>
  <c r="T1233" i="20"/>
  <c r="S1234" i="20"/>
  <c r="L1232" i="20"/>
  <c r="K1233" i="20"/>
  <c r="G1233" i="20"/>
  <c r="H1232" i="20"/>
  <c r="T1234" i="20"/>
  <c r="S1235" i="20"/>
  <c r="K1234" i="20"/>
  <c r="L1233" i="20"/>
  <c r="G1234" i="20"/>
  <c r="H1233" i="20"/>
  <c r="T1235" i="20"/>
  <c r="S1236" i="20"/>
  <c r="L1234" i="20"/>
  <c r="K1235" i="20"/>
  <c r="G1235" i="20"/>
  <c r="H1234" i="20"/>
  <c r="S1237" i="20"/>
  <c r="T1236" i="20"/>
  <c r="L1235" i="20"/>
  <c r="K1236" i="20"/>
  <c r="G1236" i="20"/>
  <c r="H1235" i="20"/>
  <c r="S1238" i="20"/>
  <c r="T1237" i="20"/>
  <c r="K1237" i="20"/>
  <c r="L1236" i="20"/>
  <c r="H1236" i="20"/>
  <c r="G1237" i="20"/>
  <c r="T1238" i="20"/>
  <c r="S1239" i="20"/>
  <c r="K1238" i="20"/>
  <c r="L1237" i="20"/>
  <c r="G1238" i="20"/>
  <c r="H1237" i="20"/>
  <c r="S1240" i="20"/>
  <c r="T1239" i="20"/>
  <c r="L1238" i="20"/>
  <c r="K1239" i="20"/>
  <c r="H1238" i="20"/>
  <c r="G1239" i="20"/>
  <c r="T1240" i="20"/>
  <c r="S1241" i="20"/>
  <c r="L1239" i="20"/>
  <c r="K1240" i="20"/>
  <c r="G1240" i="20"/>
  <c r="H1239" i="20"/>
  <c r="T1241" i="20"/>
  <c r="S1242" i="20"/>
  <c r="L1240" i="20"/>
  <c r="K1241" i="20"/>
  <c r="H1240" i="20"/>
  <c r="G1241" i="20"/>
  <c r="T1242" i="20"/>
  <c r="S1243" i="20"/>
  <c r="K1242" i="20"/>
  <c r="L1241" i="20"/>
  <c r="G1242" i="20"/>
  <c r="H1241" i="20"/>
  <c r="S1244" i="20"/>
  <c r="T1243" i="20"/>
  <c r="L1242" i="20"/>
  <c r="K1243" i="20"/>
  <c r="H1242" i="20"/>
  <c r="G1243" i="20"/>
  <c r="S1245" i="20"/>
  <c r="T1244" i="20"/>
  <c r="L1243" i="20"/>
  <c r="K1244" i="20"/>
  <c r="H1243" i="20"/>
  <c r="G1244" i="20"/>
  <c r="S1246" i="20"/>
  <c r="T1245" i="20"/>
  <c r="K1245" i="20"/>
  <c r="L1244" i="20"/>
  <c r="H1244" i="20"/>
  <c r="G1245" i="20"/>
  <c r="S1247" i="20"/>
  <c r="T1246" i="20"/>
  <c r="K1246" i="20"/>
  <c r="L1245" i="20"/>
  <c r="H1245" i="20"/>
  <c r="G1246" i="20"/>
  <c r="S1248" i="20"/>
  <c r="T1247" i="20"/>
  <c r="K1247" i="20"/>
  <c r="L1246" i="20"/>
  <c r="H1246" i="20"/>
  <c r="G1247" i="20"/>
  <c r="S1249" i="20"/>
  <c r="T1248" i="20"/>
  <c r="L1247" i="20"/>
  <c r="K1248" i="20"/>
  <c r="G1248" i="20"/>
  <c r="H1247" i="20"/>
  <c r="T1249" i="20"/>
  <c r="S1250" i="20"/>
  <c r="K1249" i="20"/>
  <c r="L1248" i="20"/>
  <c r="H1248" i="20"/>
  <c r="G1249" i="20"/>
  <c r="T1250" i="20"/>
  <c r="S1251" i="20"/>
  <c r="L1249" i="20"/>
  <c r="K1250" i="20"/>
  <c r="G1250" i="20"/>
  <c r="H1249" i="20"/>
  <c r="T1251" i="20"/>
  <c r="S1252" i="20"/>
  <c r="K1251" i="20"/>
  <c r="L1250" i="20"/>
  <c r="G1251" i="20"/>
  <c r="H1250" i="20"/>
  <c r="T1252" i="20"/>
  <c r="S1253" i="20"/>
  <c r="K1252" i="20"/>
  <c r="L1251" i="20"/>
  <c r="G1252" i="20"/>
  <c r="H1251" i="20"/>
  <c r="T1253" i="20"/>
  <c r="S1254" i="20"/>
  <c r="K1253" i="20"/>
  <c r="L1252" i="20"/>
  <c r="H1252" i="20"/>
  <c r="G1253" i="20"/>
  <c r="S1255" i="20"/>
  <c r="T1254" i="20"/>
  <c r="L1253" i="20"/>
  <c r="K1254" i="20"/>
  <c r="H1253" i="20"/>
  <c r="G1254" i="20"/>
  <c r="T1255" i="20"/>
  <c r="S1256" i="20"/>
  <c r="L1254" i="20"/>
  <c r="K1255" i="20"/>
  <c r="H1254" i="20"/>
  <c r="G1255" i="20"/>
  <c r="S1257" i="20"/>
  <c r="T1256" i="20"/>
  <c r="K1256" i="20"/>
  <c r="L1255" i="20"/>
  <c r="H1255" i="20"/>
  <c r="G1256" i="20"/>
  <c r="T1257" i="20"/>
  <c r="S1258" i="20"/>
  <c r="K1257" i="20"/>
  <c r="L1256" i="20"/>
  <c r="G1257" i="20"/>
  <c r="H1256" i="20"/>
  <c r="T1258" i="20"/>
  <c r="S1259" i="20"/>
  <c r="L1257" i="20"/>
  <c r="K1258" i="20"/>
  <c r="G1258" i="20"/>
  <c r="H1257" i="20"/>
  <c r="T1259" i="20"/>
  <c r="S1260" i="20"/>
  <c r="L1258" i="20"/>
  <c r="K1259" i="20"/>
  <c r="H1258" i="20"/>
  <c r="G1259" i="20"/>
  <c r="T1260" i="20"/>
  <c r="S1261" i="20"/>
  <c r="L1259" i="20"/>
  <c r="K1260" i="20"/>
  <c r="H1259" i="20"/>
  <c r="G1260" i="20"/>
  <c r="T1261" i="20"/>
  <c r="S1262" i="20"/>
  <c r="K1261" i="20"/>
  <c r="L1260" i="20"/>
  <c r="G1261" i="20"/>
  <c r="H1260" i="20"/>
  <c r="S1263" i="20"/>
  <c r="T1262" i="20"/>
  <c r="L1261" i="20"/>
  <c r="K1262" i="20"/>
  <c r="G1262" i="20"/>
  <c r="H1261" i="20"/>
  <c r="T1263" i="20"/>
  <c r="S1264" i="20"/>
  <c r="L1262" i="20"/>
  <c r="K1263" i="20"/>
  <c r="H1262" i="20"/>
  <c r="G1263" i="20"/>
  <c r="S1265" i="20"/>
  <c r="T1264" i="20"/>
  <c r="L1263" i="20"/>
  <c r="K1264" i="20"/>
  <c r="G1264" i="20"/>
  <c r="H1263" i="20"/>
  <c r="T1265" i="20"/>
  <c r="S1266" i="20"/>
  <c r="K1265" i="20"/>
  <c r="L1264" i="20"/>
  <c r="G1265" i="20"/>
  <c r="H1264" i="20"/>
  <c r="S1267" i="20"/>
  <c r="T1266" i="20"/>
  <c r="L1265" i="20"/>
  <c r="K1266" i="20"/>
  <c r="G1266" i="20"/>
  <c r="H1265" i="20"/>
  <c r="S1268" i="20"/>
  <c r="T1267" i="20"/>
  <c r="L1266" i="20"/>
  <c r="K1267" i="20"/>
  <c r="G1267" i="20"/>
  <c r="H1266" i="20"/>
  <c r="S1269" i="20"/>
  <c r="T1268" i="20"/>
  <c r="L1267" i="20"/>
  <c r="K1268" i="20"/>
  <c r="G1268" i="20"/>
  <c r="H1267" i="20"/>
  <c r="S1270" i="20"/>
  <c r="T1269" i="20"/>
  <c r="K1269" i="20"/>
  <c r="L1268" i="20"/>
  <c r="H1268" i="20"/>
  <c r="G1269" i="20"/>
  <c r="T1270" i="20"/>
  <c r="S1271" i="20"/>
  <c r="K1270" i="20"/>
  <c r="L1269" i="20"/>
  <c r="H1269" i="20"/>
  <c r="G1270" i="20"/>
  <c r="S1272" i="20"/>
  <c r="T1271" i="20"/>
  <c r="K1271" i="20"/>
  <c r="L1270" i="20"/>
  <c r="H1270" i="20"/>
  <c r="G1271" i="20"/>
  <c r="T1272" i="20"/>
  <c r="S1273" i="20"/>
  <c r="K1272" i="20"/>
  <c r="L1271" i="20"/>
  <c r="H1271" i="20"/>
  <c r="G1272" i="20"/>
  <c r="T1273" i="20"/>
  <c r="S1274" i="20"/>
  <c r="L1272" i="20"/>
  <c r="K1273" i="20"/>
  <c r="H1272" i="20"/>
  <c r="G1273" i="20"/>
  <c r="S1275" i="20"/>
  <c r="T1274" i="20"/>
  <c r="K1274" i="20"/>
  <c r="L1273" i="20"/>
  <c r="H1273" i="20"/>
  <c r="G1274" i="20"/>
  <c r="T1275" i="20"/>
  <c r="S1276" i="20"/>
  <c r="K1275" i="20"/>
  <c r="L1274" i="20"/>
  <c r="H1274" i="20"/>
  <c r="G1275" i="20"/>
  <c r="T1276" i="20"/>
  <c r="S1277" i="20"/>
  <c r="L1275" i="20"/>
  <c r="K1276" i="20"/>
  <c r="H1275" i="20"/>
  <c r="G1276" i="20"/>
  <c r="S1278" i="20"/>
  <c r="T1277" i="20"/>
  <c r="L1276" i="20"/>
  <c r="K1277" i="20"/>
  <c r="G1277" i="20"/>
  <c r="H1276" i="20"/>
  <c r="S1279" i="20"/>
  <c r="T1278" i="20"/>
  <c r="L1277" i="20"/>
  <c r="K1278" i="20"/>
  <c r="H1277" i="20"/>
  <c r="G1278" i="20"/>
  <c r="S1280" i="20"/>
  <c r="T1279" i="20"/>
  <c r="L1278" i="20"/>
  <c r="K1279" i="20"/>
  <c r="G1279" i="20"/>
  <c r="H1278" i="20"/>
  <c r="S1281" i="20"/>
  <c r="T1280" i="20"/>
  <c r="L1279" i="20"/>
  <c r="K1280" i="20"/>
  <c r="G1280" i="20"/>
  <c r="H1279" i="20"/>
  <c r="S1282" i="20"/>
  <c r="T1281" i="20"/>
  <c r="K1281" i="20"/>
  <c r="L1280" i="20"/>
  <c r="H1280" i="20"/>
  <c r="G1281" i="20"/>
  <c r="T1282" i="20"/>
  <c r="S1283" i="20"/>
  <c r="L1281" i="20"/>
  <c r="K1282" i="20"/>
  <c r="G1282" i="20"/>
  <c r="H1281" i="20"/>
  <c r="S1284" i="20"/>
  <c r="T1283" i="20"/>
  <c r="L1282" i="20"/>
  <c r="K1283" i="20"/>
  <c r="H1282" i="20"/>
  <c r="G1283" i="20"/>
  <c r="T1284" i="20"/>
  <c r="S1285" i="20"/>
  <c r="L1283" i="20"/>
  <c r="K1284" i="20"/>
  <c r="G1284" i="20"/>
  <c r="H1283" i="20"/>
  <c r="T1285" i="20"/>
  <c r="S1286" i="20"/>
  <c r="K1285" i="20"/>
  <c r="L1284" i="20"/>
  <c r="G1285" i="20"/>
  <c r="H1284" i="20"/>
  <c r="S1287" i="20"/>
  <c r="T1286" i="20"/>
  <c r="K1286" i="20"/>
  <c r="L1285" i="20"/>
  <c r="G1286" i="20"/>
  <c r="H1285" i="20"/>
  <c r="T1287" i="20"/>
  <c r="S1288" i="20"/>
  <c r="K1287" i="20"/>
  <c r="L1286" i="20"/>
  <c r="H1286" i="20"/>
  <c r="G1287" i="20"/>
  <c r="T1288" i="20"/>
  <c r="S1289" i="20"/>
  <c r="L1287" i="20"/>
  <c r="K1288" i="20"/>
  <c r="H1287" i="20"/>
  <c r="G1288" i="20"/>
  <c r="S1290" i="20"/>
  <c r="T1289" i="20"/>
  <c r="K1289" i="20"/>
  <c r="L1288" i="20"/>
  <c r="H1288" i="20"/>
  <c r="G1289" i="20"/>
  <c r="S1291" i="20"/>
  <c r="T1290" i="20"/>
  <c r="L1289" i="20"/>
  <c r="K1290" i="20"/>
  <c r="H1289" i="20"/>
  <c r="G1290" i="20"/>
  <c r="T1291" i="20"/>
  <c r="S1292" i="20"/>
  <c r="K1291" i="20"/>
  <c r="L1290" i="20"/>
  <c r="H1290" i="20"/>
  <c r="G1291" i="20"/>
  <c r="S1293" i="20"/>
  <c r="T1292" i="20"/>
  <c r="L1291" i="20"/>
  <c r="K1292" i="20"/>
  <c r="H1291" i="20"/>
  <c r="G1292" i="20"/>
  <c r="S1294" i="20"/>
  <c r="T1293" i="20"/>
  <c r="K1293" i="20"/>
  <c r="L1292" i="20"/>
  <c r="G1293" i="20"/>
  <c r="H1292" i="20"/>
  <c r="T1294" i="20"/>
  <c r="S1295" i="20"/>
  <c r="K1294" i="20"/>
  <c r="L1293" i="20"/>
  <c r="G1294" i="20"/>
  <c r="H1293" i="20"/>
  <c r="T1295" i="20"/>
  <c r="S1296" i="20"/>
  <c r="L1294" i="20"/>
  <c r="K1295" i="20"/>
  <c r="G1295" i="20"/>
  <c r="H1294" i="20"/>
  <c r="T1296" i="20"/>
  <c r="S1297" i="20"/>
  <c r="K1296" i="20"/>
  <c r="L1295" i="20"/>
  <c r="H1295" i="20"/>
  <c r="G1296" i="20"/>
  <c r="S1298" i="20"/>
  <c r="T1297" i="20"/>
  <c r="L1296" i="20"/>
  <c r="K1297" i="20"/>
  <c r="H1296" i="20"/>
  <c r="G1297" i="20"/>
  <c r="S1299" i="20"/>
  <c r="T1298" i="20"/>
  <c r="K1298" i="20"/>
  <c r="L1297" i="20"/>
  <c r="G1298" i="20"/>
  <c r="H1297" i="20"/>
  <c r="T1299" i="20"/>
  <c r="S1300" i="20"/>
  <c r="L1298" i="20"/>
  <c r="K1299" i="20"/>
  <c r="H1298" i="20"/>
  <c r="G1299" i="20"/>
  <c r="S1301" i="20"/>
  <c r="T1300" i="20"/>
  <c r="L1299" i="20"/>
  <c r="K1300" i="20"/>
  <c r="H1299" i="20"/>
  <c r="G1300" i="20"/>
  <c r="S1302" i="20"/>
  <c r="T1301" i="20"/>
  <c r="K1301" i="20"/>
  <c r="L1300" i="20"/>
  <c r="G1301" i="20"/>
  <c r="H1300" i="20"/>
  <c r="S1303" i="20"/>
  <c r="T1302" i="20"/>
  <c r="K1302" i="20"/>
  <c r="L1301" i="20"/>
  <c r="H1301" i="20"/>
  <c r="G1302" i="20"/>
  <c r="S1304" i="20"/>
  <c r="T1303" i="20"/>
  <c r="L1302" i="20"/>
  <c r="K1303" i="20"/>
  <c r="H1302" i="20"/>
  <c r="G1303" i="20"/>
  <c r="T1304" i="20"/>
  <c r="S1305" i="20"/>
  <c r="L1303" i="20"/>
  <c r="K1304" i="20"/>
  <c r="G1304" i="20"/>
  <c r="H1303" i="20"/>
  <c r="T1305" i="20"/>
  <c r="S1306" i="20"/>
  <c r="L1304" i="20"/>
  <c r="K1305" i="20"/>
  <c r="H1304" i="20"/>
  <c r="G1305" i="20"/>
  <c r="T1306" i="20"/>
  <c r="S1307" i="20"/>
  <c r="K1306" i="20"/>
  <c r="L1305" i="20"/>
  <c r="H1305" i="20"/>
  <c r="G1306" i="20"/>
  <c r="S1308" i="20"/>
  <c r="T1307" i="20"/>
  <c r="L1306" i="20"/>
  <c r="K1307" i="20"/>
  <c r="G1307" i="20"/>
  <c r="H1306" i="20"/>
  <c r="T1308" i="20"/>
  <c r="S1309" i="20"/>
  <c r="K1308" i="20"/>
  <c r="L1307" i="20"/>
  <c r="G1308" i="20"/>
  <c r="H1307" i="20"/>
  <c r="T1309" i="20"/>
  <c r="S1310" i="20"/>
  <c r="L1308" i="20"/>
  <c r="K1309" i="20"/>
  <c r="G1309" i="20"/>
  <c r="H1308" i="20"/>
  <c r="T1310" i="20"/>
  <c r="S1311" i="20"/>
  <c r="L1309" i="20"/>
  <c r="K1310" i="20"/>
  <c r="G1310" i="20"/>
  <c r="H1309" i="20"/>
  <c r="T1311" i="20"/>
  <c r="S1312" i="20"/>
  <c r="K1311" i="20"/>
  <c r="L1310" i="20"/>
  <c r="H1310" i="20"/>
  <c r="G1311" i="20"/>
  <c r="T1312" i="20"/>
  <c r="S1313" i="20"/>
  <c r="L1311" i="20"/>
  <c r="K1312" i="20"/>
  <c r="H1311" i="20"/>
  <c r="G1312" i="20"/>
  <c r="T1313" i="20"/>
  <c r="S1314" i="20"/>
  <c r="K1313" i="20"/>
  <c r="L1312" i="20"/>
  <c r="G1313" i="20"/>
  <c r="H1312" i="20"/>
  <c r="T1314" i="20"/>
  <c r="S1315" i="20"/>
  <c r="K1314" i="20"/>
  <c r="L1313" i="20"/>
  <c r="G1314" i="20"/>
  <c r="H1313" i="20"/>
  <c r="T1315" i="20"/>
  <c r="S1316" i="20"/>
  <c r="L1314" i="20"/>
  <c r="K1315" i="20"/>
  <c r="H1314" i="20"/>
  <c r="G1315" i="20"/>
  <c r="S1317" i="20"/>
  <c r="T1316" i="20"/>
  <c r="K1316" i="20"/>
  <c r="L1315" i="20"/>
  <c r="H1315" i="20"/>
  <c r="G1316" i="20"/>
  <c r="T1317" i="20"/>
  <c r="S1318" i="20"/>
  <c r="L1316" i="20"/>
  <c r="K1317" i="20"/>
  <c r="G1317" i="20"/>
  <c r="H1316" i="20"/>
  <c r="S1319" i="20"/>
  <c r="T1318" i="20"/>
  <c r="L1317" i="20"/>
  <c r="K1318" i="20"/>
  <c r="G1318" i="20"/>
  <c r="H1317" i="20"/>
  <c r="S1320" i="20"/>
  <c r="T1319" i="20"/>
  <c r="L1318" i="20"/>
  <c r="K1319" i="20"/>
  <c r="H1318" i="20"/>
  <c r="G1319" i="20"/>
  <c r="T1320" i="20"/>
  <c r="S1321" i="20"/>
  <c r="L1319" i="20"/>
  <c r="K1320" i="20"/>
  <c r="H1319" i="20"/>
  <c r="G1320" i="20"/>
  <c r="T1321" i="20"/>
  <c r="S1322" i="20"/>
  <c r="K1321" i="20"/>
  <c r="L1320" i="20"/>
  <c r="G1321" i="20"/>
  <c r="H1320" i="20"/>
  <c r="S1323" i="20"/>
  <c r="T1322" i="20"/>
  <c r="L1321" i="20"/>
  <c r="K1322" i="20"/>
  <c r="H1321" i="20"/>
  <c r="G1322" i="20"/>
  <c r="T1323" i="20"/>
  <c r="S1324" i="20"/>
  <c r="L1322" i="20"/>
  <c r="K1323" i="20"/>
  <c r="H1322" i="20"/>
  <c r="G1323" i="20"/>
  <c r="S1325" i="20"/>
  <c r="T1324" i="20"/>
  <c r="L1323" i="20"/>
  <c r="K1324" i="20"/>
  <c r="H1323" i="20"/>
  <c r="G1324" i="20"/>
  <c r="T1325" i="20"/>
  <c r="S1326" i="20"/>
  <c r="L1324" i="20"/>
  <c r="K1325" i="20"/>
  <c r="H1324" i="20"/>
  <c r="G1325" i="20"/>
  <c r="T1326" i="20"/>
  <c r="S1327" i="20"/>
  <c r="K1326" i="20"/>
  <c r="L1325" i="20"/>
  <c r="H1325" i="20"/>
  <c r="G1326" i="20"/>
  <c r="S1328" i="20"/>
  <c r="T1327" i="20"/>
  <c r="L1326" i="20"/>
  <c r="K1327" i="20"/>
  <c r="H1326" i="20"/>
  <c r="G1327" i="20"/>
  <c r="T1328" i="20"/>
  <c r="S1329" i="20"/>
  <c r="L1327" i="20"/>
  <c r="K1328" i="20"/>
  <c r="G1328" i="20"/>
  <c r="H1327" i="20"/>
  <c r="T1329" i="20"/>
  <c r="S1330" i="20"/>
  <c r="K1329" i="20"/>
  <c r="L1328" i="20"/>
  <c r="H1328" i="20"/>
  <c r="G1329" i="20"/>
  <c r="T1330" i="20"/>
  <c r="S1331" i="20"/>
  <c r="K1330" i="20"/>
  <c r="L1329" i="20"/>
  <c r="H1329" i="20"/>
  <c r="G1330" i="20"/>
  <c r="T1331" i="20"/>
  <c r="S1332" i="20"/>
  <c r="L1330" i="20"/>
  <c r="K1331" i="20"/>
  <c r="H1330" i="20"/>
  <c r="G1331" i="20"/>
  <c r="T1332" i="20"/>
  <c r="S1333" i="20"/>
  <c r="L1331" i="20"/>
  <c r="K1332" i="20"/>
  <c r="G1332" i="20"/>
  <c r="H1331" i="20"/>
  <c r="S1334" i="20"/>
  <c r="T1333" i="20"/>
  <c r="K1333" i="20"/>
  <c r="L1332" i="20"/>
  <c r="G1333" i="20"/>
  <c r="H1332" i="20"/>
  <c r="S1335" i="20"/>
  <c r="T1334" i="20"/>
  <c r="L1333" i="20"/>
  <c r="K1334" i="20"/>
  <c r="G1334" i="20"/>
  <c r="H1333" i="20"/>
  <c r="S1336" i="20"/>
  <c r="T1335" i="20"/>
  <c r="L1334" i="20"/>
  <c r="K1335" i="20"/>
  <c r="H1334" i="20"/>
  <c r="G1335" i="20"/>
  <c r="S1337" i="20"/>
  <c r="T1336" i="20"/>
  <c r="K1336" i="20"/>
  <c r="L1335" i="20"/>
  <c r="H1335" i="20"/>
  <c r="G1336" i="20"/>
  <c r="T1337" i="20"/>
  <c r="S1338" i="20"/>
  <c r="L1336" i="20"/>
  <c r="K1337" i="20"/>
  <c r="G1337" i="20"/>
  <c r="H1336" i="20"/>
  <c r="S1339" i="20"/>
  <c r="T1338" i="20"/>
  <c r="L1337" i="20"/>
  <c r="K1338" i="20"/>
  <c r="H1337" i="20"/>
  <c r="G1338" i="20"/>
  <c r="T1339" i="20"/>
  <c r="S1340" i="20"/>
  <c r="K1339" i="20"/>
  <c r="L1338" i="20"/>
  <c r="H1338" i="20"/>
  <c r="G1339" i="20"/>
  <c r="S1341" i="20"/>
  <c r="T1340" i="20"/>
  <c r="K1340" i="20"/>
  <c r="L1339" i="20"/>
  <c r="G1340" i="20"/>
  <c r="H1339" i="20"/>
  <c r="T1341" i="20"/>
  <c r="S1342" i="20"/>
  <c r="L1340" i="20"/>
  <c r="K1341" i="20"/>
  <c r="H1340" i="20"/>
  <c r="G1341" i="20"/>
  <c r="S1343" i="20"/>
  <c r="T1342" i="20"/>
  <c r="K1342" i="20"/>
  <c r="L1341" i="20"/>
  <c r="G1342" i="20"/>
  <c r="H1341" i="20"/>
  <c r="T1343" i="20"/>
  <c r="S1344" i="20"/>
  <c r="L1342" i="20"/>
  <c r="K1343" i="20"/>
  <c r="G1343" i="20"/>
  <c r="H1342" i="20"/>
  <c r="S1345" i="20"/>
  <c r="T1344" i="20"/>
  <c r="K1344" i="20"/>
  <c r="L1343" i="20"/>
  <c r="H1343" i="20"/>
  <c r="G1344" i="20"/>
  <c r="T1345" i="20"/>
  <c r="S1346" i="20"/>
  <c r="K1345" i="20"/>
  <c r="L1344" i="20"/>
  <c r="G1345" i="20"/>
  <c r="H1344" i="20"/>
  <c r="S1347" i="20"/>
  <c r="T1346" i="20"/>
  <c r="L1345" i="20"/>
  <c r="K1346" i="20"/>
  <c r="H1345" i="20"/>
  <c r="G1346" i="20"/>
  <c r="T1347" i="20"/>
  <c r="S1348" i="20"/>
  <c r="K1347" i="20"/>
  <c r="L1346" i="20"/>
  <c r="H1346" i="20"/>
  <c r="G1347" i="20"/>
  <c r="T1348" i="20"/>
  <c r="S1349" i="20"/>
  <c r="K1348" i="20"/>
  <c r="L1347" i="20"/>
  <c r="G1348" i="20"/>
  <c r="H1347" i="20"/>
  <c r="S1350" i="20"/>
  <c r="T1349" i="20"/>
  <c r="K1349" i="20"/>
  <c r="L1348" i="20"/>
  <c r="H1348" i="20"/>
  <c r="G1349" i="20"/>
  <c r="S1351" i="20"/>
  <c r="T1350" i="20"/>
  <c r="L1349" i="20"/>
  <c r="K1350" i="20"/>
  <c r="H1349" i="20"/>
  <c r="G1350" i="20"/>
  <c r="S1352" i="20"/>
  <c r="T1351" i="20"/>
  <c r="L1350" i="20"/>
  <c r="K1351" i="20"/>
  <c r="H1350" i="20"/>
  <c r="G1351" i="20"/>
  <c r="T1352" i="20"/>
  <c r="S1353" i="20"/>
  <c r="L1351" i="20"/>
  <c r="K1352" i="20"/>
  <c r="G1352" i="20"/>
  <c r="H1351" i="20"/>
  <c r="S1354" i="20"/>
  <c r="T1353" i="20"/>
  <c r="K1353" i="20"/>
  <c r="L1352" i="20"/>
  <c r="H1352" i="20"/>
  <c r="G1353" i="20"/>
  <c r="T1354" i="20"/>
  <c r="S1355" i="20"/>
  <c r="K1354" i="20"/>
  <c r="L1353" i="20"/>
  <c r="G1354" i="20"/>
  <c r="H1353" i="20"/>
  <c r="S1356" i="20"/>
  <c r="T1355" i="20"/>
  <c r="K1355" i="20"/>
  <c r="L1354" i="20"/>
  <c r="G1355" i="20"/>
  <c r="H1354" i="20"/>
  <c r="T1356" i="20"/>
  <c r="S1357" i="20"/>
  <c r="L1355" i="20"/>
  <c r="K1356" i="20"/>
  <c r="H1355" i="20"/>
  <c r="G1356" i="20"/>
  <c r="T1357" i="20"/>
  <c r="S1358" i="20"/>
  <c r="L1356" i="20"/>
  <c r="K1357" i="20"/>
  <c r="G1357" i="20"/>
  <c r="H1356" i="20"/>
  <c r="T1358" i="20"/>
  <c r="S1359" i="20"/>
  <c r="L1357" i="20"/>
  <c r="K1358" i="20"/>
  <c r="H1357" i="20"/>
  <c r="G1358" i="20"/>
  <c r="S1360" i="20"/>
  <c r="T1359" i="20"/>
  <c r="L1358" i="20"/>
  <c r="K1359" i="20"/>
  <c r="H1358" i="20"/>
  <c r="G1359" i="20"/>
  <c r="T1360" i="20"/>
  <c r="S1361" i="20"/>
  <c r="K1360" i="20"/>
  <c r="L1359" i="20"/>
  <c r="G1360" i="20"/>
  <c r="H1359" i="20"/>
  <c r="S1362" i="20"/>
  <c r="T1361" i="20"/>
  <c r="L1360" i="20"/>
  <c r="K1361" i="20"/>
  <c r="G1361" i="20"/>
  <c r="H1360" i="20"/>
  <c r="T1362" i="20"/>
  <c r="S1363" i="20"/>
  <c r="K1362" i="20"/>
  <c r="L1361" i="20"/>
  <c r="G1362" i="20"/>
  <c r="H1361" i="20"/>
  <c r="T1363" i="20"/>
  <c r="S1364" i="20"/>
  <c r="K1363" i="20"/>
  <c r="L1362" i="20"/>
  <c r="G1363" i="20"/>
  <c r="H1362" i="20"/>
  <c r="T1364" i="20"/>
  <c r="S1365" i="20"/>
  <c r="K1364" i="20"/>
  <c r="L1363" i="20"/>
  <c r="G1364" i="20"/>
  <c r="H1363" i="20"/>
  <c r="S1366" i="20"/>
  <c r="T1365" i="20"/>
  <c r="K1365" i="20"/>
  <c r="L1364" i="20"/>
  <c r="H1364" i="20"/>
  <c r="G1365" i="20"/>
  <c r="S1367" i="20"/>
  <c r="T1366" i="20"/>
  <c r="K1366" i="20"/>
  <c r="L1365" i="20"/>
  <c r="H1365" i="20"/>
  <c r="G1366" i="20"/>
  <c r="S1368" i="20"/>
  <c r="T1367" i="20"/>
  <c r="K1367" i="20"/>
  <c r="L1366" i="20"/>
  <c r="H1366" i="20"/>
  <c r="G1367" i="20"/>
  <c r="T1368" i="20"/>
  <c r="S1369" i="20"/>
  <c r="L1367" i="20"/>
  <c r="K1368" i="20"/>
  <c r="G1368" i="20"/>
  <c r="H1367" i="20"/>
  <c r="S1370" i="20"/>
  <c r="T1369" i="20"/>
  <c r="L1368" i="20"/>
  <c r="K1369" i="20"/>
  <c r="G1369" i="20"/>
  <c r="H1368" i="20"/>
  <c r="S1371" i="20"/>
  <c r="T1370" i="20"/>
  <c r="K1370" i="20"/>
  <c r="L1369" i="20"/>
  <c r="G1370" i="20"/>
  <c r="H1369" i="20"/>
  <c r="S1372" i="20"/>
  <c r="T1371" i="20"/>
  <c r="L1370" i="20"/>
  <c r="K1371" i="20"/>
  <c r="G1371" i="20"/>
  <c r="H1370" i="20"/>
  <c r="T1372" i="20"/>
  <c r="S1373" i="20"/>
  <c r="L1371" i="20"/>
  <c r="K1372" i="20"/>
  <c r="H1371" i="20"/>
  <c r="G1372" i="20"/>
  <c r="S1374" i="20"/>
  <c r="T1373" i="20"/>
  <c r="L1372" i="20"/>
  <c r="K1373" i="20"/>
  <c r="G1373" i="20"/>
  <c r="H1372" i="20"/>
  <c r="T1374" i="20"/>
  <c r="S1375" i="20"/>
  <c r="K1374" i="20"/>
  <c r="L1373" i="20"/>
  <c r="G1374" i="20"/>
  <c r="H1373" i="20"/>
  <c r="S1376" i="20"/>
  <c r="T1375" i="20"/>
  <c r="K1375" i="20"/>
  <c r="L1374" i="20"/>
  <c r="G1375" i="20"/>
  <c r="H1374" i="20"/>
  <c r="S1377" i="20"/>
  <c r="T1376" i="20"/>
  <c r="K1376" i="20"/>
  <c r="L1375" i="20"/>
  <c r="G1376" i="20"/>
  <c r="H1375" i="20"/>
  <c r="S1378" i="20"/>
  <c r="T1377" i="20"/>
  <c r="K1377" i="20"/>
  <c r="L1376" i="20"/>
  <c r="G1377" i="20"/>
  <c r="H1376" i="20"/>
  <c r="S1379" i="20"/>
  <c r="T1378" i="20"/>
  <c r="L1377" i="20"/>
  <c r="K1378" i="20"/>
  <c r="H1377" i="20"/>
  <c r="G1378" i="20"/>
  <c r="T1379" i="20"/>
  <c r="S1380" i="20"/>
  <c r="L1378" i="20"/>
  <c r="K1379" i="20"/>
  <c r="G1379" i="20"/>
  <c r="H1378" i="20"/>
  <c r="T1380" i="20"/>
  <c r="S1381" i="20"/>
  <c r="K1380" i="20"/>
  <c r="L1379" i="20"/>
  <c r="G1380" i="20"/>
  <c r="H1379" i="20"/>
  <c r="S1382" i="20"/>
  <c r="T1381" i="20"/>
  <c r="L1380" i="20"/>
  <c r="K1381" i="20"/>
  <c r="H1380" i="20"/>
  <c r="G1381" i="20"/>
  <c r="T1382" i="20"/>
  <c r="S1383" i="20"/>
  <c r="K1382" i="20"/>
  <c r="L1381" i="20"/>
  <c r="G1382" i="20"/>
  <c r="H1381" i="20"/>
  <c r="T1383" i="20"/>
  <c r="S1384" i="20"/>
  <c r="K1383" i="20"/>
  <c r="L1382" i="20"/>
  <c r="G1383" i="20"/>
  <c r="H1382" i="20"/>
  <c r="T1384" i="20"/>
  <c r="S1385" i="20"/>
  <c r="L1383" i="20"/>
  <c r="K1384" i="20"/>
  <c r="H1383" i="20"/>
  <c r="G1384" i="20"/>
  <c r="T1385" i="20"/>
  <c r="S1386" i="20"/>
  <c r="L1384" i="20"/>
  <c r="K1385" i="20"/>
  <c r="H1384" i="20"/>
  <c r="G1385" i="20"/>
  <c r="T1386" i="20"/>
  <c r="S1387" i="20"/>
  <c r="L1385" i="20"/>
  <c r="K1386" i="20"/>
  <c r="H1385" i="20"/>
  <c r="G1386" i="20"/>
  <c r="S1388" i="20"/>
  <c r="T1387" i="20"/>
  <c r="L1386" i="20"/>
  <c r="K1387" i="20"/>
  <c r="H1386" i="20"/>
  <c r="G1387" i="20"/>
  <c r="T1388" i="20"/>
  <c r="S1389" i="20"/>
  <c r="K1388" i="20"/>
  <c r="L1387" i="20"/>
  <c r="G1388" i="20"/>
  <c r="H1387" i="20"/>
  <c r="S1390" i="20"/>
  <c r="T1389" i="20"/>
  <c r="K1389" i="20"/>
  <c r="L1388" i="20"/>
  <c r="H1388" i="20"/>
  <c r="G1389" i="20"/>
  <c r="S1391" i="20"/>
  <c r="T1390" i="20"/>
  <c r="L1389" i="20"/>
  <c r="K1390" i="20"/>
  <c r="H1389" i="20"/>
  <c r="G1390" i="20"/>
  <c r="S1392" i="20"/>
  <c r="T1391" i="20"/>
  <c r="K1391" i="20"/>
  <c r="L1390" i="20"/>
  <c r="H1390" i="20"/>
  <c r="G1391" i="20"/>
  <c r="S1393" i="20"/>
  <c r="T1392" i="20"/>
  <c r="K1392" i="20"/>
  <c r="L1391" i="20"/>
  <c r="H1391" i="20"/>
  <c r="G1392" i="20"/>
  <c r="T1393" i="20"/>
  <c r="S1394" i="20"/>
  <c r="L1392" i="20"/>
  <c r="K1393" i="20"/>
  <c r="G1393" i="20"/>
  <c r="H1392" i="20"/>
  <c r="T1394" i="20"/>
  <c r="S1395" i="20"/>
  <c r="K1394" i="20"/>
  <c r="L1393" i="20"/>
  <c r="G1394" i="20"/>
  <c r="H1393" i="20"/>
  <c r="S1396" i="20"/>
  <c r="T1395" i="20"/>
  <c r="K1395" i="20"/>
  <c r="L1394" i="20"/>
  <c r="G1395" i="20"/>
  <c r="H1394" i="20"/>
  <c r="T1396" i="20"/>
  <c r="S1397" i="20"/>
  <c r="K1396" i="20"/>
  <c r="L1395" i="20"/>
  <c r="G1396" i="20"/>
  <c r="H1395" i="20"/>
  <c r="T1397" i="20"/>
  <c r="S1398" i="20"/>
  <c r="L1396" i="20"/>
  <c r="K1397" i="20"/>
  <c r="H1396" i="20"/>
  <c r="G1397" i="20"/>
  <c r="T1398" i="20"/>
  <c r="S1399" i="20"/>
  <c r="K1398" i="20"/>
  <c r="L1397" i="20"/>
  <c r="G1398" i="20"/>
  <c r="H1397" i="20"/>
  <c r="T1399" i="20"/>
  <c r="S1400" i="20"/>
  <c r="K1399" i="20"/>
  <c r="L1398" i="20"/>
  <c r="H1398" i="20"/>
  <c r="G1399" i="20"/>
  <c r="T1400" i="20"/>
  <c r="S1401" i="20"/>
  <c r="K1400" i="20"/>
  <c r="L1399" i="20"/>
  <c r="H1399" i="20"/>
  <c r="G1400" i="20"/>
  <c r="T1401" i="20"/>
  <c r="S1402" i="20"/>
  <c r="K1401" i="20"/>
  <c r="L1400" i="20"/>
  <c r="H1400" i="20"/>
  <c r="G1401" i="20"/>
  <c r="T1402" i="20"/>
  <c r="S1403" i="20"/>
  <c r="L1401" i="20"/>
  <c r="K1402" i="20"/>
  <c r="G1402" i="20"/>
  <c r="H1401" i="20"/>
  <c r="T1403" i="20"/>
  <c r="S1404" i="20"/>
  <c r="K1403" i="20"/>
  <c r="L1402" i="20"/>
  <c r="H1402" i="20"/>
  <c r="G1403" i="20"/>
  <c r="T1404" i="20"/>
  <c r="S1405" i="20"/>
  <c r="L1403" i="20"/>
  <c r="K1404" i="20"/>
  <c r="H1403" i="20"/>
  <c r="G1404" i="20"/>
  <c r="T1405" i="20"/>
  <c r="S1406" i="20"/>
  <c r="L1404" i="20"/>
  <c r="K1405" i="20"/>
  <c r="G1405" i="20"/>
  <c r="H1404" i="20"/>
  <c r="T1406" i="20"/>
  <c r="S1407" i="20"/>
  <c r="K1406" i="20"/>
  <c r="L1405" i="20"/>
  <c r="G1406" i="20"/>
  <c r="H1405" i="20"/>
  <c r="T1407" i="20"/>
  <c r="S1408" i="20"/>
  <c r="K1407" i="20"/>
  <c r="L1406" i="20"/>
  <c r="H1406" i="20"/>
  <c r="G1407" i="20"/>
  <c r="T1408" i="20"/>
  <c r="S1409" i="20"/>
  <c r="K1408" i="20"/>
  <c r="L1407" i="20"/>
  <c r="H1407" i="20"/>
  <c r="G1408" i="20"/>
  <c r="T1409" i="20"/>
  <c r="S1410" i="20"/>
  <c r="L1408" i="20"/>
  <c r="K1409" i="20"/>
  <c r="G1409" i="20"/>
  <c r="H1408" i="20"/>
  <c r="T1410" i="20"/>
  <c r="S1411" i="20"/>
  <c r="L1409" i="20"/>
  <c r="K1410" i="20"/>
  <c r="H1409" i="20"/>
  <c r="G1410" i="20"/>
  <c r="S1412" i="20"/>
  <c r="T1411" i="20"/>
  <c r="K1411" i="20"/>
  <c r="L1410" i="20"/>
  <c r="H1410" i="20"/>
  <c r="G1411" i="20"/>
  <c r="T1412" i="20"/>
  <c r="S1413" i="20"/>
  <c r="L1411" i="20"/>
  <c r="K1412" i="20"/>
  <c r="H1411" i="20"/>
  <c r="G1412" i="20"/>
  <c r="S1414" i="20"/>
  <c r="T1413" i="20"/>
  <c r="L1412" i="20"/>
  <c r="K1413" i="20"/>
  <c r="H1412" i="20"/>
  <c r="G1413" i="20"/>
  <c r="S1415" i="20"/>
  <c r="T1414" i="20"/>
  <c r="K1414" i="20"/>
  <c r="L1413" i="20"/>
  <c r="H1413" i="20"/>
  <c r="G1414" i="20"/>
  <c r="T1415" i="20"/>
  <c r="S1416" i="20"/>
  <c r="L1414" i="20"/>
  <c r="K1415" i="20"/>
  <c r="G1415" i="20"/>
  <c r="H1414" i="20"/>
  <c r="T1416" i="20"/>
  <c r="S1417" i="20"/>
  <c r="L1415" i="20"/>
  <c r="K1416" i="20"/>
  <c r="H1415" i="20"/>
  <c r="G1416" i="20"/>
  <c r="S1418" i="20"/>
  <c r="T1417" i="20"/>
  <c r="L1416" i="20"/>
  <c r="K1417" i="20"/>
  <c r="G1417" i="20"/>
  <c r="H1416" i="20"/>
  <c r="S1419" i="20"/>
  <c r="T1418" i="20"/>
  <c r="K1418" i="20"/>
  <c r="L1417" i="20"/>
  <c r="G1418" i="20"/>
  <c r="H1417" i="20"/>
  <c r="S1420" i="20"/>
  <c r="T1419" i="20"/>
  <c r="L1418" i="20"/>
  <c r="K1419" i="20"/>
  <c r="G1419" i="20"/>
  <c r="H1418" i="20"/>
  <c r="T1420" i="20"/>
  <c r="S1421" i="20"/>
  <c r="L1419" i="20"/>
  <c r="K1420" i="20"/>
  <c r="G1420" i="20"/>
  <c r="H1419" i="20"/>
  <c r="T1421" i="20"/>
  <c r="S1422" i="20"/>
  <c r="K1421" i="20"/>
  <c r="L1420" i="20"/>
  <c r="H1420" i="20"/>
  <c r="G1421" i="20"/>
  <c r="T1422" i="20"/>
  <c r="S1423" i="20"/>
  <c r="K1422" i="20"/>
  <c r="L1421" i="20"/>
  <c r="H1421" i="20"/>
  <c r="G1422" i="20"/>
  <c r="T1423" i="20"/>
  <c r="S1424" i="20"/>
  <c r="K1423" i="20"/>
  <c r="L1422" i="20"/>
  <c r="H1422" i="20"/>
  <c r="G1423" i="20"/>
  <c r="T1424" i="20"/>
  <c r="S1425" i="20"/>
  <c r="K1424" i="20"/>
  <c r="L1423" i="20"/>
  <c r="H1423" i="20"/>
  <c r="G1424" i="20"/>
  <c r="T1425" i="20"/>
  <c r="S1426" i="20"/>
  <c r="K1425" i="20"/>
  <c r="L1424" i="20"/>
  <c r="H1424" i="20"/>
  <c r="G1425" i="20"/>
  <c r="S1427" i="20"/>
  <c r="T1426" i="20"/>
  <c r="K1426" i="20"/>
  <c r="L1425" i="20"/>
  <c r="H1425" i="20"/>
  <c r="G1426" i="20"/>
  <c r="S1428" i="20"/>
  <c r="T1427" i="20"/>
  <c r="K1427" i="20"/>
  <c r="L1426" i="20"/>
  <c r="H1426" i="20"/>
  <c r="G1427" i="20"/>
  <c r="S1429" i="20"/>
  <c r="T1428" i="20"/>
  <c r="K1428" i="20"/>
  <c r="L1427" i="20"/>
  <c r="H1427" i="20"/>
  <c r="G1428" i="20"/>
  <c r="S1430" i="20"/>
  <c r="T1429" i="20"/>
  <c r="L1428" i="20"/>
  <c r="K1429" i="20"/>
  <c r="G1429" i="20"/>
  <c r="H1428" i="20"/>
  <c r="S1431" i="20"/>
  <c r="T1430" i="20"/>
  <c r="K1430" i="20"/>
  <c r="L1429" i="20"/>
  <c r="H1429" i="20"/>
  <c r="G1430" i="20"/>
  <c r="S1432" i="20"/>
  <c r="T1431" i="20"/>
  <c r="L1430" i="20"/>
  <c r="K1431" i="20"/>
  <c r="G1431" i="20"/>
  <c r="H1430" i="20"/>
  <c r="T1432" i="20"/>
  <c r="S1433" i="20"/>
  <c r="K1432" i="20"/>
  <c r="L1431" i="20"/>
  <c r="G1432" i="20"/>
  <c r="H1431" i="20"/>
  <c r="T1433" i="20"/>
  <c r="S1434" i="20"/>
  <c r="K1433" i="20"/>
  <c r="L1432" i="20"/>
  <c r="H1432" i="20"/>
  <c r="G1433" i="20"/>
  <c r="S1435" i="20"/>
  <c r="T1434" i="20"/>
  <c r="K1434" i="20"/>
  <c r="L1433" i="20"/>
  <c r="H1433" i="20"/>
  <c r="G1434" i="20"/>
  <c r="S1436" i="20"/>
  <c r="T1435" i="20"/>
  <c r="L1434" i="20"/>
  <c r="K1435" i="20"/>
  <c r="H1434" i="20"/>
  <c r="G1435" i="20"/>
  <c r="T1436" i="20"/>
  <c r="S1437" i="20"/>
  <c r="K1436" i="20"/>
  <c r="L1435" i="20"/>
  <c r="H1435" i="20"/>
  <c r="G1436" i="20"/>
  <c r="S1438" i="20"/>
  <c r="T1437" i="20"/>
  <c r="K1437" i="20"/>
  <c r="L1436" i="20"/>
  <c r="H1436" i="20"/>
  <c r="G1437" i="20"/>
  <c r="T1438" i="20"/>
  <c r="S1439" i="20"/>
  <c r="K1438" i="20"/>
  <c r="L1437" i="20"/>
  <c r="G1438" i="20"/>
  <c r="H1437" i="20"/>
  <c r="S1440" i="20"/>
  <c r="T1439" i="20"/>
  <c r="K1439" i="20"/>
  <c r="L1438" i="20"/>
  <c r="H1438" i="20"/>
  <c r="G1439" i="20"/>
  <c r="S1441" i="20"/>
  <c r="T1440" i="20"/>
  <c r="K1440" i="20"/>
  <c r="L1439" i="20"/>
  <c r="H1439" i="20"/>
  <c r="G1440" i="20"/>
  <c r="T1441" i="20"/>
  <c r="S1442" i="20"/>
  <c r="L1440" i="20"/>
  <c r="K1441" i="20"/>
  <c r="H1440" i="20"/>
  <c r="G1441" i="20"/>
  <c r="S1443" i="20"/>
  <c r="T1442" i="20"/>
  <c r="K1442" i="20"/>
  <c r="L1441" i="20"/>
  <c r="G1442" i="20"/>
  <c r="H1441" i="20"/>
  <c r="T1443" i="20"/>
  <c r="S1444" i="20"/>
  <c r="L1442" i="20"/>
  <c r="K1443" i="20"/>
  <c r="G1443" i="20"/>
  <c r="H1442" i="20"/>
  <c r="S1445" i="20"/>
  <c r="T1444" i="20"/>
  <c r="L1443" i="20"/>
  <c r="K1444" i="20"/>
  <c r="G1444" i="20"/>
  <c r="H1443" i="20"/>
  <c r="S1446" i="20"/>
  <c r="T1445" i="20"/>
  <c r="K1445" i="20"/>
  <c r="L1444" i="20"/>
  <c r="H1444" i="20"/>
  <c r="G1445" i="20"/>
  <c r="S1447" i="20"/>
  <c r="T1446" i="20"/>
  <c r="L1445" i="20"/>
  <c r="K1446" i="20"/>
  <c r="G1446" i="20"/>
  <c r="H1445" i="20"/>
  <c r="T1447" i="20"/>
  <c r="S1448" i="20"/>
  <c r="L1446" i="20"/>
  <c r="K1447" i="20"/>
  <c r="H1446" i="20"/>
  <c r="G1447" i="20"/>
  <c r="S1449" i="20"/>
  <c r="T1448" i="20"/>
  <c r="K1448" i="20"/>
  <c r="L1447" i="20"/>
  <c r="G1448" i="20"/>
  <c r="H1447" i="20"/>
  <c r="T1449" i="20"/>
  <c r="S1450" i="20"/>
  <c r="L1448" i="20"/>
  <c r="K1449" i="20"/>
  <c r="G1449" i="20"/>
  <c r="H1448" i="20"/>
  <c r="S1451" i="20"/>
  <c r="T1450" i="20"/>
  <c r="K1450" i="20"/>
  <c r="L1449" i="20"/>
  <c r="H1449" i="20"/>
  <c r="G1450" i="20"/>
  <c r="T1451" i="20"/>
  <c r="S1452" i="20"/>
  <c r="L1450" i="20"/>
  <c r="K1451" i="20"/>
  <c r="G1451" i="20"/>
  <c r="H1450" i="20"/>
  <c r="T1452" i="20"/>
  <c r="S1453" i="20"/>
  <c r="L1451" i="20"/>
  <c r="K1452" i="20"/>
  <c r="H1451" i="20"/>
  <c r="G1452" i="20"/>
  <c r="S1454" i="20"/>
  <c r="T1453" i="20"/>
  <c r="K1453" i="20"/>
  <c r="L1452" i="20"/>
  <c r="H1452" i="20"/>
  <c r="G1453" i="20"/>
  <c r="S1455" i="20"/>
  <c r="T1454" i="20"/>
  <c r="L1453" i="20"/>
  <c r="K1454" i="20"/>
  <c r="H1453" i="20"/>
  <c r="G1454" i="20"/>
  <c r="T1455" i="20"/>
  <c r="S1456" i="20"/>
  <c r="K1455" i="20"/>
  <c r="L1454" i="20"/>
  <c r="H1454" i="20"/>
  <c r="G1455" i="20"/>
  <c r="T1456" i="20"/>
  <c r="S1457" i="20"/>
  <c r="K1456" i="20"/>
  <c r="L1455" i="20"/>
  <c r="G1456" i="20"/>
  <c r="H1455" i="20"/>
  <c r="S1458" i="20"/>
  <c r="T1457" i="20"/>
  <c r="K1457" i="20"/>
  <c r="L1456" i="20"/>
  <c r="H1456" i="20"/>
  <c r="G1457" i="20"/>
  <c r="T1458" i="20"/>
  <c r="S1459" i="20"/>
  <c r="K1458" i="20"/>
  <c r="L1457" i="20"/>
  <c r="H1457" i="20"/>
  <c r="G1458" i="20"/>
  <c r="S1460" i="20"/>
  <c r="T1459" i="20"/>
  <c r="L1458" i="20"/>
  <c r="K1459" i="20"/>
  <c r="H1458" i="20"/>
  <c r="G1459" i="20"/>
  <c r="S1461" i="20"/>
  <c r="T1460" i="20"/>
  <c r="L1459" i="20"/>
  <c r="K1460" i="20"/>
  <c r="G1460" i="20"/>
  <c r="H1459" i="20"/>
  <c r="S1462" i="20"/>
  <c r="T1461" i="20"/>
  <c r="L1460" i="20"/>
  <c r="K1461" i="20"/>
  <c r="H1460" i="20"/>
  <c r="G1461" i="20"/>
  <c r="T1462" i="20"/>
  <c r="S1463" i="20"/>
  <c r="K1462" i="20"/>
  <c r="L1461" i="20"/>
  <c r="H1461" i="20"/>
  <c r="G1462" i="20"/>
  <c r="T1463" i="20"/>
  <c r="S1464" i="20"/>
  <c r="K1463" i="20"/>
  <c r="L1462" i="20"/>
  <c r="G1463" i="20"/>
  <c r="H1462" i="20"/>
  <c r="T1464" i="20"/>
  <c r="S1465" i="20"/>
  <c r="K1464" i="20"/>
  <c r="L1463" i="20"/>
  <c r="G1464" i="20"/>
  <c r="H1463" i="20"/>
  <c r="S1466" i="20"/>
  <c r="T1465" i="20"/>
  <c r="K1465" i="20"/>
  <c r="L1464" i="20"/>
  <c r="G1465" i="20"/>
  <c r="H1464" i="20"/>
  <c r="T1466" i="20"/>
  <c r="S1467" i="20"/>
  <c r="L1465" i="20"/>
  <c r="K1466" i="20"/>
  <c r="H1465" i="20"/>
  <c r="G1466" i="20"/>
  <c r="S1468" i="20"/>
  <c r="T1467" i="20"/>
  <c r="L1466" i="20"/>
  <c r="K1467" i="20"/>
  <c r="G1467" i="20"/>
  <c r="H1466" i="20"/>
  <c r="S1469" i="20"/>
  <c r="T1468" i="20"/>
  <c r="K1468" i="20"/>
  <c r="L1467" i="20"/>
  <c r="H1467" i="20"/>
  <c r="G1468" i="20"/>
  <c r="S1470" i="20"/>
  <c r="T1469" i="20"/>
  <c r="L1468" i="20"/>
  <c r="K1469" i="20"/>
  <c r="G1469" i="20"/>
  <c r="H1468" i="20"/>
  <c r="T1470" i="20"/>
  <c r="S1471" i="20"/>
  <c r="L1469" i="20"/>
  <c r="K1470" i="20"/>
  <c r="H1469" i="20"/>
  <c r="G1470" i="20"/>
  <c r="T1471" i="20"/>
  <c r="S1472" i="20"/>
  <c r="K1471" i="20"/>
  <c r="L1470" i="20"/>
  <c r="H1470" i="20"/>
  <c r="G1471" i="20"/>
  <c r="T1472" i="20"/>
  <c r="S1473" i="20"/>
  <c r="L1471" i="20"/>
  <c r="K1472" i="20"/>
  <c r="H1471" i="20"/>
  <c r="G1472" i="20"/>
  <c r="S1474" i="20"/>
  <c r="T1473" i="20"/>
  <c r="K1473" i="20"/>
  <c r="L1472" i="20"/>
  <c r="G1473" i="20"/>
  <c r="H1472" i="20"/>
  <c r="S1475" i="20"/>
  <c r="T1474" i="20"/>
  <c r="L1473" i="20"/>
  <c r="K1474" i="20"/>
  <c r="G1474" i="20"/>
  <c r="H1473" i="20"/>
  <c r="S1476" i="20"/>
  <c r="T1475" i="20"/>
  <c r="L1474" i="20"/>
  <c r="K1475" i="20"/>
  <c r="H1474" i="20"/>
  <c r="G1475" i="20"/>
  <c r="S1477" i="20"/>
  <c r="T1476" i="20"/>
  <c r="K1476" i="20"/>
  <c r="L1475" i="20"/>
  <c r="G1476" i="20"/>
  <c r="H1475" i="20"/>
  <c r="T1477" i="20"/>
  <c r="S1478" i="20"/>
  <c r="L1476" i="20"/>
  <c r="K1477" i="20"/>
  <c r="H1476" i="20"/>
  <c r="G1477" i="20"/>
  <c r="T1478" i="20"/>
  <c r="S1479" i="20"/>
  <c r="K1478" i="20"/>
  <c r="L1477" i="20"/>
  <c r="H1477" i="20"/>
  <c r="G1478" i="20"/>
  <c r="T1479" i="20"/>
  <c r="S1480" i="20"/>
  <c r="L1478" i="20"/>
  <c r="K1479" i="20"/>
  <c r="H1478" i="20"/>
  <c r="G1479" i="20"/>
  <c r="T1480" i="20"/>
  <c r="S1481" i="20"/>
  <c r="K1480" i="20"/>
  <c r="L1479" i="20"/>
  <c r="H1479" i="20"/>
  <c r="G1480" i="20"/>
  <c r="T1481" i="20"/>
  <c r="S1482" i="20"/>
  <c r="K1481" i="20"/>
  <c r="L1480" i="20"/>
  <c r="H1480" i="20"/>
  <c r="G1481" i="20"/>
  <c r="T1482" i="20"/>
  <c r="S1483" i="20"/>
  <c r="L1481" i="20"/>
  <c r="K1482" i="20"/>
  <c r="G1482" i="20"/>
  <c r="H1481" i="20"/>
  <c r="T1483" i="20"/>
  <c r="S1484" i="20"/>
  <c r="L1482" i="20"/>
  <c r="K1483" i="20"/>
  <c r="H1482" i="20"/>
  <c r="G1483" i="20"/>
  <c r="S1485" i="20"/>
  <c r="T1484" i="20"/>
  <c r="K1484" i="20"/>
  <c r="L1483" i="20"/>
  <c r="H1483" i="20"/>
  <c r="G1484" i="20"/>
  <c r="T1485" i="20"/>
  <c r="S1486" i="20"/>
  <c r="K1485" i="20"/>
  <c r="L1484" i="20"/>
  <c r="G1485" i="20"/>
  <c r="H1484" i="20"/>
  <c r="T1486" i="20"/>
  <c r="S1487" i="20"/>
  <c r="K1486" i="20"/>
  <c r="L1485" i="20"/>
  <c r="H1485" i="20"/>
  <c r="G1486" i="20"/>
  <c r="T1487" i="20"/>
  <c r="S1488" i="20"/>
  <c r="K1487" i="20"/>
  <c r="L1486" i="20"/>
  <c r="H1486" i="20"/>
  <c r="G1487" i="20"/>
  <c r="T1488" i="20"/>
  <c r="S1489" i="20"/>
  <c r="L1487" i="20"/>
  <c r="K1488" i="20"/>
  <c r="G1488" i="20"/>
  <c r="H1487" i="20"/>
  <c r="T1489" i="20"/>
  <c r="S1490" i="20"/>
  <c r="K1489" i="20"/>
  <c r="L1488" i="20"/>
  <c r="H1488" i="20"/>
  <c r="G1489" i="20"/>
  <c r="T1490" i="20"/>
  <c r="S1491" i="20"/>
  <c r="L1489" i="20"/>
  <c r="K1490" i="20"/>
  <c r="H1489" i="20"/>
  <c r="G1490" i="20"/>
  <c r="S1492" i="20"/>
  <c r="T1491" i="20"/>
  <c r="K1491" i="20"/>
  <c r="L1490" i="20"/>
  <c r="G1491" i="20"/>
  <c r="H1490" i="20"/>
  <c r="S1493" i="20"/>
  <c r="T1492" i="20"/>
  <c r="L1491" i="20"/>
  <c r="K1492" i="20"/>
  <c r="G1492" i="20"/>
  <c r="H1491" i="20"/>
  <c r="T1493" i="20"/>
  <c r="S1494" i="20"/>
  <c r="K1493" i="20"/>
  <c r="L1492" i="20"/>
  <c r="G1493" i="20"/>
  <c r="H1492" i="20"/>
  <c r="S1495" i="20"/>
  <c r="T1494" i="20"/>
  <c r="K1494" i="20"/>
  <c r="L1493" i="20"/>
  <c r="G1494" i="20"/>
  <c r="H1493" i="20"/>
  <c r="S1496" i="20"/>
  <c r="T1495" i="20"/>
  <c r="L1494" i="20"/>
  <c r="K1495" i="20"/>
  <c r="H1494" i="20"/>
  <c r="G1495" i="20"/>
  <c r="T1496" i="20"/>
  <c r="S1497" i="20"/>
  <c r="K1496" i="20"/>
  <c r="L1495" i="20"/>
  <c r="G1496" i="20"/>
  <c r="H1495" i="20"/>
  <c r="S1498" i="20"/>
  <c r="T1497" i="20"/>
  <c r="L1496" i="20"/>
  <c r="K1497" i="20"/>
  <c r="H1496" i="20"/>
  <c r="G1497" i="20"/>
  <c r="S1499" i="20"/>
  <c r="T1498" i="20"/>
  <c r="L1497" i="20"/>
  <c r="K1498" i="20"/>
  <c r="G1498" i="20"/>
  <c r="H1497" i="20"/>
  <c r="T1499" i="20"/>
  <c r="S1500" i="20"/>
  <c r="L1498" i="20"/>
  <c r="K1499" i="20"/>
  <c r="H1498" i="20"/>
  <c r="G1499" i="20"/>
  <c r="S1501" i="20"/>
  <c r="T1500" i="20"/>
  <c r="K1500" i="20"/>
  <c r="L1499" i="20"/>
  <c r="H1499" i="20"/>
  <c r="G1500" i="20"/>
  <c r="S1502" i="20"/>
  <c r="T1501" i="20"/>
  <c r="K1501" i="20"/>
  <c r="L1500" i="20"/>
  <c r="G1501" i="20"/>
  <c r="H1500" i="20"/>
  <c r="S1503" i="20"/>
  <c r="T1502" i="20"/>
  <c r="K1502" i="20"/>
  <c r="L1501" i="20"/>
  <c r="H1501" i="20"/>
  <c r="G1502" i="20"/>
  <c r="T1503" i="20"/>
  <c r="S1504" i="20"/>
  <c r="K1503" i="20"/>
  <c r="L1502" i="20"/>
  <c r="G1503" i="20"/>
  <c r="H1502" i="20"/>
  <c r="S1505" i="20"/>
  <c r="T1504" i="20"/>
  <c r="L1503" i="20"/>
  <c r="K1504" i="20"/>
  <c r="H1503" i="20"/>
  <c r="G1504" i="20"/>
  <c r="S1506" i="20"/>
  <c r="T1505" i="20"/>
  <c r="L1504" i="20"/>
  <c r="K1505" i="20"/>
  <c r="G1505" i="20"/>
  <c r="H1504" i="20"/>
  <c r="S1507" i="20"/>
  <c r="T1506" i="20"/>
  <c r="K1506" i="20"/>
  <c r="L1505" i="20"/>
  <c r="H1505" i="20"/>
  <c r="G1506" i="20"/>
  <c r="T1507" i="20"/>
  <c r="S1508" i="20"/>
  <c r="L1506" i="20"/>
  <c r="K1507" i="20"/>
  <c r="H1506" i="20"/>
  <c r="G1507" i="20"/>
  <c r="S1509" i="20"/>
  <c r="T1508" i="20"/>
  <c r="L1507" i="20"/>
  <c r="K1508" i="20"/>
  <c r="G1508" i="20"/>
  <c r="H1507" i="20"/>
  <c r="T1509" i="20"/>
  <c r="S1510" i="20"/>
  <c r="L1508" i="20"/>
  <c r="K1509" i="20"/>
  <c r="H1508" i="20"/>
  <c r="G1509" i="20"/>
  <c r="T1510" i="20"/>
  <c r="S1511" i="20"/>
  <c r="L1509" i="20"/>
  <c r="K1510" i="20"/>
  <c r="H1509" i="20"/>
  <c r="G1510" i="20"/>
  <c r="S1512" i="20"/>
  <c r="T1511" i="20"/>
  <c r="K1511" i="20"/>
  <c r="L1510" i="20"/>
  <c r="G1511" i="20"/>
  <c r="H1510" i="20"/>
  <c r="S1513" i="20"/>
  <c r="T1512" i="20"/>
  <c r="L1511" i="20"/>
  <c r="K1512" i="20"/>
  <c r="H1511" i="20"/>
  <c r="G1512" i="20"/>
  <c r="S1514" i="20"/>
  <c r="T1513" i="20"/>
  <c r="K1513" i="20"/>
  <c r="L1512" i="20"/>
  <c r="G1513" i="20"/>
  <c r="H1512" i="20"/>
  <c r="T1514" i="20"/>
  <c r="S1515" i="20"/>
  <c r="L1513" i="20"/>
  <c r="K1514" i="20"/>
  <c r="G1514" i="20"/>
  <c r="H1513" i="20"/>
  <c r="S1516" i="20"/>
  <c r="T1515" i="20"/>
  <c r="K1515" i="20"/>
  <c r="L1514" i="20"/>
  <c r="G1515" i="20"/>
  <c r="H1514" i="20"/>
  <c r="T1516" i="20"/>
  <c r="S1517" i="20"/>
  <c r="K1516" i="20"/>
  <c r="L1515" i="20"/>
  <c r="H1515" i="20"/>
  <c r="G1516" i="20"/>
  <c r="S1518" i="20"/>
  <c r="T1517" i="20"/>
  <c r="L1516" i="20"/>
  <c r="K1517" i="20"/>
  <c r="H1516" i="20"/>
  <c r="G1517" i="20"/>
  <c r="S1519" i="20"/>
  <c r="T1518" i="20"/>
  <c r="K1518" i="20"/>
  <c r="L1517" i="20"/>
  <c r="H1517" i="20"/>
  <c r="G1518" i="20"/>
  <c r="K1519" i="20"/>
  <c r="L1518" i="20"/>
  <c r="H1518" i="20"/>
  <c r="G1519" i="20"/>
  <c r="F8" i="2" l="1"/>
  <c r="L1519" i="20"/>
  <c r="T1519" i="20"/>
  <c r="H1519" i="20"/>
  <c r="C23" i="20"/>
  <c r="AN6" i="21" l="1"/>
  <c r="AO6" i="21" s="1"/>
  <c r="AP6" i="21"/>
  <c r="AA6" i="21"/>
  <c r="AH6" i="21" l="1"/>
  <c r="O18" i="20" l="1"/>
  <c r="K18" i="20"/>
  <c r="C18" i="20"/>
  <c r="P9" i="20"/>
  <c r="L9" i="20"/>
  <c r="F8" i="3"/>
  <c r="D22" i="20"/>
  <c r="D23" i="20"/>
  <c r="C24" i="20"/>
  <c r="C25" i="20" s="1"/>
  <c r="D25" i="20" s="1"/>
  <c r="D24" i="20"/>
  <c r="F9" i="3" l="1"/>
  <c r="C31" i="29" l="1"/>
  <c r="AU34" i="21"/>
  <c r="AU37" i="21"/>
  <c r="AV15" i="21"/>
  <c r="AU80" i="21"/>
  <c r="AS16" i="21"/>
  <c r="AV86" i="21"/>
  <c r="AT30" i="21"/>
  <c r="AT33" i="21"/>
  <c r="AT12" i="21"/>
  <c r="AT8" i="21"/>
  <c r="AU9" i="21"/>
  <c r="AS28" i="21"/>
  <c r="AV80" i="21"/>
  <c r="AU78" i="21"/>
  <c r="C26" i="20"/>
  <c r="AV16" i="21"/>
  <c r="AV32" i="21"/>
  <c r="AT85" i="21"/>
  <c r="AS15" i="21"/>
  <c r="AU82" i="21"/>
  <c r="AU29" i="21"/>
  <c r="AT31" i="21"/>
  <c r="AT32" i="21"/>
  <c r="AT19" i="21"/>
  <c r="AT18" i="21"/>
  <c r="AU7" i="21"/>
  <c r="AV83" i="21"/>
  <c r="AS37" i="21"/>
  <c r="AV11" i="21"/>
  <c r="AS35" i="21"/>
  <c r="AU83" i="21"/>
  <c r="AS79" i="21"/>
  <c r="AS17" i="21"/>
  <c r="AT91" i="21"/>
  <c r="AV91" i="21"/>
  <c r="AV30" i="21"/>
  <c r="D26" i="20"/>
  <c r="AT35" i="21"/>
  <c r="AT7" i="21"/>
  <c r="AT10" i="21"/>
  <c r="AU8" i="21"/>
  <c r="AU19" i="21"/>
  <c r="AU36" i="21"/>
  <c r="AS25" i="21"/>
  <c r="AU30" i="21"/>
  <c r="AV6" i="21"/>
  <c r="AS13" i="21"/>
  <c r="AV7" i="21"/>
  <c r="C27" i="20"/>
  <c r="C28" i="20" s="1"/>
  <c r="AV36" i="21"/>
  <c r="AT79" i="21"/>
  <c r="AS12" i="21"/>
  <c r="AT25" i="21"/>
  <c r="AT17" i="21"/>
  <c r="AU13" i="21"/>
  <c r="AT15" i="21"/>
  <c r="AU11" i="21"/>
  <c r="AS88" i="21"/>
  <c r="AT83" i="21"/>
  <c r="AV12" i="21"/>
  <c r="AV19" i="21"/>
  <c r="AT29" i="21"/>
  <c r="AT78" i="21"/>
  <c r="AV78" i="21"/>
  <c r="AS18" i="21"/>
  <c r="AS27" i="21"/>
  <c r="AS86" i="21"/>
  <c r="AT80" i="21"/>
  <c r="AU79" i="21"/>
  <c r="AT36" i="21"/>
  <c r="AT16" i="21"/>
  <c r="AU16" i="21"/>
  <c r="AS82" i="21"/>
  <c r="AV27" i="21"/>
  <c r="AV89" i="21"/>
  <c r="AT37" i="21"/>
  <c r="AT14" i="21"/>
  <c r="AT28" i="21"/>
  <c r="AS38" i="21"/>
  <c r="AV28" i="21"/>
  <c r="AT38" i="21"/>
  <c r="AT9" i="21"/>
  <c r="AS83" i="21"/>
  <c r="AU12" i="21"/>
  <c r="AU14" i="21"/>
  <c r="AS36" i="21"/>
  <c r="AT26" i="21"/>
  <c r="AU18" i="21"/>
  <c r="AU15" i="21"/>
  <c r="AU10" i="21"/>
  <c r="AT27" i="21"/>
  <c r="AU17" i="21"/>
  <c r="AT13" i="21"/>
  <c r="AT11" i="21"/>
  <c r="AT34" i="21"/>
  <c r="AV26" i="21"/>
  <c r="AV87" i="21"/>
  <c r="AU35" i="21"/>
  <c r="AU25" i="21"/>
  <c r="AT87" i="21"/>
  <c r="AV29" i="21"/>
  <c r="AV14" i="21"/>
  <c r="G7" i="4"/>
  <c r="AU38" i="21"/>
  <c r="AS11" i="21"/>
  <c r="AT81" i="21"/>
  <c r="AT82" i="21"/>
  <c r="AS9" i="21"/>
  <c r="AS84" i="21"/>
  <c r="AV81" i="21"/>
  <c r="AU81" i="21"/>
  <c r="AV34" i="21"/>
  <c r="AV38" i="21"/>
  <c r="AS8" i="21"/>
  <c r="AV84" i="21"/>
  <c r="AV90" i="21"/>
  <c r="AV35" i="21"/>
  <c r="AT89" i="21"/>
  <c r="AU86" i="21"/>
  <c r="AS30" i="21"/>
  <c r="AS89" i="21"/>
  <c r="AS85" i="21"/>
  <c r="AU87" i="21"/>
  <c r="AU89" i="21"/>
  <c r="AV33" i="21"/>
  <c r="AV37" i="21"/>
  <c r="AV9" i="21"/>
  <c r="AU31" i="21"/>
  <c r="AS31" i="21"/>
  <c r="AU33" i="21"/>
  <c r="AS19" i="21"/>
  <c r="AS29" i="21"/>
  <c r="AU26" i="21"/>
  <c r="AV31" i="21"/>
  <c r="AU91" i="21"/>
  <c r="AV88" i="21"/>
  <c r="AS78" i="21"/>
  <c r="AV17" i="21"/>
  <c r="G7" i="27"/>
  <c r="AU90" i="21"/>
  <c r="AU27" i="21"/>
  <c r="AS34" i="21"/>
  <c r="AU32" i="21"/>
  <c r="AS14" i="21"/>
  <c r="AU84" i="21"/>
  <c r="AV18" i="21"/>
  <c r="AV25" i="21"/>
  <c r="AU88" i="21"/>
  <c r="D27" i="20"/>
  <c r="AT88" i="21"/>
  <c r="AT84" i="21"/>
  <c r="AV8" i="21"/>
  <c r="AV79" i="21"/>
  <c r="AS26" i="21"/>
  <c r="AS87" i="21"/>
  <c r="AS10" i="21"/>
  <c r="AT90" i="21"/>
  <c r="AV85" i="21"/>
  <c r="AV10" i="21"/>
  <c r="AS80" i="21"/>
  <c r="AT86" i="21"/>
  <c r="AS81" i="21"/>
  <c r="AS91" i="21"/>
  <c r="AS7" i="21"/>
  <c r="AV82" i="21"/>
  <c r="AS90" i="21"/>
  <c r="AV13" i="21"/>
  <c r="AS33" i="21"/>
  <c r="AS32" i="21"/>
  <c r="AU28" i="21"/>
  <c r="AU85" i="21"/>
  <c r="B8" i="30" a="1"/>
  <c r="C57" i="29"/>
  <c r="C56" i="29"/>
  <c r="C55" i="29"/>
  <c r="C58" i="29"/>
  <c r="C29" i="20"/>
  <c r="D28" i="20"/>
  <c r="U20" i="20" a="1"/>
  <c r="Q20" i="20" a="1"/>
  <c r="M20" i="20" a="1"/>
  <c r="E20" i="20" a="1"/>
  <c r="C30" i="20"/>
  <c r="D29" i="20"/>
  <c r="D30" i="20"/>
  <c r="C31" i="20"/>
  <c r="D31" i="20"/>
  <c r="C32" i="20"/>
  <c r="C33" i="20"/>
  <c r="D32" i="20"/>
  <c r="C34" i="20"/>
  <c r="D33" i="20"/>
  <c r="D34" i="20"/>
  <c r="C35" i="20"/>
  <c r="C36" i="20"/>
  <c r="D35" i="20"/>
  <c r="C37" i="20"/>
  <c r="D36" i="20"/>
  <c r="C38" i="20"/>
  <c r="D37" i="20"/>
  <c r="C39" i="20"/>
  <c r="D38" i="20"/>
  <c r="C40" i="20"/>
  <c r="D39" i="20"/>
  <c r="C41" i="20"/>
  <c r="D40" i="20"/>
  <c r="D41" i="20"/>
  <c r="C42" i="20"/>
  <c r="C43" i="20"/>
  <c r="D42" i="20"/>
  <c r="C44" i="20"/>
  <c r="D43" i="20"/>
  <c r="C45" i="20"/>
  <c r="D44" i="20"/>
  <c r="C46" i="20"/>
  <c r="D45" i="20"/>
  <c r="D46" i="20"/>
  <c r="C47" i="20"/>
  <c r="D47" i="20"/>
  <c r="C48" i="20"/>
  <c r="D48" i="20"/>
  <c r="C49" i="20"/>
  <c r="C50" i="20"/>
  <c r="D49" i="20"/>
  <c r="C51" i="20"/>
  <c r="D50" i="20"/>
  <c r="C52" i="20"/>
  <c r="D51" i="20"/>
  <c r="D52" i="20"/>
  <c r="C53" i="20"/>
  <c r="C54" i="20"/>
  <c r="D53" i="20"/>
  <c r="C55" i="20"/>
  <c r="D54" i="20"/>
  <c r="D55" i="20"/>
  <c r="C56" i="20"/>
  <c r="C57" i="20"/>
  <c r="D56" i="20"/>
  <c r="C58" i="20"/>
  <c r="D57" i="20"/>
  <c r="D58" i="20"/>
  <c r="C59" i="20"/>
  <c r="D59" i="20"/>
  <c r="C60" i="20"/>
  <c r="D60" i="20"/>
  <c r="C61" i="20"/>
  <c r="D61" i="20"/>
  <c r="C62" i="20"/>
  <c r="D62" i="20"/>
  <c r="C63" i="20"/>
  <c r="C64" i="20"/>
  <c r="D63" i="20"/>
  <c r="C65" i="20"/>
  <c r="D64" i="20"/>
  <c r="C66" i="20"/>
  <c r="D65" i="20"/>
  <c r="C67" i="20"/>
  <c r="D66" i="20"/>
  <c r="C68" i="20"/>
  <c r="D67" i="20"/>
  <c r="C69" i="20"/>
  <c r="D68" i="20"/>
  <c r="C70" i="20"/>
  <c r="D69" i="20"/>
  <c r="C71" i="20"/>
  <c r="D70" i="20"/>
  <c r="D71" i="20"/>
  <c r="C72" i="20"/>
  <c r="C73" i="20"/>
  <c r="D72" i="20"/>
  <c r="D73" i="20"/>
  <c r="C74" i="20"/>
  <c r="D74" i="20"/>
  <c r="C75" i="20"/>
  <c r="C76" i="20"/>
  <c r="D75" i="20"/>
  <c r="D76" i="20"/>
  <c r="C77" i="20"/>
  <c r="C78" i="20"/>
  <c r="D77" i="20"/>
  <c r="C79" i="20"/>
  <c r="D78" i="20"/>
  <c r="D79" i="20"/>
  <c r="C80" i="20"/>
  <c r="D80" i="20"/>
  <c r="C81" i="20"/>
  <c r="D81" i="20"/>
  <c r="C82" i="20"/>
  <c r="D82" i="20"/>
  <c r="C83" i="20"/>
  <c r="C84" i="20"/>
  <c r="D83" i="20"/>
  <c r="D84" i="20"/>
  <c r="C85" i="20"/>
  <c r="C86" i="20"/>
  <c r="D85" i="20"/>
  <c r="C87" i="20"/>
  <c r="D86" i="20"/>
  <c r="C88" i="20"/>
  <c r="D87" i="20"/>
  <c r="C89" i="20"/>
  <c r="D88" i="20"/>
  <c r="D89" i="20"/>
  <c r="C90" i="20"/>
  <c r="D90" i="20"/>
  <c r="C91" i="20"/>
  <c r="C92" i="20"/>
  <c r="D91" i="20"/>
  <c r="C93" i="20"/>
  <c r="D92" i="20"/>
  <c r="C94" i="20"/>
  <c r="D93" i="20"/>
  <c r="D94" i="20"/>
  <c r="C95" i="20"/>
  <c r="C96" i="20"/>
  <c r="D95" i="20"/>
  <c r="C97" i="20"/>
  <c r="D96" i="20"/>
  <c r="D97" i="20"/>
  <c r="C98" i="20"/>
  <c r="C99" i="20"/>
  <c r="D98" i="20"/>
  <c r="C100" i="20"/>
  <c r="D99" i="20"/>
  <c r="C101" i="20"/>
  <c r="D100" i="20"/>
  <c r="C102" i="20"/>
  <c r="D101" i="20"/>
  <c r="C103" i="20"/>
  <c r="D102" i="20"/>
  <c r="C104" i="20"/>
  <c r="D103" i="20"/>
  <c r="D104" i="20"/>
  <c r="C105" i="20"/>
  <c r="C106" i="20"/>
  <c r="D105" i="20"/>
  <c r="C107" i="20"/>
  <c r="D106" i="20"/>
  <c r="D107" i="20"/>
  <c r="C108" i="20"/>
  <c r="C109" i="20"/>
  <c r="D108" i="20"/>
  <c r="D109" i="20"/>
  <c r="C110" i="20"/>
  <c r="C111" i="20"/>
  <c r="D110" i="20"/>
  <c r="C112" i="20"/>
  <c r="D111" i="20"/>
  <c r="C113" i="20"/>
  <c r="D112" i="20"/>
  <c r="D113" i="20"/>
  <c r="C114" i="20"/>
  <c r="D114" i="20"/>
  <c r="C115" i="20"/>
  <c r="C116" i="20"/>
  <c r="D115" i="20"/>
  <c r="C117" i="20"/>
  <c r="D116" i="20"/>
  <c r="C118" i="20"/>
  <c r="D117" i="20"/>
  <c r="C119" i="20"/>
  <c r="D118" i="20"/>
  <c r="C120" i="20"/>
  <c r="D119" i="20"/>
  <c r="D120" i="20"/>
  <c r="C121" i="20"/>
  <c r="D121" i="20"/>
  <c r="C122" i="20"/>
  <c r="C123" i="20"/>
  <c r="D122" i="20"/>
  <c r="C124" i="20"/>
  <c r="D123" i="20"/>
  <c r="C125" i="20"/>
  <c r="D124" i="20"/>
  <c r="C126" i="20"/>
  <c r="D125" i="20"/>
  <c r="D126" i="20"/>
  <c r="C127" i="20"/>
  <c r="D127" i="20"/>
  <c r="C128" i="20"/>
  <c r="C129" i="20"/>
  <c r="D128" i="20"/>
  <c r="C130" i="20"/>
  <c r="D129" i="20"/>
  <c r="D130" i="20"/>
  <c r="C131" i="20"/>
  <c r="C132" i="20"/>
  <c r="D131" i="20"/>
  <c r="D132" i="20"/>
  <c r="C133" i="20"/>
  <c r="C134" i="20"/>
  <c r="D133" i="20"/>
  <c r="D134" i="20"/>
  <c r="C135" i="20"/>
  <c r="C136" i="20"/>
  <c r="D135" i="20"/>
  <c r="C137" i="20"/>
  <c r="D136" i="20"/>
  <c r="D137" i="20"/>
  <c r="C138" i="20"/>
  <c r="C139" i="20"/>
  <c r="D138" i="20"/>
  <c r="C140" i="20"/>
  <c r="D139" i="20"/>
  <c r="D140" i="20"/>
  <c r="C141" i="20"/>
  <c r="C142" i="20"/>
  <c r="D141" i="20"/>
  <c r="D142" i="20"/>
  <c r="C143" i="20"/>
  <c r="D143" i="20"/>
  <c r="C144" i="20"/>
  <c r="D144" i="20"/>
  <c r="C145" i="20"/>
  <c r="C146" i="20"/>
  <c r="D145" i="20"/>
  <c r="D146" i="20"/>
  <c r="C147" i="20"/>
  <c r="C148" i="20"/>
  <c r="D147" i="20"/>
  <c r="C149" i="20"/>
  <c r="D148" i="20"/>
  <c r="C150" i="20"/>
  <c r="D149" i="20"/>
  <c r="D150" i="20"/>
  <c r="C151" i="20"/>
  <c r="C152" i="20"/>
  <c r="D151" i="20"/>
  <c r="C153" i="20"/>
  <c r="D152" i="20"/>
  <c r="D153" i="20"/>
  <c r="C154" i="20"/>
  <c r="C155" i="20"/>
  <c r="D154" i="20"/>
  <c r="C156" i="20"/>
  <c r="D155" i="20"/>
  <c r="C157" i="20"/>
  <c r="D156" i="20"/>
  <c r="D157" i="20"/>
  <c r="C158" i="20"/>
  <c r="C159" i="20"/>
  <c r="D158" i="20"/>
  <c r="D159" i="20"/>
  <c r="C160" i="20"/>
  <c r="D160" i="20"/>
  <c r="C161" i="20"/>
  <c r="C162" i="20"/>
  <c r="D161" i="20"/>
  <c r="C163" i="20"/>
  <c r="D162" i="20"/>
  <c r="D163" i="20"/>
  <c r="C164" i="20"/>
  <c r="C165" i="20"/>
  <c r="D164" i="20"/>
  <c r="D165" i="20"/>
  <c r="C166" i="20"/>
  <c r="D166" i="20"/>
  <c r="C167" i="20"/>
  <c r="C168" i="20"/>
  <c r="D167" i="20"/>
  <c r="C169" i="20"/>
  <c r="D168" i="20"/>
  <c r="D169" i="20"/>
  <c r="C170" i="20"/>
  <c r="D170" i="20"/>
  <c r="C171" i="20"/>
  <c r="C172" i="20"/>
  <c r="D171" i="20"/>
  <c r="C173" i="20"/>
  <c r="D172" i="20"/>
  <c r="D173" i="20"/>
  <c r="C174" i="20"/>
  <c r="D174" i="20"/>
  <c r="C175" i="20"/>
  <c r="D175" i="20"/>
  <c r="C176" i="20"/>
  <c r="C177" i="20"/>
  <c r="D176" i="20"/>
  <c r="D177" i="20"/>
  <c r="C178" i="20"/>
  <c r="C179" i="20"/>
  <c r="D178" i="20"/>
  <c r="C180" i="20"/>
  <c r="D179" i="20"/>
  <c r="C181" i="20"/>
  <c r="D180" i="20"/>
  <c r="C182" i="20"/>
  <c r="D181" i="20"/>
  <c r="D182" i="20"/>
  <c r="C183" i="20"/>
  <c r="C184" i="20"/>
  <c r="D183" i="20"/>
  <c r="C185" i="20"/>
  <c r="D184" i="20"/>
  <c r="C186" i="20"/>
  <c r="D185" i="20"/>
  <c r="C187" i="20"/>
  <c r="D186" i="20"/>
  <c r="D187" i="20"/>
  <c r="C188" i="20"/>
  <c r="C189" i="20"/>
  <c r="D188" i="20"/>
  <c r="C190" i="20"/>
  <c r="D189" i="20"/>
  <c r="D190" i="20"/>
  <c r="C191" i="20"/>
  <c r="C192" i="20"/>
  <c r="D191" i="20"/>
  <c r="C193" i="20"/>
  <c r="D192" i="20"/>
  <c r="D193" i="20"/>
  <c r="C194" i="20"/>
  <c r="C195" i="20"/>
  <c r="D194" i="20"/>
  <c r="C196" i="20"/>
  <c r="D195" i="20"/>
  <c r="D196" i="20"/>
  <c r="C197" i="20"/>
  <c r="C198" i="20"/>
  <c r="D197" i="20"/>
  <c r="C199" i="20"/>
  <c r="D198" i="20"/>
  <c r="D199" i="20"/>
  <c r="C200" i="20"/>
  <c r="D200" i="20"/>
  <c r="C201" i="20"/>
  <c r="D201" i="20"/>
  <c r="C202" i="20"/>
  <c r="C203" i="20"/>
  <c r="D202" i="20"/>
  <c r="C204" i="20"/>
  <c r="D203" i="20"/>
  <c r="D204" i="20"/>
  <c r="C205" i="20"/>
  <c r="C206" i="20"/>
  <c r="D205" i="20"/>
  <c r="D206" i="20"/>
  <c r="C207" i="20"/>
  <c r="C208" i="20"/>
  <c r="D207" i="20"/>
  <c r="C209" i="20"/>
  <c r="D208" i="20"/>
  <c r="D209" i="20"/>
  <c r="C210" i="20"/>
  <c r="C211" i="20"/>
  <c r="D210" i="20"/>
  <c r="C212" i="20"/>
  <c r="D211" i="20"/>
  <c r="C213" i="20"/>
  <c r="D212" i="20"/>
  <c r="C214" i="20"/>
  <c r="D213" i="20"/>
  <c r="C215" i="20"/>
  <c r="D214" i="20"/>
  <c r="D215" i="20"/>
  <c r="C216" i="20"/>
  <c r="C217" i="20"/>
  <c r="D216" i="20"/>
  <c r="D217" i="20"/>
  <c r="C218" i="20"/>
  <c r="C219" i="20"/>
  <c r="D218" i="20"/>
  <c r="C220" i="20"/>
  <c r="D219" i="20"/>
  <c r="D220" i="20"/>
  <c r="C221" i="20"/>
  <c r="C222" i="20"/>
  <c r="D221" i="20"/>
  <c r="D222" i="20"/>
  <c r="C223" i="20"/>
  <c r="C224" i="20"/>
  <c r="D223" i="20"/>
  <c r="C225" i="20"/>
  <c r="D224" i="20"/>
  <c r="C226" i="20"/>
  <c r="D225" i="20"/>
  <c r="C227" i="20"/>
  <c r="D226" i="20"/>
  <c r="C228" i="20"/>
  <c r="D227" i="20"/>
  <c r="C229" i="20"/>
  <c r="D228" i="20"/>
  <c r="C230" i="20"/>
  <c r="D229" i="20"/>
  <c r="C231" i="20"/>
  <c r="D230" i="20"/>
  <c r="D231" i="20"/>
  <c r="C232" i="20"/>
  <c r="C233" i="20"/>
  <c r="D232" i="20"/>
  <c r="C234" i="20"/>
  <c r="D233" i="20"/>
  <c r="D234" i="20"/>
  <c r="C235" i="20"/>
  <c r="C236" i="20"/>
  <c r="D235" i="20"/>
  <c r="D236" i="20"/>
  <c r="C237" i="20"/>
  <c r="D237" i="20"/>
  <c r="C238" i="20"/>
  <c r="D238" i="20"/>
  <c r="C239" i="20"/>
  <c r="C240" i="20"/>
  <c r="D239" i="20"/>
  <c r="D240" i="20"/>
  <c r="C241" i="20"/>
  <c r="C242" i="20"/>
  <c r="D241" i="20"/>
  <c r="C243" i="20"/>
  <c r="D242" i="20"/>
  <c r="D243" i="20"/>
  <c r="C244" i="20"/>
  <c r="D244" i="20"/>
  <c r="C245" i="20"/>
  <c r="C246" i="20"/>
  <c r="D245" i="20"/>
  <c r="C247" i="20"/>
  <c r="D246" i="20"/>
  <c r="C248" i="20"/>
  <c r="D247" i="20"/>
  <c r="C249" i="20"/>
  <c r="D248" i="20"/>
  <c r="D249" i="20"/>
  <c r="C250" i="20"/>
  <c r="D250" i="20"/>
  <c r="C251" i="20"/>
  <c r="D251" i="20"/>
  <c r="C252" i="20"/>
  <c r="C253" i="20"/>
  <c r="D252" i="20"/>
  <c r="C254" i="20"/>
  <c r="D253" i="20"/>
  <c r="D254" i="20"/>
  <c r="C255" i="20"/>
  <c r="C256" i="20"/>
  <c r="D255" i="20"/>
  <c r="C257" i="20"/>
  <c r="D256" i="20"/>
  <c r="C258" i="20"/>
  <c r="D257" i="20"/>
  <c r="C259" i="20"/>
  <c r="D258" i="20"/>
  <c r="C260" i="20"/>
  <c r="D259" i="20"/>
  <c r="D260" i="20"/>
  <c r="C261" i="20"/>
  <c r="C262" i="20"/>
  <c r="D261" i="20"/>
  <c r="C263" i="20"/>
  <c r="D262" i="20"/>
  <c r="D263" i="20"/>
  <c r="C264" i="20"/>
  <c r="D264" i="20"/>
  <c r="C265" i="20"/>
  <c r="D265" i="20"/>
  <c r="C266" i="20"/>
  <c r="C267" i="20"/>
  <c r="D266" i="20"/>
  <c r="C268" i="20"/>
  <c r="D267" i="20"/>
  <c r="D268" i="20"/>
  <c r="C269" i="20"/>
  <c r="C270" i="20"/>
  <c r="D269" i="20"/>
  <c r="D270" i="20"/>
  <c r="C271" i="20"/>
  <c r="D271" i="20"/>
  <c r="C272" i="20"/>
  <c r="D272" i="20"/>
  <c r="C273" i="20"/>
  <c r="D273" i="20"/>
  <c r="C274" i="20"/>
  <c r="D274" i="20"/>
  <c r="C275" i="20"/>
  <c r="D275" i="20"/>
  <c r="C276" i="20"/>
  <c r="C277" i="20"/>
  <c r="D276" i="20"/>
  <c r="C278" i="20"/>
  <c r="D277" i="20"/>
  <c r="C279" i="20"/>
  <c r="D278" i="20"/>
  <c r="D279" i="20"/>
  <c r="C280" i="20"/>
  <c r="D280" i="20"/>
  <c r="C281" i="20"/>
  <c r="D281" i="20"/>
  <c r="C282" i="20"/>
  <c r="C283" i="20"/>
  <c r="D282" i="20"/>
  <c r="D283" i="20"/>
  <c r="C284" i="20"/>
  <c r="C285" i="20"/>
  <c r="D284" i="20"/>
  <c r="C286" i="20"/>
  <c r="D285" i="20"/>
  <c r="D286" i="20"/>
  <c r="C287" i="20"/>
  <c r="D287" i="20"/>
  <c r="C288" i="20"/>
  <c r="D288" i="20"/>
  <c r="C289" i="20"/>
  <c r="C290" i="20"/>
  <c r="D289" i="20"/>
  <c r="D290" i="20"/>
  <c r="C291" i="20"/>
  <c r="C292" i="20"/>
  <c r="D291" i="20"/>
  <c r="D292" i="20"/>
  <c r="C293" i="20"/>
  <c r="C294" i="20"/>
  <c r="D293" i="20"/>
  <c r="D294" i="20"/>
  <c r="C295" i="20"/>
  <c r="D295" i="20"/>
  <c r="C296" i="20"/>
  <c r="C297" i="20"/>
  <c r="D296" i="20"/>
  <c r="D297" i="20"/>
  <c r="C298" i="20"/>
  <c r="D298" i="20"/>
  <c r="C299" i="20"/>
  <c r="C300" i="20"/>
  <c r="D299" i="20"/>
  <c r="C301" i="20"/>
  <c r="D300" i="20"/>
  <c r="C302" i="20"/>
  <c r="D301" i="20"/>
  <c r="C303" i="20"/>
  <c r="D302" i="20"/>
  <c r="C304" i="20"/>
  <c r="D303" i="20"/>
  <c r="D304" i="20"/>
  <c r="C305" i="20"/>
  <c r="D305" i="20"/>
  <c r="C306" i="20"/>
  <c r="D306" i="20"/>
  <c r="C307" i="20"/>
  <c r="C308" i="20"/>
  <c r="D307" i="20"/>
  <c r="D308" i="20"/>
  <c r="C309" i="20"/>
  <c r="D309" i="20"/>
  <c r="C310" i="20"/>
  <c r="D310" i="20"/>
  <c r="C311" i="20"/>
  <c r="D311" i="20"/>
  <c r="C312" i="20"/>
  <c r="D312" i="20"/>
  <c r="C313" i="20"/>
  <c r="C314" i="20"/>
  <c r="D313" i="20"/>
  <c r="C315" i="20"/>
  <c r="D314" i="20"/>
  <c r="C316" i="20"/>
  <c r="D315" i="20"/>
  <c r="D316" i="20"/>
  <c r="C317" i="20"/>
  <c r="C318" i="20"/>
  <c r="D317" i="20"/>
  <c r="C319" i="20"/>
  <c r="D318" i="20"/>
  <c r="D319" i="20"/>
  <c r="C320" i="20"/>
  <c r="D320" i="20"/>
  <c r="C321" i="20"/>
  <c r="C322" i="20"/>
  <c r="D321" i="20"/>
  <c r="C323" i="20"/>
  <c r="D322" i="20"/>
  <c r="D323" i="20"/>
  <c r="C324" i="20"/>
  <c r="D324" i="20"/>
  <c r="C325" i="20"/>
  <c r="D325" i="20"/>
  <c r="C326" i="20"/>
  <c r="D326" i="20"/>
  <c r="C327" i="20"/>
  <c r="C328" i="20"/>
  <c r="D327" i="20"/>
  <c r="D328" i="20"/>
  <c r="C329" i="20"/>
  <c r="D329" i="20"/>
  <c r="C330" i="20"/>
  <c r="C331" i="20"/>
  <c r="D330" i="20"/>
  <c r="D331" i="20"/>
  <c r="C332" i="20"/>
  <c r="C333" i="20"/>
  <c r="D332" i="20"/>
  <c r="D333" i="20"/>
  <c r="C334" i="20"/>
  <c r="C335" i="20"/>
  <c r="D334" i="20"/>
  <c r="D335" i="20"/>
  <c r="C336" i="20"/>
  <c r="C337" i="20"/>
  <c r="D336" i="20"/>
  <c r="C338" i="20"/>
  <c r="D337" i="20"/>
  <c r="D338" i="20"/>
  <c r="C339" i="20"/>
  <c r="C340" i="20"/>
  <c r="D339" i="20"/>
  <c r="C341" i="20"/>
  <c r="D340" i="20"/>
  <c r="D341" i="20"/>
  <c r="C342" i="20"/>
  <c r="D342" i="20"/>
  <c r="C343" i="20"/>
  <c r="D343" i="20"/>
  <c r="C344" i="20"/>
  <c r="C345" i="20"/>
  <c r="D344" i="20"/>
  <c r="D345" i="20"/>
  <c r="C346" i="20"/>
  <c r="C347" i="20"/>
  <c r="D346" i="20"/>
  <c r="D347" i="20"/>
  <c r="C348" i="20"/>
  <c r="D348" i="20"/>
  <c r="C349" i="20"/>
  <c r="C350" i="20"/>
  <c r="D349" i="20"/>
  <c r="D350" i="20"/>
  <c r="C351" i="20"/>
  <c r="D351" i="20"/>
  <c r="C352" i="20"/>
  <c r="D352" i="20"/>
  <c r="C353" i="20"/>
  <c r="C354" i="20"/>
  <c r="D353" i="20"/>
  <c r="D354" i="20"/>
  <c r="C355" i="20"/>
  <c r="C356" i="20"/>
  <c r="D355" i="20"/>
  <c r="C357" i="20"/>
  <c r="D356" i="20"/>
  <c r="D357" i="20"/>
  <c r="C358" i="20"/>
  <c r="D358" i="20"/>
  <c r="C359" i="20"/>
  <c r="D359" i="20"/>
  <c r="C360" i="20"/>
  <c r="D360" i="20"/>
  <c r="C361" i="20"/>
  <c r="D361" i="20"/>
  <c r="C362" i="20"/>
  <c r="D362" i="20"/>
  <c r="C363" i="20"/>
  <c r="D363" i="20"/>
  <c r="C364" i="20"/>
  <c r="C365" i="20"/>
  <c r="D364" i="20"/>
  <c r="D365" i="20"/>
  <c r="C366" i="20"/>
  <c r="C367" i="20"/>
  <c r="D366" i="20"/>
  <c r="C368" i="20"/>
  <c r="D367" i="20"/>
  <c r="D368" i="20"/>
  <c r="C369" i="20"/>
  <c r="D369" i="20"/>
  <c r="C370" i="20"/>
  <c r="D370" i="20"/>
  <c r="C371" i="20"/>
  <c r="C372" i="20"/>
  <c r="D371" i="20"/>
  <c r="D372" i="20"/>
  <c r="C373" i="20"/>
  <c r="D373" i="20"/>
  <c r="C374" i="20"/>
  <c r="C375" i="20"/>
  <c r="D374" i="20"/>
  <c r="C376" i="20"/>
  <c r="D375" i="20"/>
  <c r="D376" i="20"/>
  <c r="C377" i="20"/>
  <c r="D377" i="20"/>
  <c r="C378" i="20"/>
  <c r="D378" i="20"/>
  <c r="C379" i="20"/>
  <c r="D379" i="20"/>
  <c r="C380" i="20"/>
  <c r="D380" i="20"/>
  <c r="C381" i="20"/>
  <c r="C382" i="20"/>
  <c r="D381" i="20"/>
  <c r="C383" i="20"/>
  <c r="D382" i="20"/>
  <c r="C384" i="20"/>
  <c r="D383" i="20"/>
  <c r="D384" i="20"/>
  <c r="C385" i="20"/>
  <c r="C386" i="20"/>
  <c r="D385" i="20"/>
  <c r="D386" i="20"/>
  <c r="C387" i="20"/>
  <c r="C388" i="20"/>
  <c r="D387" i="20"/>
  <c r="C389" i="20"/>
  <c r="D388" i="20"/>
  <c r="D389" i="20"/>
  <c r="C390" i="20"/>
  <c r="D390" i="20"/>
  <c r="C391" i="20"/>
  <c r="D391" i="20"/>
  <c r="C392" i="20"/>
  <c r="D392" i="20"/>
  <c r="C393" i="20"/>
  <c r="C394" i="20"/>
  <c r="D393" i="20"/>
  <c r="C395" i="20"/>
  <c r="D394" i="20"/>
  <c r="D395" i="20"/>
  <c r="C396" i="20"/>
  <c r="D396" i="20"/>
  <c r="C397" i="20"/>
  <c r="D397" i="20"/>
  <c r="C398" i="20"/>
  <c r="C399" i="20"/>
  <c r="D398" i="20"/>
  <c r="D399" i="20"/>
  <c r="C400" i="20"/>
  <c r="C401" i="20"/>
  <c r="D400" i="20"/>
  <c r="D401" i="20"/>
  <c r="C402" i="20"/>
  <c r="D402" i="20"/>
  <c r="C403" i="20"/>
  <c r="D403" i="20"/>
  <c r="C404" i="20"/>
  <c r="C405" i="20"/>
  <c r="D404" i="20"/>
  <c r="D405" i="20"/>
  <c r="C406" i="20"/>
  <c r="D406" i="20"/>
  <c r="C407" i="20"/>
  <c r="D407" i="20"/>
  <c r="C408" i="20"/>
  <c r="D408" i="20"/>
  <c r="C409" i="20"/>
  <c r="D409" i="20"/>
  <c r="C410" i="20"/>
  <c r="D410" i="20"/>
  <c r="C411" i="20"/>
  <c r="D411" i="20"/>
  <c r="C412" i="20"/>
  <c r="D412" i="20"/>
  <c r="C413" i="20"/>
  <c r="C414" i="20"/>
  <c r="D413" i="20"/>
  <c r="C415" i="20"/>
  <c r="D414" i="20"/>
  <c r="D415" i="20"/>
  <c r="C416" i="20"/>
  <c r="C417" i="20"/>
  <c r="D416" i="20"/>
  <c r="C418" i="20"/>
  <c r="D417" i="20"/>
  <c r="D418" i="20"/>
  <c r="C419" i="20"/>
  <c r="C420" i="20"/>
  <c r="D419" i="20"/>
  <c r="D420" i="20"/>
  <c r="C421" i="20"/>
  <c r="D421" i="20"/>
  <c r="C422" i="20"/>
  <c r="C423" i="20"/>
  <c r="D422" i="20"/>
  <c r="D423" i="20"/>
  <c r="C424" i="20"/>
  <c r="C425" i="20"/>
  <c r="D424" i="20"/>
  <c r="D425" i="20"/>
  <c r="C426" i="20"/>
  <c r="D426" i="20"/>
  <c r="C427" i="20"/>
  <c r="D427" i="20"/>
  <c r="C428" i="20"/>
  <c r="C429" i="20"/>
  <c r="D428" i="20"/>
  <c r="D429" i="20"/>
  <c r="C430" i="20"/>
  <c r="D430" i="20"/>
  <c r="C431" i="20"/>
  <c r="C432" i="20"/>
  <c r="D431" i="20"/>
  <c r="C433" i="20"/>
  <c r="D432" i="20"/>
  <c r="C434" i="20"/>
  <c r="D433" i="20"/>
  <c r="D434" i="20"/>
  <c r="C435" i="20"/>
  <c r="C436" i="20"/>
  <c r="D435" i="20"/>
  <c r="C437" i="20"/>
  <c r="D436" i="20"/>
  <c r="D437" i="20"/>
  <c r="C438" i="20"/>
  <c r="C439" i="20"/>
  <c r="D438" i="20"/>
  <c r="C440" i="20"/>
  <c r="D439" i="20"/>
  <c r="C441" i="20"/>
  <c r="D440" i="20"/>
  <c r="C442" i="20"/>
  <c r="D441" i="20"/>
  <c r="C443" i="20"/>
  <c r="D442" i="20"/>
  <c r="C444" i="20"/>
  <c r="D443" i="20"/>
  <c r="C445" i="20"/>
  <c r="D444" i="20"/>
  <c r="D445" i="20"/>
  <c r="C446" i="20"/>
  <c r="D446" i="20"/>
  <c r="C447" i="20"/>
  <c r="D447" i="20"/>
  <c r="C448" i="20"/>
  <c r="D448" i="20"/>
  <c r="C449" i="20"/>
  <c r="C450" i="20"/>
  <c r="D449" i="20"/>
  <c r="D450" i="20"/>
  <c r="C451" i="20"/>
  <c r="D451" i="20"/>
  <c r="C452" i="20"/>
  <c r="C453" i="20"/>
  <c r="D452" i="20"/>
  <c r="C454" i="20"/>
  <c r="D453" i="20"/>
  <c r="D454" i="20"/>
  <c r="C455" i="20"/>
  <c r="C456" i="20"/>
  <c r="D455" i="20"/>
  <c r="D456" i="20"/>
  <c r="C457" i="20"/>
  <c r="D457" i="20"/>
  <c r="C458" i="20"/>
  <c r="C459" i="20"/>
  <c r="D458" i="20"/>
  <c r="D459" i="20"/>
  <c r="C460" i="20"/>
  <c r="C461" i="20"/>
  <c r="D460" i="20"/>
  <c r="C462" i="20"/>
  <c r="D461" i="20"/>
  <c r="C463" i="20"/>
  <c r="D462" i="20"/>
  <c r="C464" i="20"/>
  <c r="D463" i="20"/>
  <c r="D464" i="20"/>
  <c r="C465" i="20"/>
  <c r="D465" i="20"/>
  <c r="C466" i="20"/>
  <c r="D466" i="20"/>
  <c r="C467" i="20"/>
  <c r="C468" i="20"/>
  <c r="D467" i="20"/>
  <c r="D468" i="20"/>
  <c r="C469" i="20"/>
  <c r="D469" i="20"/>
  <c r="C470" i="20"/>
  <c r="D470" i="20"/>
  <c r="C471" i="20"/>
  <c r="D471" i="20"/>
  <c r="C472" i="20"/>
  <c r="C473" i="20"/>
  <c r="D472" i="20"/>
  <c r="D473" i="20"/>
  <c r="C474" i="20"/>
  <c r="D474" i="20"/>
  <c r="C475" i="20"/>
  <c r="C476" i="20"/>
  <c r="D475" i="20"/>
  <c r="C477" i="20"/>
  <c r="D476" i="20"/>
  <c r="C478" i="20"/>
  <c r="D477" i="20"/>
  <c r="C479" i="20"/>
  <c r="D478" i="20"/>
  <c r="D479" i="20"/>
  <c r="C480" i="20"/>
  <c r="C481" i="20"/>
  <c r="D480" i="20"/>
  <c r="C482" i="20"/>
  <c r="D481" i="20"/>
  <c r="D482" i="20"/>
  <c r="C483" i="20"/>
  <c r="D483" i="20"/>
  <c r="C484" i="20"/>
  <c r="D484" i="20"/>
  <c r="C485" i="20"/>
  <c r="C486" i="20"/>
  <c r="D485" i="20"/>
  <c r="D486" i="20"/>
  <c r="C487" i="20"/>
  <c r="C488" i="20"/>
  <c r="D487" i="20"/>
  <c r="D488" i="20"/>
  <c r="C489" i="20"/>
  <c r="C490" i="20"/>
  <c r="D489" i="20"/>
  <c r="D490" i="20"/>
  <c r="C491" i="20"/>
  <c r="D491" i="20"/>
  <c r="C492" i="20"/>
  <c r="C493" i="20"/>
  <c r="D492" i="20"/>
  <c r="C494" i="20"/>
  <c r="D493" i="20"/>
  <c r="C495" i="20"/>
  <c r="D494" i="20"/>
  <c r="C496" i="20"/>
  <c r="D495" i="20"/>
  <c r="C497" i="20"/>
  <c r="D496" i="20"/>
  <c r="D497" i="20"/>
  <c r="C498" i="20"/>
  <c r="D498" i="20"/>
  <c r="C499" i="20"/>
  <c r="D499" i="20"/>
  <c r="C500" i="20"/>
  <c r="C501" i="20"/>
  <c r="D500" i="20"/>
  <c r="D501" i="20"/>
  <c r="C502" i="20"/>
  <c r="C503" i="20"/>
  <c r="D502" i="20"/>
  <c r="D503" i="20"/>
  <c r="C504" i="20"/>
  <c r="C505" i="20"/>
  <c r="D504" i="20"/>
  <c r="D505" i="20"/>
  <c r="C506" i="20"/>
  <c r="C507" i="20"/>
  <c r="D506" i="20"/>
  <c r="C508" i="20"/>
  <c r="D507" i="20"/>
  <c r="D508" i="20"/>
  <c r="C509" i="20"/>
  <c r="C510" i="20"/>
  <c r="D509" i="20"/>
  <c r="C511" i="20"/>
  <c r="D510" i="20"/>
  <c r="C512" i="20"/>
  <c r="D511" i="20"/>
  <c r="D512" i="20"/>
  <c r="C513" i="20"/>
  <c r="C514" i="20"/>
  <c r="D513" i="20"/>
  <c r="D514" i="20"/>
  <c r="C515" i="20"/>
  <c r="C516" i="20"/>
  <c r="D515" i="20"/>
  <c r="C517" i="20"/>
  <c r="D516" i="20"/>
  <c r="C518" i="20"/>
  <c r="D517" i="20"/>
  <c r="D518" i="20"/>
  <c r="C519" i="20"/>
  <c r="C520" i="20"/>
  <c r="D519" i="20"/>
  <c r="D520" i="20"/>
  <c r="C521" i="20"/>
  <c r="D521" i="20"/>
  <c r="C522" i="20"/>
  <c r="D522" i="20"/>
  <c r="C523" i="20"/>
  <c r="D523" i="20"/>
  <c r="C524" i="20"/>
  <c r="D524" i="20"/>
  <c r="C525" i="20"/>
  <c r="D525" i="20"/>
  <c r="C526" i="20"/>
  <c r="C527" i="20"/>
  <c r="D526" i="20"/>
  <c r="C528" i="20"/>
  <c r="D527" i="20"/>
  <c r="C529" i="20"/>
  <c r="D528" i="20"/>
  <c r="D529" i="20"/>
  <c r="C530" i="20"/>
  <c r="D530" i="20"/>
  <c r="C531" i="20"/>
  <c r="C532" i="20"/>
  <c r="D531" i="20"/>
  <c r="C533" i="20"/>
  <c r="D532" i="20"/>
  <c r="D533" i="20"/>
  <c r="C534" i="20"/>
  <c r="C535" i="20"/>
  <c r="D534" i="20"/>
  <c r="D535" i="20"/>
  <c r="C536" i="20"/>
  <c r="C537" i="20"/>
  <c r="D536" i="20"/>
  <c r="D537" i="20"/>
  <c r="C538" i="20"/>
  <c r="C539" i="20"/>
  <c r="D538" i="20"/>
  <c r="C540" i="20"/>
  <c r="D539" i="20"/>
  <c r="D540" i="20"/>
  <c r="C541" i="20"/>
  <c r="C542" i="20"/>
  <c r="D541" i="20"/>
  <c r="C543" i="20"/>
  <c r="D542" i="20"/>
  <c r="C544" i="20"/>
  <c r="D543" i="20"/>
  <c r="C545" i="20"/>
  <c r="D544" i="20"/>
  <c r="C546" i="20"/>
  <c r="D545" i="20"/>
  <c r="D546" i="20"/>
  <c r="C547" i="20"/>
  <c r="C548" i="20"/>
  <c r="D547" i="20"/>
  <c r="C549" i="20"/>
  <c r="D548" i="20"/>
  <c r="D549" i="20"/>
  <c r="C550" i="20"/>
  <c r="C551" i="20"/>
  <c r="D550" i="20"/>
  <c r="C552" i="20"/>
  <c r="D551" i="20"/>
  <c r="C553" i="20"/>
  <c r="D552" i="20"/>
  <c r="D553" i="20"/>
  <c r="C554" i="20"/>
  <c r="C555" i="20"/>
  <c r="D554" i="20"/>
  <c r="C556" i="20"/>
  <c r="D555" i="20"/>
  <c r="C557" i="20"/>
  <c r="D556" i="20"/>
  <c r="D557" i="20"/>
  <c r="C558" i="20"/>
  <c r="D558" i="20"/>
  <c r="C559" i="20"/>
  <c r="C560" i="20"/>
  <c r="D559" i="20"/>
  <c r="C561" i="20"/>
  <c r="D560" i="20"/>
  <c r="D561" i="20"/>
  <c r="C562" i="20"/>
  <c r="D562" i="20"/>
  <c r="C563" i="20"/>
  <c r="D563" i="20"/>
  <c r="C564" i="20"/>
  <c r="C565" i="20"/>
  <c r="D564" i="20"/>
  <c r="C566" i="20"/>
  <c r="D565" i="20"/>
  <c r="D566" i="20"/>
  <c r="C567" i="20"/>
  <c r="D567" i="20"/>
  <c r="C568" i="20"/>
  <c r="C569" i="20"/>
  <c r="D568" i="20"/>
  <c r="C570" i="20"/>
  <c r="D569" i="20"/>
  <c r="D570" i="20"/>
  <c r="C571" i="20"/>
  <c r="D571" i="20"/>
  <c r="C572" i="20"/>
  <c r="D572" i="20"/>
  <c r="C573" i="20"/>
  <c r="D573" i="20"/>
  <c r="C574" i="20"/>
  <c r="D574" i="20"/>
  <c r="C575" i="20"/>
  <c r="D575" i="20"/>
  <c r="C576" i="20"/>
  <c r="C577" i="20"/>
  <c r="D576" i="20"/>
  <c r="C578" i="20"/>
  <c r="D577" i="20"/>
  <c r="D578" i="20"/>
  <c r="C579" i="20"/>
  <c r="D579" i="20"/>
  <c r="C580" i="20"/>
  <c r="D580" i="20"/>
  <c r="C581" i="20"/>
  <c r="D581" i="20"/>
  <c r="C582" i="20"/>
  <c r="D582" i="20"/>
  <c r="C583" i="20"/>
  <c r="D583" i="20"/>
  <c r="C584" i="20"/>
  <c r="C585" i="20"/>
  <c r="D584" i="20"/>
  <c r="C586" i="20"/>
  <c r="D585" i="20"/>
  <c r="C587" i="20"/>
  <c r="D586" i="20"/>
  <c r="C588" i="20"/>
  <c r="D587" i="20"/>
  <c r="C589" i="20"/>
  <c r="D588" i="20"/>
  <c r="D589" i="20"/>
  <c r="C590" i="20"/>
  <c r="C591" i="20"/>
  <c r="D590" i="20"/>
  <c r="C592" i="20"/>
  <c r="D591" i="20"/>
  <c r="D592" i="20"/>
  <c r="C593" i="20"/>
  <c r="C594" i="20"/>
  <c r="D593" i="20"/>
  <c r="D594" i="20"/>
  <c r="C595" i="20"/>
  <c r="D595" i="20"/>
  <c r="C596" i="20"/>
  <c r="D596" i="20"/>
  <c r="C597" i="20"/>
  <c r="C598" i="20"/>
  <c r="D597" i="20"/>
  <c r="C599" i="20"/>
  <c r="D598" i="20"/>
  <c r="C600" i="20"/>
  <c r="D599" i="20"/>
  <c r="C601" i="20"/>
  <c r="D600" i="20"/>
  <c r="C602" i="20"/>
  <c r="D601" i="20"/>
  <c r="D602" i="20"/>
  <c r="C603" i="20"/>
  <c r="D603" i="20"/>
  <c r="C604" i="20"/>
  <c r="D604" i="20"/>
  <c r="C605" i="20"/>
  <c r="D605" i="20"/>
  <c r="C606" i="20"/>
  <c r="D606" i="20"/>
  <c r="C607" i="20"/>
  <c r="C608" i="20"/>
  <c r="D607" i="20"/>
  <c r="D608" i="20"/>
  <c r="C609" i="20"/>
  <c r="C610" i="20"/>
  <c r="D609" i="20"/>
  <c r="D610" i="20"/>
  <c r="C611" i="20"/>
  <c r="D611" i="20"/>
  <c r="C612" i="20"/>
  <c r="C613" i="20"/>
  <c r="D612" i="20"/>
  <c r="C614" i="20"/>
  <c r="D613" i="20"/>
  <c r="C615" i="20"/>
  <c r="D614" i="20"/>
  <c r="D615" i="20"/>
  <c r="C616" i="20"/>
  <c r="C617" i="20"/>
  <c r="D616" i="20"/>
  <c r="C618" i="20"/>
  <c r="D617" i="20"/>
  <c r="C619" i="20"/>
  <c r="D618" i="20"/>
  <c r="D619" i="20"/>
  <c r="C620" i="20"/>
  <c r="D620" i="20"/>
  <c r="C621" i="20"/>
  <c r="D621" i="20"/>
  <c r="C622" i="20"/>
  <c r="C623" i="20"/>
  <c r="D622" i="20"/>
  <c r="C624" i="20"/>
  <c r="D623" i="20"/>
  <c r="C625" i="20"/>
  <c r="D624" i="20"/>
  <c r="D625" i="20"/>
  <c r="C626" i="20"/>
  <c r="D626" i="20"/>
  <c r="C627" i="20"/>
  <c r="C628" i="20"/>
  <c r="D627" i="20"/>
  <c r="C629" i="20"/>
  <c r="D628" i="20"/>
  <c r="C630" i="20"/>
  <c r="D629" i="20"/>
  <c r="C631" i="20"/>
  <c r="D630" i="20"/>
  <c r="D631" i="20"/>
  <c r="C632" i="20"/>
  <c r="D632" i="20"/>
  <c r="C633" i="20"/>
  <c r="C634" i="20"/>
  <c r="D633" i="20"/>
  <c r="C635" i="20"/>
  <c r="D634" i="20"/>
  <c r="D635" i="20"/>
  <c r="C636" i="20"/>
  <c r="D636" i="20"/>
  <c r="C637" i="20"/>
  <c r="D637" i="20"/>
  <c r="C638" i="20"/>
  <c r="C639" i="20"/>
  <c r="D638" i="20"/>
  <c r="D639" i="20"/>
  <c r="C640" i="20"/>
  <c r="C641" i="20"/>
  <c r="D640" i="20"/>
  <c r="C642" i="20"/>
  <c r="D641" i="20"/>
  <c r="C643" i="20"/>
  <c r="D642" i="20"/>
  <c r="C644" i="20"/>
  <c r="D643" i="20"/>
  <c r="C645" i="20"/>
  <c r="D644" i="20"/>
  <c r="C646" i="20"/>
  <c r="D645" i="20"/>
  <c r="D646" i="20"/>
  <c r="C647" i="20"/>
  <c r="C648" i="20"/>
  <c r="D647" i="20"/>
  <c r="C649" i="20"/>
  <c r="D648" i="20"/>
  <c r="D649" i="20"/>
  <c r="C650" i="20"/>
  <c r="C651" i="20"/>
  <c r="D650" i="20"/>
  <c r="D651" i="20"/>
  <c r="C652" i="20"/>
  <c r="C653" i="20"/>
  <c r="D652" i="20"/>
  <c r="D653" i="20"/>
  <c r="C654" i="20"/>
  <c r="D654" i="20"/>
  <c r="C655" i="20"/>
  <c r="C656" i="20"/>
  <c r="D655" i="20"/>
  <c r="D656" i="20"/>
  <c r="C657" i="20"/>
  <c r="C658" i="20"/>
  <c r="D657" i="20"/>
  <c r="C659" i="20"/>
  <c r="D658" i="20"/>
  <c r="D659" i="20"/>
  <c r="C660" i="20"/>
  <c r="C661" i="20"/>
  <c r="D660" i="20"/>
  <c r="C662" i="20"/>
  <c r="D661" i="20"/>
  <c r="D662" i="20"/>
  <c r="C663" i="20"/>
  <c r="C664" i="20"/>
  <c r="D663" i="20"/>
  <c r="C665" i="20"/>
  <c r="D664" i="20"/>
  <c r="C666" i="20"/>
  <c r="D665" i="20"/>
  <c r="D666" i="20"/>
  <c r="C667" i="20"/>
  <c r="D667" i="20"/>
  <c r="C668" i="20"/>
  <c r="C669" i="20"/>
  <c r="D668" i="20"/>
  <c r="D669" i="20"/>
  <c r="C670" i="20"/>
  <c r="D670" i="20"/>
  <c r="C671" i="20"/>
  <c r="C672" i="20"/>
  <c r="D671" i="20"/>
  <c r="C673" i="20"/>
  <c r="D672" i="20"/>
  <c r="D673" i="20"/>
  <c r="C674" i="20"/>
  <c r="C675" i="20"/>
  <c r="D674" i="20"/>
  <c r="C676" i="20"/>
  <c r="D675" i="20"/>
  <c r="C677" i="20"/>
  <c r="D676" i="20"/>
  <c r="C678" i="20"/>
  <c r="D677" i="20"/>
  <c r="C679" i="20"/>
  <c r="D678" i="20"/>
  <c r="D679" i="20"/>
  <c r="C680" i="20"/>
  <c r="C681" i="20"/>
  <c r="D680" i="20"/>
  <c r="D681" i="20"/>
  <c r="C682" i="20"/>
  <c r="D682" i="20"/>
  <c r="C683" i="20"/>
  <c r="D683" i="20"/>
  <c r="C684" i="20"/>
  <c r="C685" i="20"/>
  <c r="D684" i="20"/>
  <c r="D685" i="20"/>
  <c r="C686" i="20"/>
  <c r="C687" i="20"/>
  <c r="D686" i="20"/>
  <c r="D687" i="20"/>
  <c r="C688" i="20"/>
  <c r="C689" i="20"/>
  <c r="D688" i="20"/>
  <c r="C690" i="20"/>
  <c r="D689" i="20"/>
  <c r="D690" i="20"/>
  <c r="C691" i="20"/>
  <c r="D691" i="20"/>
  <c r="C692" i="20"/>
  <c r="C693" i="20"/>
  <c r="D692" i="20"/>
  <c r="C694" i="20"/>
  <c r="D693" i="20"/>
  <c r="D694" i="20"/>
  <c r="C695" i="20"/>
  <c r="C696" i="20"/>
  <c r="D695" i="20"/>
  <c r="C697" i="20"/>
  <c r="D696" i="20"/>
  <c r="C698" i="20"/>
  <c r="D697" i="20"/>
  <c r="C699" i="20"/>
  <c r="D698" i="20"/>
  <c r="C700" i="20"/>
  <c r="D699" i="20"/>
  <c r="C701" i="20"/>
  <c r="D700" i="20"/>
  <c r="D701" i="20"/>
  <c r="C702" i="20"/>
  <c r="D702" i="20"/>
  <c r="C703" i="20"/>
  <c r="C704" i="20"/>
  <c r="D703" i="20"/>
  <c r="C705" i="20"/>
  <c r="D704" i="20"/>
  <c r="D705" i="20"/>
  <c r="C706" i="20"/>
  <c r="D706" i="20"/>
  <c r="C707" i="20"/>
  <c r="D707" i="20"/>
  <c r="C708" i="20"/>
  <c r="C709" i="20"/>
  <c r="D708" i="20"/>
  <c r="C710" i="20"/>
  <c r="D709" i="20"/>
  <c r="C711" i="20"/>
  <c r="D710" i="20"/>
  <c r="D711" i="20"/>
  <c r="C712" i="20"/>
  <c r="D712" i="20"/>
  <c r="C713" i="20"/>
  <c r="C714" i="20"/>
  <c r="D713" i="20"/>
  <c r="D714" i="20"/>
  <c r="C715" i="20"/>
  <c r="C716" i="20"/>
  <c r="D715" i="20"/>
  <c r="D716" i="20"/>
  <c r="C717" i="20"/>
  <c r="D717" i="20"/>
  <c r="C718" i="20"/>
  <c r="D718" i="20"/>
  <c r="C719" i="20"/>
  <c r="D719" i="20"/>
  <c r="C720" i="20"/>
  <c r="C721" i="20"/>
  <c r="D720" i="20"/>
  <c r="D721" i="20"/>
  <c r="C722" i="20"/>
  <c r="C723" i="20"/>
  <c r="D722" i="20"/>
  <c r="D723" i="20"/>
  <c r="C724" i="20"/>
  <c r="C725" i="20"/>
  <c r="D724" i="20"/>
  <c r="C726" i="20"/>
  <c r="D725" i="20"/>
  <c r="D726" i="20"/>
  <c r="C727" i="20"/>
  <c r="C728" i="20"/>
  <c r="D727" i="20"/>
  <c r="D728" i="20"/>
  <c r="C729" i="20"/>
  <c r="C730" i="20"/>
  <c r="D729" i="20"/>
  <c r="C731" i="20"/>
  <c r="D730" i="20"/>
  <c r="D731" i="20"/>
  <c r="C732" i="20"/>
  <c r="C733" i="20"/>
  <c r="D732" i="20"/>
  <c r="C734" i="20"/>
  <c r="D733" i="20"/>
  <c r="C735" i="20"/>
  <c r="D734" i="20"/>
  <c r="C736" i="20"/>
  <c r="D735" i="20"/>
  <c r="C737" i="20"/>
  <c r="D736" i="20"/>
  <c r="C738" i="20"/>
  <c r="D737" i="20"/>
  <c r="D738" i="20"/>
  <c r="C739" i="20"/>
  <c r="D739" i="20"/>
  <c r="C740" i="20"/>
  <c r="D740" i="20"/>
  <c r="C741" i="20"/>
  <c r="C742" i="20"/>
  <c r="D741" i="20"/>
  <c r="C743" i="20"/>
  <c r="D742" i="20"/>
  <c r="D743" i="20"/>
  <c r="C744" i="20"/>
  <c r="C745" i="20"/>
  <c r="D744" i="20"/>
  <c r="C746" i="20"/>
  <c r="D745" i="20"/>
  <c r="C747" i="20"/>
  <c r="D746" i="20"/>
  <c r="D747" i="20"/>
  <c r="C748" i="20"/>
  <c r="D748" i="20"/>
  <c r="C749" i="20"/>
  <c r="D749" i="20"/>
  <c r="C750" i="20"/>
  <c r="D750" i="20"/>
  <c r="C751" i="20"/>
  <c r="C752" i="20"/>
  <c r="D751" i="20"/>
  <c r="C753" i="20"/>
  <c r="D752" i="20"/>
  <c r="D753" i="20"/>
  <c r="C754" i="20"/>
  <c r="D754" i="20"/>
  <c r="C755" i="20"/>
  <c r="D755" i="20"/>
  <c r="C756" i="20"/>
  <c r="D756" i="20"/>
  <c r="C757" i="20"/>
  <c r="C758" i="20"/>
  <c r="D757" i="20"/>
  <c r="C759" i="20"/>
  <c r="D758" i="20"/>
  <c r="D759" i="20"/>
  <c r="C760" i="20"/>
  <c r="C761" i="20"/>
  <c r="D760" i="20"/>
  <c r="D761" i="20"/>
  <c r="C762" i="20"/>
  <c r="D762" i="20"/>
  <c r="C763" i="20"/>
  <c r="C764" i="20"/>
  <c r="D763" i="20"/>
  <c r="D764" i="20"/>
  <c r="C765" i="20"/>
  <c r="D765" i="20"/>
  <c r="C766" i="20"/>
  <c r="D766" i="20"/>
  <c r="C767" i="20"/>
  <c r="C768" i="20"/>
  <c r="D767" i="20"/>
  <c r="C769" i="20"/>
  <c r="D768" i="20"/>
  <c r="C770" i="20"/>
  <c r="D769" i="20"/>
  <c r="D770" i="20"/>
  <c r="C771" i="20"/>
  <c r="C772" i="20"/>
  <c r="D771" i="20"/>
  <c r="D772" i="20"/>
  <c r="C773" i="20"/>
  <c r="C774" i="20"/>
  <c r="D773" i="20"/>
  <c r="C775" i="20"/>
  <c r="D774" i="20"/>
  <c r="C776" i="20"/>
  <c r="D775" i="20"/>
  <c r="D776" i="20"/>
  <c r="C777" i="20"/>
  <c r="D777" i="20"/>
  <c r="C778" i="20"/>
  <c r="D778" i="20"/>
  <c r="C779" i="20"/>
  <c r="C780" i="20"/>
  <c r="D779" i="20"/>
  <c r="D780" i="20"/>
  <c r="C781" i="20"/>
  <c r="D781" i="20"/>
  <c r="C782" i="20"/>
  <c r="C783" i="20"/>
  <c r="D782" i="20"/>
  <c r="D783" i="20"/>
  <c r="C784" i="20"/>
  <c r="D784" i="20"/>
  <c r="C785" i="20"/>
  <c r="C786" i="20"/>
  <c r="D785" i="20"/>
  <c r="D786" i="20"/>
  <c r="C787" i="20"/>
  <c r="D787" i="20"/>
  <c r="C788" i="20"/>
  <c r="C789" i="20"/>
  <c r="D788" i="20"/>
  <c r="C790" i="20"/>
  <c r="D789" i="20"/>
  <c r="C791" i="20"/>
  <c r="D790" i="20"/>
  <c r="D791" i="20"/>
  <c r="C792" i="20"/>
  <c r="D792" i="20"/>
  <c r="C793" i="20"/>
  <c r="D793" i="20"/>
  <c r="C794" i="20"/>
  <c r="D794" i="20"/>
  <c r="C795" i="20"/>
  <c r="C796" i="20"/>
  <c r="D795" i="20"/>
  <c r="D796" i="20"/>
  <c r="C797" i="20"/>
  <c r="C798" i="20"/>
  <c r="D797" i="20"/>
  <c r="C799" i="20"/>
  <c r="D798" i="20"/>
  <c r="D799" i="20"/>
  <c r="C800" i="20"/>
  <c r="C801" i="20"/>
  <c r="D800" i="20"/>
  <c r="D801" i="20"/>
  <c r="C802" i="20"/>
  <c r="D802" i="20"/>
  <c r="C803" i="20"/>
  <c r="C804" i="20"/>
  <c r="D803" i="20"/>
  <c r="D804" i="20"/>
  <c r="C805" i="20"/>
  <c r="C806" i="20"/>
  <c r="D805" i="20"/>
  <c r="C807" i="20"/>
  <c r="D806" i="20"/>
  <c r="C808" i="20"/>
  <c r="D807" i="20"/>
  <c r="C809" i="20"/>
  <c r="D808" i="20"/>
  <c r="D809" i="20"/>
  <c r="C810" i="20"/>
  <c r="C811" i="20"/>
  <c r="D810" i="20"/>
  <c r="D811" i="20"/>
  <c r="C812" i="20"/>
  <c r="C813" i="20"/>
  <c r="D812" i="20"/>
  <c r="D813" i="20"/>
  <c r="C814" i="20"/>
  <c r="D814" i="20"/>
  <c r="C815" i="20"/>
  <c r="D815" i="20"/>
  <c r="C816" i="20"/>
  <c r="C817" i="20"/>
  <c r="D816" i="20"/>
  <c r="C818" i="20"/>
  <c r="D817" i="20"/>
  <c r="C819" i="20"/>
  <c r="D818" i="20"/>
  <c r="D819" i="20"/>
  <c r="C820" i="20"/>
  <c r="D820" i="20"/>
  <c r="C821" i="20"/>
  <c r="C822" i="20"/>
  <c r="D821" i="20"/>
  <c r="C823" i="20"/>
  <c r="D822" i="20"/>
  <c r="C824" i="20"/>
  <c r="D823" i="20"/>
  <c r="D824" i="20"/>
  <c r="C825" i="20"/>
  <c r="C826" i="20"/>
  <c r="D825" i="20"/>
  <c r="C827" i="20"/>
  <c r="D826" i="20"/>
  <c r="D827" i="20"/>
  <c r="C828" i="20"/>
  <c r="D828" i="20"/>
  <c r="C829" i="20"/>
  <c r="D829" i="20"/>
  <c r="C830" i="20"/>
  <c r="D830" i="20"/>
  <c r="C831" i="20"/>
  <c r="D831" i="20"/>
  <c r="C832" i="20"/>
  <c r="D832" i="20"/>
  <c r="C833" i="20"/>
  <c r="C834" i="20"/>
  <c r="D833" i="20"/>
  <c r="C835" i="20"/>
  <c r="D834" i="20"/>
  <c r="C836" i="20"/>
  <c r="D835" i="20"/>
  <c r="C837" i="20"/>
  <c r="D836" i="20"/>
  <c r="C838" i="20"/>
  <c r="D837" i="20"/>
  <c r="C839" i="20"/>
  <c r="D838" i="20"/>
  <c r="D839" i="20"/>
  <c r="C840" i="20"/>
  <c r="D840" i="20"/>
  <c r="C841" i="20"/>
  <c r="C842" i="20"/>
  <c r="D841" i="20"/>
  <c r="C843" i="20"/>
  <c r="D842" i="20"/>
  <c r="C844" i="20"/>
  <c r="D843" i="20"/>
  <c r="D844" i="20"/>
  <c r="C845" i="20"/>
  <c r="D845" i="20"/>
  <c r="C846" i="20"/>
  <c r="D846" i="20"/>
  <c r="C847" i="20"/>
  <c r="C848" i="20"/>
  <c r="D847" i="20"/>
  <c r="C849" i="20"/>
  <c r="D848" i="20"/>
  <c r="C850" i="20"/>
  <c r="D849" i="20"/>
  <c r="C851" i="20"/>
  <c r="D850" i="20"/>
  <c r="C852" i="20"/>
  <c r="D851" i="20"/>
  <c r="D852" i="20"/>
  <c r="C853" i="20"/>
  <c r="C854" i="20"/>
  <c r="D853" i="20"/>
  <c r="C855" i="20"/>
  <c r="D854" i="20"/>
  <c r="D855" i="20"/>
  <c r="C856" i="20"/>
  <c r="D856" i="20"/>
  <c r="C857" i="20"/>
  <c r="D857" i="20"/>
  <c r="C858" i="20"/>
  <c r="D858" i="20"/>
  <c r="C859" i="20"/>
  <c r="D859" i="20"/>
  <c r="C860" i="20"/>
  <c r="D860" i="20"/>
  <c r="C861" i="20"/>
  <c r="C862" i="20"/>
  <c r="D861" i="20"/>
  <c r="C863" i="20"/>
  <c r="D862" i="20"/>
  <c r="C864" i="20"/>
  <c r="D863" i="20"/>
  <c r="D864" i="20"/>
  <c r="C865" i="20"/>
  <c r="D865" i="20"/>
  <c r="C866" i="20"/>
  <c r="C867" i="20"/>
  <c r="D866" i="20"/>
  <c r="C868" i="20"/>
  <c r="D867" i="20"/>
  <c r="C869" i="20"/>
  <c r="D868" i="20"/>
  <c r="C870" i="20"/>
  <c r="D869" i="20"/>
  <c r="D870" i="20"/>
  <c r="C871" i="20"/>
  <c r="C872" i="20"/>
  <c r="D871" i="20"/>
  <c r="C873" i="20"/>
  <c r="D872" i="20"/>
  <c r="C874" i="20"/>
  <c r="D873" i="20"/>
  <c r="D874" i="20"/>
  <c r="C875" i="20"/>
  <c r="D875" i="20"/>
  <c r="C876" i="20"/>
  <c r="D876" i="20"/>
  <c r="C877" i="20"/>
  <c r="C878" i="20"/>
  <c r="D877" i="20"/>
  <c r="D878" i="20"/>
  <c r="C879" i="20"/>
  <c r="C880" i="20"/>
  <c r="D879" i="20"/>
  <c r="D880" i="20"/>
  <c r="C881" i="20"/>
  <c r="D881" i="20"/>
  <c r="C882" i="20"/>
  <c r="D882" i="20"/>
  <c r="C883" i="20"/>
  <c r="D883" i="20"/>
  <c r="C884" i="20"/>
  <c r="C885" i="20"/>
  <c r="D884" i="20"/>
  <c r="C886" i="20"/>
  <c r="D885" i="20"/>
  <c r="D886" i="20"/>
  <c r="C887" i="20"/>
  <c r="D887" i="20"/>
  <c r="C888" i="20"/>
  <c r="D888" i="20"/>
  <c r="C889" i="20"/>
  <c r="C890" i="20"/>
  <c r="D889" i="20"/>
  <c r="D890" i="20"/>
  <c r="C891" i="20"/>
  <c r="C892" i="20"/>
  <c r="D891" i="20"/>
  <c r="D892" i="20"/>
  <c r="C893" i="20"/>
  <c r="D893" i="20"/>
  <c r="C894" i="20"/>
  <c r="D894" i="20"/>
  <c r="C895" i="20"/>
  <c r="D895" i="20"/>
  <c r="C896" i="20"/>
  <c r="D896" i="20"/>
  <c r="C897" i="20"/>
  <c r="C898" i="20"/>
  <c r="D897" i="20"/>
  <c r="C899" i="20"/>
  <c r="D898" i="20"/>
  <c r="D899" i="20"/>
  <c r="C900" i="20"/>
  <c r="D900" i="20"/>
  <c r="C901" i="20"/>
  <c r="C902" i="20"/>
  <c r="D901" i="20"/>
  <c r="C903" i="20"/>
  <c r="D902" i="20"/>
  <c r="C904" i="20"/>
  <c r="D903" i="20"/>
  <c r="D904" i="20"/>
  <c r="C905" i="20"/>
  <c r="D905" i="20"/>
  <c r="C906" i="20"/>
  <c r="C907" i="20"/>
  <c r="D906" i="20"/>
  <c r="C908" i="20"/>
  <c r="D907" i="20"/>
  <c r="C909" i="20"/>
  <c r="D908" i="20"/>
  <c r="D909" i="20"/>
  <c r="C910" i="20"/>
  <c r="C911" i="20"/>
  <c r="D910" i="20"/>
  <c r="C912" i="20"/>
  <c r="D911" i="20"/>
  <c r="C913" i="20"/>
  <c r="D912" i="20"/>
  <c r="D913" i="20"/>
  <c r="C914" i="20"/>
  <c r="D914" i="20"/>
  <c r="C915" i="20"/>
  <c r="C916" i="20"/>
  <c r="D915" i="20"/>
  <c r="C917" i="20"/>
  <c r="D916" i="20"/>
  <c r="C918" i="20"/>
  <c r="D917" i="20"/>
  <c r="C919" i="20"/>
  <c r="D918" i="20"/>
  <c r="C920" i="20"/>
  <c r="D919" i="20"/>
  <c r="D920" i="20"/>
  <c r="C921" i="20"/>
  <c r="C922" i="20"/>
  <c r="D921" i="20"/>
  <c r="D922" i="20"/>
  <c r="C923" i="20"/>
  <c r="D923" i="20"/>
  <c r="C924" i="20"/>
  <c r="D924" i="20"/>
  <c r="C925" i="20"/>
  <c r="D925" i="20"/>
  <c r="C926" i="20"/>
  <c r="C927" i="20"/>
  <c r="D926" i="20"/>
  <c r="C928" i="20"/>
  <c r="D927" i="20"/>
  <c r="D928" i="20"/>
  <c r="C929" i="20"/>
  <c r="D929" i="20"/>
  <c r="C930" i="20"/>
  <c r="C931" i="20"/>
  <c r="D930" i="20"/>
  <c r="D931" i="20"/>
  <c r="C932" i="20"/>
  <c r="D932" i="20"/>
  <c r="C933" i="20"/>
  <c r="C934" i="20"/>
  <c r="D933" i="20"/>
  <c r="D934" i="20"/>
  <c r="C935" i="20"/>
  <c r="C936" i="20"/>
  <c r="D935" i="20"/>
  <c r="D936" i="20"/>
  <c r="C937" i="20"/>
  <c r="D937" i="20"/>
  <c r="C938" i="20"/>
  <c r="C939" i="20"/>
  <c r="D938" i="20"/>
  <c r="C940" i="20"/>
  <c r="D939" i="20"/>
  <c r="C941" i="20"/>
  <c r="D940" i="20"/>
  <c r="C942" i="20"/>
  <c r="D941" i="20"/>
  <c r="C943" i="20"/>
  <c r="D942" i="20"/>
  <c r="D943" i="20"/>
  <c r="C944" i="20"/>
  <c r="D944" i="20"/>
  <c r="C945" i="20"/>
  <c r="C946" i="20"/>
  <c r="D945" i="20"/>
  <c r="D946" i="20"/>
  <c r="C947" i="20"/>
  <c r="C948" i="20"/>
  <c r="D947" i="20"/>
  <c r="C949" i="20"/>
  <c r="D948" i="20"/>
  <c r="C950" i="20"/>
  <c r="D949" i="20"/>
  <c r="C951" i="20"/>
  <c r="D950" i="20"/>
  <c r="D951" i="20"/>
  <c r="C952" i="20"/>
  <c r="C953" i="20"/>
  <c r="D952" i="20"/>
  <c r="C954" i="20"/>
  <c r="D953" i="20"/>
  <c r="D954" i="20"/>
  <c r="C955" i="20"/>
  <c r="D955" i="20"/>
  <c r="C956" i="20"/>
  <c r="D956" i="20"/>
  <c r="C957" i="20"/>
  <c r="D957" i="20"/>
  <c r="C958" i="20"/>
  <c r="D958" i="20"/>
  <c r="C959" i="20"/>
  <c r="C960" i="20"/>
  <c r="D959" i="20"/>
  <c r="C961" i="20"/>
  <c r="D960" i="20"/>
  <c r="C962" i="20"/>
  <c r="D961" i="20"/>
  <c r="C963" i="20"/>
  <c r="D962" i="20"/>
  <c r="D963" i="20"/>
  <c r="C964" i="20"/>
  <c r="D964" i="20"/>
  <c r="C965" i="20"/>
  <c r="C966" i="20"/>
  <c r="D965" i="20"/>
  <c r="C967" i="20"/>
  <c r="D966" i="20"/>
  <c r="C968" i="20"/>
  <c r="D967" i="20"/>
  <c r="D968" i="20"/>
  <c r="C969" i="20"/>
  <c r="C970" i="20"/>
  <c r="D969" i="20"/>
  <c r="C971" i="20"/>
  <c r="D970" i="20"/>
  <c r="D971" i="20"/>
  <c r="C972" i="20"/>
  <c r="C973" i="20"/>
  <c r="D972" i="20"/>
  <c r="D973" i="20"/>
  <c r="C974" i="20"/>
  <c r="D974" i="20"/>
  <c r="C975" i="20"/>
  <c r="C976" i="20"/>
  <c r="D975" i="20"/>
  <c r="C977" i="20"/>
  <c r="D976" i="20"/>
  <c r="C978" i="20"/>
  <c r="D977" i="20"/>
  <c r="D978" i="20"/>
  <c r="C979" i="20"/>
  <c r="C980" i="20"/>
  <c r="D979" i="20"/>
  <c r="D980" i="20"/>
  <c r="C981" i="20"/>
  <c r="C982" i="20"/>
  <c r="D981" i="20"/>
  <c r="D982" i="20"/>
  <c r="C983" i="20"/>
  <c r="D983" i="20"/>
  <c r="C984" i="20"/>
  <c r="C985" i="20"/>
  <c r="D984" i="20"/>
  <c r="D985" i="20"/>
  <c r="C986" i="20"/>
  <c r="C987" i="20"/>
  <c r="D986" i="20"/>
  <c r="C988" i="20"/>
  <c r="D987" i="20"/>
  <c r="C989" i="20"/>
  <c r="D988" i="20"/>
  <c r="D989" i="20"/>
  <c r="C990" i="20"/>
  <c r="C991" i="20"/>
  <c r="D990" i="20"/>
  <c r="C992" i="20"/>
  <c r="D991" i="20"/>
  <c r="C993" i="20"/>
  <c r="D992" i="20"/>
  <c r="C994" i="20"/>
  <c r="D993" i="20"/>
  <c r="C995" i="20"/>
  <c r="D994" i="20"/>
  <c r="C996" i="20"/>
  <c r="D995" i="20"/>
  <c r="D996" i="20"/>
  <c r="C997" i="20"/>
  <c r="C998" i="20"/>
  <c r="D997" i="20"/>
  <c r="D998" i="20"/>
  <c r="C999" i="20"/>
  <c r="D999" i="20"/>
  <c r="C1000" i="20"/>
  <c r="D1000" i="20"/>
  <c r="C1001" i="20"/>
  <c r="C1002" i="20"/>
  <c r="D1001" i="20"/>
  <c r="C1003" i="20"/>
  <c r="D1002" i="20"/>
  <c r="D1003" i="20"/>
  <c r="C1004" i="20"/>
  <c r="C1005" i="20"/>
  <c r="D1004" i="20"/>
  <c r="D1005" i="20"/>
  <c r="C1006" i="20"/>
  <c r="C1007" i="20"/>
  <c r="D1006" i="20"/>
  <c r="C1008" i="20"/>
  <c r="D1007" i="20"/>
  <c r="C1009" i="20"/>
  <c r="D1008" i="20"/>
  <c r="C1010" i="20"/>
  <c r="D1009" i="20"/>
  <c r="D1010" i="20"/>
  <c r="C1011" i="20"/>
  <c r="C1012" i="20"/>
  <c r="D1011" i="20"/>
  <c r="D1012" i="20"/>
  <c r="C1013" i="20"/>
  <c r="D1013" i="20"/>
  <c r="C1014" i="20"/>
  <c r="C1015" i="20"/>
  <c r="D1014" i="20"/>
  <c r="C1016" i="20"/>
  <c r="D1015" i="20"/>
  <c r="C1017" i="20"/>
  <c r="D1016" i="20"/>
  <c r="D1017" i="20"/>
  <c r="C1018" i="20"/>
  <c r="D1018" i="20"/>
  <c r="C1019" i="20"/>
  <c r="D1019" i="20"/>
  <c r="C1020" i="20"/>
  <c r="D1020" i="20"/>
  <c r="C1021" i="20"/>
  <c r="C1022" i="20"/>
  <c r="D1021" i="20"/>
  <c r="D1022" i="20"/>
  <c r="C1023" i="20"/>
  <c r="C1024" i="20"/>
  <c r="D1023" i="20"/>
  <c r="D1024" i="20"/>
  <c r="C1025" i="20"/>
  <c r="C1026" i="20"/>
  <c r="D1025" i="20"/>
  <c r="D1026" i="20"/>
  <c r="C1027" i="20"/>
  <c r="C1028" i="20"/>
  <c r="D1027" i="20"/>
  <c r="C1029" i="20"/>
  <c r="D1028" i="20"/>
  <c r="C1030" i="20"/>
  <c r="D1029" i="20"/>
  <c r="D1030" i="20"/>
  <c r="C1031" i="20"/>
  <c r="D1031" i="20"/>
  <c r="C1032" i="20"/>
  <c r="C1033" i="20"/>
  <c r="D1032" i="20"/>
  <c r="C1034" i="20"/>
  <c r="D1033" i="20"/>
  <c r="D1034" i="20"/>
  <c r="C1035" i="20"/>
  <c r="C1036" i="20"/>
  <c r="D1035" i="20"/>
  <c r="D1036" i="20"/>
  <c r="C1037" i="20"/>
  <c r="C1038" i="20"/>
  <c r="D1037" i="20"/>
  <c r="C1039" i="20"/>
  <c r="D1038" i="20"/>
  <c r="C1040" i="20"/>
  <c r="D1039" i="20"/>
  <c r="C1041" i="20"/>
  <c r="D1040" i="20"/>
  <c r="C1042" i="20"/>
  <c r="D1041" i="20"/>
  <c r="D1042" i="20"/>
  <c r="C1043" i="20"/>
  <c r="D1043" i="20"/>
  <c r="C1044" i="20"/>
  <c r="D1044" i="20"/>
  <c r="C1045" i="20"/>
  <c r="C1046" i="20"/>
  <c r="D1045" i="20"/>
  <c r="C1047" i="20"/>
  <c r="D1046" i="20"/>
  <c r="C1048" i="20"/>
  <c r="D1047" i="20"/>
  <c r="C1049" i="20"/>
  <c r="D1048" i="20"/>
  <c r="D1049" i="20"/>
  <c r="C1050" i="20"/>
  <c r="D1050" i="20"/>
  <c r="C1051" i="20"/>
  <c r="D1051" i="20"/>
  <c r="C1052" i="20"/>
  <c r="D1052" i="20"/>
  <c r="C1053" i="20"/>
  <c r="C1054" i="20"/>
  <c r="D1053" i="20"/>
  <c r="C1055" i="20"/>
  <c r="D1054" i="20"/>
  <c r="C1056" i="20"/>
  <c r="D1055" i="20"/>
  <c r="C1057" i="20"/>
  <c r="D1056" i="20"/>
  <c r="D1057" i="20"/>
  <c r="C1058" i="20"/>
  <c r="C1059" i="20"/>
  <c r="D1058" i="20"/>
  <c r="D1059" i="20"/>
  <c r="C1060" i="20"/>
  <c r="C1061" i="20"/>
  <c r="D1060" i="20"/>
  <c r="C1062" i="20"/>
  <c r="D1061" i="20"/>
  <c r="C1063" i="20"/>
  <c r="D1062" i="20"/>
  <c r="D1063" i="20"/>
  <c r="C1064" i="20"/>
  <c r="D1064" i="20"/>
  <c r="C1065" i="20"/>
  <c r="D1065" i="20"/>
  <c r="C1066" i="20"/>
  <c r="D1066" i="20"/>
  <c r="C1067" i="20"/>
  <c r="D1067" i="20"/>
  <c r="C1068" i="20"/>
  <c r="D1068" i="20"/>
  <c r="C1069" i="20"/>
  <c r="C1070" i="20"/>
  <c r="D1069" i="20"/>
  <c r="D1070" i="20"/>
  <c r="C1071" i="20"/>
  <c r="D1071" i="20"/>
  <c r="C1072" i="20"/>
  <c r="C1073" i="20"/>
  <c r="D1072" i="20"/>
  <c r="D1073" i="20"/>
  <c r="C1074" i="20"/>
  <c r="C1075" i="20"/>
  <c r="D1074" i="20"/>
  <c r="D1075" i="20"/>
  <c r="C1076" i="20"/>
  <c r="D1076" i="20"/>
  <c r="C1077" i="20"/>
  <c r="D1077" i="20"/>
  <c r="C1078" i="20"/>
  <c r="C1079" i="20"/>
  <c r="D1078" i="20"/>
  <c r="C1080" i="20"/>
  <c r="D1079" i="20"/>
  <c r="C1081" i="20"/>
  <c r="D1080" i="20"/>
  <c r="D1081" i="20"/>
  <c r="C1082" i="20"/>
  <c r="C1083" i="20"/>
  <c r="D1082" i="20"/>
  <c r="C1084" i="20"/>
  <c r="D1083" i="20"/>
  <c r="D1084" i="20"/>
  <c r="C1085" i="20"/>
  <c r="D1085" i="20"/>
  <c r="C1086" i="20"/>
  <c r="D1086" i="20"/>
  <c r="C1087" i="20"/>
  <c r="D1087" i="20"/>
  <c r="C1088" i="20"/>
  <c r="D1088" i="20"/>
  <c r="C1089" i="20"/>
  <c r="D1089" i="20"/>
  <c r="C1090" i="20"/>
  <c r="C1091" i="20"/>
  <c r="D1090" i="20"/>
  <c r="C1092" i="20"/>
  <c r="D1091" i="20"/>
  <c r="C1093" i="20"/>
  <c r="D1092" i="20"/>
  <c r="D1093" i="20"/>
  <c r="C1094" i="20"/>
  <c r="C1095" i="20"/>
  <c r="D1094" i="20"/>
  <c r="C1096" i="20"/>
  <c r="D1095" i="20"/>
  <c r="D1096" i="20"/>
  <c r="C1097" i="20"/>
  <c r="C1098" i="20"/>
  <c r="D1097" i="20"/>
  <c r="D1098" i="20"/>
  <c r="C1099" i="20"/>
  <c r="D1099" i="20"/>
  <c r="C1100" i="20"/>
  <c r="D1100" i="20"/>
  <c r="C1101" i="20"/>
  <c r="C1102" i="20"/>
  <c r="D1101" i="20"/>
  <c r="C1103" i="20"/>
  <c r="D1102" i="20"/>
  <c r="D1103" i="20"/>
  <c r="C1104" i="20"/>
  <c r="D1104" i="20"/>
  <c r="C1105" i="20"/>
  <c r="C1106" i="20"/>
  <c r="D1105" i="20"/>
  <c r="C1107" i="20"/>
  <c r="D1106" i="20"/>
  <c r="C1108" i="20"/>
  <c r="D1107" i="20"/>
  <c r="C1109" i="20"/>
  <c r="D1108" i="20"/>
  <c r="C1110" i="20"/>
  <c r="D1109" i="20"/>
  <c r="C1111" i="20"/>
  <c r="D1110" i="20"/>
  <c r="D1111" i="20"/>
  <c r="C1112" i="20"/>
  <c r="D1112" i="20"/>
  <c r="C1113" i="20"/>
  <c r="D1113" i="20"/>
  <c r="C1114" i="20"/>
  <c r="D1114" i="20"/>
  <c r="C1115" i="20"/>
  <c r="C1116" i="20"/>
  <c r="D1115" i="20"/>
  <c r="D1116" i="20"/>
  <c r="C1117" i="20"/>
  <c r="D1117" i="20"/>
  <c r="C1118" i="20"/>
  <c r="D1118" i="20"/>
  <c r="C1119" i="20"/>
  <c r="C1120" i="20"/>
  <c r="D1119" i="20"/>
  <c r="D1120" i="20"/>
  <c r="C1121" i="20"/>
  <c r="D1121" i="20"/>
  <c r="C1122" i="20"/>
  <c r="C1123" i="20"/>
  <c r="D1122" i="20"/>
  <c r="C1124" i="20"/>
  <c r="D1123" i="20"/>
  <c r="C1125" i="20"/>
  <c r="D1124" i="20"/>
  <c r="D1125" i="20"/>
  <c r="C1126" i="20"/>
  <c r="C1127" i="20"/>
  <c r="D1126" i="20"/>
  <c r="D1127" i="20"/>
  <c r="C1128" i="20"/>
  <c r="D1128" i="20"/>
  <c r="C1129" i="20"/>
  <c r="C1130" i="20"/>
  <c r="D1129" i="20"/>
  <c r="C1131" i="20"/>
  <c r="D1130" i="20"/>
  <c r="C1132" i="20"/>
  <c r="D1131" i="20"/>
  <c r="D1132" i="20"/>
  <c r="C1133" i="20"/>
  <c r="D1133" i="20"/>
  <c r="C1134" i="20"/>
  <c r="C1135" i="20"/>
  <c r="D1134" i="20"/>
  <c r="D1135" i="20"/>
  <c r="C1136" i="20"/>
  <c r="D1136" i="20"/>
  <c r="C1137" i="20"/>
  <c r="D1137" i="20"/>
  <c r="C1138" i="20"/>
  <c r="C1139" i="20"/>
  <c r="D1138" i="20"/>
  <c r="D1139" i="20"/>
  <c r="C1140" i="20"/>
  <c r="C1141" i="20"/>
  <c r="D1140" i="20"/>
  <c r="C1142" i="20"/>
  <c r="D1141" i="20"/>
  <c r="C1143" i="20"/>
  <c r="D1142" i="20"/>
  <c r="C1144" i="20"/>
  <c r="D1143" i="20"/>
  <c r="D1144" i="20"/>
  <c r="C1145" i="20"/>
  <c r="D1145" i="20"/>
  <c r="C1146" i="20"/>
  <c r="D1146" i="20"/>
  <c r="C1147" i="20"/>
  <c r="D1147" i="20"/>
  <c r="C1148" i="20"/>
  <c r="D1148" i="20"/>
  <c r="C1149" i="20"/>
  <c r="D1149" i="20"/>
  <c r="C1150" i="20"/>
  <c r="C1151" i="20"/>
  <c r="D1150" i="20"/>
  <c r="C1152" i="20"/>
  <c r="D1151" i="20"/>
  <c r="D1152" i="20"/>
  <c r="C1153" i="20"/>
  <c r="D1153" i="20"/>
  <c r="C1154" i="20"/>
  <c r="C1155" i="20"/>
  <c r="D1154" i="20"/>
  <c r="D1155" i="20"/>
  <c r="C1156" i="20"/>
  <c r="C1157" i="20"/>
  <c r="D1156" i="20"/>
  <c r="D1157" i="20"/>
  <c r="C1158" i="20"/>
  <c r="C1159" i="20"/>
  <c r="D1158" i="20"/>
  <c r="D1159" i="20"/>
  <c r="C1160" i="20"/>
  <c r="C1161" i="20"/>
  <c r="D1160" i="20"/>
  <c r="D1161" i="20"/>
  <c r="C1162" i="20"/>
  <c r="D1162" i="20"/>
  <c r="C1163" i="20"/>
  <c r="D1163" i="20"/>
  <c r="C1164" i="20"/>
  <c r="D1164" i="20"/>
  <c r="C1165" i="20"/>
  <c r="C1166" i="20"/>
  <c r="D1165" i="20"/>
  <c r="C1167" i="20"/>
  <c r="D1166" i="20"/>
  <c r="C1168" i="20"/>
  <c r="D1167" i="20"/>
  <c r="D1168" i="20"/>
  <c r="C1169" i="20"/>
  <c r="C1170" i="20"/>
  <c r="D1169" i="20"/>
  <c r="D1170" i="20"/>
  <c r="C1171" i="20"/>
  <c r="C1172" i="20"/>
  <c r="D1171" i="20"/>
  <c r="D1172" i="20"/>
  <c r="C1173" i="20"/>
  <c r="C1174" i="20"/>
  <c r="D1173" i="20"/>
  <c r="D1174" i="20"/>
  <c r="C1175" i="20"/>
  <c r="D1175" i="20"/>
  <c r="C1176" i="20"/>
  <c r="D1176" i="20"/>
  <c r="C1177" i="20"/>
  <c r="D1177" i="20"/>
  <c r="C1178" i="20"/>
  <c r="D1178" i="20"/>
  <c r="C1179" i="20"/>
  <c r="D1179" i="20"/>
  <c r="C1180" i="20"/>
  <c r="D1180" i="20"/>
  <c r="C1181" i="20"/>
  <c r="C1182" i="20"/>
  <c r="D1181" i="20"/>
  <c r="D1182" i="20"/>
  <c r="C1183" i="20"/>
  <c r="C1184" i="20"/>
  <c r="D1183" i="20"/>
  <c r="D1184" i="20"/>
  <c r="C1185" i="20"/>
  <c r="C1186" i="20"/>
  <c r="D1185" i="20"/>
  <c r="D1186" i="20"/>
  <c r="C1187" i="20"/>
  <c r="D1187" i="20"/>
  <c r="C1188" i="20"/>
  <c r="C1189" i="20"/>
  <c r="D1188" i="20"/>
  <c r="C1190" i="20"/>
  <c r="D1189" i="20"/>
  <c r="C1191" i="20"/>
  <c r="D1190" i="20"/>
  <c r="C1192" i="20"/>
  <c r="D1191" i="20"/>
  <c r="C1193" i="20"/>
  <c r="D1192" i="20"/>
  <c r="D1193" i="20"/>
  <c r="C1194" i="20"/>
  <c r="C1195" i="20"/>
  <c r="D1194" i="20"/>
  <c r="C1196" i="20"/>
  <c r="D1195" i="20"/>
  <c r="D1196" i="20"/>
  <c r="C1197" i="20"/>
  <c r="D1197" i="20"/>
  <c r="C1198" i="20"/>
  <c r="C1199" i="20"/>
  <c r="D1198" i="20"/>
  <c r="C1200" i="20"/>
  <c r="D1199" i="20"/>
  <c r="D1200" i="20"/>
  <c r="C1201" i="20"/>
  <c r="C1202" i="20"/>
  <c r="D1201" i="20"/>
  <c r="D1202" i="20"/>
  <c r="C1203" i="20"/>
  <c r="D1203" i="20"/>
  <c r="C1204" i="20"/>
  <c r="C1205" i="20"/>
  <c r="D1204" i="20"/>
  <c r="C1206" i="20"/>
  <c r="D1205" i="20"/>
  <c r="D1206" i="20"/>
  <c r="C1207" i="20"/>
  <c r="D1207" i="20"/>
  <c r="C1208" i="20"/>
  <c r="C1209" i="20"/>
  <c r="D1208" i="20"/>
  <c r="C1210" i="20"/>
  <c r="D1209" i="20"/>
  <c r="C1211" i="20"/>
  <c r="D1210" i="20"/>
  <c r="C1212" i="20"/>
  <c r="D1211" i="20"/>
  <c r="C1213" i="20"/>
  <c r="D1212" i="20"/>
  <c r="D1213" i="20"/>
  <c r="C1214" i="20"/>
  <c r="C1215" i="20"/>
  <c r="D1214" i="20"/>
  <c r="D1215" i="20"/>
  <c r="C1216" i="20"/>
  <c r="D1216" i="20"/>
  <c r="C1217" i="20"/>
  <c r="C1218" i="20"/>
  <c r="D1217" i="20"/>
  <c r="C1219" i="20"/>
  <c r="D1218" i="20"/>
  <c r="C1220" i="20"/>
  <c r="D1219" i="20"/>
  <c r="D1220" i="20"/>
  <c r="C1221" i="20"/>
  <c r="D1221" i="20"/>
  <c r="C1222" i="20"/>
  <c r="D1222" i="20"/>
  <c r="C1223" i="20"/>
  <c r="C1224" i="20"/>
  <c r="D1223" i="20"/>
  <c r="C1225" i="20"/>
  <c r="D1224" i="20"/>
  <c r="D1225" i="20"/>
  <c r="C1226" i="20"/>
  <c r="C1227" i="20"/>
  <c r="D1226" i="20"/>
  <c r="C1228" i="20"/>
  <c r="D1227" i="20"/>
  <c r="C1229" i="20"/>
  <c r="D1228" i="20"/>
  <c r="D1229" i="20"/>
  <c r="C1230" i="20"/>
  <c r="C1231" i="20"/>
  <c r="D1230" i="20"/>
  <c r="C1232" i="20"/>
  <c r="D1231" i="20"/>
  <c r="C1233" i="20"/>
  <c r="D1232" i="20"/>
  <c r="D1233" i="20"/>
  <c r="C1234" i="20"/>
  <c r="D1234" i="20"/>
  <c r="C1235" i="20"/>
  <c r="D1235" i="20"/>
  <c r="C1236" i="20"/>
  <c r="D1236" i="20"/>
  <c r="C1237" i="20"/>
  <c r="D1237" i="20"/>
  <c r="C1238" i="20"/>
  <c r="C1239" i="20"/>
  <c r="D1238" i="20"/>
  <c r="C1240" i="20"/>
  <c r="D1239" i="20"/>
  <c r="C1241" i="20"/>
  <c r="D1240" i="20"/>
  <c r="D1241" i="20"/>
  <c r="C1242" i="20"/>
  <c r="D1242" i="20"/>
  <c r="C1243" i="20"/>
  <c r="D1243" i="20"/>
  <c r="C1244" i="20"/>
  <c r="D1244" i="20"/>
  <c r="C1245" i="20"/>
  <c r="D1245" i="20"/>
  <c r="C1246" i="20"/>
  <c r="C1247" i="20"/>
  <c r="D1246" i="20"/>
  <c r="D1247" i="20"/>
  <c r="C1248" i="20"/>
  <c r="C1249" i="20"/>
  <c r="D1248" i="20"/>
  <c r="D1249" i="20"/>
  <c r="C1250" i="20"/>
  <c r="D1250" i="20"/>
  <c r="C1251" i="20"/>
  <c r="C1252" i="20"/>
  <c r="D1251" i="20"/>
  <c r="D1252" i="20"/>
  <c r="C1253" i="20"/>
  <c r="D1253" i="20"/>
  <c r="C1254" i="20"/>
  <c r="D1254" i="20"/>
  <c r="C1255" i="20"/>
  <c r="C1256" i="20"/>
  <c r="D1255" i="20"/>
  <c r="C1257" i="20"/>
  <c r="D1256" i="20"/>
  <c r="D1257" i="20"/>
  <c r="C1258" i="20"/>
  <c r="C1259" i="20"/>
  <c r="D1258" i="20"/>
  <c r="C1260" i="20"/>
  <c r="D1259" i="20"/>
  <c r="C1261" i="20"/>
  <c r="D1260" i="20"/>
  <c r="C1262" i="20"/>
  <c r="D1261" i="20"/>
  <c r="C1263" i="20"/>
  <c r="D1262" i="20"/>
  <c r="D1263" i="20"/>
  <c r="C1264" i="20"/>
  <c r="C1265" i="20"/>
  <c r="D1264" i="20"/>
  <c r="D1265" i="20"/>
  <c r="C1266" i="20"/>
  <c r="C1267" i="20"/>
  <c r="D1266" i="20"/>
  <c r="D1267" i="20"/>
  <c r="C1268" i="20"/>
  <c r="D1268" i="20"/>
  <c r="C1269" i="20"/>
  <c r="C1270" i="20"/>
  <c r="D1269" i="20"/>
  <c r="C1271" i="20"/>
  <c r="D1270" i="20"/>
  <c r="C1272" i="20"/>
  <c r="D1271" i="20"/>
  <c r="C1273" i="20"/>
  <c r="D1272" i="20"/>
  <c r="D1273" i="20"/>
  <c r="C1274" i="20"/>
  <c r="C1275" i="20"/>
  <c r="D1274" i="20"/>
  <c r="D1275" i="20"/>
  <c r="C1276" i="20"/>
  <c r="C1277" i="20"/>
  <c r="D1276" i="20"/>
  <c r="C1278" i="20"/>
  <c r="D1277" i="20"/>
  <c r="D1278" i="20"/>
  <c r="C1279" i="20"/>
  <c r="D1279" i="20"/>
  <c r="C1280" i="20"/>
  <c r="C1281" i="20"/>
  <c r="D1280" i="20"/>
  <c r="C1282" i="20"/>
  <c r="D1281" i="20"/>
  <c r="C1283" i="20"/>
  <c r="D1282" i="20"/>
  <c r="D1283" i="20"/>
  <c r="C1284" i="20"/>
  <c r="D1284" i="20"/>
  <c r="C1285" i="20"/>
  <c r="D1285" i="20"/>
  <c r="C1286" i="20"/>
  <c r="C1287" i="20"/>
  <c r="D1286" i="20"/>
  <c r="D1287" i="20"/>
  <c r="C1288" i="20"/>
  <c r="C1289" i="20"/>
  <c r="D1288" i="20"/>
  <c r="C1290" i="20"/>
  <c r="D1289" i="20"/>
  <c r="D1290" i="20"/>
  <c r="C1291" i="20"/>
  <c r="C1292" i="20"/>
  <c r="D1291" i="20"/>
  <c r="C1293" i="20"/>
  <c r="D1292" i="20"/>
  <c r="D1293" i="20"/>
  <c r="C1294" i="20"/>
  <c r="D1294" i="20"/>
  <c r="C1295" i="20"/>
  <c r="C1296" i="20"/>
  <c r="D1295" i="20"/>
  <c r="C1297" i="20"/>
  <c r="D1296" i="20"/>
  <c r="C1298" i="20"/>
  <c r="D1297" i="20"/>
  <c r="C1299" i="20"/>
  <c r="D1298" i="20"/>
  <c r="C1300" i="20"/>
  <c r="D1299" i="20"/>
  <c r="D1300" i="20"/>
  <c r="C1301" i="20"/>
  <c r="D1301" i="20"/>
  <c r="C1302" i="20"/>
  <c r="C1303" i="20"/>
  <c r="D1302" i="20"/>
  <c r="C1304" i="20"/>
  <c r="D1303" i="20"/>
  <c r="C1305" i="20"/>
  <c r="D1304" i="20"/>
  <c r="C1306" i="20"/>
  <c r="D1305" i="20"/>
  <c r="D1306" i="20"/>
  <c r="C1307" i="20"/>
  <c r="D1307" i="20"/>
  <c r="C1308" i="20"/>
  <c r="C1309" i="20"/>
  <c r="D1308" i="20"/>
  <c r="D1309" i="20"/>
  <c r="C1310" i="20"/>
  <c r="D1310" i="20"/>
  <c r="C1311" i="20"/>
  <c r="C1312" i="20"/>
  <c r="D1311" i="20"/>
  <c r="C1313" i="20"/>
  <c r="D1312" i="20"/>
  <c r="C1314" i="20"/>
  <c r="D1313" i="20"/>
  <c r="C1315" i="20"/>
  <c r="D1314" i="20"/>
  <c r="D1315" i="20"/>
  <c r="C1316" i="20"/>
  <c r="D1316" i="20"/>
  <c r="C1317" i="20"/>
  <c r="D1317" i="20"/>
  <c r="C1318" i="20"/>
  <c r="C1319" i="20"/>
  <c r="D1318" i="20"/>
  <c r="C1320" i="20"/>
  <c r="D1319" i="20"/>
  <c r="C1321" i="20"/>
  <c r="D1320" i="20"/>
  <c r="C1322" i="20"/>
  <c r="D1321" i="20"/>
  <c r="D1322" i="20"/>
  <c r="C1323" i="20"/>
  <c r="D1323" i="20"/>
  <c r="C1324" i="20"/>
  <c r="C1325" i="20"/>
  <c r="D1324" i="20"/>
  <c r="D1325" i="20"/>
  <c r="C1326" i="20"/>
  <c r="D1326" i="20"/>
  <c r="C1327" i="20"/>
  <c r="C1328" i="20"/>
  <c r="D1327" i="20"/>
  <c r="C1329" i="20"/>
  <c r="D1328" i="20"/>
  <c r="D1329" i="20"/>
  <c r="C1330" i="20"/>
  <c r="D1330" i="20"/>
  <c r="C1331" i="20"/>
  <c r="C1332" i="20"/>
  <c r="D1331" i="20"/>
  <c r="D1332" i="20"/>
  <c r="C1333" i="20"/>
  <c r="C1334" i="20"/>
  <c r="D1333" i="20"/>
  <c r="C1335" i="20"/>
  <c r="D1334" i="20"/>
  <c r="D1335" i="20"/>
  <c r="C1336" i="20"/>
  <c r="C1337" i="20"/>
  <c r="D1336" i="20"/>
  <c r="C1338" i="20"/>
  <c r="D1337" i="20"/>
  <c r="D1338" i="20"/>
  <c r="C1339" i="20"/>
  <c r="D1339" i="20"/>
  <c r="C1340" i="20"/>
  <c r="D1340" i="20"/>
  <c r="C1341" i="20"/>
  <c r="D1341" i="20"/>
  <c r="C1342" i="20"/>
  <c r="D1342" i="20"/>
  <c r="C1343" i="20"/>
  <c r="D1343" i="20"/>
  <c r="C1344" i="20"/>
  <c r="D1344" i="20"/>
  <c r="C1345" i="20"/>
  <c r="D1345" i="20"/>
  <c r="C1346" i="20"/>
  <c r="C1347" i="20"/>
  <c r="D1346" i="20"/>
  <c r="C1348" i="20"/>
  <c r="D1347" i="20"/>
  <c r="C1349" i="20"/>
  <c r="D1348" i="20"/>
  <c r="D1349" i="20"/>
  <c r="C1350" i="20"/>
  <c r="D1350" i="20"/>
  <c r="C1351" i="20"/>
  <c r="C1352" i="20"/>
  <c r="D1351" i="20"/>
  <c r="D1352" i="20"/>
  <c r="C1353" i="20"/>
  <c r="C1354" i="20"/>
  <c r="D1353" i="20"/>
  <c r="C1355" i="20"/>
  <c r="D1354" i="20"/>
  <c r="D1355" i="20"/>
  <c r="C1356" i="20"/>
  <c r="D1356" i="20"/>
  <c r="C1357" i="20"/>
  <c r="C1358" i="20"/>
  <c r="D1357" i="20"/>
  <c r="C1359" i="20"/>
  <c r="D1358" i="20"/>
  <c r="C1360" i="20"/>
  <c r="D1359" i="20"/>
  <c r="C1361" i="20"/>
  <c r="D1360" i="20"/>
  <c r="D1361" i="20"/>
  <c r="C1362" i="20"/>
  <c r="C1363" i="20"/>
  <c r="D1362" i="20"/>
  <c r="D1363" i="20"/>
  <c r="C1364" i="20"/>
  <c r="C1365" i="20"/>
  <c r="D1364" i="20"/>
  <c r="D1365" i="20"/>
  <c r="C1366" i="20"/>
  <c r="D1366" i="20"/>
  <c r="C1367" i="20"/>
  <c r="D1367" i="20"/>
  <c r="C1368" i="20"/>
  <c r="C1369" i="20"/>
  <c r="D1368" i="20"/>
  <c r="D1369" i="20"/>
  <c r="C1370" i="20"/>
  <c r="D1370" i="20"/>
  <c r="C1371" i="20"/>
  <c r="C1372" i="20"/>
  <c r="D1371" i="20"/>
  <c r="C1373" i="20"/>
  <c r="D1372" i="20"/>
  <c r="C1374" i="20"/>
  <c r="D1373" i="20"/>
  <c r="D1374" i="20"/>
  <c r="C1375" i="20"/>
  <c r="C1376" i="20"/>
  <c r="D1375" i="20"/>
  <c r="D1376" i="20"/>
  <c r="C1377" i="20"/>
  <c r="D1377" i="20"/>
  <c r="C1378" i="20"/>
  <c r="C1379" i="20"/>
  <c r="D1378" i="20"/>
  <c r="D1379" i="20"/>
  <c r="C1380" i="20"/>
  <c r="D1380" i="20"/>
  <c r="C1381" i="20"/>
  <c r="D1381" i="20"/>
  <c r="C1382" i="20"/>
  <c r="C1383" i="20"/>
  <c r="D1382" i="20"/>
  <c r="C1384" i="20"/>
  <c r="D1383" i="20"/>
  <c r="C1385" i="20"/>
  <c r="D1384" i="20"/>
  <c r="D1385" i="20"/>
  <c r="C1386" i="20"/>
  <c r="D1386" i="20"/>
  <c r="C1387" i="20"/>
  <c r="C1388" i="20"/>
  <c r="D1387" i="20"/>
  <c r="D1388" i="20"/>
  <c r="C1389" i="20"/>
  <c r="D1389" i="20"/>
  <c r="C1390" i="20"/>
  <c r="C1391" i="20"/>
  <c r="D1390" i="20"/>
  <c r="D1391" i="20"/>
  <c r="C1392" i="20"/>
  <c r="C1393" i="20"/>
  <c r="D1392" i="20"/>
  <c r="D1393" i="20"/>
  <c r="C1394" i="20"/>
  <c r="D1394" i="20"/>
  <c r="C1395" i="20"/>
  <c r="C1396" i="20"/>
  <c r="D1395" i="20"/>
  <c r="D1396" i="20"/>
  <c r="C1397" i="20"/>
  <c r="C1398" i="20"/>
  <c r="D1397" i="20"/>
  <c r="D1398" i="20"/>
  <c r="C1399" i="20"/>
  <c r="C1400" i="20"/>
  <c r="D1399" i="20"/>
  <c r="C1401" i="20"/>
  <c r="D1400" i="20"/>
  <c r="C1402" i="20"/>
  <c r="D1401" i="20"/>
  <c r="D1402" i="20"/>
  <c r="C1403" i="20"/>
  <c r="D1403" i="20"/>
  <c r="C1404" i="20"/>
  <c r="D1404" i="20"/>
  <c r="C1405" i="20"/>
  <c r="C1406" i="20"/>
  <c r="D1405" i="20"/>
  <c r="C1407" i="20"/>
  <c r="D1406" i="20"/>
  <c r="D1407" i="20"/>
  <c r="C1408" i="20"/>
  <c r="D1408" i="20"/>
  <c r="C1409" i="20"/>
  <c r="D1409" i="20"/>
  <c r="C1410" i="20"/>
  <c r="C1411" i="20"/>
  <c r="D1410" i="20"/>
  <c r="D1411" i="20"/>
  <c r="C1412" i="20"/>
  <c r="D1412" i="20"/>
  <c r="C1413" i="20"/>
  <c r="C1414" i="20"/>
  <c r="D1413" i="20"/>
  <c r="D1414" i="20"/>
  <c r="C1415" i="20"/>
  <c r="D1415" i="20"/>
  <c r="C1416" i="20"/>
  <c r="D1416" i="20"/>
  <c r="C1417" i="20"/>
  <c r="C1418" i="20"/>
  <c r="D1417" i="20"/>
  <c r="D1418" i="20"/>
  <c r="C1419" i="20"/>
  <c r="D1419" i="20"/>
  <c r="C1420" i="20"/>
  <c r="C1421" i="20"/>
  <c r="D1420" i="20"/>
  <c r="C1422" i="20"/>
  <c r="D1421" i="20"/>
  <c r="D1422" i="20"/>
  <c r="C1423" i="20"/>
  <c r="D1423" i="20"/>
  <c r="C1424" i="20"/>
  <c r="C1425" i="20"/>
  <c r="D1424" i="20"/>
  <c r="C1426" i="20"/>
  <c r="D1425" i="20"/>
  <c r="C1427" i="20"/>
  <c r="D1426" i="20"/>
  <c r="D1427" i="20"/>
  <c r="C1428" i="20"/>
  <c r="C1429" i="20"/>
  <c r="D1428" i="20"/>
  <c r="D1429" i="20"/>
  <c r="C1430" i="20"/>
  <c r="D1430" i="20"/>
  <c r="C1431" i="20"/>
  <c r="D1431" i="20"/>
  <c r="C1432" i="20"/>
  <c r="D1432" i="20"/>
  <c r="C1433" i="20"/>
  <c r="D1433" i="20"/>
  <c r="C1434" i="20"/>
  <c r="D1434" i="20"/>
  <c r="C1435" i="20"/>
  <c r="D1435" i="20"/>
  <c r="C1436" i="20"/>
  <c r="D1436" i="20"/>
  <c r="C1437" i="20"/>
  <c r="D1437" i="20"/>
  <c r="C1438" i="20"/>
  <c r="C1439" i="20"/>
  <c r="D1438" i="20"/>
  <c r="D1439" i="20"/>
  <c r="C1440" i="20"/>
  <c r="C1441" i="20"/>
  <c r="D1440" i="20"/>
  <c r="D1441" i="20"/>
  <c r="C1442" i="20"/>
  <c r="D1442" i="20"/>
  <c r="C1443" i="20"/>
  <c r="C1444" i="20"/>
  <c r="D1443" i="20"/>
  <c r="C1445" i="20"/>
  <c r="D1444" i="20"/>
  <c r="D1445" i="20"/>
  <c r="C1446" i="20"/>
  <c r="D1446" i="20"/>
  <c r="C1447" i="20"/>
  <c r="C1448" i="20"/>
  <c r="D1447" i="20"/>
  <c r="D1448" i="20"/>
  <c r="C1449" i="20"/>
  <c r="D1449" i="20"/>
  <c r="C1450" i="20"/>
  <c r="C1451" i="20"/>
  <c r="D1450" i="20"/>
  <c r="D1451" i="20"/>
  <c r="C1452" i="20"/>
  <c r="D1452" i="20"/>
  <c r="C1453" i="20"/>
  <c r="C1454" i="20"/>
  <c r="D1453" i="20"/>
  <c r="C1455" i="20"/>
  <c r="D1454" i="20"/>
  <c r="D1455" i="20"/>
  <c r="C1456" i="20"/>
  <c r="D1456" i="20"/>
  <c r="C1457" i="20"/>
  <c r="D1457" i="20"/>
  <c r="C1458" i="20"/>
  <c r="D1458" i="20"/>
  <c r="C1459" i="20"/>
  <c r="C1460" i="20"/>
  <c r="D1459" i="20"/>
  <c r="D1460" i="20"/>
  <c r="C1461" i="20"/>
  <c r="C1462" i="20"/>
  <c r="D1461" i="20"/>
  <c r="C1463" i="20"/>
  <c r="D1462" i="20"/>
  <c r="D1463" i="20"/>
  <c r="C1464" i="20"/>
  <c r="D1464" i="20"/>
  <c r="C1465" i="20"/>
  <c r="C1466" i="20"/>
  <c r="D1465" i="20"/>
  <c r="C1467" i="20"/>
  <c r="D1466" i="20"/>
  <c r="C1468" i="20"/>
  <c r="D1467" i="20"/>
  <c r="D1468" i="20"/>
  <c r="C1469" i="20"/>
  <c r="C1470" i="20"/>
  <c r="D1469" i="20"/>
  <c r="D1470" i="20"/>
  <c r="C1471" i="20"/>
  <c r="C1472" i="20"/>
  <c r="D1471" i="20"/>
  <c r="C1473" i="20"/>
  <c r="D1472" i="20"/>
  <c r="C1474" i="20"/>
  <c r="D1473" i="20"/>
  <c r="C1475" i="20"/>
  <c r="D1474" i="20"/>
  <c r="C1476" i="20"/>
  <c r="D1475" i="20"/>
  <c r="C1477" i="20"/>
  <c r="D1476" i="20"/>
  <c r="C1478" i="20"/>
  <c r="D1477" i="20"/>
  <c r="C1479" i="20"/>
  <c r="D1478" i="20"/>
  <c r="D1479" i="20"/>
  <c r="C1480" i="20"/>
  <c r="D1480" i="20"/>
  <c r="C1481" i="20"/>
  <c r="D1481" i="20"/>
  <c r="C1482" i="20"/>
  <c r="C1483" i="20"/>
  <c r="D1482" i="20"/>
  <c r="D1483" i="20"/>
  <c r="C1484" i="20"/>
  <c r="C1485" i="20"/>
  <c r="D1484" i="20"/>
  <c r="C1486" i="20"/>
  <c r="D1485" i="20"/>
  <c r="C1487" i="20"/>
  <c r="D1486" i="20"/>
  <c r="C1488" i="20"/>
  <c r="D1487" i="20"/>
  <c r="C1489" i="20"/>
  <c r="D1488" i="20"/>
  <c r="C1490" i="20"/>
  <c r="D1489" i="20"/>
  <c r="D1490" i="20"/>
  <c r="C1491" i="20"/>
  <c r="C1492" i="20"/>
  <c r="D1491" i="20"/>
  <c r="D1492" i="20"/>
  <c r="C1493" i="20"/>
  <c r="D1493" i="20"/>
  <c r="C1494" i="20"/>
  <c r="C1495" i="20"/>
  <c r="D1494" i="20"/>
  <c r="C1496" i="20"/>
  <c r="D1495" i="20"/>
  <c r="C1497" i="20"/>
  <c r="D1496" i="20"/>
  <c r="D1497" i="20"/>
  <c r="C1498" i="20"/>
  <c r="D1498" i="20"/>
  <c r="C1499" i="20"/>
  <c r="D1499" i="20"/>
  <c r="C1500" i="20"/>
  <c r="C1501" i="20"/>
  <c r="D1500" i="20"/>
  <c r="C1502" i="20"/>
  <c r="D1501" i="20"/>
  <c r="C1503" i="20"/>
  <c r="D1502" i="20"/>
  <c r="D1503" i="20"/>
  <c r="C1504" i="20"/>
  <c r="C1505" i="20"/>
  <c r="D1504" i="20"/>
  <c r="D1505" i="20"/>
  <c r="C1506" i="20"/>
  <c r="C1507" i="20"/>
  <c r="D1506" i="20"/>
  <c r="C1508" i="20"/>
  <c r="D1507" i="20"/>
  <c r="D1508" i="20"/>
  <c r="C1509" i="20"/>
  <c r="C1510" i="20"/>
  <c r="D1509" i="20"/>
  <c r="D1510" i="20"/>
  <c r="C1511" i="20"/>
  <c r="C1512" i="20"/>
  <c r="D1511" i="20"/>
  <c r="D1512" i="20"/>
  <c r="C1513" i="20"/>
  <c r="C1514" i="20"/>
  <c r="D1513" i="20"/>
  <c r="C1515" i="20"/>
  <c r="D1514" i="20"/>
  <c r="D1515" i="20"/>
  <c r="C1516" i="20"/>
  <c r="D1516" i="20"/>
  <c r="C1517" i="20"/>
  <c r="D1517" i="20"/>
  <c r="C1518" i="20"/>
  <c r="D1518" i="20"/>
  <c r="C1519" i="20"/>
  <c r="D1519" i="20" s="1"/>
  <c r="E37" i="20" l="1"/>
  <c r="E81" i="20"/>
  <c r="E145" i="20"/>
  <c r="E38" i="20"/>
  <c r="E111" i="20"/>
  <c r="E184" i="20"/>
  <c r="E250" i="20"/>
  <c r="E314" i="20"/>
  <c r="E378" i="20"/>
  <c r="E442" i="20"/>
  <c r="E506" i="20"/>
  <c r="E570" i="20"/>
  <c r="E634" i="20"/>
  <c r="E698" i="20"/>
  <c r="E762" i="20"/>
  <c r="E826" i="20"/>
  <c r="E890" i="20"/>
  <c r="E954" i="20"/>
  <c r="E1018" i="20"/>
  <c r="E1082" i="20"/>
  <c r="E1146" i="20"/>
  <c r="E1210" i="20"/>
  <c r="E1274" i="20"/>
  <c r="E1338" i="20"/>
  <c r="E1402" i="20"/>
  <c r="E1466" i="20"/>
  <c r="E787" i="20"/>
  <c r="E947" i="20"/>
  <c r="E85" i="20"/>
  <c r="E158" i="20"/>
  <c r="E227" i="20"/>
  <c r="E291" i="20"/>
  <c r="E355" i="20"/>
  <c r="E419" i="20"/>
  <c r="E483" i="20"/>
  <c r="E555" i="20"/>
  <c r="E619" i="20"/>
  <c r="E683" i="20"/>
  <c r="E747" i="20"/>
  <c r="E819" i="20"/>
  <c r="E939" i="20"/>
  <c r="E86" i="20"/>
  <c r="E159" i="20"/>
  <c r="E228" i="20"/>
  <c r="E292" i="20"/>
  <c r="E356" i="20"/>
  <c r="E420" i="20"/>
  <c r="E484" i="20"/>
  <c r="E548" i="20"/>
  <c r="E612" i="20"/>
  <c r="E676" i="20"/>
  <c r="E740" i="20"/>
  <c r="E804" i="20"/>
  <c r="E868" i="20"/>
  <c r="E932" i="20"/>
  <c r="E996" i="20"/>
  <c r="E1060" i="20"/>
  <c r="E1124" i="20"/>
  <c r="E1188" i="20"/>
  <c r="E1252" i="20"/>
  <c r="E1316" i="20"/>
  <c r="E1380" i="20"/>
  <c r="E1444" i="20"/>
  <c r="E1508" i="20"/>
  <c r="E109" i="20"/>
  <c r="E223" i="20"/>
  <c r="E326" i="20"/>
  <c r="E429" i="20"/>
  <c r="E529" i="20"/>
  <c r="E632" i="20"/>
  <c r="E735" i="20"/>
  <c r="E838" i="20"/>
  <c r="E941" i="20"/>
  <c r="E1030" i="20"/>
  <c r="E1115" i="20"/>
  <c r="E1200" i="20"/>
  <c r="E1286" i="20"/>
  <c r="E1371" i="20"/>
  <c r="E1456" i="20"/>
  <c r="E971" i="20"/>
  <c r="E1302" i="20"/>
  <c r="E90" i="20"/>
  <c r="E473" i="20"/>
  <c r="E718" i="20"/>
  <c r="E1025" i="20"/>
  <c r="E1271" i="20"/>
  <c r="E1505" i="20"/>
  <c r="E126" i="20"/>
  <c r="E238" i="20"/>
  <c r="E341" i="20"/>
  <c r="E441" i="20"/>
  <c r="E544" i="20"/>
  <c r="E647" i="20"/>
  <c r="E750" i="20"/>
  <c r="E853" i="20"/>
  <c r="E953" i="20"/>
  <c r="E1041" i="20"/>
  <c r="E1127" i="20"/>
  <c r="E1213" i="20"/>
  <c r="E1297" i="20"/>
  <c r="E1383" i="20"/>
  <c r="E1469" i="20"/>
  <c r="E1014" i="20"/>
  <c r="E1280" i="20"/>
  <c r="E147" i="20"/>
  <c r="E679" i="20"/>
  <c r="E1047" i="20"/>
  <c r="E1325" i="20"/>
  <c r="E54" i="20"/>
  <c r="E172" i="20"/>
  <c r="E278" i="20"/>
  <c r="E381" i="20"/>
  <c r="E481" i="20"/>
  <c r="E584" i="20"/>
  <c r="E687" i="20"/>
  <c r="E790" i="20"/>
  <c r="E893" i="20"/>
  <c r="E990" i="20"/>
  <c r="E1075" i="20"/>
  <c r="E1160" i="20"/>
  <c r="E1246" i="20"/>
  <c r="E1331" i="20"/>
  <c r="E1416" i="20"/>
  <c r="E1502" i="20"/>
  <c r="E116" i="20"/>
  <c r="E229" i="20"/>
  <c r="E329" i="20"/>
  <c r="E432" i="20"/>
  <c r="E535" i="20"/>
  <c r="E638" i="20"/>
  <c r="E741" i="20"/>
  <c r="E841" i="20"/>
  <c r="E944" i="20"/>
  <c r="E1033" i="20"/>
  <c r="E1119" i="20"/>
  <c r="E1205" i="20"/>
  <c r="E1289" i="20"/>
  <c r="E1375" i="20"/>
  <c r="E1461" i="20"/>
  <c r="E60" i="20"/>
  <c r="E174" i="20"/>
  <c r="E280" i="20"/>
  <c r="E383" i="20"/>
  <c r="E486" i="20"/>
  <c r="E600" i="20"/>
  <c r="E717" i="20"/>
  <c r="E817" i="20"/>
  <c r="E959" i="20"/>
  <c r="E1099" i="20"/>
  <c r="E1334" i="20"/>
  <c r="E1504" i="20"/>
  <c r="E281" i="20"/>
  <c r="E487" i="20"/>
  <c r="E729" i="20"/>
  <c r="E973" i="20"/>
  <c r="E1229" i="20"/>
  <c r="E1463" i="20"/>
  <c r="E360" i="20"/>
  <c r="E769" i="20"/>
  <c r="E1144" i="20"/>
  <c r="E1486" i="20"/>
  <c r="E1061" i="20"/>
  <c r="E1445" i="20"/>
  <c r="E1113" i="20"/>
  <c r="E965" i="20"/>
  <c r="E208" i="20"/>
  <c r="E670" i="20"/>
  <c r="E1177" i="20"/>
  <c r="E374" i="20"/>
  <c r="E783" i="20"/>
  <c r="E1155" i="20"/>
  <c r="E1496" i="20"/>
  <c r="E478" i="20"/>
  <c r="E1241" i="20"/>
  <c r="E1433" i="20"/>
  <c r="E438" i="20"/>
  <c r="E847" i="20"/>
  <c r="E1208" i="20"/>
  <c r="E63" i="20"/>
  <c r="E489" i="20"/>
  <c r="E901" i="20"/>
  <c r="E1253" i="20"/>
  <c r="E135" i="20"/>
  <c r="E552" i="20"/>
  <c r="E961" i="20"/>
  <c r="E1304" i="20"/>
  <c r="E197" i="20"/>
  <c r="E1305" i="20"/>
  <c r="E25" i="20"/>
  <c r="E89" i="20"/>
  <c r="E153" i="20"/>
  <c r="E47" i="20"/>
  <c r="E120" i="20"/>
  <c r="E194" i="20"/>
  <c r="E258" i="20"/>
  <c r="E322" i="20"/>
  <c r="E386" i="20"/>
  <c r="E450" i="20"/>
  <c r="E514" i="20"/>
  <c r="E578" i="20"/>
  <c r="E642" i="20"/>
  <c r="E706" i="20"/>
  <c r="E770" i="20"/>
  <c r="E834" i="20"/>
  <c r="E898" i="20"/>
  <c r="E962" i="20"/>
  <c r="E1026" i="20"/>
  <c r="E1090" i="20"/>
  <c r="E1154" i="20"/>
  <c r="E1218" i="20"/>
  <c r="E1282" i="20"/>
  <c r="E1346" i="20"/>
  <c r="E1410" i="20"/>
  <c r="E1474" i="20"/>
  <c r="E843" i="20"/>
  <c r="E955" i="20"/>
  <c r="E94" i="20"/>
  <c r="E167" i="20"/>
  <c r="E235" i="20"/>
  <c r="E299" i="20"/>
  <c r="E363" i="20"/>
  <c r="E427" i="20"/>
  <c r="E491" i="20"/>
  <c r="E563" i="20"/>
  <c r="E627" i="20"/>
  <c r="E691" i="20"/>
  <c r="E755" i="20"/>
  <c r="E827" i="20"/>
  <c r="E963" i="20"/>
  <c r="E95" i="20"/>
  <c r="E168" i="20"/>
  <c r="E236" i="20"/>
  <c r="E300" i="20"/>
  <c r="E364" i="20"/>
  <c r="E428" i="20"/>
  <c r="E492" i="20"/>
  <c r="E556" i="20"/>
  <c r="E620" i="20"/>
  <c r="E684" i="20"/>
  <c r="E748" i="20"/>
  <c r="E812" i="20"/>
  <c r="E876" i="20"/>
  <c r="E940" i="20"/>
  <c r="E1004" i="20"/>
  <c r="E1068" i="20"/>
  <c r="E1132" i="20"/>
  <c r="E1196" i="20"/>
  <c r="E1260" i="20"/>
  <c r="E1324" i="20"/>
  <c r="E1388" i="20"/>
  <c r="E1452" i="20"/>
  <c r="E1516" i="20"/>
  <c r="E125" i="20"/>
  <c r="E237" i="20"/>
  <c r="E337" i="20"/>
  <c r="E440" i="20"/>
  <c r="E543" i="20"/>
  <c r="E646" i="20"/>
  <c r="E749" i="20"/>
  <c r="E849" i="20"/>
  <c r="E952" i="20"/>
  <c r="E1040" i="20"/>
  <c r="E1126" i="20"/>
  <c r="E1211" i="20"/>
  <c r="E1296" i="20"/>
  <c r="E1382" i="20"/>
  <c r="E1467" i="20"/>
  <c r="E1035" i="20"/>
  <c r="E1344" i="20"/>
  <c r="E134" i="20"/>
  <c r="E501" i="20"/>
  <c r="E757" i="20"/>
  <c r="E1057" i="20"/>
  <c r="E1303" i="20"/>
  <c r="E22" i="20"/>
  <c r="E142" i="20"/>
  <c r="E249" i="20"/>
  <c r="E352" i="20"/>
  <c r="E455" i="20"/>
  <c r="E558" i="20"/>
  <c r="E661" i="20"/>
  <c r="E761" i="20"/>
  <c r="E864" i="20"/>
  <c r="E967" i="20"/>
  <c r="E1053" i="20"/>
  <c r="E1137" i="20"/>
  <c r="E1223" i="20"/>
  <c r="E1309" i="20"/>
  <c r="E1393" i="20"/>
  <c r="E1479" i="20"/>
  <c r="E1067" i="20"/>
  <c r="E1323" i="20"/>
  <c r="E191" i="20"/>
  <c r="E743" i="20"/>
  <c r="E1079" i="20"/>
  <c r="E1367" i="20"/>
  <c r="E70" i="20"/>
  <c r="E188" i="20"/>
  <c r="E289" i="20"/>
  <c r="E392" i="20"/>
  <c r="E495" i="20"/>
  <c r="E598" i="20"/>
  <c r="E701" i="20"/>
  <c r="E801" i="20"/>
  <c r="E904" i="20"/>
  <c r="E1000" i="20"/>
  <c r="E1086" i="20"/>
  <c r="E1171" i="20"/>
  <c r="E1256" i="20"/>
  <c r="E1342" i="20"/>
  <c r="E1427" i="20"/>
  <c r="E1512" i="20"/>
  <c r="E128" i="20"/>
  <c r="E240" i="20"/>
  <c r="E343" i="20"/>
  <c r="E446" i="20"/>
  <c r="E549" i="20"/>
  <c r="E649" i="20"/>
  <c r="E752" i="20"/>
  <c r="E855" i="20"/>
  <c r="E958" i="20"/>
  <c r="E1045" i="20"/>
  <c r="E1129" i="20"/>
  <c r="E1215" i="20"/>
  <c r="E1301" i="20"/>
  <c r="E1385" i="20"/>
  <c r="E1471" i="20"/>
  <c r="E72" i="20"/>
  <c r="E190" i="20"/>
  <c r="E294" i="20"/>
  <c r="E397" i="20"/>
  <c r="E497" i="20"/>
  <c r="E625" i="20"/>
  <c r="E728" i="20"/>
  <c r="E845" i="20"/>
  <c r="E982" i="20"/>
  <c r="E1120" i="20"/>
  <c r="E1355" i="20"/>
  <c r="E74" i="20"/>
  <c r="E309" i="20"/>
  <c r="E512" i="20"/>
  <c r="E768" i="20"/>
  <c r="E1005" i="20"/>
  <c r="E1261" i="20"/>
  <c r="E1495" i="20"/>
  <c r="E413" i="20"/>
  <c r="E822" i="20"/>
  <c r="E1187" i="20"/>
  <c r="E617" i="20"/>
  <c r="E1145" i="20"/>
  <c r="E1487" i="20"/>
  <c r="E1199" i="20"/>
  <c r="E1093" i="20"/>
  <c r="E261" i="20"/>
  <c r="E823" i="20"/>
  <c r="E1391" i="20"/>
  <c r="E424" i="20"/>
  <c r="E833" i="20"/>
  <c r="E1198" i="20"/>
  <c r="E51" i="20"/>
  <c r="E528" i="20"/>
  <c r="E1413" i="20"/>
  <c r="E62" i="20"/>
  <c r="E488" i="20"/>
  <c r="E897" i="20"/>
  <c r="E1251" i="20"/>
  <c r="E124" i="20"/>
  <c r="E542" i="20"/>
  <c r="E951" i="20"/>
  <c r="E1295" i="20"/>
  <c r="E192" i="20"/>
  <c r="E605" i="20"/>
  <c r="E1006" i="20"/>
  <c r="E1347" i="20"/>
  <c r="E247" i="20"/>
  <c r="E1519" i="20"/>
  <c r="E57" i="20"/>
  <c r="E121" i="20"/>
  <c r="E185" i="20"/>
  <c r="E84" i="20"/>
  <c r="E157" i="20"/>
  <c r="E226" i="20"/>
  <c r="E290" i="20"/>
  <c r="E354" i="20"/>
  <c r="E418" i="20"/>
  <c r="E482" i="20"/>
  <c r="E546" i="20"/>
  <c r="E610" i="20"/>
  <c r="E674" i="20"/>
  <c r="E738" i="20"/>
  <c r="E802" i="20"/>
  <c r="E866" i="20"/>
  <c r="E930" i="20"/>
  <c r="E994" i="20"/>
  <c r="E1058" i="20"/>
  <c r="E1122" i="20"/>
  <c r="E1186" i="20"/>
  <c r="E1250" i="20"/>
  <c r="E1314" i="20"/>
  <c r="E1378" i="20"/>
  <c r="E1442" i="20"/>
  <c r="E1506" i="20"/>
  <c r="E915" i="20"/>
  <c r="E58" i="20"/>
  <c r="E131" i="20"/>
  <c r="E203" i="20"/>
  <c r="E267" i="20"/>
  <c r="E331" i="20"/>
  <c r="E395" i="20"/>
  <c r="E459" i="20"/>
  <c r="E531" i="20"/>
  <c r="E595" i="20"/>
  <c r="E659" i="20"/>
  <c r="E723" i="20"/>
  <c r="E795" i="20"/>
  <c r="E875" i="20"/>
  <c r="E59" i="20"/>
  <c r="E132" i="20"/>
  <c r="E204" i="20"/>
  <c r="E268" i="20"/>
  <c r="E332" i="20"/>
  <c r="E396" i="20"/>
  <c r="E460" i="20"/>
  <c r="E524" i="20"/>
  <c r="E588" i="20"/>
  <c r="E652" i="20"/>
  <c r="E716" i="20"/>
  <c r="E780" i="20"/>
  <c r="E844" i="20"/>
  <c r="E908" i="20"/>
  <c r="E972" i="20"/>
  <c r="E1036" i="20"/>
  <c r="E1100" i="20"/>
  <c r="E1164" i="20"/>
  <c r="E1228" i="20"/>
  <c r="E1292" i="20"/>
  <c r="E1356" i="20"/>
  <c r="E1420" i="20"/>
  <c r="E1484" i="20"/>
  <c r="E64" i="20"/>
  <c r="E182" i="20"/>
  <c r="E287" i="20"/>
  <c r="E390" i="20"/>
  <c r="E493" i="20"/>
  <c r="E593" i="20"/>
  <c r="E696" i="20"/>
  <c r="E799" i="20"/>
  <c r="E902" i="20"/>
  <c r="E998" i="20"/>
  <c r="E1083" i="20"/>
  <c r="E1168" i="20"/>
  <c r="E1254" i="20"/>
  <c r="E1339" i="20"/>
  <c r="E1424" i="20"/>
  <c r="E1510" i="20"/>
  <c r="E1184" i="20"/>
  <c r="E1472" i="20"/>
  <c r="E373" i="20"/>
  <c r="E629" i="20"/>
  <c r="E921" i="20"/>
  <c r="E1185" i="20"/>
  <c r="E1421" i="20"/>
  <c r="E82" i="20"/>
  <c r="E199" i="20"/>
  <c r="E302" i="20"/>
  <c r="E405" i="20"/>
  <c r="E505" i="20"/>
  <c r="E608" i="20"/>
  <c r="E711" i="20"/>
  <c r="E814" i="20"/>
  <c r="E917" i="20"/>
  <c r="E1009" i="20"/>
  <c r="E1095" i="20"/>
  <c r="E1181" i="20"/>
  <c r="E1265" i="20"/>
  <c r="E1351" i="20"/>
  <c r="E1437" i="20"/>
  <c r="E589" i="20"/>
  <c r="E1195" i="20"/>
  <c r="E31" i="20"/>
  <c r="E423" i="20"/>
  <c r="E949" i="20"/>
  <c r="E1217" i="20"/>
  <c r="E1517" i="20"/>
  <c r="E127" i="20"/>
  <c r="E239" i="20"/>
  <c r="E342" i="20"/>
  <c r="E445" i="20"/>
  <c r="E545" i="20"/>
  <c r="E648" i="20"/>
  <c r="E751" i="20"/>
  <c r="E854" i="20"/>
  <c r="E957" i="20"/>
  <c r="E1043" i="20"/>
  <c r="E1128" i="20"/>
  <c r="E1214" i="20"/>
  <c r="E1299" i="20"/>
  <c r="E1384" i="20"/>
  <c r="E1470" i="20"/>
  <c r="E71" i="20"/>
  <c r="E189" i="20"/>
  <c r="E293" i="20"/>
  <c r="E393" i="20"/>
  <c r="E496" i="20"/>
  <c r="E599" i="20"/>
  <c r="E702" i="20"/>
  <c r="E805" i="20"/>
  <c r="E905" i="20"/>
  <c r="E1001" i="20"/>
  <c r="E1087" i="20"/>
  <c r="E1173" i="20"/>
  <c r="E1257" i="20"/>
  <c r="E1343" i="20"/>
  <c r="E1429" i="20"/>
  <c r="E1513" i="20"/>
  <c r="E133" i="20"/>
  <c r="E241" i="20"/>
  <c r="E344" i="20"/>
  <c r="E447" i="20"/>
  <c r="E550" i="20"/>
  <c r="E678" i="20"/>
  <c r="E781" i="20"/>
  <c r="E909" i="20"/>
  <c r="E1046" i="20"/>
  <c r="E1270" i="20"/>
  <c r="E1451" i="20"/>
  <c r="E217" i="20"/>
  <c r="E398" i="20"/>
  <c r="E640" i="20"/>
  <c r="E885" i="20"/>
  <c r="E1133" i="20"/>
  <c r="E1377" i="20"/>
  <c r="E207" i="20"/>
  <c r="E616" i="20"/>
  <c r="E1016" i="20"/>
  <c r="E1358" i="20"/>
  <c r="E926" i="20"/>
  <c r="E1317" i="20"/>
  <c r="E837" i="20"/>
  <c r="E297" i="20"/>
  <c r="E34" i="20"/>
  <c r="E464" i="20"/>
  <c r="E1497" i="20"/>
  <c r="E221" i="20"/>
  <c r="E630" i="20"/>
  <c r="E1027" i="20"/>
  <c r="E1368" i="20"/>
  <c r="E272" i="20"/>
  <c r="E887" i="20"/>
  <c r="E1007" i="20"/>
  <c r="E285" i="20"/>
  <c r="E694" i="20"/>
  <c r="E1080" i="20"/>
  <c r="E1422" i="20"/>
  <c r="E336" i="20"/>
  <c r="E745" i="20"/>
  <c r="E1125" i="20"/>
  <c r="E1465" i="20"/>
  <c r="E399" i="20"/>
  <c r="E808" i="20"/>
  <c r="E1176" i="20"/>
  <c r="E1518" i="20"/>
  <c r="E709" i="20"/>
  <c r="E49" i="20"/>
  <c r="E161" i="20"/>
  <c r="E93" i="20"/>
  <c r="E210" i="20"/>
  <c r="E306" i="20"/>
  <c r="E410" i="20"/>
  <c r="E522" i="20"/>
  <c r="E618" i="20"/>
  <c r="E722" i="20"/>
  <c r="E818" i="20"/>
  <c r="E922" i="20"/>
  <c r="E1034" i="20"/>
  <c r="E1130" i="20"/>
  <c r="E1234" i="20"/>
  <c r="E1330" i="20"/>
  <c r="E1434" i="20"/>
  <c r="E859" i="20"/>
  <c r="E67" i="20"/>
  <c r="E186" i="20"/>
  <c r="E283" i="20"/>
  <c r="E387" i="20"/>
  <c r="E499" i="20"/>
  <c r="E603" i="20"/>
  <c r="E707" i="20"/>
  <c r="E811" i="20"/>
  <c r="E50" i="20"/>
  <c r="E178" i="20"/>
  <c r="E276" i="20"/>
  <c r="E380" i="20"/>
  <c r="E476" i="20"/>
  <c r="E580" i="20"/>
  <c r="E692" i="20"/>
  <c r="E788" i="20"/>
  <c r="E892" i="20"/>
  <c r="E988" i="20"/>
  <c r="E1092" i="20"/>
  <c r="E1204" i="20"/>
  <c r="E1300" i="20"/>
  <c r="E1404" i="20"/>
  <c r="E1500" i="20"/>
  <c r="E170" i="20"/>
  <c r="E351" i="20"/>
  <c r="E504" i="20"/>
  <c r="E671" i="20"/>
  <c r="E824" i="20"/>
  <c r="E987" i="20"/>
  <c r="E1136" i="20"/>
  <c r="E1264" i="20"/>
  <c r="E1403" i="20"/>
  <c r="E856" i="20"/>
  <c r="E1440" i="20"/>
  <c r="E537" i="20"/>
  <c r="E960" i="20"/>
  <c r="E1357" i="20"/>
  <c r="E110" i="20"/>
  <c r="E288" i="20"/>
  <c r="E469" i="20"/>
  <c r="E622" i="20"/>
  <c r="E789" i="20"/>
  <c r="E942" i="20"/>
  <c r="E1085" i="20"/>
  <c r="E1233" i="20"/>
  <c r="E1361" i="20"/>
  <c r="E1501" i="20"/>
  <c r="E1259" i="20"/>
  <c r="E359" i="20"/>
  <c r="E1111" i="20"/>
  <c r="E23" i="20"/>
  <c r="E214" i="20"/>
  <c r="E367" i="20"/>
  <c r="E534" i="20"/>
  <c r="E712" i="20"/>
  <c r="E865" i="20"/>
  <c r="E1022" i="20"/>
  <c r="E1150" i="20"/>
  <c r="E1288" i="20"/>
  <c r="E1438" i="20"/>
  <c r="E87" i="20"/>
  <c r="E265" i="20"/>
  <c r="E421" i="20"/>
  <c r="E585" i="20"/>
  <c r="E766" i="20"/>
  <c r="E919" i="20"/>
  <c r="E1065" i="20"/>
  <c r="E1193" i="20"/>
  <c r="E1333" i="20"/>
  <c r="E1481" i="20"/>
  <c r="E146" i="20"/>
  <c r="E319" i="20"/>
  <c r="E472" i="20"/>
  <c r="E664" i="20"/>
  <c r="E870" i="20"/>
  <c r="E1056" i="20"/>
  <c r="E1398" i="20"/>
  <c r="E256" i="20"/>
  <c r="E601" i="20"/>
  <c r="E1037" i="20"/>
  <c r="E1399" i="20"/>
  <c r="E513" i="20"/>
  <c r="E1102" i="20"/>
  <c r="E873" i="20"/>
  <c r="E375" i="20"/>
  <c r="E606" i="20"/>
  <c r="E361" i="20"/>
  <c r="E912" i="20"/>
  <c r="E577" i="20"/>
  <c r="E1240" i="20"/>
  <c r="E325" i="20"/>
  <c r="E656" i="20"/>
  <c r="E385" i="20"/>
  <c r="E1038" i="20"/>
  <c r="E181" i="20"/>
  <c r="E798" i="20"/>
  <c r="E1381" i="20"/>
  <c r="E502" i="20"/>
  <c r="E1134" i="20"/>
  <c r="E350" i="20"/>
  <c r="E193" i="20"/>
  <c r="E346" i="20"/>
  <c r="E554" i="20"/>
  <c r="E658" i="20"/>
  <c r="E858" i="20"/>
  <c r="E1066" i="20"/>
  <c r="E1266" i="20"/>
  <c r="E923" i="20"/>
  <c r="E219" i="20"/>
  <c r="E435" i="20"/>
  <c r="E643" i="20"/>
  <c r="E867" i="20"/>
  <c r="E316" i="20"/>
  <c r="E412" i="20"/>
  <c r="E628" i="20"/>
  <c r="E828" i="20"/>
  <c r="E924" i="20"/>
  <c r="E1236" i="20"/>
  <c r="E1436" i="20"/>
  <c r="E248" i="20"/>
  <c r="E721" i="20"/>
  <c r="E888" i="20"/>
  <c r="E1179" i="20"/>
  <c r="E1163" i="20"/>
  <c r="E654" i="20"/>
  <c r="E1473" i="20"/>
  <c r="E519" i="20"/>
  <c r="E839" i="20"/>
  <c r="E1277" i="20"/>
  <c r="E945" i="20"/>
  <c r="E807" i="20"/>
  <c r="E264" i="20"/>
  <c r="E609" i="20"/>
  <c r="E1064" i="20"/>
  <c r="E1352" i="20"/>
  <c r="E318" i="20"/>
  <c r="E816" i="20"/>
  <c r="E1109" i="20"/>
  <c r="E26" i="20"/>
  <c r="E536" i="20"/>
  <c r="E1206" i="20"/>
  <c r="E384" i="20"/>
  <c r="E91" i="20"/>
  <c r="E1315" i="20"/>
  <c r="E937" i="20"/>
  <c r="E567" i="20"/>
  <c r="E886" i="20"/>
  <c r="E1263" i="20"/>
  <c r="E389" i="20"/>
  <c r="E758" i="20"/>
  <c r="E21" i="20"/>
  <c r="E27" i="20"/>
  <c r="E362" i="20"/>
  <c r="E666" i="20"/>
  <c r="E978" i="20"/>
  <c r="E1178" i="20"/>
  <c r="E1490" i="20"/>
  <c r="E122" i="20"/>
  <c r="E339" i="20"/>
  <c r="E651" i="20"/>
  <c r="E114" i="20"/>
  <c r="E436" i="20"/>
  <c r="E836" i="20"/>
  <c r="E1148" i="20"/>
  <c r="E1460" i="20"/>
  <c r="E582" i="20"/>
  <c r="E1062" i="20"/>
  <c r="E1216" i="20"/>
  <c r="E1153" i="20"/>
  <c r="E377" i="20"/>
  <c r="E1021" i="20"/>
  <c r="E1110" i="20"/>
  <c r="E1281" i="20"/>
  <c r="E456" i="20"/>
  <c r="E1224" i="20"/>
  <c r="E173" i="20"/>
  <c r="E830" i="20"/>
  <c r="E44" i="20"/>
  <c r="E561" i="20"/>
  <c r="E118" i="20"/>
  <c r="E151" i="20"/>
  <c r="E1477" i="20"/>
  <c r="E936" i="20"/>
  <c r="E1336" i="20"/>
  <c r="E246" i="20"/>
  <c r="E65" i="20"/>
  <c r="E169" i="20"/>
  <c r="E102" i="20"/>
  <c r="E218" i="20"/>
  <c r="E330" i="20"/>
  <c r="E426" i="20"/>
  <c r="E530" i="20"/>
  <c r="E626" i="20"/>
  <c r="E730" i="20"/>
  <c r="E842" i="20"/>
  <c r="E938" i="20"/>
  <c r="E1042" i="20"/>
  <c r="E1138" i="20"/>
  <c r="E1242" i="20"/>
  <c r="E1354" i="20"/>
  <c r="E1450" i="20"/>
  <c r="E891" i="20"/>
  <c r="E76" i="20"/>
  <c r="E195" i="20"/>
  <c r="E307" i="20"/>
  <c r="E403" i="20"/>
  <c r="E515" i="20"/>
  <c r="E611" i="20"/>
  <c r="E715" i="20"/>
  <c r="E835" i="20"/>
  <c r="E68" i="20"/>
  <c r="E187" i="20"/>
  <c r="E284" i="20"/>
  <c r="E388" i="20"/>
  <c r="E500" i="20"/>
  <c r="E596" i="20"/>
  <c r="E700" i="20"/>
  <c r="E796" i="20"/>
  <c r="E900" i="20"/>
  <c r="E1012" i="20"/>
  <c r="E1108" i="20"/>
  <c r="E1212" i="20"/>
  <c r="E1308" i="20"/>
  <c r="E1412" i="20"/>
  <c r="E20" i="20"/>
  <c r="E198" i="20"/>
  <c r="E365" i="20"/>
  <c r="E518" i="20"/>
  <c r="E685" i="20"/>
  <c r="E863" i="20"/>
  <c r="E1008" i="20"/>
  <c r="E1147" i="20"/>
  <c r="E1275" i="20"/>
  <c r="E1414" i="20"/>
  <c r="E1088" i="20"/>
  <c r="E1494" i="20"/>
  <c r="E565" i="20"/>
  <c r="E993" i="20"/>
  <c r="E1389" i="20"/>
  <c r="E155" i="20"/>
  <c r="E313" i="20"/>
  <c r="E480" i="20"/>
  <c r="E633" i="20"/>
  <c r="E800" i="20"/>
  <c r="E977" i="20"/>
  <c r="E1105" i="20"/>
  <c r="E1245" i="20"/>
  <c r="E1373" i="20"/>
  <c r="E1511" i="20"/>
  <c r="E1366" i="20"/>
  <c r="E526" i="20"/>
  <c r="E1143" i="20"/>
  <c r="E42" i="20"/>
  <c r="E225" i="20"/>
  <c r="E406" i="20"/>
  <c r="E559" i="20"/>
  <c r="E726" i="20"/>
  <c r="E879" i="20"/>
  <c r="E1032" i="20"/>
  <c r="E1182" i="20"/>
  <c r="E1310" i="20"/>
  <c r="E1448" i="20"/>
  <c r="E100" i="20"/>
  <c r="E279" i="20"/>
  <c r="E457" i="20"/>
  <c r="E613" i="20"/>
  <c r="E777" i="20"/>
  <c r="E933" i="20"/>
  <c r="E1077" i="20"/>
  <c r="E1225" i="20"/>
  <c r="E1353" i="20"/>
  <c r="E1493" i="20"/>
  <c r="E162" i="20"/>
  <c r="E333" i="20"/>
  <c r="E511" i="20"/>
  <c r="E689" i="20"/>
  <c r="E881" i="20"/>
  <c r="E1078" i="20"/>
  <c r="E1419" i="20"/>
  <c r="E334" i="20"/>
  <c r="E665" i="20"/>
  <c r="E1069" i="20"/>
  <c r="E1431" i="20"/>
  <c r="E566" i="20"/>
  <c r="E1230" i="20"/>
  <c r="E975" i="20"/>
  <c r="E581" i="20"/>
  <c r="E759" i="20"/>
  <c r="E414" i="20"/>
  <c r="E46" i="20"/>
  <c r="E680" i="20"/>
  <c r="E1283" i="20"/>
  <c r="E425" i="20"/>
  <c r="E809" i="20"/>
  <c r="E541" i="20"/>
  <c r="E1123" i="20"/>
  <c r="E233" i="20"/>
  <c r="E848" i="20"/>
  <c r="E1423" i="20"/>
  <c r="E655" i="20"/>
  <c r="E1219" i="20"/>
  <c r="E453" i="20"/>
  <c r="E139" i="20"/>
  <c r="E1370" i="20"/>
  <c r="E104" i="20"/>
  <c r="E1140" i="20"/>
  <c r="E401" i="20"/>
  <c r="E1446" i="20"/>
  <c r="E183" i="20"/>
  <c r="E1149" i="20"/>
  <c r="E1249" i="20"/>
  <c r="E765" i="20"/>
  <c r="E1480" i="20"/>
  <c r="E663" i="20"/>
  <c r="E1247" i="20"/>
  <c r="E369" i="20"/>
  <c r="E920" i="20"/>
  <c r="E793" i="20"/>
  <c r="E719" i="20"/>
  <c r="E1349" i="20"/>
  <c r="E1411" i="20"/>
  <c r="E641" i="20"/>
  <c r="E1039" i="20"/>
  <c r="E1390" i="20"/>
  <c r="E105" i="20"/>
  <c r="E266" i="20"/>
  <c r="E466" i="20"/>
  <c r="E778" i="20"/>
  <c r="E1074" i="20"/>
  <c r="E1386" i="20"/>
  <c r="E243" i="20"/>
  <c r="E547" i="20"/>
  <c r="E883" i="20"/>
  <c r="E324" i="20"/>
  <c r="E636" i="20"/>
  <c r="E948" i="20"/>
  <c r="E1244" i="20"/>
  <c r="E80" i="20"/>
  <c r="E415" i="20"/>
  <c r="E760" i="20"/>
  <c r="E1190" i="20"/>
  <c r="E1478" i="20"/>
  <c r="E270" i="20"/>
  <c r="E36" i="20"/>
  <c r="E533" i="20"/>
  <c r="E878" i="20"/>
  <c r="E1159" i="20"/>
  <c r="E1425" i="20"/>
  <c r="E857" i="20"/>
  <c r="E303" i="20"/>
  <c r="E943" i="20"/>
  <c r="E1491" i="20"/>
  <c r="E510" i="20"/>
  <c r="E991" i="20"/>
  <c r="E1269" i="20"/>
  <c r="E230" i="20"/>
  <c r="E934" i="20"/>
  <c r="E832" i="20"/>
  <c r="E872" i="20"/>
  <c r="E1231" i="20"/>
  <c r="E271" i="20"/>
  <c r="E784" i="20"/>
  <c r="E439" i="20"/>
  <c r="E861" i="20"/>
  <c r="E1049" i="20"/>
  <c r="E73" i="20"/>
  <c r="E177" i="20"/>
  <c r="E130" i="20"/>
  <c r="E234" i="20"/>
  <c r="E338" i="20"/>
  <c r="E434" i="20"/>
  <c r="E538" i="20"/>
  <c r="E650" i="20"/>
  <c r="E746" i="20"/>
  <c r="E850" i="20"/>
  <c r="E946" i="20"/>
  <c r="E1050" i="20"/>
  <c r="E1162" i="20"/>
  <c r="E1258" i="20"/>
  <c r="E1362" i="20"/>
  <c r="E1458" i="20"/>
  <c r="E907" i="20"/>
  <c r="E103" i="20"/>
  <c r="E211" i="20"/>
  <c r="E315" i="20"/>
  <c r="E411" i="20"/>
  <c r="E523" i="20"/>
  <c r="E635" i="20"/>
  <c r="E731" i="20"/>
  <c r="E851" i="20"/>
  <c r="E77" i="20"/>
  <c r="E196" i="20"/>
  <c r="E308" i="20"/>
  <c r="E404" i="20"/>
  <c r="E508" i="20"/>
  <c r="E604" i="20"/>
  <c r="E708" i="20"/>
  <c r="E820" i="20"/>
  <c r="E916" i="20"/>
  <c r="E1020" i="20"/>
  <c r="E1116" i="20"/>
  <c r="E1220" i="20"/>
  <c r="E1332" i="20"/>
  <c r="E1428" i="20"/>
  <c r="E35" i="20"/>
  <c r="E209" i="20"/>
  <c r="E376" i="20"/>
  <c r="E557" i="20"/>
  <c r="E710" i="20"/>
  <c r="E877" i="20"/>
  <c r="E1019" i="20"/>
  <c r="E1158" i="20"/>
  <c r="E1307" i="20"/>
  <c r="E1435" i="20"/>
  <c r="E1131" i="20"/>
  <c r="E45" i="20"/>
  <c r="E590" i="20"/>
  <c r="E1089" i="20"/>
  <c r="E1441" i="20"/>
  <c r="E171" i="20"/>
  <c r="E327" i="20"/>
  <c r="E494" i="20"/>
  <c r="E672" i="20"/>
  <c r="E825" i="20"/>
  <c r="E989" i="20"/>
  <c r="E1117" i="20"/>
  <c r="E1255" i="20"/>
  <c r="E1405" i="20"/>
  <c r="E831" i="20"/>
  <c r="E1430" i="20"/>
  <c r="E615" i="20"/>
  <c r="E1175" i="20"/>
  <c r="E83" i="20"/>
  <c r="E253" i="20"/>
  <c r="E417" i="20"/>
  <c r="E573" i="20"/>
  <c r="E737" i="20"/>
  <c r="E918" i="20"/>
  <c r="E1054" i="20"/>
  <c r="E1192" i="20"/>
  <c r="E1320" i="20"/>
  <c r="E1459" i="20"/>
  <c r="E144" i="20"/>
  <c r="E304" i="20"/>
  <c r="E471" i="20"/>
  <c r="E624" i="20"/>
  <c r="E791" i="20"/>
  <c r="E969" i="20"/>
  <c r="E1097" i="20"/>
  <c r="E1237" i="20"/>
  <c r="E1365" i="20"/>
  <c r="E1503" i="20"/>
  <c r="E205" i="20"/>
  <c r="E358" i="20"/>
  <c r="E525" i="20"/>
  <c r="E703" i="20"/>
  <c r="E895" i="20"/>
  <c r="E1152" i="20"/>
  <c r="E1462" i="20"/>
  <c r="E345" i="20"/>
  <c r="E704" i="20"/>
  <c r="E1101" i="20"/>
  <c r="E32" i="20"/>
  <c r="E669" i="20"/>
  <c r="E1272" i="20"/>
  <c r="E1017" i="20"/>
  <c r="E681" i="20"/>
  <c r="E1221" i="20"/>
  <c r="E517" i="20"/>
  <c r="E107" i="20"/>
  <c r="E733" i="20"/>
  <c r="E1326" i="20"/>
  <c r="E631" i="20"/>
  <c r="E1135" i="20"/>
  <c r="E591" i="20"/>
  <c r="E1166" i="20"/>
  <c r="E286" i="20"/>
  <c r="E997" i="20"/>
  <c r="E1509" i="20"/>
  <c r="E705" i="20"/>
  <c r="E1262" i="20"/>
  <c r="E553" i="20"/>
  <c r="E97" i="20"/>
  <c r="E242" i="20"/>
  <c r="E458" i="20"/>
  <c r="E754" i="20"/>
  <c r="E970" i="20"/>
  <c r="E1170" i="20"/>
  <c r="E1482" i="20"/>
  <c r="E112" i="20"/>
  <c r="E323" i="20"/>
  <c r="E539" i="20"/>
  <c r="E739" i="20"/>
  <c r="E212" i="20"/>
  <c r="E516" i="20"/>
  <c r="E724" i="20"/>
  <c r="E1028" i="20"/>
  <c r="E1340" i="20"/>
  <c r="E52" i="20"/>
  <c r="E568" i="20"/>
  <c r="E1051" i="20"/>
  <c r="E1318" i="20"/>
  <c r="E206" i="20"/>
  <c r="E1121" i="20"/>
  <c r="E366" i="20"/>
  <c r="E686" i="20"/>
  <c r="E999" i="20"/>
  <c r="E1415" i="20"/>
  <c r="E1515" i="20"/>
  <c r="E99" i="20"/>
  <c r="E431" i="20"/>
  <c r="E929" i="20"/>
  <c r="E1203" i="20"/>
  <c r="E160" i="20"/>
  <c r="E485" i="20"/>
  <c r="E981" i="20"/>
  <c r="E1397" i="20"/>
  <c r="E216" i="20"/>
  <c r="E742" i="20"/>
  <c r="E1483" i="20"/>
  <c r="E1165" i="20"/>
  <c r="E1189" i="20"/>
  <c r="E164" i="20"/>
  <c r="E734" i="20"/>
  <c r="E1294" i="20"/>
  <c r="E78" i="20"/>
  <c r="E862" i="20"/>
  <c r="E148" i="20"/>
  <c r="E562" i="20"/>
  <c r="E874" i="20"/>
  <c r="E1290" i="20"/>
  <c r="E931" i="20"/>
  <c r="E443" i="20"/>
  <c r="E763" i="20"/>
  <c r="E220" i="20"/>
  <c r="E532" i="20"/>
  <c r="E1044" i="20"/>
  <c r="E1348" i="20"/>
  <c r="E262" i="20"/>
  <c r="E913" i="20"/>
  <c r="E1328" i="20"/>
  <c r="E693" i="20"/>
  <c r="E213" i="20"/>
  <c r="E697" i="20"/>
  <c r="E1287" i="20"/>
  <c r="E61" i="20"/>
  <c r="E115" i="20"/>
  <c r="E623" i="20"/>
  <c r="E1096" i="20"/>
  <c r="E1363" i="20"/>
  <c r="E357" i="20"/>
  <c r="E677" i="20"/>
  <c r="E1141" i="20"/>
  <c r="E1407" i="20"/>
  <c r="E408" i="20"/>
  <c r="E753" i="20"/>
  <c r="E1238" i="20"/>
  <c r="E437" i="20"/>
  <c r="E1197" i="20"/>
  <c r="E1400" i="20"/>
  <c r="E985" i="20"/>
  <c r="E1103" i="20"/>
  <c r="E1454" i="20"/>
  <c r="E744" i="20"/>
  <c r="E1081" i="20"/>
  <c r="E1432" i="20"/>
  <c r="E29" i="20"/>
  <c r="E113" i="20"/>
  <c r="E56" i="20"/>
  <c r="E166" i="20"/>
  <c r="E274" i="20"/>
  <c r="E370" i="20"/>
  <c r="E474" i="20"/>
  <c r="E586" i="20"/>
  <c r="E682" i="20"/>
  <c r="E786" i="20"/>
  <c r="E882" i="20"/>
  <c r="E986" i="20"/>
  <c r="E1098" i="20"/>
  <c r="E1194" i="20"/>
  <c r="E1298" i="20"/>
  <c r="E1394" i="20"/>
  <c r="E1498" i="20"/>
  <c r="E28" i="20"/>
  <c r="E140" i="20"/>
  <c r="E251" i="20"/>
  <c r="E347" i="20"/>
  <c r="E451" i="20"/>
  <c r="E571" i="20"/>
  <c r="E667" i="20"/>
  <c r="E771" i="20"/>
  <c r="E899" i="20"/>
  <c r="E123" i="20"/>
  <c r="E244" i="20"/>
  <c r="E340" i="20"/>
  <c r="E444" i="20"/>
  <c r="E540" i="20"/>
  <c r="E644" i="20"/>
  <c r="E756" i="20"/>
  <c r="E852" i="20"/>
  <c r="E956" i="20"/>
  <c r="E1052" i="20"/>
  <c r="E1156" i="20"/>
  <c r="E1268" i="20"/>
  <c r="E1364" i="20"/>
  <c r="E1468" i="20"/>
  <c r="E96" i="20"/>
  <c r="E273" i="20"/>
  <c r="E454" i="20"/>
  <c r="E607" i="20"/>
  <c r="E774" i="20"/>
  <c r="E927" i="20"/>
  <c r="E1072" i="20"/>
  <c r="E1222" i="20"/>
  <c r="E1350" i="20"/>
  <c r="E1488" i="20"/>
  <c r="E1248" i="20"/>
  <c r="E320" i="20"/>
  <c r="E782" i="20"/>
  <c r="E1207" i="20"/>
  <c r="E53" i="20"/>
  <c r="E224" i="20"/>
  <c r="E391" i="20"/>
  <c r="E569" i="20"/>
  <c r="E725" i="20"/>
  <c r="E889" i="20"/>
  <c r="E1031" i="20"/>
  <c r="E1169" i="20"/>
  <c r="E1319" i="20"/>
  <c r="E1447" i="20"/>
  <c r="E1142" i="20"/>
  <c r="E106" i="20"/>
  <c r="E896" i="20"/>
  <c r="E1409" i="20"/>
  <c r="E143" i="20"/>
  <c r="E317" i="20"/>
  <c r="E470" i="20"/>
  <c r="E637" i="20"/>
  <c r="E815" i="20"/>
  <c r="E968" i="20"/>
  <c r="E1107" i="20"/>
  <c r="E1235" i="20"/>
  <c r="E1374" i="20"/>
  <c r="E24" i="20"/>
  <c r="E201" i="20"/>
  <c r="E368" i="20"/>
  <c r="E521" i="20"/>
  <c r="E688" i="20"/>
  <c r="E869" i="20"/>
  <c r="E1013" i="20"/>
  <c r="E1151" i="20"/>
  <c r="E1279" i="20"/>
  <c r="E1417" i="20"/>
  <c r="E88" i="20"/>
  <c r="E255" i="20"/>
  <c r="E422" i="20"/>
  <c r="E575" i="20"/>
  <c r="E767" i="20"/>
  <c r="E992" i="20"/>
  <c r="E1291" i="20"/>
  <c r="E163" i="20"/>
  <c r="E462" i="20"/>
  <c r="E846" i="20"/>
  <c r="E1293" i="20"/>
  <c r="E257" i="20"/>
  <c r="E925" i="20"/>
  <c r="E1443" i="20"/>
  <c r="E1273" i="20"/>
  <c r="E1285" i="20"/>
  <c r="E92" i="20"/>
  <c r="E1029" i="20"/>
  <c r="E321" i="20"/>
  <c r="E984" i="20"/>
  <c r="E108" i="20"/>
  <c r="E1071" i="20"/>
  <c r="E180" i="20"/>
  <c r="E797" i="20"/>
  <c r="E1379" i="20"/>
  <c r="E592" i="20"/>
  <c r="E1167" i="20"/>
  <c r="E296" i="20"/>
  <c r="E911" i="20"/>
  <c r="E1475" i="20"/>
  <c r="E33" i="20"/>
  <c r="E129" i="20"/>
  <c r="E66" i="20"/>
  <c r="E175" i="20"/>
  <c r="E282" i="20"/>
  <c r="E394" i="20"/>
  <c r="E490" i="20"/>
  <c r="E594" i="20"/>
  <c r="E690" i="20"/>
  <c r="E794" i="20"/>
  <c r="E906" i="20"/>
  <c r="E1002" i="20"/>
  <c r="E1106" i="20"/>
  <c r="E1202" i="20"/>
  <c r="E1306" i="20"/>
  <c r="E1418" i="20"/>
  <c r="E1514" i="20"/>
  <c r="E39" i="20"/>
  <c r="E149" i="20"/>
  <c r="E259" i="20"/>
  <c r="E371" i="20"/>
  <c r="E467" i="20"/>
  <c r="E579" i="20"/>
  <c r="E675" i="20"/>
  <c r="E779" i="20"/>
  <c r="E30" i="20"/>
  <c r="E141" i="20"/>
  <c r="E252" i="20"/>
  <c r="E348" i="20"/>
  <c r="E452" i="20"/>
  <c r="E564" i="20"/>
  <c r="E660" i="20"/>
  <c r="E764" i="20"/>
  <c r="E860" i="20"/>
  <c r="E964" i="20"/>
  <c r="E1076" i="20"/>
  <c r="E1172" i="20"/>
  <c r="E1276" i="20"/>
  <c r="E1372" i="20"/>
  <c r="E1476" i="20"/>
  <c r="E138" i="20"/>
  <c r="E301" i="20"/>
  <c r="E465" i="20"/>
  <c r="E621" i="20"/>
  <c r="E785" i="20"/>
  <c r="E966" i="20"/>
  <c r="E1094" i="20"/>
  <c r="E1232" i="20"/>
  <c r="E1360" i="20"/>
  <c r="E1499" i="20"/>
  <c r="E1387" i="20"/>
  <c r="E409" i="20"/>
  <c r="E821" i="20"/>
  <c r="E1239" i="20"/>
  <c r="E69" i="20"/>
  <c r="E263" i="20"/>
  <c r="E416" i="20"/>
  <c r="E583" i="20"/>
  <c r="E736" i="20"/>
  <c r="E903" i="20"/>
  <c r="E1063" i="20"/>
  <c r="E1191" i="20"/>
  <c r="E1329" i="20"/>
  <c r="E1457" i="20"/>
  <c r="E1174" i="20"/>
  <c r="E245" i="20"/>
  <c r="E983" i="20"/>
  <c r="E1453" i="20"/>
  <c r="E156" i="20"/>
  <c r="E328" i="20"/>
  <c r="E509" i="20"/>
  <c r="E662" i="20"/>
  <c r="E829" i="20"/>
  <c r="E979" i="20"/>
  <c r="E1118" i="20"/>
  <c r="E1267" i="20"/>
  <c r="E1395" i="20"/>
  <c r="E43" i="20"/>
  <c r="E215" i="20"/>
  <c r="E382" i="20"/>
  <c r="E560" i="20"/>
  <c r="E713" i="20"/>
  <c r="E880" i="20"/>
  <c r="E1023" i="20"/>
  <c r="E1161" i="20"/>
  <c r="E1311" i="20"/>
  <c r="E1439" i="20"/>
  <c r="E101" i="20"/>
  <c r="E269" i="20"/>
  <c r="E433" i="20"/>
  <c r="E639" i="20"/>
  <c r="E792" i="20"/>
  <c r="E1003" i="20"/>
  <c r="E1312" i="20"/>
  <c r="E179" i="20"/>
  <c r="E551" i="20"/>
  <c r="E910" i="20"/>
  <c r="E1313" i="20"/>
  <c r="E310" i="20"/>
  <c r="E974" i="20"/>
  <c r="E720" i="20"/>
  <c r="E1359" i="20"/>
  <c r="E1369" i="20"/>
  <c r="E152" i="20"/>
  <c r="E1327" i="20"/>
  <c r="E477" i="20"/>
  <c r="E1070" i="20"/>
  <c r="E165" i="20"/>
  <c r="E1157" i="20"/>
  <c r="E232" i="20"/>
  <c r="E950" i="20"/>
  <c r="E1464" i="20"/>
  <c r="E645" i="20"/>
  <c r="E1209" i="20"/>
  <c r="E349" i="20"/>
  <c r="E1048" i="20"/>
  <c r="E79" i="20"/>
  <c r="E41" i="20"/>
  <c r="E137" i="20"/>
  <c r="E75" i="20"/>
  <c r="E202" i="20"/>
  <c r="E298" i="20"/>
  <c r="E402" i="20"/>
  <c r="E498" i="20"/>
  <c r="E602" i="20"/>
  <c r="E714" i="20"/>
  <c r="E810" i="20"/>
  <c r="E914" i="20"/>
  <c r="E1010" i="20"/>
  <c r="E1114" i="20"/>
  <c r="E1226" i="20"/>
  <c r="E1322" i="20"/>
  <c r="E1426" i="20"/>
  <c r="E507" i="20"/>
  <c r="E48" i="20"/>
  <c r="E176" i="20"/>
  <c r="E275" i="20"/>
  <c r="E379" i="20"/>
  <c r="E475" i="20"/>
  <c r="E587" i="20"/>
  <c r="E699" i="20"/>
  <c r="E803" i="20"/>
  <c r="E40" i="20"/>
  <c r="E150" i="20"/>
  <c r="E260" i="20"/>
  <c r="E372" i="20"/>
  <c r="E468" i="20"/>
  <c r="E572" i="20"/>
  <c r="E668" i="20"/>
  <c r="E772" i="20"/>
  <c r="E884" i="20"/>
  <c r="E980" i="20"/>
  <c r="E1084" i="20"/>
  <c r="E1180" i="20"/>
  <c r="E1284" i="20"/>
  <c r="E1396" i="20"/>
  <c r="E1492" i="20"/>
  <c r="E154" i="20"/>
  <c r="E312" i="20"/>
  <c r="E479" i="20"/>
  <c r="E657" i="20"/>
  <c r="E813" i="20"/>
  <c r="E976" i="20"/>
  <c r="E1104" i="20"/>
  <c r="E1243" i="20"/>
  <c r="E1392" i="20"/>
  <c r="E614" i="20"/>
  <c r="E1408" i="20"/>
  <c r="E448" i="20"/>
  <c r="E871" i="20"/>
  <c r="E1335" i="20"/>
  <c r="E98" i="20"/>
  <c r="E277" i="20"/>
  <c r="E430" i="20"/>
  <c r="E597" i="20"/>
  <c r="E775" i="20"/>
  <c r="E928" i="20"/>
  <c r="E1073" i="20"/>
  <c r="E1201" i="20"/>
  <c r="E1341" i="20"/>
  <c r="E1489" i="20"/>
  <c r="E1227" i="20"/>
  <c r="E295" i="20"/>
  <c r="E1015" i="20"/>
  <c r="E1485" i="20"/>
  <c r="E200" i="20"/>
  <c r="E353" i="20"/>
  <c r="E520" i="20"/>
  <c r="E673" i="20"/>
  <c r="E840" i="20"/>
  <c r="E1011" i="20"/>
  <c r="E1139" i="20"/>
  <c r="E1278" i="20"/>
  <c r="E1406" i="20"/>
  <c r="E55" i="20"/>
  <c r="E254" i="20"/>
  <c r="E407" i="20"/>
  <c r="E574" i="20"/>
  <c r="E727" i="20"/>
  <c r="E894" i="20"/>
  <c r="E1055" i="20"/>
  <c r="E1183" i="20"/>
  <c r="E1321" i="20"/>
  <c r="E1449" i="20"/>
  <c r="E117" i="20"/>
  <c r="E305" i="20"/>
  <c r="E461" i="20"/>
  <c r="E653" i="20"/>
  <c r="E806" i="20"/>
  <c r="E1024" i="20"/>
  <c r="E1376" i="20"/>
  <c r="E231" i="20"/>
  <c r="E576" i="20"/>
  <c r="E935" i="20"/>
  <c r="E1345" i="20"/>
  <c r="E463" i="20"/>
  <c r="E1059" i="20"/>
  <c r="E773" i="20"/>
  <c r="E1401" i="20"/>
  <c r="E1455" i="20"/>
  <c r="E311" i="20"/>
  <c r="E503" i="20"/>
  <c r="E527" i="20"/>
  <c r="E1112" i="20"/>
  <c r="E222" i="20"/>
  <c r="E400" i="20"/>
  <c r="E335" i="20"/>
  <c r="E995" i="20"/>
  <c r="E1507" i="20"/>
  <c r="E695" i="20"/>
  <c r="E1337" i="20"/>
  <c r="E449" i="20"/>
  <c r="E1091" i="20"/>
  <c r="E136" i="20"/>
  <c r="E732" i="20"/>
  <c r="E776" i="20"/>
  <c r="E119" i="20"/>
  <c r="M55" i="20"/>
  <c r="M119" i="20"/>
  <c r="M56" i="20"/>
  <c r="M120" i="20"/>
  <c r="M67" i="20"/>
  <c r="M151" i="20"/>
  <c r="M215" i="20"/>
  <c r="M279" i="20"/>
  <c r="M343" i="20"/>
  <c r="M407" i="20"/>
  <c r="M471" i="20"/>
  <c r="M535" i="20"/>
  <c r="M599" i="20"/>
  <c r="M663" i="20"/>
  <c r="M73" i="20"/>
  <c r="M155" i="20"/>
  <c r="M219" i="20"/>
  <c r="M283" i="20"/>
  <c r="M347" i="20"/>
  <c r="M411" i="20"/>
  <c r="M475" i="20"/>
  <c r="M539" i="20"/>
  <c r="M603" i="20"/>
  <c r="M667" i="20"/>
  <c r="M731" i="20"/>
  <c r="M795" i="20"/>
  <c r="M859" i="20"/>
  <c r="M84" i="20"/>
  <c r="M164" i="20"/>
  <c r="M228" i="20"/>
  <c r="M292" i="20"/>
  <c r="M356" i="20"/>
  <c r="M420" i="20"/>
  <c r="M484" i="20"/>
  <c r="M548" i="20"/>
  <c r="M612" i="20"/>
  <c r="M676" i="20"/>
  <c r="M90" i="20"/>
  <c r="M206" i="20"/>
  <c r="M309" i="20"/>
  <c r="M410" i="20"/>
  <c r="M513" i="20"/>
  <c r="M616" i="20"/>
  <c r="M710" i="20"/>
  <c r="M783" i="20"/>
  <c r="M856" i="20"/>
  <c r="M922" i="20"/>
  <c r="M986" i="20"/>
  <c r="M1050" i="20"/>
  <c r="M1114" i="20"/>
  <c r="M1178" i="20"/>
  <c r="M1242" i="20"/>
  <c r="M1306" i="20"/>
  <c r="M1370" i="20"/>
  <c r="M1434" i="20"/>
  <c r="M1498" i="20"/>
  <c r="M132" i="20"/>
  <c r="M253" i="20"/>
  <c r="M369" i="20"/>
  <c r="M486" i="20"/>
  <c r="M605" i="20"/>
  <c r="M712" i="20"/>
  <c r="M796" i="20"/>
  <c r="M878" i="20"/>
  <c r="M951" i="20"/>
  <c r="M1024" i="20"/>
  <c r="M1097" i="20"/>
  <c r="M166" i="20"/>
  <c r="M285" i="20"/>
  <c r="M401" i="20"/>
  <c r="M518" i="20"/>
  <c r="M634" i="20"/>
  <c r="M734" i="20"/>
  <c r="M817" i="20"/>
  <c r="M897" i="20"/>
  <c r="M971" i="20"/>
  <c r="M1044" i="20"/>
  <c r="M1117" i="20"/>
  <c r="M1190" i="20"/>
  <c r="M1263" i="20"/>
  <c r="M1336" i="20"/>
  <c r="M117" i="20"/>
  <c r="M241" i="20"/>
  <c r="M358" i="20"/>
  <c r="M477" i="20"/>
  <c r="M593" i="20"/>
  <c r="M704" i="20"/>
  <c r="M788" i="20"/>
  <c r="M871" i="20"/>
  <c r="M944" i="20"/>
  <c r="M1017" i="20"/>
  <c r="M1091" i="20"/>
  <c r="M1164" i="20"/>
  <c r="M1237" i="20"/>
  <c r="M1310" i="20"/>
  <c r="M1383" i="20"/>
  <c r="M1456" i="20"/>
  <c r="M46" i="20"/>
  <c r="M189" i="20"/>
  <c r="M305" i="20"/>
  <c r="M422" i="20"/>
  <c r="M541" i="20"/>
  <c r="M657" i="20"/>
  <c r="M750" i="20"/>
  <c r="M833" i="20"/>
  <c r="M911" i="20"/>
  <c r="M984" i="20"/>
  <c r="M1057" i="20"/>
  <c r="M1131" i="20"/>
  <c r="M1204" i="20"/>
  <c r="M1277" i="20"/>
  <c r="M1350" i="20"/>
  <c r="M1423" i="20"/>
  <c r="M1496" i="20"/>
  <c r="M229" i="20"/>
  <c r="M464" i="20"/>
  <c r="M695" i="20"/>
  <c r="M862" i="20"/>
  <c r="M1009" i="20"/>
  <c r="M1143" i="20"/>
  <c r="M1261" i="20"/>
  <c r="M1376" i="20"/>
  <c r="M1473" i="20"/>
  <c r="M201" i="20"/>
  <c r="M434" i="20"/>
  <c r="M670" i="20"/>
  <c r="M842" i="20"/>
  <c r="M992" i="20"/>
  <c r="M1132" i="20"/>
  <c r="M1248" i="20"/>
  <c r="M1366" i="20"/>
  <c r="M1463" i="20"/>
  <c r="M157" i="20"/>
  <c r="M63" i="20"/>
  <c r="M127" i="20"/>
  <c r="M64" i="20"/>
  <c r="M128" i="20"/>
  <c r="M77" i="20"/>
  <c r="M159" i="20"/>
  <c r="M223" i="20"/>
  <c r="M287" i="20"/>
  <c r="M351" i="20"/>
  <c r="M415" i="20"/>
  <c r="M479" i="20"/>
  <c r="M543" i="20"/>
  <c r="M607" i="20"/>
  <c r="M671" i="20"/>
  <c r="M83" i="20"/>
  <c r="M163" i="20"/>
  <c r="M227" i="20"/>
  <c r="M291" i="20"/>
  <c r="M355" i="20"/>
  <c r="M419" i="20"/>
  <c r="M483" i="20"/>
  <c r="M547" i="20"/>
  <c r="M611" i="20"/>
  <c r="M675" i="20"/>
  <c r="M739" i="20"/>
  <c r="M803" i="20"/>
  <c r="M867" i="20"/>
  <c r="M94" i="20"/>
  <c r="M172" i="20"/>
  <c r="M236" i="20"/>
  <c r="M300" i="20"/>
  <c r="M364" i="20"/>
  <c r="M428" i="20"/>
  <c r="M492" i="20"/>
  <c r="M556" i="20"/>
  <c r="M620" i="20"/>
  <c r="M684" i="20"/>
  <c r="M107" i="20"/>
  <c r="M218" i="20"/>
  <c r="M321" i="20"/>
  <c r="M424" i="20"/>
  <c r="M526" i="20"/>
  <c r="M629" i="20"/>
  <c r="M719" i="20"/>
  <c r="M792" i="20"/>
  <c r="M865" i="20"/>
  <c r="M930" i="20"/>
  <c r="M994" i="20"/>
  <c r="M1058" i="20"/>
  <c r="M1122" i="20"/>
  <c r="M1186" i="20"/>
  <c r="M1250" i="20"/>
  <c r="M1314" i="20"/>
  <c r="M1378" i="20"/>
  <c r="M1442" i="20"/>
  <c r="M1506" i="20"/>
  <c r="M150" i="20"/>
  <c r="M266" i="20"/>
  <c r="M384" i="20"/>
  <c r="M502" i="20"/>
  <c r="M618" i="20"/>
  <c r="M722" i="20"/>
  <c r="M806" i="20"/>
  <c r="M887" i="20"/>
  <c r="M960" i="20"/>
  <c r="M1033" i="20"/>
  <c r="M33" i="20"/>
  <c r="M182" i="20"/>
  <c r="M298" i="20"/>
  <c r="M416" i="20"/>
  <c r="M533" i="20"/>
  <c r="M649" i="20"/>
  <c r="M744" i="20"/>
  <c r="M828" i="20"/>
  <c r="M907" i="20"/>
  <c r="M980" i="20"/>
  <c r="M1053" i="20"/>
  <c r="M1126" i="20"/>
  <c r="M1199" i="20"/>
  <c r="M1272" i="20"/>
  <c r="M1345" i="20"/>
  <c r="M134" i="20"/>
  <c r="M256" i="20"/>
  <c r="M374" i="20"/>
  <c r="M490" i="20"/>
  <c r="M608" i="20"/>
  <c r="M714" i="20"/>
  <c r="M798" i="20"/>
  <c r="M880" i="20"/>
  <c r="M953" i="20"/>
  <c r="M1027" i="20"/>
  <c r="M1100" i="20"/>
  <c r="M1173" i="20"/>
  <c r="M1246" i="20"/>
  <c r="M1319" i="20"/>
  <c r="M1392" i="20"/>
  <c r="M1465" i="20"/>
  <c r="M66" i="20"/>
  <c r="M202" i="20"/>
  <c r="M320" i="20"/>
  <c r="M438" i="20"/>
  <c r="M554" i="20"/>
  <c r="M672" i="20"/>
  <c r="M760" i="20"/>
  <c r="M844" i="20"/>
  <c r="M920" i="20"/>
  <c r="M993" i="20"/>
  <c r="M1067" i="20"/>
  <c r="M1140" i="20"/>
  <c r="M1213" i="20"/>
  <c r="M1286" i="20"/>
  <c r="M1359" i="20"/>
  <c r="M1432" i="20"/>
  <c r="M1505" i="20"/>
  <c r="M258" i="20"/>
  <c r="M493" i="20"/>
  <c r="M716" i="20"/>
  <c r="M881" i="20"/>
  <c r="M1028" i="20"/>
  <c r="M1159" i="20"/>
  <c r="M1276" i="20"/>
  <c r="M1389" i="20"/>
  <c r="M1486" i="20"/>
  <c r="M230" i="20"/>
  <c r="M465" i="20"/>
  <c r="M696" i="20"/>
  <c r="M863" i="20"/>
  <c r="M1011" i="20"/>
  <c r="M1147" i="20"/>
  <c r="M1262" i="20"/>
  <c r="M1379" i="20"/>
  <c r="M1476" i="20"/>
  <c r="M185" i="20"/>
  <c r="M418" i="20"/>
  <c r="M653" i="20"/>
  <c r="M831" i="20"/>
  <c r="M71" i="20"/>
  <c r="M135" i="20"/>
  <c r="M72" i="20"/>
  <c r="M136" i="20"/>
  <c r="M89" i="20"/>
  <c r="M167" i="20"/>
  <c r="M231" i="20"/>
  <c r="M295" i="20"/>
  <c r="M359" i="20"/>
  <c r="M423" i="20"/>
  <c r="M487" i="20"/>
  <c r="M551" i="20"/>
  <c r="M615" i="20"/>
  <c r="M679" i="20"/>
  <c r="M93" i="20"/>
  <c r="M171" i="20"/>
  <c r="M235" i="20"/>
  <c r="M299" i="20"/>
  <c r="M363" i="20"/>
  <c r="M427" i="20"/>
  <c r="M491" i="20"/>
  <c r="M555" i="20"/>
  <c r="M619" i="20"/>
  <c r="M683" i="20"/>
  <c r="M747" i="20"/>
  <c r="M811" i="20"/>
  <c r="M20" i="20"/>
  <c r="M106" i="20"/>
  <c r="M180" i="20"/>
  <c r="M244" i="20"/>
  <c r="M308" i="20"/>
  <c r="M372" i="20"/>
  <c r="M436" i="20"/>
  <c r="M500" i="20"/>
  <c r="M564" i="20"/>
  <c r="M628" i="20"/>
  <c r="M34" i="20"/>
  <c r="M123" i="20"/>
  <c r="M232" i="20"/>
  <c r="M334" i="20"/>
  <c r="M437" i="20"/>
  <c r="M538" i="20"/>
  <c r="M641" i="20"/>
  <c r="M728" i="20"/>
  <c r="M801" i="20"/>
  <c r="M874" i="20"/>
  <c r="M938" i="20"/>
  <c r="M1002" i="20"/>
  <c r="M1066" i="20"/>
  <c r="M1130" i="20"/>
  <c r="M1194" i="20"/>
  <c r="M1258" i="20"/>
  <c r="M1322" i="20"/>
  <c r="M1386" i="20"/>
  <c r="M1450" i="20"/>
  <c r="M1514" i="20"/>
  <c r="M165" i="20"/>
  <c r="M281" i="20"/>
  <c r="M400" i="20"/>
  <c r="M517" i="20"/>
  <c r="M633" i="20"/>
  <c r="M733" i="20"/>
  <c r="M816" i="20"/>
  <c r="M896" i="20"/>
  <c r="M969" i="20"/>
  <c r="M1043" i="20"/>
  <c r="M58" i="20"/>
  <c r="M197" i="20"/>
  <c r="M313" i="20"/>
  <c r="M430" i="20"/>
  <c r="M546" i="20"/>
  <c r="M664" i="20"/>
  <c r="M754" i="20"/>
  <c r="M839" i="20"/>
  <c r="M916" i="20"/>
  <c r="M989" i="20"/>
  <c r="M1062" i="20"/>
  <c r="M1135" i="20"/>
  <c r="M1208" i="20"/>
  <c r="M1281" i="20"/>
  <c r="M1355" i="20"/>
  <c r="M153" i="20"/>
  <c r="M272" i="20"/>
  <c r="M389" i="20"/>
  <c r="M505" i="20"/>
  <c r="M622" i="20"/>
  <c r="M725" i="20"/>
  <c r="M808" i="20"/>
  <c r="M889" i="20"/>
  <c r="M963" i="20"/>
  <c r="M1036" i="20"/>
  <c r="M1109" i="20"/>
  <c r="M1182" i="20"/>
  <c r="M1255" i="20"/>
  <c r="M1328" i="20"/>
  <c r="M1401" i="20"/>
  <c r="M1475" i="20"/>
  <c r="M85" i="20"/>
  <c r="M217" i="20"/>
  <c r="M336" i="20"/>
  <c r="M453" i="20"/>
  <c r="M569" i="20"/>
  <c r="M686" i="20"/>
  <c r="M770" i="20"/>
  <c r="M854" i="20"/>
  <c r="M929" i="20"/>
  <c r="M1003" i="20"/>
  <c r="M1076" i="20"/>
  <c r="M1149" i="20"/>
  <c r="M1222" i="20"/>
  <c r="M1295" i="20"/>
  <c r="M1368" i="20"/>
  <c r="M1441" i="20"/>
  <c r="M1515" i="20"/>
  <c r="M288" i="20"/>
  <c r="M521" i="20"/>
  <c r="M736" i="20"/>
  <c r="M900" i="20"/>
  <c r="M1046" i="20"/>
  <c r="M1174" i="20"/>
  <c r="M1289" i="20"/>
  <c r="M1400" i="20"/>
  <c r="M1499" i="20"/>
  <c r="M261" i="20"/>
  <c r="M494" i="20"/>
  <c r="M717" i="20"/>
  <c r="M883" i="20"/>
  <c r="M1029" i="20"/>
  <c r="M1160" i="20"/>
  <c r="M1278" i="20"/>
  <c r="M1390" i="20"/>
  <c r="M1488" i="20"/>
  <c r="M214" i="20"/>
  <c r="M39" i="20"/>
  <c r="M103" i="20"/>
  <c r="M40" i="20"/>
  <c r="M104" i="20"/>
  <c r="M45" i="20"/>
  <c r="M131" i="20"/>
  <c r="M199" i="20"/>
  <c r="M263" i="20"/>
  <c r="M327" i="20"/>
  <c r="M391" i="20"/>
  <c r="M455" i="20"/>
  <c r="M519" i="20"/>
  <c r="M583" i="20"/>
  <c r="M647" i="20"/>
  <c r="M51" i="20"/>
  <c r="M137" i="20"/>
  <c r="M203" i="20"/>
  <c r="M267" i="20"/>
  <c r="M331" i="20"/>
  <c r="M395" i="20"/>
  <c r="M459" i="20"/>
  <c r="M523" i="20"/>
  <c r="M587" i="20"/>
  <c r="M651" i="20"/>
  <c r="M715" i="20"/>
  <c r="M779" i="20"/>
  <c r="M843" i="20"/>
  <c r="M62" i="20"/>
  <c r="M148" i="20"/>
  <c r="M212" i="20"/>
  <c r="M276" i="20"/>
  <c r="M340" i="20"/>
  <c r="M404" i="20"/>
  <c r="M468" i="20"/>
  <c r="M532" i="20"/>
  <c r="M596" i="20"/>
  <c r="M660" i="20"/>
  <c r="M54" i="20"/>
  <c r="M181" i="20"/>
  <c r="M282" i="20"/>
  <c r="M385" i="20"/>
  <c r="M488" i="20"/>
  <c r="M590" i="20"/>
  <c r="M692" i="20"/>
  <c r="M765" i="20"/>
  <c r="M838" i="20"/>
  <c r="M906" i="20"/>
  <c r="M970" i="20"/>
  <c r="M1034" i="20"/>
  <c r="M1098" i="20"/>
  <c r="M1162" i="20"/>
  <c r="M1226" i="20"/>
  <c r="M1290" i="20"/>
  <c r="M1354" i="20"/>
  <c r="M1418" i="20"/>
  <c r="M1482" i="20"/>
  <c r="M92" i="20"/>
  <c r="M224" i="20"/>
  <c r="M341" i="20"/>
  <c r="M457" i="20"/>
  <c r="M574" i="20"/>
  <c r="M690" i="20"/>
  <c r="M775" i="20"/>
  <c r="M858" i="20"/>
  <c r="M933" i="20"/>
  <c r="M1006" i="20"/>
  <c r="M1079" i="20"/>
  <c r="M133" i="20"/>
  <c r="M254" i="20"/>
  <c r="M370" i="20"/>
  <c r="M489" i="20"/>
  <c r="M606" i="20"/>
  <c r="M713" i="20"/>
  <c r="M797" i="20"/>
  <c r="M879" i="20"/>
  <c r="M952" i="20"/>
  <c r="M1025" i="20"/>
  <c r="M1099" i="20"/>
  <c r="M1172" i="20"/>
  <c r="M1245" i="20"/>
  <c r="M1318" i="20"/>
  <c r="M78" i="20"/>
  <c r="M213" i="20"/>
  <c r="M329" i="20"/>
  <c r="M446" i="20"/>
  <c r="M562" i="20"/>
  <c r="M681" i="20"/>
  <c r="M767" i="20"/>
  <c r="M850" i="20"/>
  <c r="M926" i="20"/>
  <c r="M999" i="20"/>
  <c r="M1072" i="20"/>
  <c r="M1145" i="20"/>
  <c r="M1219" i="20"/>
  <c r="M1292" i="20"/>
  <c r="M1365" i="20"/>
  <c r="M1438" i="20"/>
  <c r="M1511" i="20"/>
  <c r="M160" i="20"/>
  <c r="M277" i="20"/>
  <c r="M393" i="20"/>
  <c r="M510" i="20"/>
  <c r="M626" i="20"/>
  <c r="M729" i="20"/>
  <c r="M813" i="20"/>
  <c r="M893" i="20"/>
  <c r="M966" i="20"/>
  <c r="M1039" i="20"/>
  <c r="M1112" i="20"/>
  <c r="M1185" i="20"/>
  <c r="M1259" i="20"/>
  <c r="M1332" i="20"/>
  <c r="M1405" i="20"/>
  <c r="M1478" i="20"/>
  <c r="M170" i="20"/>
  <c r="M405" i="20"/>
  <c r="M638" i="20"/>
  <c r="M821" i="20"/>
  <c r="M973" i="20"/>
  <c r="M1115" i="20"/>
  <c r="M1232" i="20"/>
  <c r="M1349" i="20"/>
  <c r="M1449" i="20"/>
  <c r="M142" i="20"/>
  <c r="M377" i="20"/>
  <c r="M610" i="20"/>
  <c r="M800" i="20"/>
  <c r="M956" i="20"/>
  <c r="M1102" i="20"/>
  <c r="M1220" i="20"/>
  <c r="M1335" i="20"/>
  <c r="M1439" i="20"/>
  <c r="M81" i="20"/>
  <c r="M143" i="20"/>
  <c r="M144" i="20"/>
  <c r="M175" i="20"/>
  <c r="M303" i="20"/>
  <c r="M431" i="20"/>
  <c r="M559" i="20"/>
  <c r="M687" i="20"/>
  <c r="M179" i="20"/>
  <c r="M307" i="20"/>
  <c r="M435" i="20"/>
  <c r="M563" i="20"/>
  <c r="M691" i="20"/>
  <c r="M819" i="20"/>
  <c r="M116" i="20"/>
  <c r="M252" i="20"/>
  <c r="M380" i="20"/>
  <c r="M508" i="20"/>
  <c r="M636" i="20"/>
  <c r="M140" i="20"/>
  <c r="M346" i="20"/>
  <c r="M552" i="20"/>
  <c r="M737" i="20"/>
  <c r="M882" i="20"/>
  <c r="M1010" i="20"/>
  <c r="M1138" i="20"/>
  <c r="M1266" i="20"/>
  <c r="M1394" i="20"/>
  <c r="M28" i="20"/>
  <c r="M297" i="20"/>
  <c r="M530" i="20"/>
  <c r="M743" i="20"/>
  <c r="M905" i="20"/>
  <c r="M1052" i="20"/>
  <c r="M210" i="20"/>
  <c r="M445" i="20"/>
  <c r="M678" i="20"/>
  <c r="M849" i="20"/>
  <c r="M998" i="20"/>
  <c r="M1144" i="20"/>
  <c r="M1291" i="20"/>
  <c r="M169" i="20"/>
  <c r="M402" i="20"/>
  <c r="M637" i="20"/>
  <c r="M818" i="20"/>
  <c r="M972" i="20"/>
  <c r="M1118" i="20"/>
  <c r="M1264" i="20"/>
  <c r="M1411" i="20"/>
  <c r="M102" i="20"/>
  <c r="M350" i="20"/>
  <c r="M584" i="20"/>
  <c r="M781" i="20"/>
  <c r="M939" i="20"/>
  <c r="M1085" i="20"/>
  <c r="M1231" i="20"/>
  <c r="M1377" i="20"/>
  <c r="M60" i="20"/>
  <c r="M550" i="20"/>
  <c r="M918" i="20"/>
  <c r="M1188" i="20"/>
  <c r="M1413" i="20"/>
  <c r="M289" i="20"/>
  <c r="M738" i="20"/>
  <c r="M1047" i="20"/>
  <c r="M1293" i="20"/>
  <c r="M1500" i="20"/>
  <c r="M361" i="20"/>
  <c r="M624" i="20"/>
  <c r="M852" i="20"/>
  <c r="M1000" i="20"/>
  <c r="M1137" i="20"/>
  <c r="M1253" i="20"/>
  <c r="M1371" i="20"/>
  <c r="M1468" i="20"/>
  <c r="M158" i="20"/>
  <c r="M392" i="20"/>
  <c r="M625" i="20"/>
  <c r="M812" i="20"/>
  <c r="M965" i="20"/>
  <c r="M1110" i="20"/>
  <c r="M1225" i="20"/>
  <c r="M1343" i="20"/>
  <c r="M1445" i="20"/>
  <c r="M146" i="20"/>
  <c r="M614" i="20"/>
  <c r="M958" i="20"/>
  <c r="M1221" i="20"/>
  <c r="M1440" i="20"/>
  <c r="M325" i="20"/>
  <c r="M762" i="20"/>
  <c r="M1069" i="20"/>
  <c r="M1311" i="20"/>
  <c r="M1516" i="20"/>
  <c r="M512" i="20"/>
  <c r="M894" i="20"/>
  <c r="M1169" i="20"/>
  <c r="M1398" i="20"/>
  <c r="M222" i="20"/>
  <c r="M689" i="20"/>
  <c r="M1005" i="20"/>
  <c r="M1260" i="20"/>
  <c r="M1472" i="20"/>
  <c r="M782" i="20"/>
  <c r="M1324" i="20"/>
  <c r="M1503" i="20"/>
  <c r="M237" i="20"/>
  <c r="M1014" i="20"/>
  <c r="M1479" i="20"/>
  <c r="M1409" i="20"/>
  <c r="M793" i="20"/>
  <c r="M1331" i="20"/>
  <c r="M601" i="20"/>
  <c r="M1215" i="20"/>
  <c r="M293" i="20"/>
  <c r="M1049" i="20"/>
  <c r="M1501" i="20"/>
  <c r="M904" i="20"/>
  <c r="M985" i="20"/>
  <c r="M1361" i="20"/>
  <c r="M1060" i="20"/>
  <c r="M23" i="20"/>
  <c r="M24" i="20"/>
  <c r="M25" i="20"/>
  <c r="M183" i="20"/>
  <c r="M311" i="20"/>
  <c r="M439" i="20"/>
  <c r="M567" i="20"/>
  <c r="M29" i="20"/>
  <c r="M187" i="20"/>
  <c r="M315" i="20"/>
  <c r="M443" i="20"/>
  <c r="M571" i="20"/>
  <c r="M699" i="20"/>
  <c r="M827" i="20"/>
  <c r="M126" i="20"/>
  <c r="M260" i="20"/>
  <c r="M388" i="20"/>
  <c r="M516" i="20"/>
  <c r="M644" i="20"/>
  <c r="M154" i="20"/>
  <c r="M360" i="20"/>
  <c r="M565" i="20"/>
  <c r="M746" i="20"/>
  <c r="M890" i="20"/>
  <c r="M1018" i="20"/>
  <c r="M1146" i="20"/>
  <c r="M1274" i="20"/>
  <c r="M1402" i="20"/>
  <c r="M53" i="20"/>
  <c r="M312" i="20"/>
  <c r="M545" i="20"/>
  <c r="M753" i="20"/>
  <c r="M915" i="20"/>
  <c r="M1061" i="20"/>
  <c r="M225" i="20"/>
  <c r="M458" i="20"/>
  <c r="M693" i="20"/>
  <c r="M860" i="20"/>
  <c r="M1007" i="20"/>
  <c r="M1153" i="20"/>
  <c r="M1300" i="20"/>
  <c r="M184" i="20"/>
  <c r="M417" i="20"/>
  <c r="M650" i="20"/>
  <c r="M830" i="20"/>
  <c r="M981" i="20"/>
  <c r="M1127" i="20"/>
  <c r="M1273" i="20"/>
  <c r="M1420" i="20"/>
  <c r="M124" i="20"/>
  <c r="M365" i="20"/>
  <c r="M598" i="20"/>
  <c r="M791" i="20"/>
  <c r="M948" i="20"/>
  <c r="M1094" i="20"/>
  <c r="M1240" i="20"/>
  <c r="M1387" i="20"/>
  <c r="M100" i="20"/>
  <c r="M581" i="20"/>
  <c r="M936" i="20"/>
  <c r="M1203" i="20"/>
  <c r="M1425" i="20"/>
  <c r="M318" i="20"/>
  <c r="M759" i="20"/>
  <c r="M1065" i="20"/>
  <c r="M1307" i="20"/>
  <c r="M1512" i="20"/>
  <c r="M390" i="20"/>
  <c r="M682" i="20"/>
  <c r="M872" i="20"/>
  <c r="M1019" i="20"/>
  <c r="M1151" i="20"/>
  <c r="M1269" i="20"/>
  <c r="M1382" i="20"/>
  <c r="M1480" i="20"/>
  <c r="M186" i="20"/>
  <c r="M421" i="20"/>
  <c r="M656" i="20"/>
  <c r="M832" i="20"/>
  <c r="M983" i="20"/>
  <c r="M1124" i="20"/>
  <c r="M1241" i="20"/>
  <c r="M1358" i="20"/>
  <c r="M1457" i="20"/>
  <c r="M205" i="20"/>
  <c r="M673" i="20"/>
  <c r="M995" i="20"/>
  <c r="M1251" i="20"/>
  <c r="M1464" i="20"/>
  <c r="M382" i="20"/>
  <c r="M805" i="20"/>
  <c r="M1105" i="20"/>
  <c r="M1340" i="20"/>
  <c r="M86" i="20"/>
  <c r="M570" i="20"/>
  <c r="M931" i="20"/>
  <c r="M1198" i="20"/>
  <c r="M1422" i="20"/>
  <c r="M280" i="20"/>
  <c r="M732" i="20"/>
  <c r="M1041" i="20"/>
  <c r="M1288" i="20"/>
  <c r="M1497" i="20"/>
  <c r="M866" i="20"/>
  <c r="M1380" i="20"/>
  <c r="M190" i="20"/>
  <c r="M353" i="20"/>
  <c r="M1087" i="20"/>
  <c r="M1120" i="20"/>
  <c r="M1508" i="20"/>
  <c r="M876" i="20"/>
  <c r="M1385" i="20"/>
  <c r="M711" i="20"/>
  <c r="M1275" i="20"/>
  <c r="M409" i="20"/>
  <c r="M1119" i="20"/>
  <c r="M27" i="20"/>
  <c r="M977" i="20"/>
  <c r="M1360" i="20"/>
  <c r="M50" i="20"/>
  <c r="M1509" i="20"/>
  <c r="M79" i="20"/>
  <c r="M80" i="20"/>
  <c r="M99" i="20"/>
  <c r="M239" i="20"/>
  <c r="M367" i="20"/>
  <c r="M495" i="20"/>
  <c r="M623" i="20"/>
  <c r="M105" i="20"/>
  <c r="M243" i="20"/>
  <c r="M371" i="20"/>
  <c r="M499" i="20"/>
  <c r="M627" i="20"/>
  <c r="M755" i="20"/>
  <c r="M30" i="20"/>
  <c r="M188" i="20"/>
  <c r="M316" i="20"/>
  <c r="M444" i="20"/>
  <c r="M572" i="20"/>
  <c r="M36" i="20"/>
  <c r="M245" i="20"/>
  <c r="M449" i="20"/>
  <c r="M654" i="20"/>
  <c r="M810" i="20"/>
  <c r="M946" i="20"/>
  <c r="M1074" i="20"/>
  <c r="M1202" i="20"/>
  <c r="M1330" i="20"/>
  <c r="M1458" i="20"/>
  <c r="M178" i="20"/>
  <c r="M414" i="20"/>
  <c r="M648" i="20"/>
  <c r="M826" i="20"/>
  <c r="M979" i="20"/>
  <c r="M76" i="20"/>
  <c r="M328" i="20"/>
  <c r="M561" i="20"/>
  <c r="M766" i="20"/>
  <c r="M925" i="20"/>
  <c r="M1071" i="20"/>
  <c r="M1217" i="20"/>
  <c r="M1364" i="20"/>
  <c r="M286" i="20"/>
  <c r="M520" i="20"/>
  <c r="M735" i="20"/>
  <c r="M899" i="20"/>
  <c r="M1045" i="20"/>
  <c r="M1191" i="20"/>
  <c r="M1337" i="20"/>
  <c r="M1484" i="20"/>
  <c r="M233" i="20"/>
  <c r="M466" i="20"/>
  <c r="M697" i="20"/>
  <c r="M864" i="20"/>
  <c r="M1012" i="20"/>
  <c r="M1158" i="20"/>
  <c r="M1304" i="20"/>
  <c r="M1451" i="20"/>
  <c r="M317" i="20"/>
  <c r="M758" i="20"/>
  <c r="M1064" i="20"/>
  <c r="M1305" i="20"/>
  <c r="M1510" i="20"/>
  <c r="M522" i="20"/>
  <c r="M901" i="20"/>
  <c r="M1175" i="20"/>
  <c r="M1403" i="20"/>
  <c r="M242" i="20"/>
  <c r="M506" i="20"/>
  <c r="M87" i="20"/>
  <c r="M88" i="20"/>
  <c r="M109" i="20"/>
  <c r="M247" i="20"/>
  <c r="M375" i="20"/>
  <c r="M503" i="20"/>
  <c r="M631" i="20"/>
  <c r="M115" i="20"/>
  <c r="M251" i="20"/>
  <c r="M379" i="20"/>
  <c r="M507" i="20"/>
  <c r="M635" i="20"/>
  <c r="M763" i="20"/>
  <c r="M42" i="20"/>
  <c r="M196" i="20"/>
  <c r="M324" i="20"/>
  <c r="M452" i="20"/>
  <c r="M580" i="20"/>
  <c r="M21" i="20"/>
  <c r="M257" i="20"/>
  <c r="M462" i="20"/>
  <c r="M666" i="20"/>
  <c r="M820" i="20"/>
  <c r="M954" i="20"/>
  <c r="M1082" i="20"/>
  <c r="M1210" i="20"/>
  <c r="M1338" i="20"/>
  <c r="M1466" i="20"/>
  <c r="M194" i="20"/>
  <c r="M429" i="20"/>
  <c r="M662" i="20"/>
  <c r="M837" i="20"/>
  <c r="M988" i="20"/>
  <c r="M97" i="20"/>
  <c r="M342" i="20"/>
  <c r="M576" i="20"/>
  <c r="M776" i="20"/>
  <c r="M934" i="20"/>
  <c r="M1080" i="20"/>
  <c r="M1227" i="20"/>
  <c r="M38" i="20"/>
  <c r="M301" i="20"/>
  <c r="M534" i="20"/>
  <c r="M745" i="20"/>
  <c r="M908" i="20"/>
  <c r="M1054" i="20"/>
  <c r="M1200" i="20"/>
  <c r="M1347" i="20"/>
  <c r="M1493" i="20"/>
  <c r="M248" i="20"/>
  <c r="M481" i="20"/>
  <c r="M708" i="20"/>
  <c r="M875" i="20"/>
  <c r="M1021" i="20"/>
  <c r="M1167" i="20"/>
  <c r="M1313" i="20"/>
  <c r="M1460" i="20"/>
  <c r="M345" i="20"/>
  <c r="M778" i="20"/>
  <c r="M1083" i="20"/>
  <c r="M1320" i="20"/>
  <c r="M65" i="20"/>
  <c r="M553" i="20"/>
  <c r="M919" i="20"/>
  <c r="M1189" i="20"/>
  <c r="M1415" i="20"/>
  <c r="M273" i="20"/>
  <c r="M536" i="20"/>
  <c r="M768" i="20"/>
  <c r="M945" i="20"/>
  <c r="M1092" i="20"/>
  <c r="M1211" i="20"/>
  <c r="M1326" i="20"/>
  <c r="M1431" i="20"/>
  <c r="M44" i="20"/>
  <c r="M304" i="20"/>
  <c r="M537" i="20"/>
  <c r="M749" i="20"/>
  <c r="M910" i="20"/>
  <c r="M1056" i="20"/>
  <c r="M1183" i="20"/>
  <c r="M1299" i="20"/>
  <c r="M1408" i="20"/>
  <c r="M1507" i="20"/>
  <c r="M440" i="20"/>
  <c r="M845" i="20"/>
  <c r="M1133" i="20"/>
  <c r="M1367" i="20"/>
  <c r="M149" i="20"/>
  <c r="M617" i="20"/>
  <c r="M959" i="20"/>
  <c r="M1223" i="20"/>
  <c r="M1443" i="20"/>
  <c r="M337" i="20"/>
  <c r="M772" i="20"/>
  <c r="M1077" i="20"/>
  <c r="M1316" i="20"/>
  <c r="M1519" i="20"/>
  <c r="M514" i="20"/>
  <c r="M895" i="20"/>
  <c r="M1171" i="20"/>
  <c r="M1399" i="20"/>
  <c r="M469" i="20"/>
  <c r="M1148" i="20"/>
  <c r="M1051" i="20"/>
  <c r="M1184" i="20"/>
  <c r="M784" i="20"/>
  <c r="M1325" i="20"/>
  <c r="M912" i="20"/>
  <c r="M482" i="20"/>
  <c r="M1156" i="20"/>
  <c r="M250" i="20"/>
  <c r="M1023" i="20"/>
  <c r="M1485" i="20"/>
  <c r="M824" i="20"/>
  <c r="M1352" i="20"/>
  <c r="M529" i="20"/>
  <c r="M49" i="20"/>
  <c r="M752" i="20"/>
  <c r="M987" i="20"/>
  <c r="M1187" i="20"/>
  <c r="M95" i="20"/>
  <c r="M96" i="20"/>
  <c r="M121" i="20"/>
  <c r="M255" i="20"/>
  <c r="M383" i="20"/>
  <c r="M511" i="20"/>
  <c r="M639" i="20"/>
  <c r="M125" i="20"/>
  <c r="M259" i="20"/>
  <c r="M387" i="20"/>
  <c r="M515" i="20"/>
  <c r="M643" i="20"/>
  <c r="M771" i="20"/>
  <c r="M52" i="20"/>
  <c r="M204" i="20"/>
  <c r="M332" i="20"/>
  <c r="M460" i="20"/>
  <c r="M588" i="20"/>
  <c r="M37" i="20"/>
  <c r="M270" i="20"/>
  <c r="M474" i="20"/>
  <c r="M680" i="20"/>
  <c r="M829" i="20"/>
  <c r="M962" i="20"/>
  <c r="M1090" i="20"/>
  <c r="M1218" i="20"/>
  <c r="M1346" i="20"/>
  <c r="M1474" i="20"/>
  <c r="M209" i="20"/>
  <c r="M442" i="20"/>
  <c r="M677" i="20"/>
  <c r="M848" i="20"/>
  <c r="M997" i="20"/>
  <c r="M114" i="20"/>
  <c r="M357" i="20"/>
  <c r="M592" i="20"/>
  <c r="M786" i="20"/>
  <c r="M35" i="20"/>
  <c r="M399" i="20"/>
  <c r="M61" i="20"/>
  <c r="M451" i="20"/>
  <c r="M787" i="20"/>
  <c r="M284" i="20"/>
  <c r="M652" i="20"/>
  <c r="M501" i="20"/>
  <c r="M914" i="20"/>
  <c r="M1282" i="20"/>
  <c r="M238" i="20"/>
  <c r="M785" i="20"/>
  <c r="M240" i="20"/>
  <c r="M807" i="20"/>
  <c r="M1108" i="20"/>
  <c r="M98" i="20"/>
  <c r="M578" i="20"/>
  <c r="M935" i="20"/>
  <c r="M1228" i="20"/>
  <c r="M22" i="20"/>
  <c r="M525" i="20"/>
  <c r="M902" i="20"/>
  <c r="M1195" i="20"/>
  <c r="M1487" i="20"/>
  <c r="M841" i="20"/>
  <c r="M1363" i="20"/>
  <c r="M640" i="20"/>
  <c r="M1233" i="20"/>
  <c r="M330" i="20"/>
  <c r="M789" i="20"/>
  <c r="M1055" i="20"/>
  <c r="M1239" i="20"/>
  <c r="M1419" i="20"/>
  <c r="M216" i="20"/>
  <c r="M568" i="20"/>
  <c r="M873" i="20"/>
  <c r="M1093" i="20"/>
  <c r="M1285" i="20"/>
  <c r="M1470" i="20"/>
  <c r="M497" i="20"/>
  <c r="M1068" i="20"/>
  <c r="M1416" i="20"/>
  <c r="M558" i="20"/>
  <c r="M1134" i="20"/>
  <c r="M1467" i="20"/>
  <c r="M688" i="20"/>
  <c r="M1141" i="20"/>
  <c r="M1495" i="20"/>
  <c r="M773" i="20"/>
  <c r="M1201" i="20"/>
  <c r="M234" i="20"/>
  <c r="M1265" i="20"/>
  <c r="M1059" i="20"/>
  <c r="M1150" i="20"/>
  <c r="M1125" i="20"/>
  <c r="M1022" i="20"/>
  <c r="M485" i="20"/>
  <c r="M1436" i="20"/>
  <c r="M1177" i="20"/>
  <c r="M646" i="20"/>
  <c r="M661" i="20"/>
  <c r="M310" i="20"/>
  <c r="M191" i="20"/>
  <c r="M168" i="20"/>
  <c r="M942" i="20"/>
  <c r="M943" i="20"/>
  <c r="M314" i="20"/>
  <c r="M1063" i="20"/>
  <c r="M262" i="20"/>
  <c r="M1030" i="20"/>
  <c r="M376" i="20"/>
  <c r="M101" i="20"/>
  <c r="M1427" i="20"/>
  <c r="M566" i="20"/>
  <c r="M1123" i="20"/>
  <c r="M1312" i="20"/>
  <c r="M706" i="20"/>
  <c r="M947" i="20"/>
  <c r="M1372" i="20"/>
  <c r="M1518" i="20"/>
  <c r="M1192" i="20"/>
  <c r="M69" i="20"/>
  <c r="M1252" i="20"/>
  <c r="M855" i="20"/>
  <c r="M338" i="20"/>
  <c r="M932" i="20"/>
  <c r="M742" i="20"/>
  <c r="M1381" i="20"/>
  <c r="M1271" i="20"/>
  <c r="M528" i="20"/>
  <c r="M1296" i="20"/>
  <c r="M544" i="20"/>
  <c r="M575" i="20"/>
  <c r="M595" i="20"/>
  <c r="M193" i="20"/>
  <c r="M1426" i="20"/>
  <c r="M504" i="20"/>
  <c r="M344" i="20"/>
  <c r="M1374" i="20"/>
  <c r="M1048" i="20"/>
  <c r="M433" i="20"/>
  <c r="M173" i="20"/>
  <c r="M1452" i="20"/>
  <c r="M927" i="20"/>
  <c r="M1342" i="20"/>
  <c r="M362" i="20"/>
  <c r="M1001" i="20"/>
  <c r="M1384" i="20"/>
  <c r="M804" i="20"/>
  <c r="M208" i="20"/>
  <c r="M1280" i="20"/>
  <c r="M967" i="20"/>
  <c r="M968" i="20"/>
  <c r="M940" i="20"/>
  <c r="M1430" i="20"/>
  <c r="M1435" i="20"/>
  <c r="M645" i="20"/>
  <c r="M1454" i="20"/>
  <c r="M57" i="20"/>
  <c r="M447" i="20"/>
  <c r="M147" i="20"/>
  <c r="M467" i="20"/>
  <c r="M835" i="20"/>
  <c r="M348" i="20"/>
  <c r="M668" i="20"/>
  <c r="M577" i="20"/>
  <c r="M978" i="20"/>
  <c r="M1298" i="20"/>
  <c r="M326" i="20"/>
  <c r="M869" i="20"/>
  <c r="M269" i="20"/>
  <c r="M870" i="20"/>
  <c r="M1163" i="20"/>
  <c r="M198" i="20"/>
  <c r="M665" i="20"/>
  <c r="M990" i="20"/>
  <c r="M1283" i="20"/>
  <c r="M145" i="20"/>
  <c r="M613" i="20"/>
  <c r="M957" i="20"/>
  <c r="M1249" i="20"/>
  <c r="M139" i="20"/>
  <c r="M955" i="20"/>
  <c r="M1437" i="20"/>
  <c r="M780" i="20"/>
  <c r="M1321" i="20"/>
  <c r="M448" i="20"/>
  <c r="M809" i="20"/>
  <c r="M1073" i="20"/>
  <c r="M1284" i="20"/>
  <c r="M1444" i="20"/>
  <c r="M246" i="20"/>
  <c r="M597" i="20"/>
  <c r="M892" i="20"/>
  <c r="M1139" i="20"/>
  <c r="M1315" i="20"/>
  <c r="M1481" i="20"/>
  <c r="M557" i="20"/>
  <c r="M1104" i="20"/>
  <c r="M1489" i="20"/>
  <c r="M674" i="20"/>
  <c r="M1165" i="20"/>
  <c r="M1491" i="20"/>
  <c r="M730" i="20"/>
  <c r="M1229" i="20"/>
  <c r="M91" i="20"/>
  <c r="M815" i="20"/>
  <c r="M1230" i="20"/>
  <c r="M352" i="20"/>
  <c r="M1428" i="20"/>
  <c r="M1302" i="20"/>
  <c r="M1207" i="20"/>
  <c r="M1243" i="20"/>
  <c r="M1095" i="20"/>
  <c r="M794" i="20"/>
  <c r="M26" i="20"/>
  <c r="M1235" i="20"/>
  <c r="M825" i="20"/>
  <c r="M1244" i="20"/>
  <c r="M426" i="20"/>
  <c r="M472" i="20"/>
  <c r="M1492" i="20"/>
  <c r="M698" i="20"/>
  <c r="M111" i="20"/>
  <c r="M275" i="20"/>
  <c r="M476" i="20"/>
  <c r="M1106" i="20"/>
  <c r="M1015" i="20"/>
  <c r="M1254" i="20"/>
  <c r="M1081" i="20"/>
  <c r="M290" i="20"/>
  <c r="M1341" i="20"/>
  <c r="M974" i="20"/>
  <c r="M1166" i="20"/>
  <c r="M727" i="20"/>
  <c r="M68" i="20"/>
  <c r="M886" i="20"/>
  <c r="M397" i="20"/>
  <c r="M1238" i="20"/>
  <c r="M366" i="20"/>
  <c r="M1453" i="20"/>
  <c r="M31" i="20"/>
  <c r="M141" i="20"/>
  <c r="M463" i="20"/>
  <c r="M195" i="20"/>
  <c r="M531" i="20"/>
  <c r="M851" i="20"/>
  <c r="M396" i="20"/>
  <c r="M70" i="20"/>
  <c r="M602" i="20"/>
  <c r="M1026" i="20"/>
  <c r="M1362" i="20"/>
  <c r="M354" i="20"/>
  <c r="M924" i="20"/>
  <c r="M386" i="20"/>
  <c r="M888" i="20"/>
  <c r="M1181" i="20"/>
  <c r="M226" i="20"/>
  <c r="M694" i="20"/>
  <c r="M1008" i="20"/>
  <c r="M1301" i="20"/>
  <c r="M174" i="20"/>
  <c r="M642" i="20"/>
  <c r="M975" i="20"/>
  <c r="M1268" i="20"/>
  <c r="M200" i="20"/>
  <c r="M991" i="20"/>
  <c r="M1462" i="20"/>
  <c r="M822" i="20"/>
  <c r="M1351" i="20"/>
  <c r="M478" i="20"/>
  <c r="M891" i="20"/>
  <c r="M1107" i="20"/>
  <c r="M1297" i="20"/>
  <c r="M1455" i="20"/>
  <c r="M274" i="20"/>
  <c r="M685" i="20"/>
  <c r="M928" i="20"/>
  <c r="M1152" i="20"/>
  <c r="M1329" i="20"/>
  <c r="M1494" i="20"/>
  <c r="M720" i="20"/>
  <c r="M1161" i="20"/>
  <c r="M1513" i="20"/>
  <c r="M721" i="20"/>
  <c r="M1193" i="20"/>
  <c r="M161" i="20"/>
  <c r="M814" i="20"/>
  <c r="M1257" i="20"/>
  <c r="M162" i="20"/>
  <c r="M857" i="20"/>
  <c r="M1317" i="20"/>
  <c r="M585" i="20"/>
  <c r="M1477" i="20"/>
  <c r="M110" i="20"/>
  <c r="M1267" i="20"/>
  <c r="M129" i="20"/>
  <c r="M1214" i="20"/>
  <c r="M877" i="20"/>
  <c r="M176" i="20"/>
  <c r="M1294" i="20"/>
  <c r="M1179" i="20"/>
  <c r="M1303" i="20"/>
  <c r="M1128" i="20"/>
  <c r="M47" i="20"/>
  <c r="M527" i="20"/>
  <c r="M211" i="20"/>
  <c r="M579" i="20"/>
  <c r="M74" i="20"/>
  <c r="M412" i="20"/>
  <c r="M701" i="20"/>
  <c r="M1042" i="20"/>
  <c r="M1410" i="20"/>
  <c r="M473" i="20"/>
  <c r="M1236" i="20"/>
  <c r="M757" i="20"/>
  <c r="M1356" i="20"/>
  <c r="M718" i="20"/>
  <c r="M1323" i="20"/>
  <c r="M1101" i="20"/>
  <c r="M937" i="20"/>
  <c r="M909" i="20"/>
  <c r="M333" i="20"/>
  <c r="M1168" i="20"/>
  <c r="M761" i="20"/>
  <c r="M846" i="20"/>
  <c r="M221" i="20"/>
  <c r="M1287" i="20"/>
  <c r="M1348" i="20"/>
  <c r="M470" i="20"/>
  <c r="M249" i="20"/>
  <c r="M950" i="20"/>
  <c r="M1404" i="20"/>
  <c r="M836" i="20"/>
  <c r="M207" i="20"/>
  <c r="M138" i="20"/>
  <c r="M756" i="20"/>
  <c r="M560" i="20"/>
  <c r="M961" i="20"/>
  <c r="M777" i="20"/>
  <c r="M740" i="20"/>
  <c r="M1129" i="20"/>
  <c r="M594" i="20"/>
  <c r="M1504" i="20"/>
  <c r="M1197" i="20"/>
  <c r="M1279" i="20"/>
  <c r="M278" i="20"/>
  <c r="M1375" i="20"/>
  <c r="M586" i="20"/>
  <c r="M1096" i="20"/>
  <c r="M913" i="20"/>
  <c r="M32" i="20"/>
  <c r="M271" i="20"/>
  <c r="M591" i="20"/>
  <c r="M323" i="20"/>
  <c r="M659" i="20"/>
  <c r="M156" i="20"/>
  <c r="M524" i="20"/>
  <c r="M296" i="20"/>
  <c r="M774" i="20"/>
  <c r="M1154" i="20"/>
  <c r="M1490" i="20"/>
  <c r="M589" i="20"/>
  <c r="M1070" i="20"/>
  <c r="M621" i="20"/>
  <c r="M1016" i="20"/>
  <c r="M1309" i="20"/>
  <c r="M432" i="20"/>
  <c r="M840" i="20"/>
  <c r="M1136" i="20"/>
  <c r="M1429" i="20"/>
  <c r="M378" i="20"/>
  <c r="M802" i="20"/>
  <c r="M1103" i="20"/>
  <c r="M1396" i="20"/>
  <c r="M609" i="20"/>
  <c r="M1216" i="20"/>
  <c r="M349" i="20"/>
  <c r="M1084" i="20"/>
  <c r="M43" i="20"/>
  <c r="M705" i="20"/>
  <c r="M964" i="20"/>
  <c r="M1180" i="20"/>
  <c r="M1357" i="20"/>
  <c r="M1517" i="20"/>
  <c r="M450" i="20"/>
  <c r="M769" i="20"/>
  <c r="M1020" i="20"/>
  <c r="M1212" i="20"/>
  <c r="M1397" i="20"/>
  <c r="M264" i="20"/>
  <c r="M885" i="20"/>
  <c r="M1308" i="20"/>
  <c r="M265" i="20"/>
  <c r="M923" i="20"/>
  <c r="M1369" i="20"/>
  <c r="M394" i="20"/>
  <c r="M1004" i="20"/>
  <c r="M1373" i="20"/>
  <c r="M456" i="20"/>
  <c r="M1078" i="20"/>
  <c r="M1424" i="20"/>
  <c r="M1013" i="20"/>
  <c r="M1353" i="20"/>
  <c r="M700" i="20"/>
  <c r="M1406" i="20"/>
  <c r="M600" i="20"/>
  <c r="M1483" i="20"/>
  <c r="M1157" i="20"/>
  <c r="M741" i="20"/>
  <c r="M177" i="20"/>
  <c r="M425" i="20"/>
  <c r="M1412" i="20"/>
  <c r="M48" i="20"/>
  <c r="M319" i="20"/>
  <c r="M655" i="20"/>
  <c r="M339" i="20"/>
  <c r="M707" i="20"/>
  <c r="M220" i="20"/>
  <c r="M540" i="20"/>
  <c r="M373" i="20"/>
  <c r="M847" i="20"/>
  <c r="M1170" i="20"/>
  <c r="M75" i="20"/>
  <c r="M702" i="20"/>
  <c r="M1088" i="20"/>
  <c r="M703" i="20"/>
  <c r="M1035" i="20"/>
  <c r="M1327" i="20"/>
  <c r="M461" i="20"/>
  <c r="M861" i="20"/>
  <c r="M1155" i="20"/>
  <c r="M1447" i="20"/>
  <c r="M408" i="20"/>
  <c r="M823" i="20"/>
  <c r="M1121" i="20"/>
  <c r="M1414" i="20"/>
  <c r="M669" i="20"/>
  <c r="M1247" i="20"/>
  <c r="M406" i="20"/>
  <c r="M1116" i="20"/>
  <c r="M118" i="20"/>
  <c r="M726" i="20"/>
  <c r="M982" i="20"/>
  <c r="M1196" i="20"/>
  <c r="M1395" i="20"/>
  <c r="M82" i="20"/>
  <c r="M480" i="20"/>
  <c r="M790" i="20"/>
  <c r="M1038" i="20"/>
  <c r="M1256" i="20"/>
  <c r="M1421" i="20"/>
  <c r="M322" i="20"/>
  <c r="M921" i="20"/>
  <c r="M1339" i="20"/>
  <c r="M441" i="20"/>
  <c r="M996" i="20"/>
  <c r="M1393" i="20"/>
  <c r="M454" i="20"/>
  <c r="M1040" i="20"/>
  <c r="M1446" i="20"/>
  <c r="M573" i="20"/>
  <c r="M1113" i="20"/>
  <c r="M1448" i="20"/>
  <c r="M1086" i="20"/>
  <c r="M542" i="20"/>
  <c r="M868" i="20"/>
  <c r="M306" i="20"/>
  <c r="M709" i="20"/>
  <c r="M130" i="20"/>
  <c r="M1333" i="20"/>
  <c r="M903" i="20"/>
  <c r="M294" i="20"/>
  <c r="M751" i="20"/>
  <c r="M192" i="20"/>
  <c r="M112" i="20"/>
  <c r="M335" i="20"/>
  <c r="M41" i="20"/>
  <c r="M403" i="20"/>
  <c r="M723" i="20"/>
  <c r="M268" i="20"/>
  <c r="M604" i="20"/>
  <c r="M398" i="20"/>
  <c r="M898" i="20"/>
  <c r="M1234" i="20"/>
  <c r="M113" i="20"/>
  <c r="M764" i="20"/>
  <c r="M152" i="20"/>
  <c r="M724" i="20"/>
  <c r="M1089" i="20"/>
  <c r="M59" i="20"/>
  <c r="M549" i="20"/>
  <c r="M917" i="20"/>
  <c r="M1209" i="20"/>
  <c r="M1502" i="20"/>
  <c r="M496" i="20"/>
  <c r="M884" i="20"/>
  <c r="M1176" i="20"/>
  <c r="M1469" i="20"/>
  <c r="M799" i="20"/>
  <c r="M1334" i="20"/>
  <c r="M582" i="20"/>
  <c r="M1205" i="20"/>
  <c r="M302" i="20"/>
  <c r="M748" i="20"/>
  <c r="M1037" i="20"/>
  <c r="M1224" i="20"/>
  <c r="M1407" i="20"/>
  <c r="M122" i="20"/>
  <c r="M509" i="20"/>
  <c r="M853" i="20"/>
  <c r="M1075" i="20"/>
  <c r="M1270" i="20"/>
  <c r="M1433" i="20"/>
  <c r="M381" i="20"/>
  <c r="M1031" i="20"/>
  <c r="M1391" i="20"/>
  <c r="M498" i="20"/>
  <c r="M1032" i="20"/>
  <c r="M1417" i="20"/>
  <c r="M630" i="20"/>
  <c r="M1111" i="20"/>
  <c r="M1471" i="20"/>
  <c r="M632" i="20"/>
  <c r="M1142" i="20"/>
  <c r="M108" i="20"/>
  <c r="M1206" i="20"/>
  <c r="M834" i="20"/>
  <c r="M941" i="20"/>
  <c r="M658" i="20"/>
  <c r="M949" i="20"/>
  <c r="M368" i="20"/>
  <c r="M1388" i="20"/>
  <c r="M976" i="20"/>
  <c r="M413" i="20"/>
  <c r="M1459" i="20"/>
  <c r="M1461" i="20"/>
  <c r="M1344" i="20"/>
  <c r="Q58" i="20"/>
  <c r="Q122" i="20"/>
  <c r="Q78" i="20"/>
  <c r="Q149" i="20"/>
  <c r="Q213" i="20"/>
  <c r="Q277" i="20"/>
  <c r="Q341" i="20"/>
  <c r="Q405" i="20"/>
  <c r="Q469" i="20"/>
  <c r="Q533" i="20"/>
  <c r="Q597" i="20"/>
  <c r="Q661" i="20"/>
  <c r="Q725" i="20"/>
  <c r="Q789" i="20"/>
  <c r="Q853" i="20"/>
  <c r="Q917" i="20"/>
  <c r="Q70" i="20"/>
  <c r="Q142" i="20"/>
  <c r="Q206" i="20"/>
  <c r="Q270" i="20"/>
  <c r="Q334" i="20"/>
  <c r="Q398" i="20"/>
  <c r="Q462" i="20"/>
  <c r="Q526" i="20"/>
  <c r="Q590" i="20"/>
  <c r="Q654" i="20"/>
  <c r="Q718" i="20"/>
  <c r="Q782" i="20"/>
  <c r="Q846" i="20"/>
  <c r="Q910" i="20"/>
  <c r="Q75" i="20"/>
  <c r="Q168" i="20"/>
  <c r="Q252" i="20"/>
  <c r="Q338" i="20"/>
  <c r="Q424" i="20"/>
  <c r="Q508" i="20"/>
  <c r="Q594" i="20"/>
  <c r="Q680" i="20"/>
  <c r="Q764" i="20"/>
  <c r="Q850" i="20"/>
  <c r="Q112" i="20"/>
  <c r="Q201" i="20"/>
  <c r="Q287" i="20"/>
  <c r="Q371" i="20"/>
  <c r="Q457" i="20"/>
  <c r="Q543" i="20"/>
  <c r="Q627" i="20"/>
  <c r="Q713" i="20"/>
  <c r="Q799" i="20"/>
  <c r="Q45" i="20"/>
  <c r="Q140" i="20"/>
  <c r="Q226" i="20"/>
  <c r="Q312" i="20"/>
  <c r="Q396" i="20"/>
  <c r="Q482" i="20"/>
  <c r="Q170" i="20"/>
  <c r="Q305" i="20"/>
  <c r="Q442" i="20"/>
  <c r="Q564" i="20"/>
  <c r="Q676" i="20"/>
  <c r="Q792" i="20"/>
  <c r="Q892" i="20"/>
  <c r="Q968" i="20"/>
  <c r="Q1032" i="20"/>
  <c r="Q1096" i="20"/>
  <c r="Q1160" i="20"/>
  <c r="Q1224" i="20"/>
  <c r="Q1288" i="20"/>
  <c r="Q1352" i="20"/>
  <c r="Q1416" i="20"/>
  <c r="Q1480" i="20"/>
  <c r="Q80" i="20"/>
  <c r="Q224" i="20"/>
  <c r="Q359" i="20"/>
  <c r="Q495" i="20"/>
  <c r="Q85" i="20"/>
  <c r="Q228" i="20"/>
  <c r="Q367" i="20"/>
  <c r="Q500" i="20"/>
  <c r="Q612" i="20"/>
  <c r="Q728" i="20"/>
  <c r="Q842" i="20"/>
  <c r="Q930" i="20"/>
  <c r="Q996" i="20"/>
  <c r="Q1060" i="20"/>
  <c r="Q1124" i="20"/>
  <c r="Q1188" i="20"/>
  <c r="Q1252" i="20"/>
  <c r="Q1316" i="20"/>
  <c r="Q1380" i="20"/>
  <c r="Q1444" i="20"/>
  <c r="Q1508" i="20"/>
  <c r="Q145" i="20"/>
  <c r="Q282" i="20"/>
  <c r="Q419" i="20"/>
  <c r="Q545" i="20"/>
  <c r="Q657" i="20"/>
  <c r="Q771" i="20"/>
  <c r="Q879" i="20"/>
  <c r="Q957" i="20"/>
  <c r="Q1021" i="20"/>
  <c r="Q1085" i="20"/>
  <c r="Q1149" i="20"/>
  <c r="Q1213" i="20"/>
  <c r="Q1277" i="20"/>
  <c r="Q1341" i="20"/>
  <c r="Q1405" i="20"/>
  <c r="Q1469" i="20"/>
  <c r="Q83" i="20"/>
  <c r="Q362" i="20"/>
  <c r="Q599" i="20"/>
  <c r="Q780" i="20"/>
  <c r="Q937" i="20"/>
  <c r="Q1039" i="20"/>
  <c r="Q1142" i="20"/>
  <c r="Q1243" i="20"/>
  <c r="Q1346" i="20"/>
  <c r="Q1449" i="20"/>
  <c r="Q121" i="20"/>
  <c r="Q399" i="20"/>
  <c r="Q624" i="20"/>
  <c r="Q807" i="20"/>
  <c r="Q951" i="20"/>
  <c r="Q1054" i="20"/>
  <c r="Q276" i="20"/>
  <c r="Q538" i="20"/>
  <c r="Q724" i="20"/>
  <c r="Q895" i="20"/>
  <c r="Q1007" i="20"/>
  <c r="Q1110" i="20"/>
  <c r="Q1211" i="20"/>
  <c r="Q1314" i="20"/>
  <c r="Q1417" i="20"/>
  <c r="Q1519" i="20"/>
  <c r="Q279" i="20"/>
  <c r="Q539" i="20"/>
  <c r="Q727" i="20"/>
  <c r="Q896" i="20"/>
  <c r="Q1009" i="20"/>
  <c r="Q1111" i="20"/>
  <c r="Q1214" i="20"/>
  <c r="Q1315" i="20"/>
  <c r="Q1418" i="20"/>
  <c r="Q92" i="20"/>
  <c r="Q603" i="20"/>
  <c r="Q939" i="20"/>
  <c r="Q1127" i="20"/>
  <c r="Q1291" i="20"/>
  <c r="Q1454" i="20"/>
  <c r="Q372" i="20"/>
  <c r="Q791" i="20"/>
  <c r="Q1043" i="20"/>
  <c r="Q1210" i="20"/>
  <c r="Q66" i="20"/>
  <c r="Q130" i="20"/>
  <c r="Q87" i="20"/>
  <c r="Q157" i="20"/>
  <c r="Q221" i="20"/>
  <c r="Q285" i="20"/>
  <c r="Q349" i="20"/>
  <c r="Q413" i="20"/>
  <c r="Q477" i="20"/>
  <c r="Q541" i="20"/>
  <c r="Q605" i="20"/>
  <c r="Q669" i="20"/>
  <c r="Q733" i="20"/>
  <c r="Q797" i="20"/>
  <c r="Q861" i="20"/>
  <c r="Q925" i="20"/>
  <c r="Q79" i="20"/>
  <c r="Q150" i="20"/>
  <c r="Q214" i="20"/>
  <c r="Q278" i="20"/>
  <c r="Q342" i="20"/>
  <c r="Q406" i="20"/>
  <c r="Q470" i="20"/>
  <c r="Q534" i="20"/>
  <c r="Q598" i="20"/>
  <c r="Q662" i="20"/>
  <c r="Q726" i="20"/>
  <c r="Q790" i="20"/>
  <c r="Q854" i="20"/>
  <c r="Q918" i="20"/>
  <c r="Q86" i="20"/>
  <c r="Q178" i="20"/>
  <c r="Q264" i="20"/>
  <c r="Q348" i="20"/>
  <c r="Q434" i="20"/>
  <c r="Q520" i="20"/>
  <c r="Q604" i="20"/>
  <c r="Q690" i="20"/>
  <c r="Q776" i="20"/>
  <c r="Q28" i="20"/>
  <c r="Q126" i="20"/>
  <c r="Q211" i="20"/>
  <c r="Q297" i="20"/>
  <c r="Q383" i="20"/>
  <c r="Q467" i="20"/>
  <c r="Q553" i="20"/>
  <c r="Q639" i="20"/>
  <c r="Q723" i="20"/>
  <c r="Q809" i="20"/>
  <c r="Q56" i="20"/>
  <c r="Q152" i="20"/>
  <c r="Q236" i="20"/>
  <c r="Q322" i="20"/>
  <c r="Q408" i="20"/>
  <c r="Q37" i="20"/>
  <c r="Q186" i="20"/>
  <c r="Q323" i="20"/>
  <c r="Q459" i="20"/>
  <c r="Q578" i="20"/>
  <c r="Q692" i="20"/>
  <c r="Q804" i="20"/>
  <c r="Q904" i="20"/>
  <c r="Q976" i="20"/>
  <c r="Q1040" i="20"/>
  <c r="Q1104" i="20"/>
  <c r="Q1168" i="20"/>
  <c r="Q1232" i="20"/>
  <c r="Q1296" i="20"/>
  <c r="Q1360" i="20"/>
  <c r="Q1424" i="20"/>
  <c r="Q1488" i="20"/>
  <c r="Q99" i="20"/>
  <c r="Q240" i="20"/>
  <c r="Q377" i="20"/>
  <c r="Q507" i="20"/>
  <c r="Q108" i="20"/>
  <c r="Q247" i="20"/>
  <c r="Q384" i="20"/>
  <c r="Q514" i="20"/>
  <c r="Q628" i="20"/>
  <c r="Q740" i="20"/>
  <c r="Q856" i="20"/>
  <c r="Q940" i="20"/>
  <c r="Q1004" i="20"/>
  <c r="Q1068" i="20"/>
  <c r="Q1132" i="20"/>
  <c r="Q1196" i="20"/>
  <c r="Q1260" i="20"/>
  <c r="Q1324" i="20"/>
  <c r="Q1388" i="20"/>
  <c r="Q1452" i="20"/>
  <c r="Q1516" i="20"/>
  <c r="Q163" i="20"/>
  <c r="Q299" i="20"/>
  <c r="Q436" i="20"/>
  <c r="Q559" i="20"/>
  <c r="Q673" i="20"/>
  <c r="Q785" i="20"/>
  <c r="Q889" i="20"/>
  <c r="Q965" i="20"/>
  <c r="Q1029" i="20"/>
  <c r="Q1093" i="20"/>
  <c r="Q1157" i="20"/>
  <c r="Q1221" i="20"/>
  <c r="Q1285" i="20"/>
  <c r="Q1349" i="20"/>
  <c r="Q1413" i="20"/>
  <c r="Q1477" i="20"/>
  <c r="Q120" i="20"/>
  <c r="Q395" i="20"/>
  <c r="Q623" i="20"/>
  <c r="Q803" i="20"/>
  <c r="Q950" i="20"/>
  <c r="Q1051" i="20"/>
  <c r="Q1154" i="20"/>
  <c r="Q1257" i="20"/>
  <c r="Q1359" i="20"/>
  <c r="Q1462" i="20"/>
  <c r="Q160" i="20"/>
  <c r="Q432" i="20"/>
  <c r="Q647" i="20"/>
  <c r="Q832" i="20"/>
  <c r="Q963" i="20"/>
  <c r="Q22" i="20"/>
  <c r="Q311" i="20"/>
  <c r="Q567" i="20"/>
  <c r="Q747" i="20"/>
  <c r="Q912" i="20"/>
  <c r="Q1019" i="20"/>
  <c r="Q1122" i="20"/>
  <c r="Q1225" i="20"/>
  <c r="Q1327" i="20"/>
  <c r="Q1430" i="20"/>
  <c r="Q25" i="20"/>
  <c r="Q313" i="20"/>
  <c r="Q568" i="20"/>
  <c r="Q751" i="20"/>
  <c r="Q913" i="20"/>
  <c r="Q1022" i="20"/>
  <c r="Q1123" i="20"/>
  <c r="Q1226" i="20"/>
  <c r="Q1329" i="20"/>
  <c r="Q1431" i="20"/>
  <c r="Q164" i="20"/>
  <c r="Q651" i="20"/>
  <c r="Q966" i="20"/>
  <c r="Q1146" i="20"/>
  <c r="Q1311" i="20"/>
  <c r="Q1475" i="20"/>
  <c r="Q441" i="20"/>
  <c r="Q835" i="20"/>
  <c r="Q1067" i="20"/>
  <c r="Q1233" i="20"/>
  <c r="Q74" i="20"/>
  <c r="Q23" i="20"/>
  <c r="Q96" i="20"/>
  <c r="Q165" i="20"/>
  <c r="Q229" i="20"/>
  <c r="Q293" i="20"/>
  <c r="Q357" i="20"/>
  <c r="Q421" i="20"/>
  <c r="Q485" i="20"/>
  <c r="Q549" i="20"/>
  <c r="Q613" i="20"/>
  <c r="Q677" i="20"/>
  <c r="Q741" i="20"/>
  <c r="Q805" i="20"/>
  <c r="Q869" i="20"/>
  <c r="Q933" i="20"/>
  <c r="Q88" i="20"/>
  <c r="Q158" i="20"/>
  <c r="Q222" i="20"/>
  <c r="Q286" i="20"/>
  <c r="Q350" i="20"/>
  <c r="Q414" i="20"/>
  <c r="Q478" i="20"/>
  <c r="Q542" i="20"/>
  <c r="Q606" i="20"/>
  <c r="Q670" i="20"/>
  <c r="Q734" i="20"/>
  <c r="Q798" i="20"/>
  <c r="Q862" i="20"/>
  <c r="Q926" i="20"/>
  <c r="Q100" i="20"/>
  <c r="Q188" i="20"/>
  <c r="Q274" i="20"/>
  <c r="Q360" i="20"/>
  <c r="Q444" i="20"/>
  <c r="Q530" i="20"/>
  <c r="Q616" i="20"/>
  <c r="Q700" i="20"/>
  <c r="Q786" i="20"/>
  <c r="Q39" i="20"/>
  <c r="Q137" i="20"/>
  <c r="Q223" i="20"/>
  <c r="Q307" i="20"/>
  <c r="Q393" i="20"/>
  <c r="Q479" i="20"/>
  <c r="Q563" i="20"/>
  <c r="Q649" i="20"/>
  <c r="Q735" i="20"/>
  <c r="Q819" i="20"/>
  <c r="Q68" i="20"/>
  <c r="Q162" i="20"/>
  <c r="Q248" i="20"/>
  <c r="Q332" i="20"/>
  <c r="Q418" i="20"/>
  <c r="Q57" i="20"/>
  <c r="Q203" i="20"/>
  <c r="Q340" i="20"/>
  <c r="Q475" i="20"/>
  <c r="Q592" i="20"/>
  <c r="Q706" i="20"/>
  <c r="Q820" i="20"/>
  <c r="Q914" i="20"/>
  <c r="Q984" i="20"/>
  <c r="Q1048" i="20"/>
  <c r="Q1112" i="20"/>
  <c r="Q1176" i="20"/>
  <c r="Q1240" i="20"/>
  <c r="Q1304" i="20"/>
  <c r="Q1368" i="20"/>
  <c r="Q1432" i="20"/>
  <c r="Q1496" i="20"/>
  <c r="Q119" i="20"/>
  <c r="Q257" i="20"/>
  <c r="Q394" i="20"/>
  <c r="Q523" i="20"/>
  <c r="Q127" i="20"/>
  <c r="Q263" i="20"/>
  <c r="Q400" i="20"/>
  <c r="Q528" i="20"/>
  <c r="Q642" i="20"/>
  <c r="Q756" i="20"/>
  <c r="Q866" i="20"/>
  <c r="Q948" i="20"/>
  <c r="Q1012" i="20"/>
  <c r="Q1076" i="20"/>
  <c r="Q1140" i="20"/>
  <c r="Q1204" i="20"/>
  <c r="Q1268" i="20"/>
  <c r="Q1332" i="20"/>
  <c r="Q1396" i="20"/>
  <c r="Q1460" i="20"/>
  <c r="Q30" i="20"/>
  <c r="Q180" i="20"/>
  <c r="Q315" i="20"/>
  <c r="Q452" i="20"/>
  <c r="Q571" i="20"/>
  <c r="Q687" i="20"/>
  <c r="Q801" i="20"/>
  <c r="Q899" i="20"/>
  <c r="Q973" i="20"/>
  <c r="Q1037" i="20"/>
  <c r="Q1101" i="20"/>
  <c r="Q1165" i="20"/>
  <c r="Q1229" i="20"/>
  <c r="Q1293" i="20"/>
  <c r="Q1357" i="20"/>
  <c r="Q1421" i="20"/>
  <c r="Q1485" i="20"/>
  <c r="Q155" i="20"/>
  <c r="Q431" i="20"/>
  <c r="Q644" i="20"/>
  <c r="Q825" i="20"/>
  <c r="Q962" i="20"/>
  <c r="Q1065" i="20"/>
  <c r="Q1167" i="20"/>
  <c r="Q1270" i="20"/>
  <c r="Q1371" i="20"/>
  <c r="Q1474" i="20"/>
  <c r="Q193" i="20"/>
  <c r="Q465" i="20"/>
  <c r="Q667" i="20"/>
  <c r="Q852" i="20"/>
  <c r="Q977" i="20"/>
  <c r="Q62" i="20"/>
  <c r="Q345" i="20"/>
  <c r="Q588" i="20"/>
  <c r="Q769" i="20"/>
  <c r="Q928" i="20"/>
  <c r="Q1033" i="20"/>
  <c r="Q1135" i="20"/>
  <c r="Q1238" i="20"/>
  <c r="Q1339" i="20"/>
  <c r="Q1442" i="20"/>
  <c r="Q65" i="20"/>
  <c r="Q346" i="20"/>
  <c r="Q591" i="20"/>
  <c r="Q772" i="20"/>
  <c r="Q929" i="20"/>
  <c r="Q1034" i="20"/>
  <c r="Q1137" i="20"/>
  <c r="Q1239" i="20"/>
  <c r="Q1342" i="20"/>
  <c r="Q1443" i="20"/>
  <c r="Q234" i="20"/>
  <c r="Q696" i="20"/>
  <c r="Q991" i="20"/>
  <c r="Q1169" i="20"/>
  <c r="Q1331" i="20"/>
  <c r="Q1497" i="20"/>
  <c r="Q505" i="20"/>
  <c r="Q874" i="20"/>
  <c r="Q1089" i="20"/>
  <c r="Q1254" i="20"/>
  <c r="Q34" i="20"/>
  <c r="Q98" i="20"/>
  <c r="Q51" i="20"/>
  <c r="Q124" i="20"/>
  <c r="Q189" i="20"/>
  <c r="Q253" i="20"/>
  <c r="Q317" i="20"/>
  <c r="Q381" i="20"/>
  <c r="Q445" i="20"/>
  <c r="Q509" i="20"/>
  <c r="Q573" i="20"/>
  <c r="Q637" i="20"/>
  <c r="Q701" i="20"/>
  <c r="Q765" i="20"/>
  <c r="Q829" i="20"/>
  <c r="Q893" i="20"/>
  <c r="Q43" i="20"/>
  <c r="Q116" i="20"/>
  <c r="Q182" i="20"/>
  <c r="Q246" i="20"/>
  <c r="Q310" i="20"/>
  <c r="Q374" i="20"/>
  <c r="Q438" i="20"/>
  <c r="Q502" i="20"/>
  <c r="Q566" i="20"/>
  <c r="Q630" i="20"/>
  <c r="Q694" i="20"/>
  <c r="Q758" i="20"/>
  <c r="Q822" i="20"/>
  <c r="Q886" i="20"/>
  <c r="Q38" i="20"/>
  <c r="Q136" i="20"/>
  <c r="Q220" i="20"/>
  <c r="Q306" i="20"/>
  <c r="Q392" i="20"/>
  <c r="Q476" i="20"/>
  <c r="Q562" i="20"/>
  <c r="Q648" i="20"/>
  <c r="Q732" i="20"/>
  <c r="Q818" i="20"/>
  <c r="Q76" i="20"/>
  <c r="Q169" i="20"/>
  <c r="Q255" i="20"/>
  <c r="Q339" i="20"/>
  <c r="Q425" i="20"/>
  <c r="Q511" i="20"/>
  <c r="Q595" i="20"/>
  <c r="Q681" i="20"/>
  <c r="Q767" i="20"/>
  <c r="Q851" i="20"/>
  <c r="Q104" i="20"/>
  <c r="Q194" i="20"/>
  <c r="Q280" i="20"/>
  <c r="Q364" i="20"/>
  <c r="Q450" i="20"/>
  <c r="Q117" i="20"/>
  <c r="Q256" i="20"/>
  <c r="Q391" i="20"/>
  <c r="Q522" i="20"/>
  <c r="Q634" i="20"/>
  <c r="Q748" i="20"/>
  <c r="Q860" i="20"/>
  <c r="Q944" i="20"/>
  <c r="Q1008" i="20"/>
  <c r="Q1072" i="20"/>
  <c r="Q1136" i="20"/>
  <c r="Q1200" i="20"/>
  <c r="Q1264" i="20"/>
  <c r="Q1328" i="20"/>
  <c r="Q1392" i="20"/>
  <c r="Q1456" i="20"/>
  <c r="Q21" i="20"/>
  <c r="Q171" i="20"/>
  <c r="Q308" i="20"/>
  <c r="Q443" i="20"/>
  <c r="Q29" i="20"/>
  <c r="Q177" i="20"/>
  <c r="Q314" i="20"/>
  <c r="Q451" i="20"/>
  <c r="Q570" i="20"/>
  <c r="Q684" i="20"/>
  <c r="Q800" i="20"/>
  <c r="Q898" i="20"/>
  <c r="Q972" i="20"/>
  <c r="Q1036" i="20"/>
  <c r="Q1100" i="20"/>
  <c r="Q1164" i="20"/>
  <c r="Q1228" i="20"/>
  <c r="Q1292" i="20"/>
  <c r="Q1356" i="20"/>
  <c r="Q1420" i="20"/>
  <c r="Q1484" i="20"/>
  <c r="Q91" i="20"/>
  <c r="Q231" i="20"/>
  <c r="Q368" i="20"/>
  <c r="Q503" i="20"/>
  <c r="Q615" i="20"/>
  <c r="Q729" i="20"/>
  <c r="Q843" i="20"/>
  <c r="Q931" i="20"/>
  <c r="Q997" i="20"/>
  <c r="Q1061" i="20"/>
  <c r="Q1125" i="20"/>
  <c r="Q1189" i="20"/>
  <c r="Q1253" i="20"/>
  <c r="Q1317" i="20"/>
  <c r="Q1381" i="20"/>
  <c r="Q1445" i="20"/>
  <c r="Q1509" i="20"/>
  <c r="Q259" i="20"/>
  <c r="Q524" i="20"/>
  <c r="Q711" i="20"/>
  <c r="Q884" i="20"/>
  <c r="Q1001" i="20"/>
  <c r="Q1103" i="20"/>
  <c r="Q1206" i="20"/>
  <c r="Q1307" i="20"/>
  <c r="Q1410" i="20"/>
  <c r="Q1513" i="20"/>
  <c r="Q295" i="20"/>
  <c r="Q555" i="20"/>
  <c r="Q738" i="20"/>
  <c r="Q905" i="20"/>
  <c r="Q1015" i="20"/>
  <c r="Q175" i="20"/>
  <c r="Q448" i="20"/>
  <c r="Q655" i="20"/>
  <c r="Q836" i="20"/>
  <c r="Q969" i="20"/>
  <c r="Q1071" i="20"/>
  <c r="Q1174" i="20"/>
  <c r="Q1275" i="20"/>
  <c r="Q1378" i="20"/>
  <c r="Q1481" i="20"/>
  <c r="Q176" i="20"/>
  <c r="Q449" i="20"/>
  <c r="Q660" i="20"/>
  <c r="Q839" i="20"/>
  <c r="Q970" i="20"/>
  <c r="Q1073" i="20"/>
  <c r="Q1175" i="20"/>
  <c r="Q1278" i="20"/>
  <c r="Q1379" i="20"/>
  <c r="Q1482" i="20"/>
  <c r="Q439" i="20"/>
  <c r="Q833" i="20"/>
  <c r="Q1066" i="20"/>
  <c r="Q1230" i="20"/>
  <c r="Q1394" i="20"/>
  <c r="Q167" i="20"/>
  <c r="Q652" i="20"/>
  <c r="Q967" i="20"/>
  <c r="Q1151" i="20"/>
  <c r="Q1313" i="20"/>
  <c r="Q82" i="20"/>
  <c r="Q105" i="20"/>
  <c r="Q237" i="20"/>
  <c r="Q365" i="20"/>
  <c r="Q493" i="20"/>
  <c r="Q621" i="20"/>
  <c r="Q749" i="20"/>
  <c r="Q877" i="20"/>
  <c r="Q97" i="20"/>
  <c r="Q230" i="20"/>
  <c r="Q358" i="20"/>
  <c r="Q486" i="20"/>
  <c r="Q614" i="20"/>
  <c r="Q742" i="20"/>
  <c r="Q870" i="20"/>
  <c r="Q111" i="20"/>
  <c r="Q284" i="20"/>
  <c r="Q456" i="20"/>
  <c r="Q626" i="20"/>
  <c r="Q796" i="20"/>
  <c r="Q147" i="20"/>
  <c r="Q319" i="20"/>
  <c r="Q489" i="20"/>
  <c r="Q659" i="20"/>
  <c r="Q831" i="20"/>
  <c r="Q172" i="20"/>
  <c r="Q344" i="20"/>
  <c r="Q77" i="20"/>
  <c r="Q356" i="20"/>
  <c r="Q608" i="20"/>
  <c r="Q834" i="20"/>
  <c r="Q992" i="20"/>
  <c r="Q1120" i="20"/>
  <c r="Q1248" i="20"/>
  <c r="Q1376" i="20"/>
  <c r="Q1504" i="20"/>
  <c r="Q273" i="20"/>
  <c r="Q537" i="20"/>
  <c r="Q281" i="20"/>
  <c r="Q544" i="20"/>
  <c r="Q770" i="20"/>
  <c r="Q956" i="20"/>
  <c r="Q1084" i="20"/>
  <c r="Q1212" i="20"/>
  <c r="Q1340" i="20"/>
  <c r="Q1468" i="20"/>
  <c r="Q196" i="20"/>
  <c r="Q471" i="20"/>
  <c r="Q699" i="20"/>
  <c r="Q911" i="20"/>
  <c r="Q1045" i="20"/>
  <c r="Q1173" i="20"/>
  <c r="Q1301" i="20"/>
  <c r="Q1429" i="20"/>
  <c r="Q192" i="20"/>
  <c r="Q666" i="20"/>
  <c r="Q975" i="20"/>
  <c r="Q1179" i="20"/>
  <c r="Q1385" i="20"/>
  <c r="Q227" i="20"/>
  <c r="Q695" i="20"/>
  <c r="Q990" i="20"/>
  <c r="Q378" i="20"/>
  <c r="Q793" i="20"/>
  <c r="Q1046" i="20"/>
  <c r="Q1250" i="20"/>
  <c r="Q1455" i="20"/>
  <c r="Q379" i="20"/>
  <c r="Q794" i="20"/>
  <c r="Q1047" i="20"/>
  <c r="Q1251" i="20"/>
  <c r="Q1457" i="20"/>
  <c r="Q739" i="20"/>
  <c r="Q1190" i="20"/>
  <c r="Q1515" i="20"/>
  <c r="Q907" i="20"/>
  <c r="Q1273" i="20"/>
  <c r="Q1458" i="20"/>
  <c r="Q320" i="20"/>
  <c r="Q752" i="20"/>
  <c r="Q1023" i="20"/>
  <c r="Q1194" i="20"/>
  <c r="Q1358" i="20"/>
  <c r="Q132" i="20"/>
  <c r="Q855" i="20"/>
  <c r="Q1177" i="20"/>
  <c r="Q1433" i="20"/>
  <c r="Q576" i="20"/>
  <c r="Q1038" i="20"/>
  <c r="Q1306" i="20"/>
  <c r="Q151" i="20"/>
  <c r="Q864" i="20"/>
  <c r="Q1182" i="20"/>
  <c r="Q1446" i="20"/>
  <c r="Q596" i="20"/>
  <c r="Q1062" i="20"/>
  <c r="Q1323" i="20"/>
  <c r="Q583" i="20"/>
  <c r="Q1319" i="20"/>
  <c r="Q883" i="20"/>
  <c r="Q1450" i="20"/>
  <c r="Q1010" i="20"/>
  <c r="Q72" i="20"/>
  <c r="Q1158" i="20"/>
  <c r="Q891" i="20"/>
  <c r="Q1074" i="20"/>
  <c r="Q1227" i="20"/>
  <c r="Q1363" i="20"/>
  <c r="Q1138" i="20"/>
  <c r="Q131" i="20"/>
  <c r="Q1030" i="20"/>
  <c r="Q90" i="20"/>
  <c r="Q115" i="20"/>
  <c r="Q245" i="20"/>
  <c r="Q373" i="20"/>
  <c r="Q501" i="20"/>
  <c r="Q629" i="20"/>
  <c r="Q757" i="20"/>
  <c r="Q885" i="20"/>
  <c r="Q107" i="20"/>
  <c r="Q238" i="20"/>
  <c r="Q366" i="20"/>
  <c r="Q494" i="20"/>
  <c r="Q622" i="20"/>
  <c r="Q750" i="20"/>
  <c r="Q878" i="20"/>
  <c r="Q123" i="20"/>
  <c r="Q296" i="20"/>
  <c r="Q466" i="20"/>
  <c r="Q636" i="20"/>
  <c r="Q808" i="20"/>
  <c r="Q159" i="20"/>
  <c r="Q329" i="20"/>
  <c r="Q499" i="20"/>
  <c r="Q671" i="20"/>
  <c r="Q841" i="20"/>
  <c r="Q184" i="20"/>
  <c r="Q354" i="20"/>
  <c r="Q95" i="20"/>
  <c r="Q375" i="20"/>
  <c r="Q620" i="20"/>
  <c r="Q848" i="20"/>
  <c r="Q1000" i="20"/>
  <c r="Q1128" i="20"/>
  <c r="Q1256" i="20"/>
  <c r="Q1384" i="20"/>
  <c r="Q1512" i="20"/>
  <c r="Q291" i="20"/>
  <c r="Q551" i="20"/>
  <c r="Q298" i="20"/>
  <c r="Q556" i="20"/>
  <c r="Q784" i="20"/>
  <c r="Q964" i="20"/>
  <c r="Q1092" i="20"/>
  <c r="Q1220" i="20"/>
  <c r="Q1348" i="20"/>
  <c r="Q1476" i="20"/>
  <c r="Q215" i="20"/>
  <c r="Q487" i="20"/>
  <c r="Q715" i="20"/>
  <c r="Q921" i="20"/>
  <c r="Q1053" i="20"/>
  <c r="Q1181" i="20"/>
  <c r="Q1309" i="20"/>
  <c r="Q1437" i="20"/>
  <c r="Q225" i="20"/>
  <c r="Q689" i="20"/>
  <c r="Q987" i="20"/>
  <c r="Q1193" i="20"/>
  <c r="Q1398" i="20"/>
  <c r="Q260" i="20"/>
  <c r="Q716" i="20"/>
  <c r="Q1002" i="20"/>
  <c r="Q411" i="20"/>
  <c r="Q816" i="20"/>
  <c r="Q1058" i="20"/>
  <c r="Q1263" i="20"/>
  <c r="Q1467" i="20"/>
  <c r="Q416" i="20"/>
  <c r="Q817" i="20"/>
  <c r="Q1059" i="20"/>
  <c r="Q1265" i="20"/>
  <c r="Q1470" i="20"/>
  <c r="Q788" i="20"/>
  <c r="Q1209" i="20"/>
  <c r="Q94" i="20"/>
  <c r="Q942" i="20"/>
  <c r="Q1294" i="20"/>
  <c r="Q1478" i="20"/>
  <c r="Q387" i="20"/>
  <c r="Q795" i="20"/>
  <c r="Q1049" i="20"/>
  <c r="Q1215" i="20"/>
  <c r="Q1377" i="20"/>
  <c r="Q251" i="20"/>
  <c r="Q900" i="20"/>
  <c r="Q1203" i="20"/>
  <c r="Q1466" i="20"/>
  <c r="Q640" i="20"/>
  <c r="Q1079" i="20"/>
  <c r="Q1343" i="20"/>
  <c r="Q271" i="20"/>
  <c r="Q923" i="20"/>
  <c r="Q1217" i="20"/>
  <c r="Q1473" i="20"/>
  <c r="Q675" i="20"/>
  <c r="Q1095" i="20"/>
  <c r="Q1361" i="20"/>
  <c r="Q730" i="20"/>
  <c r="Q1383" i="20"/>
  <c r="Q978" i="20"/>
  <c r="Q1514" i="20"/>
  <c r="Q1082" i="20"/>
  <c r="Q288" i="20"/>
  <c r="Q1222" i="20"/>
  <c r="Q1063" i="20"/>
  <c r="Q1202" i="20"/>
  <c r="Q1362" i="20"/>
  <c r="Q1491" i="20"/>
  <c r="Q1401" i="20"/>
  <c r="Q847" i="20"/>
  <c r="Q546" i="20"/>
  <c r="Q106" i="20"/>
  <c r="Q133" i="20"/>
  <c r="Q261" i="20"/>
  <c r="Q389" i="20"/>
  <c r="Q517" i="20"/>
  <c r="Q645" i="20"/>
  <c r="Q773" i="20"/>
  <c r="Q901" i="20"/>
  <c r="Q125" i="20"/>
  <c r="Q254" i="20"/>
  <c r="Q382" i="20"/>
  <c r="Q510" i="20"/>
  <c r="Q638" i="20"/>
  <c r="Q766" i="20"/>
  <c r="Q894" i="20"/>
  <c r="Q146" i="20"/>
  <c r="Q316" i="20"/>
  <c r="Q488" i="20"/>
  <c r="Q658" i="20"/>
  <c r="Q828" i="20"/>
  <c r="Q179" i="20"/>
  <c r="Q351" i="20"/>
  <c r="Q521" i="20"/>
  <c r="Q691" i="20"/>
  <c r="Q20" i="20"/>
  <c r="Q204" i="20"/>
  <c r="Q376" i="20"/>
  <c r="Q135" i="20"/>
  <c r="Q409" i="20"/>
  <c r="Q650" i="20"/>
  <c r="Q872" i="20"/>
  <c r="Q1016" i="20"/>
  <c r="Q1144" i="20"/>
  <c r="Q1272" i="20"/>
  <c r="Q1400" i="20"/>
  <c r="Q40" i="20"/>
  <c r="Q324" i="20"/>
  <c r="Q47" i="20"/>
  <c r="Q331" i="20"/>
  <c r="Q586" i="20"/>
  <c r="Q812" i="20"/>
  <c r="Q980" i="20"/>
  <c r="Q1108" i="20"/>
  <c r="Q1236" i="20"/>
  <c r="Q1364" i="20"/>
  <c r="Q1492" i="20"/>
  <c r="Q249" i="20"/>
  <c r="Q515" i="20"/>
  <c r="Q743" i="20"/>
  <c r="Q941" i="20"/>
  <c r="Q1069" i="20"/>
  <c r="Q1197" i="20"/>
  <c r="Q1325" i="20"/>
  <c r="Q1453" i="20"/>
  <c r="Q292" i="20"/>
  <c r="Q737" i="20"/>
  <c r="Q1014" i="20"/>
  <c r="Q1218" i="20"/>
  <c r="Q1423" i="20"/>
  <c r="Q330" i="20"/>
  <c r="Q761" i="20"/>
  <c r="Q1027" i="20"/>
  <c r="Q481" i="20"/>
  <c r="Q859" i="20"/>
  <c r="Q1083" i="20"/>
  <c r="Q1289" i="20"/>
  <c r="Q1494" i="20"/>
  <c r="Q483" i="20"/>
  <c r="Q863" i="20"/>
  <c r="Q1086" i="20"/>
  <c r="Q1290" i="20"/>
  <c r="Q1495" i="20"/>
  <c r="Q873" i="20"/>
  <c r="Q1249" i="20"/>
  <c r="Q235" i="20"/>
  <c r="Q993" i="20"/>
  <c r="Q1335" i="20"/>
  <c r="Q1498" i="20"/>
  <c r="Q455" i="20"/>
  <c r="Q844" i="20"/>
  <c r="Q1070" i="20"/>
  <c r="Q1234" i="20"/>
  <c r="Q1399" i="20"/>
  <c r="Q353" i="20"/>
  <c r="Q954" i="20"/>
  <c r="Q1241" i="20"/>
  <c r="Q1503" i="20"/>
  <c r="Q719" i="20"/>
  <c r="Q1114" i="20"/>
  <c r="Q1370" i="20"/>
  <c r="Q388" i="20"/>
  <c r="Q961" i="20"/>
  <c r="Q1246" i="20"/>
  <c r="Q1510" i="20"/>
  <c r="Q753" i="20"/>
  <c r="Q1126" i="20"/>
  <c r="Q1387" i="20"/>
  <c r="Q865" i="20"/>
  <c r="Q1447" i="20"/>
  <c r="Q1057" i="20"/>
  <c r="Q55" i="20"/>
  <c r="Q1155" i="20"/>
  <c r="Q519" i="20"/>
  <c r="Q1286" i="20"/>
  <c r="Q1198" i="20"/>
  <c r="Q1330" i="20"/>
  <c r="Q1490" i="20"/>
  <c r="Q763" i="20"/>
  <c r="Q1266" i="20"/>
  <c r="Q1166" i="20"/>
  <c r="Q1031" i="20"/>
  <c r="Q42" i="20"/>
  <c r="Q60" i="20"/>
  <c r="Q197" i="20"/>
  <c r="Q325" i="20"/>
  <c r="Q453" i="20"/>
  <c r="Q581" i="20"/>
  <c r="Q709" i="20"/>
  <c r="Q837" i="20"/>
  <c r="Q52" i="20"/>
  <c r="Q190" i="20"/>
  <c r="Q318" i="20"/>
  <c r="Q446" i="20"/>
  <c r="Q574" i="20"/>
  <c r="Q702" i="20"/>
  <c r="Q830" i="20"/>
  <c r="Q49" i="20"/>
  <c r="Q232" i="20"/>
  <c r="Q402" i="20"/>
  <c r="Q572" i="20"/>
  <c r="Q744" i="20"/>
  <c r="Q89" i="20"/>
  <c r="Q265" i="20"/>
  <c r="Q435" i="20"/>
  <c r="Q607" i="20"/>
  <c r="Q777" i="20"/>
  <c r="Q118" i="20"/>
  <c r="Q290" i="20"/>
  <c r="Q460" i="20"/>
  <c r="Q272" i="20"/>
  <c r="Q536" i="20"/>
  <c r="Q762" i="20"/>
  <c r="Q952" i="20"/>
  <c r="Q1080" i="20"/>
  <c r="Q1208" i="20"/>
  <c r="Q1336" i="20"/>
  <c r="Q1464" i="20"/>
  <c r="Q187" i="20"/>
  <c r="Q463" i="20"/>
  <c r="Q195" i="20"/>
  <c r="Q468" i="20"/>
  <c r="Q698" i="20"/>
  <c r="Q908" i="20"/>
  <c r="Q1044" i="20"/>
  <c r="Q1172" i="20"/>
  <c r="Q1300" i="20"/>
  <c r="Q1428" i="20"/>
  <c r="Q109" i="20"/>
  <c r="Q385" i="20"/>
  <c r="Q631" i="20"/>
  <c r="Q857" i="20"/>
  <c r="Q1005" i="20"/>
  <c r="Q1133" i="20"/>
  <c r="Q1261" i="20"/>
  <c r="Q1389" i="20"/>
  <c r="Q1517" i="20"/>
  <c r="Q554" i="20"/>
  <c r="Q903" i="20"/>
  <c r="Q1115" i="20"/>
  <c r="Q1321" i="20"/>
  <c r="Q46" i="20"/>
  <c r="Q579" i="20"/>
  <c r="Q922" i="20"/>
  <c r="Q208" i="20"/>
  <c r="Q679" i="20"/>
  <c r="Q982" i="20"/>
  <c r="Q1186" i="20"/>
  <c r="Q1391" i="20"/>
  <c r="Q209" i="20"/>
  <c r="Q682" i="20"/>
  <c r="Q983" i="20"/>
  <c r="Q1187" i="20"/>
  <c r="Q1393" i="20"/>
  <c r="Q504" i="20"/>
  <c r="Q1087" i="20"/>
  <c r="Q1414" i="20"/>
  <c r="Q697" i="20"/>
  <c r="Q1170" i="20"/>
  <c r="Q1415" i="20"/>
  <c r="Q183" i="20"/>
  <c r="Q663" i="20"/>
  <c r="Q971" i="20"/>
  <c r="Q1153" i="20"/>
  <c r="Q1318" i="20"/>
  <c r="Q1479" i="20"/>
  <c r="Q708" i="20"/>
  <c r="Q1105" i="20"/>
  <c r="Q1369" i="20"/>
  <c r="Q355" i="20"/>
  <c r="Q959" i="20"/>
  <c r="Q1242" i="20"/>
  <c r="Q1505" i="20"/>
  <c r="Q721" i="20"/>
  <c r="Q1118" i="20"/>
  <c r="Q1382" i="20"/>
  <c r="Q420" i="20"/>
  <c r="Q979" i="20"/>
  <c r="Q1259" i="20"/>
  <c r="Q185" i="20"/>
  <c r="Q1183" i="20"/>
  <c r="Q593" i="20"/>
  <c r="Q1322" i="20"/>
  <c r="Q810" i="20"/>
  <c r="Q1411" i="20"/>
  <c r="Q1011" i="20"/>
  <c r="Q217" i="20"/>
  <c r="Q625" i="20"/>
  <c r="Q947" i="20"/>
  <c r="Q1102" i="20"/>
  <c r="Q535" i="20"/>
  <c r="Q1163" i="20"/>
  <c r="Q1262" i="20"/>
  <c r="Q114" i="20"/>
  <c r="Q269" i="20"/>
  <c r="Q525" i="20"/>
  <c r="Q781" i="20"/>
  <c r="Q134" i="20"/>
  <c r="Q390" i="20"/>
  <c r="Q646" i="20"/>
  <c r="Q902" i="20"/>
  <c r="Q328" i="20"/>
  <c r="Q668" i="20"/>
  <c r="Q191" i="20"/>
  <c r="Q531" i="20"/>
  <c r="Q31" i="20"/>
  <c r="Q386" i="20"/>
  <c r="Q426" i="20"/>
  <c r="Q882" i="20"/>
  <c r="Q1152" i="20"/>
  <c r="Q1408" i="20"/>
  <c r="Q343" i="20"/>
  <c r="Q347" i="20"/>
  <c r="Q826" i="20"/>
  <c r="Q1116" i="20"/>
  <c r="Q1372" i="20"/>
  <c r="Q266" i="20"/>
  <c r="Q759" i="20"/>
  <c r="Q1077" i="20"/>
  <c r="Q1333" i="20"/>
  <c r="Q327" i="20"/>
  <c r="Q1026" i="20"/>
  <c r="Q1435" i="20"/>
  <c r="Q783" i="20"/>
  <c r="Q512" i="20"/>
  <c r="Q1097" i="20"/>
  <c r="Q1506" i="20"/>
  <c r="Q880" i="20"/>
  <c r="Q1303" i="20"/>
  <c r="Q906" i="20"/>
  <c r="Q304" i="20"/>
  <c r="Q1355" i="20"/>
  <c r="Q516" i="20"/>
  <c r="Q1091" i="20"/>
  <c r="Q1419" i="20"/>
  <c r="Q999" i="20"/>
  <c r="Q36" i="20"/>
  <c r="Q1143" i="20"/>
  <c r="Q490" i="20"/>
  <c r="Q1281" i="20"/>
  <c r="Q823" i="20"/>
  <c r="Q1425" i="20"/>
  <c r="Q1511" i="20"/>
  <c r="Q283" i="20"/>
  <c r="Q674" i="20"/>
  <c r="Q1326" i="20"/>
  <c r="Q337" i="20"/>
  <c r="Q1298" i="20"/>
  <c r="Q1299" i="20"/>
  <c r="Q32" i="20"/>
  <c r="Q301" i="20"/>
  <c r="Q557" i="20"/>
  <c r="Q813" i="20"/>
  <c r="Q166" i="20"/>
  <c r="Q422" i="20"/>
  <c r="Q678" i="20"/>
  <c r="Q934" i="20"/>
  <c r="Q370" i="20"/>
  <c r="Q712" i="20"/>
  <c r="Q233" i="20"/>
  <c r="Q575" i="20"/>
  <c r="Q81" i="20"/>
  <c r="Q428" i="20"/>
  <c r="Q492" i="20"/>
  <c r="Q924" i="20"/>
  <c r="Q1184" i="20"/>
  <c r="Q1440" i="20"/>
  <c r="Q410" i="20"/>
  <c r="Q417" i="20"/>
  <c r="Q876" i="20"/>
  <c r="Q1148" i="20"/>
  <c r="Q1404" i="20"/>
  <c r="Q335" i="20"/>
  <c r="Q815" i="20"/>
  <c r="Q1109" i="20"/>
  <c r="Q1365" i="20"/>
  <c r="Q464" i="20"/>
  <c r="Q1078" i="20"/>
  <c r="Q1487" i="20"/>
  <c r="Q871" i="20"/>
  <c r="Q610" i="20"/>
  <c r="Q1147" i="20"/>
  <c r="Q103" i="20"/>
  <c r="Q945" i="20"/>
  <c r="Q1354" i="20"/>
  <c r="Q1017" i="20"/>
  <c r="Q561" i="20"/>
  <c r="Q1375" i="20"/>
  <c r="Q569" i="20"/>
  <c r="Q1113" i="20"/>
  <c r="Q1439" i="20"/>
  <c r="Q1035" i="20"/>
  <c r="Q148" i="20"/>
  <c r="Q1178" i="20"/>
  <c r="Q580" i="20"/>
  <c r="Q1310" i="20"/>
  <c r="Q890" i="20"/>
  <c r="Q1451" i="20"/>
  <c r="Q199" i="20"/>
  <c r="Q491" i="20"/>
  <c r="Q811" i="20"/>
  <c r="Q1463" i="20"/>
  <c r="Q688" i="20"/>
  <c r="Q113" i="20"/>
  <c r="Q141" i="20"/>
  <c r="Q397" i="20"/>
  <c r="Q653" i="20"/>
  <c r="Q909" i="20"/>
  <c r="Q262" i="20"/>
  <c r="Q518" i="20"/>
  <c r="Q774" i="20"/>
  <c r="Q156" i="20"/>
  <c r="Q498" i="20"/>
  <c r="Q840" i="20"/>
  <c r="Q361" i="20"/>
  <c r="Q703" i="20"/>
  <c r="Q216" i="20"/>
  <c r="Q153" i="20"/>
  <c r="Q664" i="20"/>
  <c r="Q1024" i="20"/>
  <c r="Q1280" i="20"/>
  <c r="Q59" i="20"/>
  <c r="Q67" i="20"/>
  <c r="Q600" i="20"/>
  <c r="Q988" i="20"/>
  <c r="Q1244" i="20"/>
  <c r="Q1500" i="20"/>
  <c r="Q529" i="20"/>
  <c r="Q949" i="20"/>
  <c r="Q1205" i="20"/>
  <c r="Q1461" i="20"/>
  <c r="Q760" i="20"/>
  <c r="Q1231" i="20"/>
  <c r="Q363" i="20"/>
  <c r="Q1041" i="20"/>
  <c r="Q875" i="20"/>
  <c r="Q1302" i="20"/>
  <c r="Q513" i="20"/>
  <c r="Q1098" i="20"/>
  <c r="Q1507" i="20"/>
  <c r="Q1271" i="20"/>
  <c r="Q1018" i="20"/>
  <c r="Q1518" i="20"/>
  <c r="Q881" i="20"/>
  <c r="Q1255" i="20"/>
  <c r="Q473" i="20"/>
  <c r="Q1267" i="20"/>
  <c r="Q779" i="20"/>
  <c r="Q1407" i="20"/>
  <c r="Q1006" i="20"/>
  <c r="Q73" i="20"/>
  <c r="Q1159" i="20"/>
  <c r="Q974" i="20"/>
  <c r="Q1121" i="20"/>
  <c r="Q1219" i="20"/>
  <c r="Q1350" i="20"/>
  <c r="Q1465" i="20"/>
  <c r="Q1134" i="20"/>
  <c r="Q1427" i="20"/>
  <c r="Q173" i="20"/>
  <c r="Q429" i="20"/>
  <c r="Q685" i="20"/>
  <c r="Q24" i="20"/>
  <c r="Q294" i="20"/>
  <c r="Q550" i="20"/>
  <c r="Q806" i="20"/>
  <c r="Q200" i="20"/>
  <c r="Q540" i="20"/>
  <c r="Q53" i="20"/>
  <c r="Q403" i="20"/>
  <c r="Q745" i="20"/>
  <c r="Q258" i="20"/>
  <c r="Q219" i="20"/>
  <c r="Q720" i="20"/>
  <c r="Q1056" i="20"/>
  <c r="Q1312" i="20"/>
  <c r="Q138" i="20"/>
  <c r="Q144" i="20"/>
  <c r="Q656" i="20"/>
  <c r="Q1020" i="20"/>
  <c r="Q1276" i="20"/>
  <c r="Q48" i="20"/>
  <c r="Q587" i="20"/>
  <c r="Q981" i="20"/>
  <c r="Q1237" i="20"/>
  <c r="Q1493" i="20"/>
  <c r="Q849" i="20"/>
  <c r="Q1282" i="20"/>
  <c r="Q497" i="20"/>
  <c r="Q102" i="20"/>
  <c r="Q943" i="20"/>
  <c r="Q1353" i="20"/>
  <c r="Q611" i="20"/>
  <c r="Q1150" i="20"/>
  <c r="Q303" i="20"/>
  <c r="Q1351" i="20"/>
  <c r="Q1107" i="20"/>
  <c r="Q35" i="20"/>
  <c r="Q915" i="20"/>
  <c r="Q1274" i="20"/>
  <c r="Q547" i="20"/>
  <c r="Q1305" i="20"/>
  <c r="Q858" i="20"/>
  <c r="Q1441" i="20"/>
  <c r="Q1050" i="20"/>
  <c r="Q202" i="20"/>
  <c r="Q1195" i="20"/>
  <c r="Q1055" i="20"/>
  <c r="Q1185" i="20"/>
  <c r="Q1283" i="20"/>
  <c r="Q1422" i="20"/>
  <c r="Q336" i="20"/>
  <c r="Q1390" i="20"/>
  <c r="Q423" i="20"/>
  <c r="Q26" i="20"/>
  <c r="Q181" i="20"/>
  <c r="Q437" i="20"/>
  <c r="Q693" i="20"/>
  <c r="Q33" i="20"/>
  <c r="Q302" i="20"/>
  <c r="Q558" i="20"/>
  <c r="Q814" i="20"/>
  <c r="Q210" i="20"/>
  <c r="Q552" i="20"/>
  <c r="Q64" i="20"/>
  <c r="Q415" i="20"/>
  <c r="Q755" i="20"/>
  <c r="Q268" i="20"/>
  <c r="Q239" i="20"/>
  <c r="Q736" i="20"/>
  <c r="Q1064" i="20"/>
  <c r="Q1320" i="20"/>
  <c r="Q154" i="20"/>
  <c r="Q161" i="20"/>
  <c r="Q672" i="20"/>
  <c r="Q1028" i="20"/>
  <c r="Q1284" i="20"/>
  <c r="Q71" i="20"/>
  <c r="Q601" i="20"/>
  <c r="Q989" i="20"/>
  <c r="Q1245" i="20"/>
  <c r="Q1501" i="20"/>
  <c r="Q868" i="20"/>
  <c r="Q1295" i="20"/>
  <c r="Q527" i="20"/>
  <c r="Q139" i="20"/>
  <c r="Q955" i="20"/>
  <c r="Q1366" i="20"/>
  <c r="Q635" i="20"/>
  <c r="Q1162" i="20"/>
  <c r="Q369" i="20"/>
  <c r="Q1374" i="20"/>
  <c r="Q1130" i="20"/>
  <c r="Q110" i="20"/>
  <c r="Q946" i="20"/>
  <c r="Q1297" i="20"/>
  <c r="Q632" i="20"/>
  <c r="Q1338" i="20"/>
  <c r="Q916" i="20"/>
  <c r="Q1471" i="20"/>
  <c r="Q1081" i="20"/>
  <c r="Q321" i="20"/>
  <c r="Q1223" i="20"/>
  <c r="Q1119" i="20"/>
  <c r="Q1258" i="20"/>
  <c r="Q1347" i="20"/>
  <c r="Q1486" i="20"/>
  <c r="Q683" i="20"/>
  <c r="Q986" i="20"/>
  <c r="Q985" i="20"/>
  <c r="Q309" i="20"/>
  <c r="Q61" i="20"/>
  <c r="Q710" i="20"/>
  <c r="Q722" i="20"/>
  <c r="Q787" i="20"/>
  <c r="Q548" i="20"/>
  <c r="Q1448" i="20"/>
  <c r="Q714" i="20"/>
  <c r="Q1436" i="20"/>
  <c r="Q1117" i="20"/>
  <c r="Q919" i="20"/>
  <c r="Q938" i="20"/>
  <c r="Q143" i="20"/>
  <c r="Q560" i="20"/>
  <c r="Q1438" i="20"/>
  <c r="Q1459" i="20"/>
  <c r="Q1003" i="20"/>
  <c r="Q1409" i="20"/>
  <c r="Q407" i="20"/>
  <c r="Q619" i="20"/>
  <c r="Q1426" i="20"/>
  <c r="Q1334" i="20"/>
  <c r="Q440" i="20"/>
  <c r="Q995" i="20"/>
  <c r="Q641" i="20"/>
  <c r="Q953" i="20"/>
  <c r="Q333" i="20"/>
  <c r="Q174" i="20"/>
  <c r="Q838" i="20"/>
  <c r="Q754" i="20"/>
  <c r="Q93" i="20"/>
  <c r="Q778" i="20"/>
  <c r="Q1472" i="20"/>
  <c r="Q888" i="20"/>
  <c r="Q128" i="20"/>
  <c r="Q1141" i="20"/>
  <c r="Q1090" i="20"/>
  <c r="Q241" i="20"/>
  <c r="Q244" i="20"/>
  <c r="Q1042" i="20"/>
  <c r="Q250" i="20"/>
  <c r="Q1502" i="20"/>
  <c r="Q1207" i="20"/>
  <c r="Q532" i="20"/>
  <c r="Q731" i="20"/>
  <c r="Q218" i="20"/>
  <c r="Q458" i="20"/>
  <c r="Q589" i="20"/>
  <c r="Q242" i="20"/>
  <c r="Q1088" i="20"/>
  <c r="Q480" i="20"/>
  <c r="Q1156" i="20"/>
  <c r="Q643" i="20"/>
  <c r="Q1397" i="20"/>
  <c r="Q1499" i="20"/>
  <c r="Q609" i="20"/>
  <c r="Q998" i="20"/>
  <c r="Q1287" i="20"/>
  <c r="Q461" i="20"/>
  <c r="Q198" i="20"/>
  <c r="Q27" i="20"/>
  <c r="Q101" i="20"/>
  <c r="Q129" i="20"/>
  <c r="Q936" i="20"/>
  <c r="Q207" i="20"/>
  <c r="Q920" i="20"/>
  <c r="Q352" i="20"/>
  <c r="Q1269" i="20"/>
  <c r="Q1129" i="20"/>
  <c r="Q633" i="20"/>
  <c r="Q705" i="20"/>
  <c r="Q1106" i="20"/>
  <c r="Q618" i="20"/>
  <c r="Q775" i="20"/>
  <c r="Q1279" i="20"/>
  <c r="Q935" i="20"/>
  <c r="Q1386" i="20"/>
  <c r="Q897" i="20"/>
  <c r="Q565" i="20"/>
  <c r="Q326" i="20"/>
  <c r="Q63" i="20"/>
  <c r="Q243" i="20"/>
  <c r="Q300" i="20"/>
  <c r="Q960" i="20"/>
  <c r="Q427" i="20"/>
  <c r="Q1052" i="20"/>
  <c r="Q401" i="20"/>
  <c r="Q1373" i="20"/>
  <c r="Q704" i="20"/>
  <c r="Q958" i="20"/>
  <c r="Q1434" i="20"/>
  <c r="Q707" i="20"/>
  <c r="Q1075" i="20"/>
  <c r="Q54" i="20"/>
  <c r="Q1025" i="20"/>
  <c r="Q665" i="20"/>
  <c r="Q1099" i="20"/>
  <c r="Q50" i="20"/>
  <c r="Q430" i="20"/>
  <c r="Q275" i="20"/>
  <c r="Q994" i="20"/>
  <c r="Q1139" i="20"/>
  <c r="Q927" i="20"/>
  <c r="Q41" i="20"/>
  <c r="Q717" i="20"/>
  <c r="Q454" i="20"/>
  <c r="Q380" i="20"/>
  <c r="Q447" i="20"/>
  <c r="Q472" i="20"/>
  <c r="Q1192" i="20"/>
  <c r="Q212" i="20"/>
  <c r="Q1180" i="20"/>
  <c r="Q827" i="20"/>
  <c r="Q44" i="20"/>
  <c r="Q84" i="20"/>
  <c r="Q1161" i="20"/>
  <c r="Q1201" i="20"/>
  <c r="Q746" i="20"/>
  <c r="Q1131" i="20"/>
  <c r="Q1402" i="20"/>
  <c r="Q802" i="20"/>
  <c r="Q1489" i="20"/>
  <c r="Q1483" i="20"/>
  <c r="Q1235" i="20"/>
  <c r="Q69" i="20"/>
  <c r="Q821" i="20"/>
  <c r="Q582" i="20"/>
  <c r="Q412" i="20"/>
  <c r="Q585" i="20"/>
  <c r="Q289" i="20"/>
  <c r="Q1216" i="20"/>
  <c r="Q433" i="20"/>
  <c r="Q1308" i="20"/>
  <c r="Q867" i="20"/>
  <c r="Q496" i="20"/>
  <c r="Q602" i="20"/>
  <c r="Q1199" i="20"/>
  <c r="Q1367" i="20"/>
  <c r="Q1191" i="20"/>
  <c r="Q1171" i="20"/>
  <c r="Q267" i="20"/>
  <c r="Q1145" i="20"/>
  <c r="Q404" i="20"/>
  <c r="Q932" i="20"/>
  <c r="Q768" i="20"/>
  <c r="Q205" i="20"/>
  <c r="Q845" i="20"/>
  <c r="Q686" i="20"/>
  <c r="Q584" i="20"/>
  <c r="Q617" i="20"/>
  <c r="Q506" i="20"/>
  <c r="Q1344" i="20"/>
  <c r="Q484" i="20"/>
  <c r="Q1412" i="20"/>
  <c r="Q1013" i="20"/>
  <c r="Q577" i="20"/>
  <c r="Q887" i="20"/>
  <c r="Q1403" i="20"/>
  <c r="Q1406" i="20"/>
  <c r="Q1395" i="20"/>
  <c r="Q1337" i="20"/>
  <c r="Q474" i="20"/>
  <c r="Q1345" i="20"/>
  <c r="Q1247" i="20"/>
  <c r="Q1094" i="20"/>
  <c r="Q824" i="20"/>
  <c r="U20" i="20"/>
  <c r="U84" i="20"/>
  <c r="U148" i="20"/>
  <c r="U212" i="20"/>
  <c r="U276" i="20"/>
  <c r="U340" i="20"/>
  <c r="U404" i="20"/>
  <c r="U468" i="20"/>
  <c r="U532" i="20"/>
  <c r="U596" i="20"/>
  <c r="U660" i="20"/>
  <c r="U46" i="20"/>
  <c r="U31" i="20"/>
  <c r="U95" i="20"/>
  <c r="U159" i="20"/>
  <c r="U223" i="20"/>
  <c r="U287" i="20"/>
  <c r="U351" i="20"/>
  <c r="U415" i="20"/>
  <c r="U479" i="20"/>
  <c r="U543" i="20"/>
  <c r="U34" i="20"/>
  <c r="U130" i="20"/>
  <c r="U216" i="20"/>
  <c r="U301" i="20"/>
  <c r="U386" i="20"/>
  <c r="U472" i="20"/>
  <c r="U557" i="20"/>
  <c r="U635" i="20"/>
  <c r="U707" i="20"/>
  <c r="U771" i="20"/>
  <c r="U835" i="20"/>
  <c r="U74" i="20"/>
  <c r="U163" i="20"/>
  <c r="U249" i="20"/>
  <c r="U334" i="20"/>
  <c r="U419" i="20"/>
  <c r="U505" i="20"/>
  <c r="U590" i="20"/>
  <c r="U664" i="20"/>
  <c r="U732" i="20"/>
  <c r="U796" i="20"/>
  <c r="U860" i="20"/>
  <c r="U113" i="20"/>
  <c r="U198" i="20"/>
  <c r="U283" i="20"/>
  <c r="U369" i="20"/>
  <c r="U454" i="20"/>
  <c r="U104" i="20"/>
  <c r="U189" i="20"/>
  <c r="U274" i="20"/>
  <c r="U360" i="20"/>
  <c r="U445" i="20"/>
  <c r="U530" i="20"/>
  <c r="U613" i="20"/>
  <c r="U144" i="20"/>
  <c r="U314" i="20"/>
  <c r="U481" i="20"/>
  <c r="U615" i="20"/>
  <c r="U713" i="20"/>
  <c r="U799" i="20"/>
  <c r="U879" i="20"/>
  <c r="U943" i="20"/>
  <c r="U1007" i="20"/>
  <c r="U1071" i="20"/>
  <c r="U1135" i="20"/>
  <c r="U193" i="20"/>
  <c r="U363" i="20"/>
  <c r="U522" i="20"/>
  <c r="U648" i="20"/>
  <c r="U738" i="20"/>
  <c r="U824" i="20"/>
  <c r="U898" i="20"/>
  <c r="U962" i="20"/>
  <c r="U1026" i="20"/>
  <c r="U1090" i="20"/>
  <c r="U93" i="20"/>
  <c r="U265" i="20"/>
  <c r="U435" i="20"/>
  <c r="U577" i="20"/>
  <c r="U687" i="20"/>
  <c r="U774" i="20"/>
  <c r="U858" i="20"/>
  <c r="U924" i="20"/>
  <c r="U988" i="20"/>
  <c r="U29" i="20"/>
  <c r="U310" i="20"/>
  <c r="U563" i="20"/>
  <c r="U729" i="20"/>
  <c r="U865" i="20"/>
  <c r="U968" i="20"/>
  <c r="U1067" i="20"/>
  <c r="U1148" i="20"/>
  <c r="U1212" i="20"/>
  <c r="U1276" i="20"/>
  <c r="U1340" i="20"/>
  <c r="U82" i="20"/>
  <c r="U361" i="20"/>
  <c r="U598" i="20"/>
  <c r="U753" i="20"/>
  <c r="U883" i="20"/>
  <c r="U985" i="20"/>
  <c r="U1081" i="20"/>
  <c r="U1159" i="20"/>
  <c r="U1223" i="20"/>
  <c r="U1287" i="20"/>
  <c r="U1351" i="20"/>
  <c r="U197" i="20"/>
  <c r="U469" i="20"/>
  <c r="U669" i="20"/>
  <c r="U808" i="20"/>
  <c r="U925" i="20"/>
  <c r="U1027" i="20"/>
  <c r="U1116" i="20"/>
  <c r="U1185" i="20"/>
  <c r="U1249" i="20"/>
  <c r="U1313" i="20"/>
  <c r="U1377" i="20"/>
  <c r="U446" i="20"/>
  <c r="U743" i="20"/>
  <c r="U936" i="20"/>
  <c r="U1091" i="20"/>
  <c r="U57" i="20"/>
  <c r="U501" i="20"/>
  <c r="U773" i="20"/>
  <c r="U958" i="20"/>
  <c r="U1110" i="20"/>
  <c r="U1219" i="20"/>
  <c r="U1322" i="20"/>
  <c r="U1407" i="20"/>
  <c r="U1471" i="20"/>
  <c r="U147" i="20"/>
  <c r="U661" i="20"/>
  <c r="U931" i="20"/>
  <c r="U1133" i="20"/>
  <c r="U1261" i="20"/>
  <c r="U1378" i="20"/>
  <c r="U1451" i="20"/>
  <c r="U81" i="20"/>
  <c r="U616" i="20"/>
  <c r="U907" i="20"/>
  <c r="U1115" i="20"/>
  <c r="U1248" i="20"/>
  <c r="U1365" i="20"/>
  <c r="U1443" i="20"/>
  <c r="U1516" i="20"/>
  <c r="U674" i="20"/>
  <c r="U1009" i="20"/>
  <c r="U1226" i="20"/>
  <c r="U1381" i="20"/>
  <c r="U1477" i="20"/>
  <c r="U474" i="20"/>
  <c r="U910" i="20"/>
  <c r="U1163" i="20"/>
  <c r="U1326" i="20"/>
  <c r="U1444" i="20"/>
  <c r="U202" i="20"/>
  <c r="U790" i="20"/>
  <c r="U1096" i="20"/>
  <c r="U1272" i="20"/>
  <c r="U1410" i="20"/>
  <c r="U1508" i="20"/>
  <c r="U697" i="20"/>
  <c r="U1030" i="20"/>
  <c r="U1237" i="20"/>
  <c r="U1386" i="20"/>
  <c r="U1484" i="20"/>
  <c r="U833" i="20"/>
  <c r="U1288" i="20"/>
  <c r="U1518" i="20"/>
  <c r="U1003" i="20"/>
  <c r="U1374" i="20"/>
  <c r="U554" i="20"/>
  <c r="U1190" i="20"/>
  <c r="U1457" i="20"/>
  <c r="U889" i="20"/>
  <c r="U1315" i="20"/>
  <c r="U138" i="20"/>
  <c r="U1402" i="20"/>
  <c r="U1182" i="20"/>
  <c r="U862" i="20"/>
  <c r="U352" i="20"/>
  <c r="U1428" i="20"/>
  <c r="U254" i="20"/>
  <c r="U1158" i="20"/>
  <c r="U1048" i="20"/>
  <c r="U711" i="20"/>
  <c r="U1242" i="20"/>
  <c r="U28" i="20"/>
  <c r="U92" i="20"/>
  <c r="U156" i="20"/>
  <c r="U220" i="20"/>
  <c r="U284" i="20"/>
  <c r="U348" i="20"/>
  <c r="U412" i="20"/>
  <c r="U476" i="20"/>
  <c r="U540" i="20"/>
  <c r="U604" i="20"/>
  <c r="U668" i="20"/>
  <c r="U54" i="20"/>
  <c r="U39" i="20"/>
  <c r="U103" i="20"/>
  <c r="U167" i="20"/>
  <c r="U231" i="20"/>
  <c r="U295" i="20"/>
  <c r="U359" i="20"/>
  <c r="U423" i="20"/>
  <c r="U487" i="20"/>
  <c r="U551" i="20"/>
  <c r="U48" i="20"/>
  <c r="U141" i="20"/>
  <c r="U226" i="20"/>
  <c r="U312" i="20"/>
  <c r="U397" i="20"/>
  <c r="U482" i="20"/>
  <c r="U568" i="20"/>
  <c r="U645" i="20"/>
  <c r="U715" i="20"/>
  <c r="U779" i="20"/>
  <c r="U843" i="20"/>
  <c r="U88" i="20"/>
  <c r="U174" i="20"/>
  <c r="U259" i="20"/>
  <c r="U345" i="20"/>
  <c r="U430" i="20"/>
  <c r="U515" i="20"/>
  <c r="U600" i="20"/>
  <c r="U673" i="20"/>
  <c r="U740" i="20"/>
  <c r="U804" i="20"/>
  <c r="U26" i="20"/>
  <c r="U123" i="20"/>
  <c r="U209" i="20"/>
  <c r="U294" i="20"/>
  <c r="U379" i="20"/>
  <c r="U465" i="20"/>
  <c r="U114" i="20"/>
  <c r="U200" i="20"/>
  <c r="U285" i="20"/>
  <c r="U370" i="20"/>
  <c r="U456" i="20"/>
  <c r="U541" i="20"/>
  <c r="U622" i="20"/>
  <c r="U165" i="20"/>
  <c r="U336" i="20"/>
  <c r="U499" i="20"/>
  <c r="U630" i="20"/>
  <c r="U725" i="20"/>
  <c r="U809" i="20"/>
  <c r="U887" i="20"/>
  <c r="U951" i="20"/>
  <c r="U1015" i="20"/>
  <c r="U1079" i="20"/>
  <c r="U33" i="20"/>
  <c r="U214" i="20"/>
  <c r="U385" i="20"/>
  <c r="U539" i="20"/>
  <c r="U659" i="20"/>
  <c r="U750" i="20"/>
  <c r="U834" i="20"/>
  <c r="U906" i="20"/>
  <c r="U970" i="20"/>
  <c r="U1034" i="20"/>
  <c r="U1098" i="20"/>
  <c r="U115" i="20"/>
  <c r="U286" i="20"/>
  <c r="U457" i="20"/>
  <c r="U595" i="20"/>
  <c r="U698" i="20"/>
  <c r="U784" i="20"/>
  <c r="U868" i="20"/>
  <c r="U932" i="20"/>
  <c r="U996" i="20"/>
  <c r="U69" i="20"/>
  <c r="U346" i="20"/>
  <c r="U587" i="20"/>
  <c r="U746" i="20"/>
  <c r="U878" i="20"/>
  <c r="U981" i="20"/>
  <c r="U1077" i="20"/>
  <c r="U1156" i="20"/>
  <c r="U1220" i="20"/>
  <c r="U1284" i="20"/>
  <c r="U1348" i="20"/>
  <c r="U118" i="20"/>
  <c r="U394" i="20"/>
  <c r="U623" i="20"/>
  <c r="U769" i="20"/>
  <c r="U896" i="20"/>
  <c r="U998" i="20"/>
  <c r="U1092" i="20"/>
  <c r="U1167" i="20"/>
  <c r="U1231" i="20"/>
  <c r="U1295" i="20"/>
  <c r="U1359" i="20"/>
  <c r="U233" i="20"/>
  <c r="U497" i="20"/>
  <c r="U688" i="20"/>
  <c r="U825" i="20"/>
  <c r="U937" i="20"/>
  <c r="U1040" i="20"/>
  <c r="U1126" i="20"/>
  <c r="U1193" i="20"/>
  <c r="U1257" i="20"/>
  <c r="U1321" i="20"/>
  <c r="U45" i="20"/>
  <c r="U496" i="20"/>
  <c r="U768" i="20"/>
  <c r="U957" i="20"/>
  <c r="U1108" i="20"/>
  <c r="U126" i="20"/>
  <c r="U542" i="20"/>
  <c r="U800" i="20"/>
  <c r="U979" i="20"/>
  <c r="U1128" i="20"/>
  <c r="U1232" i="20"/>
  <c r="U1334" i="20"/>
  <c r="U1415" i="20"/>
  <c r="U1479" i="20"/>
  <c r="U213" i="20"/>
  <c r="U701" i="20"/>
  <c r="U961" i="20"/>
  <c r="U1150" i="20"/>
  <c r="U1275" i="20"/>
  <c r="U1387" i="20"/>
  <c r="U1460" i="20"/>
  <c r="U149" i="20"/>
  <c r="U666" i="20"/>
  <c r="U933" i="20"/>
  <c r="U1136" i="20"/>
  <c r="U1262" i="20"/>
  <c r="U1379" i="20"/>
  <c r="U1452" i="20"/>
  <c r="U37" i="20"/>
  <c r="U726" i="20"/>
  <c r="U1051" i="20"/>
  <c r="U1243" i="20"/>
  <c r="U1393" i="20"/>
  <c r="U1491" i="20"/>
  <c r="U549" i="20"/>
  <c r="U945" i="20"/>
  <c r="U1189" i="20"/>
  <c r="U1344" i="20"/>
  <c r="U1456" i="20"/>
  <c r="U309" i="20"/>
  <c r="U837" i="20"/>
  <c r="U1121" i="20"/>
  <c r="U1293" i="20"/>
  <c r="U1421" i="20"/>
  <c r="U112" i="20"/>
  <c r="U751" i="20"/>
  <c r="U1064" i="20"/>
  <c r="U1254" i="20"/>
  <c r="U1400" i="20"/>
  <c r="U1496" i="20"/>
  <c r="U913" i="20"/>
  <c r="U1328" i="20"/>
  <c r="U133" i="20"/>
  <c r="U1069" i="20"/>
  <c r="U1401" i="20"/>
  <c r="U680" i="20"/>
  <c r="U1229" i="20"/>
  <c r="U1482" i="20"/>
  <c r="U966" i="20"/>
  <c r="U1355" i="20"/>
  <c r="U521" i="20"/>
  <c r="U1450" i="20"/>
  <c r="U1264" i="20"/>
  <c r="U1005" i="20"/>
  <c r="U670" i="20"/>
  <c r="U1476" i="20"/>
  <c r="U817" i="20"/>
  <c r="U1317" i="20"/>
  <c r="U1358" i="20"/>
  <c r="U1392" i="20"/>
  <c r="U1323" i="20"/>
  <c r="U36" i="20"/>
  <c r="U100" i="20"/>
  <c r="U164" i="20"/>
  <c r="U228" i="20"/>
  <c r="U292" i="20"/>
  <c r="U356" i="20"/>
  <c r="U420" i="20"/>
  <c r="U484" i="20"/>
  <c r="U548" i="20"/>
  <c r="U612" i="20"/>
  <c r="U676" i="20"/>
  <c r="U62" i="20"/>
  <c r="U47" i="20"/>
  <c r="U111" i="20"/>
  <c r="U175" i="20"/>
  <c r="U239" i="20"/>
  <c r="U303" i="20"/>
  <c r="U367" i="20"/>
  <c r="U431" i="20"/>
  <c r="U495" i="20"/>
  <c r="U559" i="20"/>
  <c r="U59" i="20"/>
  <c r="U152" i="20"/>
  <c r="U237" i="20"/>
  <c r="U322" i="20"/>
  <c r="U408" i="20"/>
  <c r="U493" i="20"/>
  <c r="U578" i="20"/>
  <c r="U654" i="20"/>
  <c r="U723" i="20"/>
  <c r="U787" i="20"/>
  <c r="U851" i="20"/>
  <c r="U99" i="20"/>
  <c r="U185" i="20"/>
  <c r="U270" i="20"/>
  <c r="U355" i="20"/>
  <c r="U441" i="20"/>
  <c r="U526" i="20"/>
  <c r="U609" i="20"/>
  <c r="U682" i="20"/>
  <c r="U748" i="20"/>
  <c r="U812" i="20"/>
  <c r="U40" i="20"/>
  <c r="U134" i="20"/>
  <c r="U219" i="20"/>
  <c r="U305" i="20"/>
  <c r="U390" i="20"/>
  <c r="U27" i="20"/>
  <c r="U125" i="20"/>
  <c r="U210" i="20"/>
  <c r="U296" i="20"/>
  <c r="U381" i="20"/>
  <c r="U466" i="20"/>
  <c r="U552" i="20"/>
  <c r="U631" i="20"/>
  <c r="U186" i="20"/>
  <c r="U357" i="20"/>
  <c r="U517" i="20"/>
  <c r="U642" i="20"/>
  <c r="U735" i="20"/>
  <c r="U821" i="20"/>
  <c r="U895" i="20"/>
  <c r="U959" i="20"/>
  <c r="U1023" i="20"/>
  <c r="U1087" i="20"/>
  <c r="U58" i="20"/>
  <c r="U235" i="20"/>
  <c r="U406" i="20"/>
  <c r="U555" i="20"/>
  <c r="U671" i="20"/>
  <c r="U760" i="20"/>
  <c r="U846" i="20"/>
  <c r="U914" i="20"/>
  <c r="U978" i="20"/>
  <c r="U1042" i="20"/>
  <c r="U1106" i="20"/>
  <c r="U137" i="20"/>
  <c r="U307" i="20"/>
  <c r="U475" i="20"/>
  <c r="U610" i="20"/>
  <c r="U710" i="20"/>
  <c r="U794" i="20"/>
  <c r="U876" i="20"/>
  <c r="U940" i="20"/>
  <c r="U1004" i="20"/>
  <c r="U106" i="20"/>
  <c r="U382" i="20"/>
  <c r="U614" i="20"/>
  <c r="U765" i="20"/>
  <c r="U891" i="20"/>
  <c r="U993" i="20"/>
  <c r="U1088" i="20"/>
  <c r="U1164" i="20"/>
  <c r="U1228" i="20"/>
  <c r="U1292" i="20"/>
  <c r="U1356" i="20"/>
  <c r="U154" i="20"/>
  <c r="U426" i="20"/>
  <c r="U643" i="20"/>
  <c r="U786" i="20"/>
  <c r="U909" i="20"/>
  <c r="U1011" i="20"/>
  <c r="U1102" i="20"/>
  <c r="U1175" i="20"/>
  <c r="U1239" i="20"/>
  <c r="U1303" i="20"/>
  <c r="U1367" i="20"/>
  <c r="U266" i="20"/>
  <c r="U523" i="20"/>
  <c r="U705" i="20"/>
  <c r="U842" i="20"/>
  <c r="U950" i="20"/>
  <c r="U1052" i="20"/>
  <c r="U1137" i="20"/>
  <c r="U1201" i="20"/>
  <c r="U1265" i="20"/>
  <c r="U1329" i="20"/>
  <c r="U117" i="20"/>
  <c r="U538" i="20"/>
  <c r="U797" i="20"/>
  <c r="U977" i="20"/>
  <c r="U1125" i="20"/>
  <c r="U181" i="20"/>
  <c r="U586" i="20"/>
  <c r="U829" i="20"/>
  <c r="U1000" i="20"/>
  <c r="U1142" i="20"/>
  <c r="U1245" i="20"/>
  <c r="U1347" i="20"/>
  <c r="U1423" i="20"/>
  <c r="U1487" i="20"/>
  <c r="U297" i="20"/>
  <c r="U734" i="20"/>
  <c r="U987" i="20"/>
  <c r="U1170" i="20"/>
  <c r="U1290" i="20"/>
  <c r="U1396" i="20"/>
  <c r="U1469" i="20"/>
  <c r="U218" i="20"/>
  <c r="U704" i="20"/>
  <c r="U965" i="20"/>
  <c r="U1152" i="20"/>
  <c r="U1277" i="20"/>
  <c r="U1388" i="20"/>
  <c r="U1461" i="20"/>
  <c r="U169" i="20"/>
  <c r="U766" i="20"/>
  <c r="U1080" i="20"/>
  <c r="U1266" i="20"/>
  <c r="U1404" i="20"/>
  <c r="U1502" i="20"/>
  <c r="U632" i="20"/>
  <c r="U982" i="20"/>
  <c r="U1210" i="20"/>
  <c r="U1366" i="20"/>
  <c r="U1467" i="20"/>
  <c r="U405" i="20"/>
  <c r="U885" i="20"/>
  <c r="U1147" i="20"/>
  <c r="U1312" i="20"/>
  <c r="U1435" i="20"/>
  <c r="U203" i="20"/>
  <c r="U793" i="20"/>
  <c r="U1097" i="20"/>
  <c r="U1274" i="20"/>
  <c r="U1411" i="20"/>
  <c r="U1509" i="20"/>
  <c r="U984" i="20"/>
  <c r="U1368" i="20"/>
  <c r="U320" i="20"/>
  <c r="U1129" i="20"/>
  <c r="U1426" i="20"/>
  <c r="U785" i="20"/>
  <c r="U1269" i="20"/>
  <c r="U1505" i="20"/>
  <c r="U1033" i="20"/>
  <c r="U1389" i="20"/>
  <c r="U759" i="20"/>
  <c r="U1500" i="20"/>
  <c r="U1341" i="20"/>
  <c r="U1132" i="20"/>
  <c r="U864" i="20"/>
  <c r="U246" i="20"/>
  <c r="U1104" i="20"/>
  <c r="U1438" i="20"/>
  <c r="U602" i="20"/>
  <c r="U721" i="20"/>
  <c r="U1465" i="20"/>
  <c r="U60" i="20"/>
  <c r="U124" i="20"/>
  <c r="U188" i="20"/>
  <c r="U252" i="20"/>
  <c r="U316" i="20"/>
  <c r="U380" i="20"/>
  <c r="U444" i="20"/>
  <c r="U508" i="20"/>
  <c r="U572" i="20"/>
  <c r="U636" i="20"/>
  <c r="U22" i="20"/>
  <c r="U86" i="20"/>
  <c r="U71" i="20"/>
  <c r="U135" i="20"/>
  <c r="U199" i="20"/>
  <c r="U263" i="20"/>
  <c r="U327" i="20"/>
  <c r="U391" i="20"/>
  <c r="U455" i="20"/>
  <c r="U519" i="20"/>
  <c r="U583" i="20"/>
  <c r="U98" i="20"/>
  <c r="U184" i="20"/>
  <c r="U269" i="20"/>
  <c r="U354" i="20"/>
  <c r="U440" i="20"/>
  <c r="U525" i="20"/>
  <c r="U608" i="20"/>
  <c r="U681" i="20"/>
  <c r="U747" i="20"/>
  <c r="U811" i="20"/>
  <c r="U35" i="20"/>
  <c r="U131" i="20"/>
  <c r="U217" i="20"/>
  <c r="U302" i="20"/>
  <c r="U387" i="20"/>
  <c r="U473" i="20"/>
  <c r="U558" i="20"/>
  <c r="U637" i="20"/>
  <c r="U708" i="20"/>
  <c r="U772" i="20"/>
  <c r="U836" i="20"/>
  <c r="U77" i="20"/>
  <c r="U166" i="20"/>
  <c r="U251" i="20"/>
  <c r="U337" i="20"/>
  <c r="U422" i="20"/>
  <c r="U66" i="20"/>
  <c r="U157" i="20"/>
  <c r="U242" i="20"/>
  <c r="U328" i="20"/>
  <c r="U413" i="20"/>
  <c r="U498" i="20"/>
  <c r="U584" i="20"/>
  <c r="U75" i="20"/>
  <c r="U250" i="20"/>
  <c r="U421" i="20"/>
  <c r="U566" i="20"/>
  <c r="U679" i="20"/>
  <c r="U767" i="20"/>
  <c r="U853" i="20"/>
  <c r="U919" i="20"/>
  <c r="U983" i="20"/>
  <c r="U1047" i="20"/>
  <c r="U1111" i="20"/>
  <c r="U129" i="20"/>
  <c r="U299" i="20"/>
  <c r="U470" i="20"/>
  <c r="U606" i="20"/>
  <c r="U706" i="20"/>
  <c r="U792" i="20"/>
  <c r="U874" i="20"/>
  <c r="U938" i="20"/>
  <c r="U1002" i="20"/>
  <c r="U1066" i="20"/>
  <c r="U1130" i="20"/>
  <c r="U201" i="20"/>
  <c r="U371" i="20"/>
  <c r="U528" i="20"/>
  <c r="U650" i="20"/>
  <c r="U742" i="20"/>
  <c r="U826" i="20"/>
  <c r="U900" i="20"/>
  <c r="U964" i="20"/>
  <c r="U1028" i="20"/>
  <c r="U211" i="20"/>
  <c r="U480" i="20"/>
  <c r="U677" i="20"/>
  <c r="U815" i="20"/>
  <c r="U929" i="20"/>
  <c r="U1032" i="20"/>
  <c r="U1120" i="20"/>
  <c r="U1188" i="20"/>
  <c r="U1252" i="20"/>
  <c r="U1316" i="20"/>
  <c r="U32" i="20"/>
  <c r="U256" i="20"/>
  <c r="U518" i="20"/>
  <c r="U702" i="20"/>
  <c r="U839" i="20"/>
  <c r="U947" i="20"/>
  <c r="U1049" i="20"/>
  <c r="U1134" i="20"/>
  <c r="U1199" i="20"/>
  <c r="U1263" i="20"/>
  <c r="U1327" i="20"/>
  <c r="U96" i="20"/>
  <c r="U368" i="20"/>
  <c r="U605" i="20"/>
  <c r="U758" i="20"/>
  <c r="U886" i="20"/>
  <c r="U989" i="20"/>
  <c r="U1084" i="20"/>
  <c r="U1161" i="20"/>
  <c r="U1225" i="20"/>
  <c r="U1289" i="20"/>
  <c r="U1353" i="20"/>
  <c r="U282" i="20"/>
  <c r="U653" i="20"/>
  <c r="U875" i="20"/>
  <c r="U1038" i="20"/>
  <c r="U1166" i="20"/>
  <c r="U341" i="20"/>
  <c r="U689" i="20"/>
  <c r="U897" i="20"/>
  <c r="U1059" i="20"/>
  <c r="U1181" i="20"/>
  <c r="U1283" i="20"/>
  <c r="U1383" i="20"/>
  <c r="U1447" i="20"/>
  <c r="U1511" i="20"/>
  <c r="U502" i="20"/>
  <c r="U845" i="20"/>
  <c r="U1065" i="20"/>
  <c r="U1216" i="20"/>
  <c r="U1333" i="20"/>
  <c r="U1424" i="20"/>
  <c r="U1497" i="20"/>
  <c r="U438" i="20"/>
  <c r="U813" i="20"/>
  <c r="U1046" i="20"/>
  <c r="U1203" i="20"/>
  <c r="U1320" i="20"/>
  <c r="U1416" i="20"/>
  <c r="U1489" i="20"/>
  <c r="U467" i="20"/>
  <c r="U902" i="20"/>
  <c r="U1162" i="20"/>
  <c r="U1325" i="20"/>
  <c r="U1441" i="20"/>
  <c r="U182" i="20"/>
  <c r="U783" i="20"/>
  <c r="U1083" i="20"/>
  <c r="U1267" i="20"/>
  <c r="U1408" i="20"/>
  <c r="U1504" i="20"/>
  <c r="U640" i="20"/>
  <c r="U992" i="20"/>
  <c r="U1213" i="20"/>
  <c r="U1370" i="20"/>
  <c r="U1472" i="20"/>
  <c r="U486" i="20"/>
  <c r="U923" i="20"/>
  <c r="U1174" i="20"/>
  <c r="U1331" i="20"/>
  <c r="U1448" i="20"/>
  <c r="U478" i="20"/>
  <c r="U1165" i="20"/>
  <c r="U1445" i="20"/>
  <c r="U754" i="20"/>
  <c r="U1256" i="20"/>
  <c r="U1499" i="20"/>
  <c r="U1025" i="20"/>
  <c r="U1384" i="20"/>
  <c r="U593" i="20"/>
  <c r="U1198" i="20"/>
  <c r="U1462" i="20"/>
  <c r="U1178" i="20"/>
  <c r="U761" i="20"/>
  <c r="U1501" i="20"/>
  <c r="U1376" i="20"/>
  <c r="U1224" i="20"/>
  <c r="U1280" i="20"/>
  <c r="U1513" i="20"/>
  <c r="U1357" i="20"/>
  <c r="U901" i="20"/>
  <c r="U1205" i="20"/>
  <c r="U44" i="20"/>
  <c r="U172" i="20"/>
  <c r="U300" i="20"/>
  <c r="U428" i="20"/>
  <c r="U556" i="20"/>
  <c r="U684" i="20"/>
  <c r="U55" i="20"/>
  <c r="U183" i="20"/>
  <c r="U311" i="20"/>
  <c r="U439" i="20"/>
  <c r="U567" i="20"/>
  <c r="U162" i="20"/>
  <c r="U333" i="20"/>
  <c r="U504" i="20"/>
  <c r="U663" i="20"/>
  <c r="U795" i="20"/>
  <c r="U110" i="20"/>
  <c r="U281" i="20"/>
  <c r="U451" i="20"/>
  <c r="U618" i="20"/>
  <c r="U756" i="20"/>
  <c r="U51" i="20"/>
  <c r="U230" i="20"/>
  <c r="U401" i="20"/>
  <c r="U136" i="20"/>
  <c r="U306" i="20"/>
  <c r="U477" i="20"/>
  <c r="U25" i="20"/>
  <c r="U378" i="20"/>
  <c r="U656" i="20"/>
  <c r="U831" i="20"/>
  <c r="U967" i="20"/>
  <c r="U1095" i="20"/>
  <c r="U257" i="20"/>
  <c r="U574" i="20"/>
  <c r="U770" i="20"/>
  <c r="U922" i="20"/>
  <c r="U1050" i="20"/>
  <c r="U158" i="20"/>
  <c r="U491" i="20"/>
  <c r="U720" i="20"/>
  <c r="U884" i="20"/>
  <c r="U1012" i="20"/>
  <c r="U416" i="20"/>
  <c r="U781" i="20"/>
  <c r="U1006" i="20"/>
  <c r="U1172" i="20"/>
  <c r="U1300" i="20"/>
  <c r="U190" i="20"/>
  <c r="U665" i="20"/>
  <c r="U921" i="20"/>
  <c r="U1113" i="20"/>
  <c r="U1247" i="20"/>
  <c r="U1375" i="20"/>
  <c r="U553" i="20"/>
  <c r="U861" i="20"/>
  <c r="U1062" i="20"/>
  <c r="U1209" i="20"/>
  <c r="U1337" i="20"/>
  <c r="U582" i="20"/>
  <c r="U997" i="20"/>
  <c r="U234" i="20"/>
  <c r="U854" i="20"/>
  <c r="U1155" i="20"/>
  <c r="U1360" i="20"/>
  <c r="U1495" i="20"/>
  <c r="U776" i="20"/>
  <c r="U1186" i="20"/>
  <c r="U1405" i="20"/>
  <c r="U304" i="20"/>
  <c r="U990" i="20"/>
  <c r="U1291" i="20"/>
  <c r="U1470" i="20"/>
  <c r="U818" i="20"/>
  <c r="U1285" i="20"/>
  <c r="U1514" i="20"/>
  <c r="U1022" i="20"/>
  <c r="U1382" i="20"/>
  <c r="U485" i="20"/>
  <c r="U1173" i="20"/>
  <c r="U1446" i="20"/>
  <c r="U840" i="20"/>
  <c r="U1294" i="20"/>
  <c r="U97" i="20"/>
  <c r="U1395" i="20"/>
  <c r="U1176" i="20"/>
  <c r="U872" i="20"/>
  <c r="U240" i="20"/>
  <c r="U1412" i="20"/>
  <c r="U160" i="20"/>
  <c r="U1222" i="20"/>
  <c r="U807" i="20"/>
  <c r="U458" i="20"/>
  <c r="U1440" i="20"/>
  <c r="U52" i="20"/>
  <c r="U180" i="20"/>
  <c r="U308" i="20"/>
  <c r="U436" i="20"/>
  <c r="U564" i="20"/>
  <c r="U692" i="20"/>
  <c r="U63" i="20"/>
  <c r="U191" i="20"/>
  <c r="U319" i="20"/>
  <c r="U447" i="20"/>
  <c r="U575" i="20"/>
  <c r="U173" i="20"/>
  <c r="U344" i="20"/>
  <c r="U514" i="20"/>
  <c r="U672" i="20"/>
  <c r="U803" i="20"/>
  <c r="U121" i="20"/>
  <c r="U291" i="20"/>
  <c r="U462" i="20"/>
  <c r="U627" i="20"/>
  <c r="U764" i="20"/>
  <c r="U65" i="20"/>
  <c r="U241" i="20"/>
  <c r="U411" i="20"/>
  <c r="U146" i="20"/>
  <c r="U317" i="20"/>
  <c r="U488" i="20"/>
  <c r="U50" i="20"/>
  <c r="U400" i="20"/>
  <c r="U667" i="20"/>
  <c r="U841" i="20"/>
  <c r="U975" i="20"/>
  <c r="U1103" i="20"/>
  <c r="U278" i="20"/>
  <c r="U592" i="20"/>
  <c r="U782" i="20"/>
  <c r="U930" i="20"/>
  <c r="U1058" i="20"/>
  <c r="U179" i="20"/>
  <c r="U510" i="20"/>
  <c r="U730" i="20"/>
  <c r="U892" i="20"/>
  <c r="U1020" i="20"/>
  <c r="U448" i="20"/>
  <c r="U798" i="20"/>
  <c r="U1019" i="20"/>
  <c r="U1180" i="20"/>
  <c r="U1308" i="20"/>
  <c r="U224" i="20"/>
  <c r="U683" i="20"/>
  <c r="U934" i="20"/>
  <c r="U1124" i="20"/>
  <c r="U1255" i="20"/>
  <c r="U56" i="20"/>
  <c r="U581" i="20"/>
  <c r="U873" i="20"/>
  <c r="U1073" i="20"/>
  <c r="U1217" i="20"/>
  <c r="U1345" i="20"/>
  <c r="U619" i="20"/>
  <c r="U1017" i="20"/>
  <c r="U288" i="20"/>
  <c r="U877" i="20"/>
  <c r="U1168" i="20"/>
  <c r="U1373" i="20"/>
  <c r="U1503" i="20"/>
  <c r="U810" i="20"/>
  <c r="U1202" i="20"/>
  <c r="U1414" i="20"/>
  <c r="U373" i="20"/>
  <c r="U1016" i="20"/>
  <c r="U1306" i="20"/>
  <c r="U1480" i="20"/>
  <c r="U867" i="20"/>
  <c r="U1302" i="20"/>
  <c r="U89" i="20"/>
  <c r="U1053" i="20"/>
  <c r="U1394" i="20"/>
  <c r="U570" i="20"/>
  <c r="U1195" i="20"/>
  <c r="U1458" i="20"/>
  <c r="U888" i="20"/>
  <c r="U1314" i="20"/>
  <c r="U275" i="20"/>
  <c r="U1420" i="20"/>
  <c r="U1221" i="20"/>
  <c r="U949" i="20"/>
  <c r="U417" i="20"/>
  <c r="U1437" i="20"/>
  <c r="U529" i="20"/>
  <c r="U1299" i="20"/>
  <c r="U1101" i="20"/>
  <c r="U1035" i="20"/>
  <c r="U1200" i="20"/>
  <c r="U68" i="20"/>
  <c r="U196" i="20"/>
  <c r="U324" i="20"/>
  <c r="U452" i="20"/>
  <c r="U580" i="20"/>
  <c r="U30" i="20"/>
  <c r="U79" i="20"/>
  <c r="U207" i="20"/>
  <c r="U335" i="20"/>
  <c r="U463" i="20"/>
  <c r="U591" i="20"/>
  <c r="U194" i="20"/>
  <c r="U365" i="20"/>
  <c r="U536" i="20"/>
  <c r="U690" i="20"/>
  <c r="U819" i="20"/>
  <c r="U142" i="20"/>
  <c r="U313" i="20"/>
  <c r="U483" i="20"/>
  <c r="U646" i="20"/>
  <c r="U780" i="20"/>
  <c r="U90" i="20"/>
  <c r="U262" i="20"/>
  <c r="U433" i="20"/>
  <c r="U168" i="20"/>
  <c r="U338" i="20"/>
  <c r="U509" i="20"/>
  <c r="U101" i="20"/>
  <c r="U442" i="20"/>
  <c r="U693" i="20"/>
  <c r="U863" i="20"/>
  <c r="U991" i="20"/>
  <c r="U1119" i="20"/>
  <c r="U321" i="20"/>
  <c r="U621" i="20"/>
  <c r="U802" i="20"/>
  <c r="U946" i="20"/>
  <c r="U1074" i="20"/>
  <c r="U222" i="20"/>
  <c r="U544" i="20"/>
  <c r="U752" i="20"/>
  <c r="U908" i="20"/>
  <c r="U1036" i="20"/>
  <c r="U507" i="20"/>
  <c r="U832" i="20"/>
  <c r="U1045" i="20"/>
  <c r="U1196" i="20"/>
  <c r="U1324" i="20"/>
  <c r="U289" i="20"/>
  <c r="U719" i="20"/>
  <c r="U960" i="20"/>
  <c r="U1143" i="20"/>
  <c r="U1271" i="20"/>
  <c r="U128" i="20"/>
  <c r="U629" i="20"/>
  <c r="U899" i="20"/>
  <c r="U1094" i="20"/>
  <c r="U1233" i="20"/>
  <c r="U1361" i="20"/>
  <c r="U686" i="20"/>
  <c r="U1057" i="20"/>
  <c r="U395" i="20"/>
  <c r="U918" i="20"/>
  <c r="U1194" i="20"/>
  <c r="U1391" i="20"/>
  <c r="U1519" i="20"/>
  <c r="U880" i="20"/>
  <c r="U1230" i="20"/>
  <c r="U1433" i="20"/>
  <c r="U512" i="20"/>
  <c r="U1068" i="20"/>
  <c r="U1336" i="20"/>
  <c r="U1498" i="20"/>
  <c r="U944" i="20"/>
  <c r="U1342" i="20"/>
  <c r="U267" i="20"/>
  <c r="U1117" i="20"/>
  <c r="U1419" i="20"/>
  <c r="U694" i="20"/>
  <c r="U1235" i="20"/>
  <c r="U1483" i="20"/>
  <c r="U953" i="20"/>
  <c r="U1354" i="20"/>
  <c r="U633" i="20"/>
  <c r="U1468" i="20"/>
  <c r="U1298" i="20"/>
  <c r="U1085" i="20"/>
  <c r="U709" i="20"/>
  <c r="U1485" i="20"/>
  <c r="U941" i="20"/>
  <c r="U1427" i="20"/>
  <c r="U1413" i="20"/>
  <c r="U1490" i="20"/>
  <c r="U969" i="20"/>
  <c r="U132" i="20"/>
  <c r="U260" i="20"/>
  <c r="U388" i="20"/>
  <c r="U516" i="20"/>
  <c r="U644" i="20"/>
  <c r="U94" i="20"/>
  <c r="U143" i="20"/>
  <c r="U271" i="20"/>
  <c r="U399" i="20"/>
  <c r="U527" i="20"/>
  <c r="U109" i="20"/>
  <c r="U280" i="20"/>
  <c r="U450" i="20"/>
  <c r="U617" i="20"/>
  <c r="U755" i="20"/>
  <c r="U49" i="20"/>
  <c r="U227" i="20"/>
  <c r="U398" i="20"/>
  <c r="U569" i="20"/>
  <c r="U716" i="20"/>
  <c r="U844" i="20"/>
  <c r="U177" i="20"/>
  <c r="U347" i="20"/>
  <c r="U80" i="20"/>
  <c r="U253" i="20"/>
  <c r="U424" i="20"/>
  <c r="U594" i="20"/>
  <c r="U272" i="20"/>
  <c r="U585" i="20"/>
  <c r="U777" i="20"/>
  <c r="U927" i="20"/>
  <c r="U1055" i="20"/>
  <c r="U150" i="20"/>
  <c r="U489" i="20"/>
  <c r="U718" i="20"/>
  <c r="U882" i="20"/>
  <c r="U1010" i="20"/>
  <c r="U42" i="20"/>
  <c r="U393" i="20"/>
  <c r="U662" i="20"/>
  <c r="U838" i="20"/>
  <c r="U972" i="20"/>
  <c r="U245" i="20"/>
  <c r="U695" i="20"/>
  <c r="U942" i="20"/>
  <c r="U1131" i="20"/>
  <c r="U1260" i="20"/>
  <c r="U72" i="20"/>
  <c r="U545" i="20"/>
  <c r="U855" i="20"/>
  <c r="U1060" i="20"/>
  <c r="U1207" i="20"/>
  <c r="U1335" i="20"/>
  <c r="U403" i="20"/>
  <c r="U775" i="20"/>
  <c r="U1001" i="20"/>
  <c r="U1169" i="20"/>
  <c r="U1297" i="20"/>
  <c r="U339" i="20"/>
  <c r="U894" i="20"/>
  <c r="U1179" i="20"/>
  <c r="U717" i="20"/>
  <c r="U1076" i="20"/>
  <c r="U1296" i="20"/>
  <c r="U1455" i="20"/>
  <c r="U560" i="20"/>
  <c r="U1086" i="20"/>
  <c r="U1349" i="20"/>
  <c r="U1506" i="20"/>
  <c r="U847" i="20"/>
  <c r="U1218" i="20"/>
  <c r="U1425" i="20"/>
  <c r="U531" i="20"/>
  <c r="U1184" i="20"/>
  <c r="U1454" i="20"/>
  <c r="U830" i="20"/>
  <c r="U1286" i="20"/>
  <c r="U1517" i="20"/>
  <c r="U1029" i="20"/>
  <c r="U1385" i="20"/>
  <c r="U576" i="20"/>
  <c r="U1197" i="20"/>
  <c r="U1459" i="20"/>
  <c r="U1211" i="20"/>
  <c r="U857" i="20"/>
  <c r="U192" i="20"/>
  <c r="U1409" i="20"/>
  <c r="U1238" i="20"/>
  <c r="U1259" i="20"/>
  <c r="U330" i="20"/>
  <c r="U1301" i="20"/>
  <c r="U425" i="20"/>
  <c r="U1240" i="20"/>
  <c r="U76" i="20"/>
  <c r="U332" i="20"/>
  <c r="U588" i="20"/>
  <c r="U87" i="20"/>
  <c r="U343" i="20"/>
  <c r="U21" i="20"/>
  <c r="U376" i="20"/>
  <c r="U699" i="20"/>
  <c r="U153" i="20"/>
  <c r="U494" i="20"/>
  <c r="U788" i="20"/>
  <c r="U273" i="20"/>
  <c r="U178" i="20"/>
  <c r="U520" i="20"/>
  <c r="U464" i="20"/>
  <c r="U871" i="20"/>
  <c r="U1127" i="20"/>
  <c r="U634" i="20"/>
  <c r="U954" i="20"/>
  <c r="U243" i="20"/>
  <c r="U762" i="20"/>
  <c r="U1044" i="20"/>
  <c r="U849" i="20"/>
  <c r="U1204" i="20"/>
  <c r="U325" i="20"/>
  <c r="U973" i="20"/>
  <c r="U1279" i="20"/>
  <c r="U649" i="20"/>
  <c r="U1105" i="20"/>
  <c r="U1369" i="20"/>
  <c r="U1075" i="20"/>
  <c r="U939" i="20"/>
  <c r="U1399" i="20"/>
  <c r="U905" i="20"/>
  <c r="U1442" i="20"/>
  <c r="U1089" i="20"/>
  <c r="U1507" i="20"/>
  <c r="U1362" i="20"/>
  <c r="U1144" i="20"/>
  <c r="U749" i="20"/>
  <c r="U1494" i="20"/>
  <c r="U1371" i="20"/>
  <c r="U1493" i="20"/>
  <c r="U1146" i="20"/>
  <c r="U1510" i="20"/>
  <c r="U1475" i="20"/>
  <c r="U597" i="20"/>
  <c r="U108" i="20"/>
  <c r="U364" i="20"/>
  <c r="U620" i="20"/>
  <c r="U119" i="20"/>
  <c r="U375" i="20"/>
  <c r="U73" i="20"/>
  <c r="U418" i="20"/>
  <c r="U731" i="20"/>
  <c r="U195" i="20"/>
  <c r="U537" i="20"/>
  <c r="U820" i="20"/>
  <c r="U315" i="20"/>
  <c r="U221" i="20"/>
  <c r="U562" i="20"/>
  <c r="U533" i="20"/>
  <c r="U903" i="20"/>
  <c r="U83" i="20"/>
  <c r="U685" i="20"/>
  <c r="U986" i="20"/>
  <c r="U329" i="20"/>
  <c r="U806" i="20"/>
  <c r="U139" i="20"/>
  <c r="U904" i="20"/>
  <c r="U1236" i="20"/>
  <c r="U459" i="20"/>
  <c r="U1024" i="20"/>
  <c r="U1311" i="20"/>
  <c r="U722" i="20"/>
  <c r="U1145" i="20"/>
  <c r="U170" i="20"/>
  <c r="U1141" i="20"/>
  <c r="U1021" i="20"/>
  <c r="U1431" i="20"/>
  <c r="U1013" i="20"/>
  <c r="U1478" i="20"/>
  <c r="U1171" i="20"/>
  <c r="U261" i="20"/>
  <c r="U1418" i="20"/>
  <c r="U1227" i="20"/>
  <c r="U920" i="20"/>
  <c r="U318" i="20"/>
  <c r="U1422" i="20"/>
  <c r="U513" i="20"/>
  <c r="U1310" i="20"/>
  <c r="U928" i="20"/>
  <c r="U1008" i="20"/>
  <c r="U1160" i="20"/>
  <c r="U204" i="20"/>
  <c r="U460" i="20"/>
  <c r="U38" i="20"/>
  <c r="U215" i="20"/>
  <c r="U471" i="20"/>
  <c r="U205" i="20"/>
  <c r="U546" i="20"/>
  <c r="U827" i="20"/>
  <c r="U323" i="20"/>
  <c r="U655" i="20"/>
  <c r="U102" i="20"/>
  <c r="U443" i="20"/>
  <c r="U349" i="20"/>
  <c r="U122" i="20"/>
  <c r="U703" i="20"/>
  <c r="U999" i="20"/>
  <c r="U342" i="20"/>
  <c r="U814" i="20"/>
  <c r="U1082" i="20"/>
  <c r="U561" i="20"/>
  <c r="U916" i="20"/>
  <c r="U534" i="20"/>
  <c r="U1056" i="20"/>
  <c r="U1332" i="20"/>
  <c r="U736" i="20"/>
  <c r="U1151" i="20"/>
  <c r="U161" i="20"/>
  <c r="U912" i="20"/>
  <c r="U1241" i="20"/>
  <c r="U714" i="20"/>
  <c r="U453" i="20"/>
  <c r="U1206" i="20"/>
  <c r="U64" i="20"/>
  <c r="U1246" i="20"/>
  <c r="U565" i="20"/>
  <c r="U1350" i="20"/>
  <c r="U974" i="20"/>
  <c r="U374" i="20"/>
  <c r="U1430" i="20"/>
  <c r="U1253" i="20"/>
  <c r="U995" i="20"/>
  <c r="U733" i="20"/>
  <c r="U1338" i="20"/>
  <c r="U801" i="20"/>
  <c r="U1078" i="20"/>
  <c r="U1512" i="20"/>
  <c r="U971" i="20"/>
  <c r="U236" i="20"/>
  <c r="U492" i="20"/>
  <c r="U70" i="20"/>
  <c r="U247" i="20"/>
  <c r="U503" i="20"/>
  <c r="U248" i="20"/>
  <c r="U589" i="20"/>
  <c r="U859" i="20"/>
  <c r="U366" i="20"/>
  <c r="U691" i="20"/>
  <c r="U145" i="20"/>
  <c r="U41" i="20"/>
  <c r="U392" i="20"/>
  <c r="U208" i="20"/>
  <c r="U745" i="20"/>
  <c r="U1031" i="20"/>
  <c r="U427" i="20"/>
  <c r="U856" i="20"/>
  <c r="U1114" i="20"/>
  <c r="U624" i="20"/>
  <c r="U948" i="20"/>
  <c r="U638" i="20"/>
  <c r="U1099" i="20"/>
  <c r="U1364" i="20"/>
  <c r="U805" i="20"/>
  <c r="U1183" i="20"/>
  <c r="U298" i="20"/>
  <c r="U963" i="20"/>
  <c r="U1273" i="20"/>
  <c r="U823" i="20"/>
  <c r="U625" i="20"/>
  <c r="U1258" i="20"/>
  <c r="U362" i="20"/>
  <c r="U1304" i="20"/>
  <c r="U737" i="20"/>
  <c r="U1397" i="20"/>
  <c r="U1107" i="20"/>
  <c r="U678" i="20"/>
  <c r="U1481" i="20"/>
  <c r="U1330" i="20"/>
  <c r="U1123" i="20"/>
  <c r="U1054" i="20"/>
  <c r="U1449" i="20"/>
  <c r="U1100" i="20"/>
  <c r="U1403" i="20"/>
  <c r="U1282" i="20"/>
  <c r="U1486" i="20"/>
  <c r="U244" i="20"/>
  <c r="U500" i="20"/>
  <c r="U78" i="20"/>
  <c r="U255" i="20"/>
  <c r="U511" i="20"/>
  <c r="U258" i="20"/>
  <c r="U599" i="20"/>
  <c r="U24" i="20"/>
  <c r="U377" i="20"/>
  <c r="U700" i="20"/>
  <c r="U155" i="20"/>
  <c r="U53" i="20"/>
  <c r="U402" i="20"/>
  <c r="U229" i="20"/>
  <c r="U757" i="20"/>
  <c r="U1039" i="20"/>
  <c r="U449" i="20"/>
  <c r="U866" i="20"/>
  <c r="U1122" i="20"/>
  <c r="U639" i="20"/>
  <c r="U956" i="20"/>
  <c r="U657" i="20"/>
  <c r="U1109" i="20"/>
  <c r="U1372" i="20"/>
  <c r="U822" i="20"/>
  <c r="U1191" i="20"/>
  <c r="U331" i="20"/>
  <c r="U976" i="20"/>
  <c r="U1281" i="20"/>
  <c r="U850" i="20"/>
  <c r="U658" i="20"/>
  <c r="U1270" i="20"/>
  <c r="U432" i="20"/>
  <c r="U1318" i="20"/>
  <c r="U778" i="20"/>
  <c r="U1406" i="20"/>
  <c r="U1139" i="20"/>
  <c r="U727" i="20"/>
  <c r="U1492" i="20"/>
  <c r="U1352" i="20"/>
  <c r="U1149" i="20"/>
  <c r="U1118" i="20"/>
  <c r="U1474" i="20"/>
  <c r="U1157" i="20"/>
  <c r="U1453" i="20"/>
  <c r="U1417" i="20"/>
  <c r="U116" i="20"/>
  <c r="U23" i="20"/>
  <c r="U120" i="20"/>
  <c r="U206" i="20"/>
  <c r="U187" i="20"/>
  <c r="U603" i="20"/>
  <c r="U107" i="20"/>
  <c r="U67" i="20"/>
  <c r="U277" i="20"/>
  <c r="U490" i="20"/>
  <c r="U437" i="20"/>
  <c r="U389" i="20"/>
  <c r="U1439" i="20"/>
  <c r="U881" i="20"/>
  <c r="U1466" i="20"/>
  <c r="U410" i="20"/>
  <c r="U384" i="20"/>
  <c r="U1380" i="20"/>
  <c r="U279" i="20"/>
  <c r="U626" i="20"/>
  <c r="U140" i="20"/>
  <c r="U127" i="20"/>
  <c r="U290" i="20"/>
  <c r="U238" i="20"/>
  <c r="U326" i="20"/>
  <c r="U293" i="20"/>
  <c r="U171" i="20"/>
  <c r="U350" i="20"/>
  <c r="U712" i="20"/>
  <c r="U571" i="20"/>
  <c r="U741" i="20"/>
  <c r="U915" i="20"/>
  <c r="U1463" i="20"/>
  <c r="U1187" i="20"/>
  <c r="U869" i="20"/>
  <c r="U641" i="20"/>
  <c r="U1346" i="20"/>
  <c r="U893" i="20"/>
  <c r="U461" i="20"/>
  <c r="U396" i="20"/>
  <c r="U232" i="20"/>
  <c r="U789" i="20"/>
  <c r="U816" i="20"/>
  <c r="U1070" i="20"/>
  <c r="U744" i="20"/>
  <c r="U1112" i="20"/>
  <c r="U105" i="20"/>
  <c r="U1072" i="20"/>
  <c r="U268" i="20"/>
  <c r="U151" i="20"/>
  <c r="U429" i="20"/>
  <c r="U409" i="20"/>
  <c r="U358" i="20"/>
  <c r="U550" i="20"/>
  <c r="U506" i="20"/>
  <c r="U414" i="20"/>
  <c r="U917" i="20"/>
  <c r="U870" i="20"/>
  <c r="U791" i="20"/>
  <c r="U1154" i="20"/>
  <c r="U611" i="20"/>
  <c r="U1234" i="20"/>
  <c r="U1250" i="20"/>
  <c r="U1214" i="20"/>
  <c r="U1432" i="20"/>
  <c r="U1390" i="20"/>
  <c r="U372" i="20"/>
  <c r="U547" i="20"/>
  <c r="U91" i="20"/>
  <c r="U601" i="20"/>
  <c r="U696" i="20"/>
  <c r="U675" i="20"/>
  <c r="U955" i="20"/>
  <c r="U1037" i="20"/>
  <c r="U1014" i="20"/>
  <c r="U1192" i="20"/>
  <c r="U1043" i="20"/>
  <c r="U1434" i="20"/>
  <c r="U1307" i="20"/>
  <c r="U1436" i="20"/>
  <c r="U1278" i="20"/>
  <c r="U1464" i="20"/>
  <c r="U383" i="20"/>
  <c r="U728" i="20"/>
  <c r="U1140" i="20"/>
  <c r="U1153" i="20"/>
  <c r="U353" i="20"/>
  <c r="U1473" i="20"/>
  <c r="U524" i="20"/>
  <c r="U407" i="20"/>
  <c r="U739" i="20"/>
  <c r="U724" i="20"/>
  <c r="U264" i="20"/>
  <c r="U911" i="20"/>
  <c r="U890" i="20"/>
  <c r="U848" i="20"/>
  <c r="U1244" i="20"/>
  <c r="U1215" i="20"/>
  <c r="U1177" i="20"/>
  <c r="U1041" i="20"/>
  <c r="U1363" i="20"/>
  <c r="U607" i="20"/>
  <c r="U952" i="20"/>
  <c r="U1251" i="20"/>
  <c r="U1339" i="20"/>
  <c r="U628" i="20"/>
  <c r="U535" i="20"/>
  <c r="U763" i="20"/>
  <c r="U828" i="20"/>
  <c r="U434" i="20"/>
  <c r="U935" i="20"/>
  <c r="U994" i="20"/>
  <c r="U980" i="20"/>
  <c r="U1268" i="20"/>
  <c r="U1319" i="20"/>
  <c r="U1305" i="20"/>
  <c r="U1093" i="20"/>
  <c r="U1488" i="20"/>
  <c r="U1208" i="20"/>
  <c r="U1061" i="20"/>
  <c r="U647" i="20"/>
  <c r="U651" i="20"/>
  <c r="U652" i="20"/>
  <c r="U85" i="20"/>
  <c r="U61" i="20"/>
  <c r="U852" i="20"/>
  <c r="U573" i="20"/>
  <c r="U1063" i="20"/>
  <c r="U1018" i="20"/>
  <c r="U176" i="20"/>
  <c r="U43" i="20"/>
  <c r="U1343" i="20"/>
  <c r="U225" i="20"/>
  <c r="U1309" i="20"/>
  <c r="U1515" i="20"/>
  <c r="U1429" i="20"/>
  <c r="U1398" i="20"/>
  <c r="U926" i="20"/>
  <c r="U1138" i="20"/>
  <c r="U579" i="20"/>
  <c r="AZ7" i="21"/>
  <c r="AZ10" i="21"/>
  <c r="AZ14" i="21"/>
  <c r="G8" i="27"/>
  <c r="AZ19" i="21"/>
  <c r="AZ8" i="21"/>
  <c r="AZ9" i="21"/>
  <c r="AZ11" i="21"/>
  <c r="G8" i="4"/>
  <c r="AZ18" i="21"/>
  <c r="AZ12" i="21"/>
  <c r="AZ13" i="21"/>
  <c r="AZ17" i="21"/>
  <c r="AZ15" i="21"/>
  <c r="AZ16" i="21"/>
  <c r="G8" i="30"/>
  <c r="F9" i="30"/>
  <c r="F6" i="30" s="1"/>
  <c r="E10" i="30"/>
  <c r="D11" i="30"/>
  <c r="C12" i="30"/>
  <c r="B13" i="30"/>
  <c r="J13" i="30"/>
  <c r="I14" i="30"/>
  <c r="H15" i="30"/>
  <c r="G16" i="30"/>
  <c r="F17" i="30"/>
  <c r="E18" i="30"/>
  <c r="D19" i="30"/>
  <c r="C20" i="30"/>
  <c r="B21" i="30"/>
  <c r="J21" i="30"/>
  <c r="I22" i="30"/>
  <c r="H23" i="30"/>
  <c r="G24" i="30"/>
  <c r="F25" i="30"/>
  <c r="E26" i="30"/>
  <c r="D27" i="30"/>
  <c r="C28" i="30"/>
  <c r="B29" i="30"/>
  <c r="J29" i="30"/>
  <c r="I30" i="30"/>
  <c r="H31" i="30"/>
  <c r="G32" i="30"/>
  <c r="F33" i="30"/>
  <c r="E34" i="30"/>
  <c r="D35" i="30"/>
  <c r="C36" i="30"/>
  <c r="B37" i="30"/>
  <c r="J37" i="30"/>
  <c r="I38" i="30"/>
  <c r="H39" i="30"/>
  <c r="G40" i="30"/>
  <c r="F41" i="30"/>
  <c r="E42" i="30"/>
  <c r="D43" i="30"/>
  <c r="C44" i="30"/>
  <c r="B45" i="30"/>
  <c r="J45" i="30"/>
  <c r="I46" i="30"/>
  <c r="H47" i="30"/>
  <c r="G48" i="30"/>
  <c r="F49" i="30"/>
  <c r="E50" i="30"/>
  <c r="D51" i="30"/>
  <c r="C52" i="30"/>
  <c r="B53" i="30"/>
  <c r="J53" i="30"/>
  <c r="I54" i="30"/>
  <c r="H55" i="30"/>
  <c r="G56" i="30"/>
  <c r="F57" i="30"/>
  <c r="E58" i="30"/>
  <c r="D59" i="30"/>
  <c r="C60" i="30"/>
  <c r="B61" i="30"/>
  <c r="J61" i="30"/>
  <c r="I62" i="30"/>
  <c r="H63" i="30"/>
  <c r="G64" i="30"/>
  <c r="F65" i="30"/>
  <c r="E66" i="30"/>
  <c r="D67" i="30"/>
  <c r="C68" i="30"/>
  <c r="B69" i="30"/>
  <c r="J69" i="30"/>
  <c r="I70" i="30"/>
  <c r="H71" i="30"/>
  <c r="G72" i="30"/>
  <c r="F73" i="30"/>
  <c r="E74" i="30"/>
  <c r="D75" i="30"/>
  <c r="C76" i="30"/>
  <c r="B77" i="30"/>
  <c r="J77" i="30"/>
  <c r="C8" i="30"/>
  <c r="H11" i="30"/>
  <c r="F13" i="30"/>
  <c r="B17" i="30"/>
  <c r="H8" i="30"/>
  <c r="G9" i="30"/>
  <c r="G6" i="30" s="1"/>
  <c r="F10" i="30"/>
  <c r="E11" i="30"/>
  <c r="D12" i="30"/>
  <c r="C13" i="30"/>
  <c r="B14" i="30"/>
  <c r="J14" i="30"/>
  <c r="I15" i="30"/>
  <c r="H16" i="30"/>
  <c r="G17" i="30"/>
  <c r="F18" i="30"/>
  <c r="E19" i="30"/>
  <c r="D20" i="30"/>
  <c r="C21" i="30"/>
  <c r="B22" i="30"/>
  <c r="J22" i="30"/>
  <c r="I23" i="30"/>
  <c r="H24" i="30"/>
  <c r="G25" i="30"/>
  <c r="F26" i="30"/>
  <c r="E27" i="30"/>
  <c r="D28" i="30"/>
  <c r="C29" i="30"/>
  <c r="B30" i="30"/>
  <c r="J30" i="30"/>
  <c r="I31" i="30"/>
  <c r="H32" i="30"/>
  <c r="G33" i="30"/>
  <c r="F34" i="30"/>
  <c r="E35" i="30"/>
  <c r="D36" i="30"/>
  <c r="C37" i="30"/>
  <c r="B38" i="30"/>
  <c r="J38" i="30"/>
  <c r="I39" i="30"/>
  <c r="H40" i="30"/>
  <c r="G41" i="30"/>
  <c r="F42" i="30"/>
  <c r="E43" i="30"/>
  <c r="D44" i="30"/>
  <c r="C45" i="30"/>
  <c r="B46" i="30"/>
  <c r="J46" i="30"/>
  <c r="I47" i="30"/>
  <c r="H48" i="30"/>
  <c r="G49" i="30"/>
  <c r="F50" i="30"/>
  <c r="E51" i="30"/>
  <c r="D52" i="30"/>
  <c r="C53" i="30"/>
  <c r="B54" i="30"/>
  <c r="J54" i="30"/>
  <c r="I55" i="30"/>
  <c r="H56" i="30"/>
  <c r="G57" i="30"/>
  <c r="F58" i="30"/>
  <c r="E59" i="30"/>
  <c r="D60" i="30"/>
  <c r="C61" i="30"/>
  <c r="B62" i="30"/>
  <c r="J62" i="30"/>
  <c r="I63" i="30"/>
  <c r="H64" i="30"/>
  <c r="G65" i="30"/>
  <c r="F66" i="30"/>
  <c r="E67" i="30"/>
  <c r="D68" i="30"/>
  <c r="C69" i="30"/>
  <c r="B70" i="30"/>
  <c r="J70" i="30"/>
  <c r="I71" i="30"/>
  <c r="H72" i="30"/>
  <c r="G73" i="30"/>
  <c r="F74" i="30"/>
  <c r="E75" i="30"/>
  <c r="D76" i="30"/>
  <c r="C77" i="30"/>
  <c r="I10" i="30"/>
  <c r="D15" i="30"/>
  <c r="I8" i="30"/>
  <c r="H9" i="30"/>
  <c r="H6" i="30" s="1"/>
  <c r="G10" i="30"/>
  <c r="F11" i="30"/>
  <c r="E12" i="30"/>
  <c r="D13" i="30"/>
  <c r="C14" i="30"/>
  <c r="B15" i="30"/>
  <c r="J15" i="30"/>
  <c r="I16" i="30"/>
  <c r="H17" i="30"/>
  <c r="G18" i="30"/>
  <c r="F19" i="30"/>
  <c r="E20" i="30"/>
  <c r="D21" i="30"/>
  <c r="C22" i="30"/>
  <c r="B23" i="30"/>
  <c r="J23" i="30"/>
  <c r="I24" i="30"/>
  <c r="H25" i="30"/>
  <c r="G26" i="30"/>
  <c r="F27" i="30"/>
  <c r="E28" i="30"/>
  <c r="D29" i="30"/>
  <c r="C30" i="30"/>
  <c r="B31" i="30"/>
  <c r="J31" i="30"/>
  <c r="I32" i="30"/>
  <c r="H33" i="30"/>
  <c r="G34" i="30"/>
  <c r="F35" i="30"/>
  <c r="E36" i="30"/>
  <c r="D37" i="30"/>
  <c r="C38" i="30"/>
  <c r="B39" i="30"/>
  <c r="J39" i="30"/>
  <c r="I40" i="30"/>
  <c r="H41" i="30"/>
  <c r="G42" i="30"/>
  <c r="F43" i="30"/>
  <c r="E44" i="30"/>
  <c r="D45" i="30"/>
  <c r="C46" i="30"/>
  <c r="B47" i="30"/>
  <c r="J47" i="30"/>
  <c r="I48" i="30"/>
  <c r="H49" i="30"/>
  <c r="G50" i="30"/>
  <c r="F51" i="30"/>
  <c r="E52" i="30"/>
  <c r="D53" i="30"/>
  <c r="C54" i="30"/>
  <c r="B55" i="30"/>
  <c r="J55" i="30"/>
  <c r="I56" i="30"/>
  <c r="H57" i="30"/>
  <c r="G58" i="30"/>
  <c r="F59" i="30"/>
  <c r="E60" i="30"/>
  <c r="D61" i="30"/>
  <c r="C62" i="30"/>
  <c r="B63" i="30"/>
  <c r="J63" i="30"/>
  <c r="I64" i="30"/>
  <c r="H65" i="30"/>
  <c r="G66" i="30"/>
  <c r="F67" i="30"/>
  <c r="E68" i="30"/>
  <c r="D69" i="30"/>
  <c r="C70" i="30"/>
  <c r="B71" i="30"/>
  <c r="J71" i="30"/>
  <c r="I72" i="30"/>
  <c r="H73" i="30"/>
  <c r="G74" i="30"/>
  <c r="F75" i="30"/>
  <c r="E76" i="30"/>
  <c r="D77" i="30"/>
  <c r="B9" i="30"/>
  <c r="G12" i="30"/>
  <c r="E14" i="30"/>
  <c r="C16" i="30"/>
  <c r="B8" i="30"/>
  <c r="J8" i="30"/>
  <c r="I9" i="30"/>
  <c r="I6" i="30" s="1"/>
  <c r="H10" i="30"/>
  <c r="G11" i="30"/>
  <c r="F12" i="30"/>
  <c r="E13" i="30"/>
  <c r="D14" i="30"/>
  <c r="C15" i="30"/>
  <c r="B16" i="30"/>
  <c r="J16" i="30"/>
  <c r="I17" i="30"/>
  <c r="H18" i="30"/>
  <c r="G19" i="30"/>
  <c r="F20" i="30"/>
  <c r="E21" i="30"/>
  <c r="D22" i="30"/>
  <c r="C23" i="30"/>
  <c r="B24" i="30"/>
  <c r="J24" i="30"/>
  <c r="I25" i="30"/>
  <c r="H26" i="30"/>
  <c r="G27" i="30"/>
  <c r="F28" i="30"/>
  <c r="E29" i="30"/>
  <c r="D30" i="30"/>
  <c r="C31" i="30"/>
  <c r="B32" i="30"/>
  <c r="J32" i="30"/>
  <c r="I33" i="30"/>
  <c r="H34" i="30"/>
  <c r="G35" i="30"/>
  <c r="F36" i="30"/>
  <c r="E37" i="30"/>
  <c r="D38" i="30"/>
  <c r="C39" i="30"/>
  <c r="B40" i="30"/>
  <c r="J40" i="30"/>
  <c r="I41" i="30"/>
  <c r="H42" i="30"/>
  <c r="G43" i="30"/>
  <c r="F44" i="30"/>
  <c r="E45" i="30"/>
  <c r="D46" i="30"/>
  <c r="C47" i="30"/>
  <c r="B48" i="30"/>
  <c r="J48" i="30"/>
  <c r="I49" i="30"/>
  <c r="H50" i="30"/>
  <c r="G51" i="30"/>
  <c r="F52" i="30"/>
  <c r="E53" i="30"/>
  <c r="D54" i="30"/>
  <c r="C55" i="30"/>
  <c r="B56" i="30"/>
  <c r="J56" i="30"/>
  <c r="I57" i="30"/>
  <c r="H58" i="30"/>
  <c r="G59" i="30"/>
  <c r="F60" i="30"/>
  <c r="E61" i="30"/>
  <c r="D62" i="30"/>
  <c r="C63" i="30"/>
  <c r="B64" i="30"/>
  <c r="J64" i="30"/>
  <c r="I65" i="30"/>
  <c r="H66" i="30"/>
  <c r="G67" i="30"/>
  <c r="F68" i="30"/>
  <c r="E69" i="30"/>
  <c r="D70" i="30"/>
  <c r="C71" i="30"/>
  <c r="B72" i="30"/>
  <c r="J72" i="30"/>
  <c r="I73" i="30"/>
  <c r="H74" i="30"/>
  <c r="G75" i="30"/>
  <c r="F76" i="30"/>
  <c r="E77" i="30"/>
  <c r="J9" i="30"/>
  <c r="E8" i="30"/>
  <c r="J10" i="30"/>
  <c r="J12" i="30"/>
  <c r="F15" i="30"/>
  <c r="J17" i="30"/>
  <c r="H19" i="30"/>
  <c r="F21" i="30"/>
  <c r="D23" i="30"/>
  <c r="B25" i="30"/>
  <c r="I26" i="30"/>
  <c r="G28" i="30"/>
  <c r="E30" i="30"/>
  <c r="C32" i="30"/>
  <c r="J33" i="30"/>
  <c r="H35" i="30"/>
  <c r="F37" i="30"/>
  <c r="D39" i="30"/>
  <c r="B41" i="30"/>
  <c r="I42" i="30"/>
  <c r="G44" i="30"/>
  <c r="E46" i="30"/>
  <c r="C48" i="30"/>
  <c r="J49" i="30"/>
  <c r="H51" i="30"/>
  <c r="F53" i="30"/>
  <c r="D55" i="30"/>
  <c r="B57" i="30"/>
  <c r="I58" i="30"/>
  <c r="G60" i="30"/>
  <c r="E62" i="30"/>
  <c r="C64" i="30"/>
  <c r="J65" i="30"/>
  <c r="H67" i="30"/>
  <c r="F69" i="30"/>
  <c r="D71" i="30"/>
  <c r="B73" i="30"/>
  <c r="I74" i="30"/>
  <c r="G76" i="30"/>
  <c r="B27" i="30"/>
  <c r="J35" i="30"/>
  <c r="D41" i="30"/>
  <c r="I44" i="30"/>
  <c r="G46" i="30"/>
  <c r="C50" i="30"/>
  <c r="J51" i="30"/>
  <c r="F55" i="30"/>
  <c r="D57" i="30"/>
  <c r="B59" i="30"/>
  <c r="G62" i="30"/>
  <c r="E64" i="30"/>
  <c r="C66" i="30"/>
  <c r="H69" i="30"/>
  <c r="F71" i="30"/>
  <c r="B75" i="30"/>
  <c r="I76" i="30"/>
  <c r="I21" i="30"/>
  <c r="E25" i="30"/>
  <c r="J28" i="30"/>
  <c r="F32" i="30"/>
  <c r="D34" i="30"/>
  <c r="I37" i="30"/>
  <c r="E41" i="30"/>
  <c r="C43" i="30"/>
  <c r="J44" i="30"/>
  <c r="D50" i="30"/>
  <c r="G55" i="30"/>
  <c r="C59" i="30"/>
  <c r="H62" i="30"/>
  <c r="D66" i="30"/>
  <c r="E73" i="30"/>
  <c r="H14" i="30"/>
  <c r="H29" i="30"/>
  <c r="I36" i="30"/>
  <c r="C42" i="30"/>
  <c r="F47" i="30"/>
  <c r="I52" i="30"/>
  <c r="C58" i="30"/>
  <c r="D65" i="30"/>
  <c r="E72" i="30"/>
  <c r="H77" i="30"/>
  <c r="I12" i="30"/>
  <c r="J20" i="30"/>
  <c r="I29" i="30"/>
  <c r="J36" i="30"/>
  <c r="I45" i="30"/>
  <c r="C51" i="30"/>
  <c r="D58" i="30"/>
  <c r="C67" i="30"/>
  <c r="F72" i="30"/>
  <c r="F8" i="30"/>
  <c r="B11" i="30"/>
  <c r="G13" i="30"/>
  <c r="G15" i="30"/>
  <c r="B18" i="30"/>
  <c r="I19" i="30"/>
  <c r="G21" i="30"/>
  <c r="E23" i="30"/>
  <c r="C25" i="30"/>
  <c r="J26" i="30"/>
  <c r="H28" i="30"/>
  <c r="F30" i="30"/>
  <c r="D32" i="30"/>
  <c r="B34" i="30"/>
  <c r="I35" i="30"/>
  <c r="G37" i="30"/>
  <c r="E39" i="30"/>
  <c r="C41" i="30"/>
  <c r="J42" i="30"/>
  <c r="H44" i="30"/>
  <c r="F46" i="30"/>
  <c r="D48" i="30"/>
  <c r="B50" i="30"/>
  <c r="I51" i="30"/>
  <c r="G53" i="30"/>
  <c r="E55" i="30"/>
  <c r="C57" i="30"/>
  <c r="J58" i="30"/>
  <c r="H60" i="30"/>
  <c r="F62" i="30"/>
  <c r="D64" i="30"/>
  <c r="B66" i="30"/>
  <c r="I67" i="30"/>
  <c r="G69" i="30"/>
  <c r="E71" i="30"/>
  <c r="C73" i="30"/>
  <c r="J74" i="30"/>
  <c r="H76" i="30"/>
  <c r="H37" i="30"/>
  <c r="I13" i="30"/>
  <c r="B36" i="30"/>
  <c r="H46" i="30"/>
  <c r="I53" i="30"/>
  <c r="E57" i="30"/>
  <c r="F64" i="30"/>
  <c r="G71" i="30"/>
  <c r="J76" i="30"/>
  <c r="F31" i="30"/>
  <c r="G54" i="30"/>
  <c r="B67" i="30"/>
  <c r="J75" i="30"/>
  <c r="D10" i="30"/>
  <c r="D26" i="30"/>
  <c r="H38" i="30"/>
  <c r="E49" i="30"/>
  <c r="G63" i="30"/>
  <c r="D74" i="30"/>
  <c r="C9" i="30"/>
  <c r="C6" i="30" s="1"/>
  <c r="C11" i="30"/>
  <c r="H13" i="30"/>
  <c r="D16" i="30"/>
  <c r="C18" i="30"/>
  <c r="J19" i="30"/>
  <c r="H21" i="30"/>
  <c r="F23" i="30"/>
  <c r="D25" i="30"/>
  <c r="I28" i="30"/>
  <c r="G30" i="30"/>
  <c r="E32" i="30"/>
  <c r="C34" i="30"/>
  <c r="F39" i="30"/>
  <c r="B43" i="30"/>
  <c r="E48" i="30"/>
  <c r="H53" i="30"/>
  <c r="I60" i="30"/>
  <c r="J67" i="30"/>
  <c r="D73" i="30"/>
  <c r="E16" i="30"/>
  <c r="F48" i="30"/>
  <c r="J60" i="30"/>
  <c r="I69" i="30"/>
  <c r="C75" i="30"/>
  <c r="I68" i="30"/>
  <c r="C19" i="30"/>
  <c r="F40" i="30"/>
  <c r="B60" i="30"/>
  <c r="D9" i="30"/>
  <c r="D6" i="30" s="1"/>
  <c r="I11" i="30"/>
  <c r="D18" i="30"/>
  <c r="B20" i="30"/>
  <c r="G23" i="30"/>
  <c r="C27" i="30"/>
  <c r="H30" i="30"/>
  <c r="G39" i="30"/>
  <c r="B52" i="30"/>
  <c r="B68" i="30"/>
  <c r="I20" i="30"/>
  <c r="J59" i="30"/>
  <c r="E15" i="30"/>
  <c r="F24" i="30"/>
  <c r="E33" i="30"/>
  <c r="B44" i="30"/>
  <c r="J52" i="30"/>
  <c r="E65" i="30"/>
  <c r="B76" i="30"/>
  <c r="E9" i="30"/>
  <c r="E6" i="30" s="1"/>
  <c r="J11" i="30"/>
  <c r="F14" i="30"/>
  <c r="F16" i="30"/>
  <c r="I18" i="30"/>
  <c r="G20" i="30"/>
  <c r="E22" i="30"/>
  <c r="C24" i="30"/>
  <c r="J25" i="30"/>
  <c r="H27" i="30"/>
  <c r="F29" i="30"/>
  <c r="D31" i="30"/>
  <c r="B33" i="30"/>
  <c r="I34" i="30"/>
  <c r="G36" i="30"/>
  <c r="E38" i="30"/>
  <c r="C40" i="30"/>
  <c r="J41" i="30"/>
  <c r="H43" i="30"/>
  <c r="F45" i="30"/>
  <c r="D47" i="30"/>
  <c r="B49" i="30"/>
  <c r="I50" i="30"/>
  <c r="G52" i="30"/>
  <c r="E54" i="30"/>
  <c r="C56" i="30"/>
  <c r="J57" i="30"/>
  <c r="H59" i="30"/>
  <c r="F61" i="30"/>
  <c r="D63" i="30"/>
  <c r="B65" i="30"/>
  <c r="I66" i="30"/>
  <c r="G68" i="30"/>
  <c r="E70" i="30"/>
  <c r="C72" i="30"/>
  <c r="J73" i="30"/>
  <c r="H75" i="30"/>
  <c r="F77" i="30"/>
  <c r="H12" i="30"/>
  <c r="B19" i="30"/>
  <c r="E24" i="30"/>
  <c r="J27" i="30"/>
  <c r="B35" i="30"/>
  <c r="E40" i="30"/>
  <c r="H45" i="30"/>
  <c r="D49" i="30"/>
  <c r="E56" i="30"/>
  <c r="F63" i="30"/>
  <c r="G70" i="30"/>
  <c r="D8" i="30"/>
  <c r="E17" i="30"/>
  <c r="H22" i="30"/>
  <c r="G31" i="30"/>
  <c r="C35" i="30"/>
  <c r="D42" i="30"/>
  <c r="G47" i="30"/>
  <c r="H54" i="30"/>
  <c r="I61" i="30"/>
  <c r="J68" i="30"/>
  <c r="I77" i="30"/>
  <c r="B10" i="30"/>
  <c r="B12" i="30"/>
  <c r="G14" i="30"/>
  <c r="C17" i="30"/>
  <c r="J18" i="30"/>
  <c r="H20" i="30"/>
  <c r="F22" i="30"/>
  <c r="D24" i="30"/>
  <c r="B26" i="30"/>
  <c r="I27" i="30"/>
  <c r="G29" i="30"/>
  <c r="E31" i="30"/>
  <c r="C33" i="30"/>
  <c r="J34" i="30"/>
  <c r="H36" i="30"/>
  <c r="F38" i="30"/>
  <c r="D40" i="30"/>
  <c r="B42" i="30"/>
  <c r="I43" i="30"/>
  <c r="G45" i="30"/>
  <c r="E47" i="30"/>
  <c r="C49" i="30"/>
  <c r="J50" i="30"/>
  <c r="H52" i="30"/>
  <c r="F54" i="30"/>
  <c r="D56" i="30"/>
  <c r="B58" i="30"/>
  <c r="I59" i="30"/>
  <c r="G61" i="30"/>
  <c r="E63" i="30"/>
  <c r="C65" i="30"/>
  <c r="J66" i="30"/>
  <c r="H68" i="30"/>
  <c r="F70" i="30"/>
  <c r="D72" i="30"/>
  <c r="B74" i="30"/>
  <c r="I75" i="30"/>
  <c r="G77" i="30"/>
  <c r="C10" i="30"/>
  <c r="D17" i="30"/>
  <c r="G22" i="30"/>
  <c r="C26" i="30"/>
  <c r="D33" i="30"/>
  <c r="G38" i="30"/>
  <c r="J43" i="30"/>
  <c r="B51" i="30"/>
  <c r="H61" i="30"/>
  <c r="C74" i="30"/>
  <c r="B28" i="30"/>
  <c r="F56" i="30"/>
  <c r="H70" i="30"/>
  <c r="G8" i="28"/>
  <c r="AT6" i="21"/>
  <c r="AT113" i="21"/>
  <c r="AS120" i="21"/>
  <c r="AV119" i="21"/>
  <c r="AV121" i="21"/>
  <c r="AS113" i="21"/>
  <c r="AS122" i="21"/>
  <c r="AU119" i="21"/>
  <c r="AU124" i="21"/>
  <c r="AT124" i="21"/>
  <c r="AS124" i="21"/>
  <c r="AU125" i="21"/>
  <c r="AS6" i="21"/>
  <c r="AV113" i="21"/>
  <c r="AT121" i="21"/>
  <c r="AS121" i="21"/>
  <c r="AT122" i="21"/>
  <c r="AT116" i="21"/>
  <c r="AU121" i="21"/>
  <c r="AS114" i="21"/>
  <c r="AT114" i="21"/>
  <c r="AU120" i="21"/>
  <c r="AT123" i="21"/>
  <c r="AS116" i="21"/>
  <c r="AU123" i="21"/>
  <c r="AU116" i="21"/>
  <c r="AU115" i="21"/>
  <c r="AT119" i="21"/>
  <c r="AT120" i="21"/>
  <c r="AU114" i="21"/>
  <c r="AV123" i="21"/>
  <c r="AV125" i="21"/>
  <c r="AV114" i="21"/>
  <c r="AT118" i="21"/>
  <c r="AS123" i="21"/>
  <c r="AV115" i="21"/>
  <c r="AT115" i="21"/>
  <c r="AV117" i="21"/>
  <c r="AU118" i="21"/>
  <c r="AT117" i="21"/>
  <c r="AV118" i="21"/>
  <c r="AU122" i="21"/>
  <c r="AV116" i="21"/>
  <c r="AV124" i="21"/>
  <c r="AU117" i="21"/>
  <c r="AS115" i="21"/>
  <c r="AS118" i="21"/>
  <c r="AS119" i="21"/>
  <c r="AU113" i="21"/>
  <c r="AT125" i="21"/>
  <c r="AV122" i="21"/>
  <c r="AV120" i="21"/>
  <c r="AS117" i="21"/>
  <c r="AU6" i="21"/>
  <c r="AS125" i="21"/>
  <c r="AZ6" i="21" l="1"/>
  <c r="G7" i="28"/>
  <c r="I20" i="20" a="1"/>
  <c r="I1516" i="20"/>
  <c r="I1449" i="20"/>
  <c r="I1383" i="20"/>
  <c r="I1312" i="20"/>
  <c r="I1245" i="20"/>
  <c r="I1063" i="20"/>
  <c r="I673" i="20"/>
  <c r="I94" i="20"/>
  <c r="I1515" i="20"/>
  <c r="I1448" i="20"/>
  <c r="I1377" i="20"/>
  <c r="I1311" i="20"/>
  <c r="I1244" i="20"/>
  <c r="I1173" i="20"/>
  <c r="I1043" i="20"/>
  <c r="I855" i="20"/>
  <c r="I641" i="20"/>
  <c r="I350" i="20"/>
  <c r="I52" i="20"/>
  <c r="I1501" i="20"/>
  <c r="I1431" i="20"/>
  <c r="I1364" i="20"/>
  <c r="I1297" i="20"/>
  <c r="I1227" i="20"/>
  <c r="I1157" i="20"/>
  <c r="I1017" i="20"/>
  <c r="I828" i="20"/>
  <c r="I606" i="20"/>
  <c r="I313" i="20"/>
  <c r="I1500" i="20"/>
  <c r="I1429" i="20"/>
  <c r="I1363" i="20"/>
  <c r="I1292" i="20"/>
  <c r="I1225" i="20"/>
  <c r="I1156" i="20"/>
  <c r="I998" i="20"/>
  <c r="I809" i="20"/>
  <c r="I569" i="20"/>
  <c r="I276" i="20"/>
  <c r="I1175" i="20"/>
  <c r="I1483" i="20"/>
  <c r="I1416" i="20"/>
  <c r="I1279" i="20"/>
  <c r="I1212" i="20"/>
  <c r="I1135" i="20"/>
  <c r="I971" i="20"/>
  <c r="I783" i="20"/>
  <c r="I532" i="20"/>
  <c r="I240" i="20"/>
  <c r="I1481" i="20"/>
  <c r="I1415" i="20"/>
  <c r="I1344" i="20"/>
  <c r="I1277" i="20"/>
  <c r="I1207" i="20"/>
  <c r="I1131" i="20"/>
  <c r="I946" i="20"/>
  <c r="I761" i="20"/>
  <c r="I496" i="20"/>
  <c r="I203" i="20"/>
  <c r="I880" i="20"/>
  <c r="I1468" i="20"/>
  <c r="I1397" i="20"/>
  <c r="I1331" i="20"/>
  <c r="I1260" i="20"/>
  <c r="I1193" i="20"/>
  <c r="I1113" i="20"/>
  <c r="I926" i="20"/>
  <c r="I729" i="20"/>
  <c r="I459" i="20"/>
  <c r="I167" i="20"/>
  <c r="I386" i="20"/>
  <c r="I1345" i="20"/>
  <c r="I1463" i="20"/>
  <c r="I1396" i="20"/>
  <c r="I1329" i="20"/>
  <c r="I1259" i="20"/>
  <c r="I1192" i="20"/>
  <c r="I1089" i="20"/>
  <c r="I900" i="20"/>
  <c r="I697" i="20"/>
  <c r="I423" i="20"/>
  <c r="I130" i="20"/>
  <c r="I1086" i="20"/>
  <c r="I1040" i="20"/>
  <c r="I970" i="20"/>
  <c r="I924" i="20"/>
  <c r="I852" i="20"/>
  <c r="I807" i="20"/>
  <c r="I782" i="20"/>
  <c r="I728" i="20"/>
  <c r="I638" i="20"/>
  <c r="I531" i="20"/>
  <c r="I458" i="20"/>
  <c r="I348" i="20"/>
  <c r="I239" i="20"/>
  <c r="I166" i="20"/>
  <c r="I51" i="20"/>
  <c r="I1495" i="20"/>
  <c r="I1447" i="20"/>
  <c r="I1395" i="20"/>
  <c r="I1343" i="20"/>
  <c r="I1291" i="20"/>
  <c r="I1239" i="20"/>
  <c r="I1191" i="20"/>
  <c r="I1130" i="20"/>
  <c r="I1034" i="20"/>
  <c r="I967" i="20"/>
  <c r="I897" i="20"/>
  <c r="I779" i="20"/>
  <c r="I636" i="20"/>
  <c r="I491" i="20"/>
  <c r="I382" i="20"/>
  <c r="I272" i="20"/>
  <c r="I162" i="20"/>
  <c r="I47" i="20"/>
  <c r="I1512" i="20"/>
  <c r="I1493" i="20"/>
  <c r="I1479" i="20"/>
  <c r="I1460" i="20"/>
  <c r="I1441" i="20"/>
  <c r="I1427" i="20"/>
  <c r="I1408" i="20"/>
  <c r="I1393" i="20"/>
  <c r="I1375" i="20"/>
  <c r="I1356" i="20"/>
  <c r="I1323" i="20"/>
  <c r="I1308" i="20"/>
  <c r="I1271" i="20"/>
  <c r="I1256" i="20"/>
  <c r="I1237" i="20"/>
  <c r="I1223" i="20"/>
  <c r="I1204" i="20"/>
  <c r="I1185" i="20"/>
  <c r="I1171" i="20"/>
  <c r="I1148" i="20"/>
  <c r="I1129" i="20"/>
  <c r="I1103" i="20"/>
  <c r="I1076" i="20"/>
  <c r="I1057" i="20"/>
  <c r="I1031" i="20"/>
  <c r="I1011" i="20"/>
  <c r="I985" i="20"/>
  <c r="I961" i="20"/>
  <c r="I939" i="20"/>
  <c r="I915" i="20"/>
  <c r="I894" i="20"/>
  <c r="I870" i="20"/>
  <c r="I843" i="20"/>
  <c r="I824" i="20"/>
  <c r="I798" i="20"/>
  <c r="I778" i="20"/>
  <c r="I747" i="20"/>
  <c r="I715" i="20"/>
  <c r="I691" i="20"/>
  <c r="I659" i="20"/>
  <c r="I633" i="20"/>
  <c r="I600" i="20"/>
  <c r="I563" i="20"/>
  <c r="I527" i="20"/>
  <c r="I490" i="20"/>
  <c r="I454" i="20"/>
  <c r="I417" i="20"/>
  <c r="I380" i="20"/>
  <c r="I344" i="20"/>
  <c r="I307" i="20"/>
  <c r="I271" i="20"/>
  <c r="I234" i="20"/>
  <c r="I198" i="20"/>
  <c r="I161" i="20"/>
  <c r="I124" i="20"/>
  <c r="I88" i="20"/>
  <c r="I46" i="20"/>
  <c r="I1511" i="20"/>
  <c r="I1492" i="20"/>
  <c r="I1473" i="20"/>
  <c r="I1459" i="20"/>
  <c r="I1440" i="20"/>
  <c r="I1425" i="20"/>
  <c r="I1407" i="20"/>
  <c r="I1388" i="20"/>
  <c r="I1373" i="20"/>
  <c r="I1355" i="20"/>
  <c r="I1340" i="20"/>
  <c r="I1321" i="20"/>
  <c r="I1303" i="20"/>
  <c r="I1288" i="20"/>
  <c r="I1269" i="20"/>
  <c r="I1255" i="20"/>
  <c r="I1236" i="20"/>
  <c r="I1217" i="20"/>
  <c r="I1203" i="20"/>
  <c r="I1184" i="20"/>
  <c r="I1169" i="20"/>
  <c r="I1147" i="20"/>
  <c r="I1121" i="20"/>
  <c r="I1102" i="20"/>
  <c r="I1075" i="20"/>
  <c r="I1056" i="20"/>
  <c r="I1030" i="20"/>
  <c r="I1003" i="20"/>
  <c r="I984" i="20"/>
  <c r="I958" i="20"/>
  <c r="I938" i="20"/>
  <c r="I912" i="20"/>
  <c r="I888" i="20"/>
  <c r="I866" i="20"/>
  <c r="I842" i="20"/>
  <c r="I820" i="20"/>
  <c r="I796" i="20"/>
  <c r="I770" i="20"/>
  <c r="I746" i="20"/>
  <c r="I714" i="20"/>
  <c r="I688" i="20"/>
  <c r="I656" i="20"/>
  <c r="I624" i="20"/>
  <c r="I587" i="20"/>
  <c r="I551" i="20"/>
  <c r="I514" i="20"/>
  <c r="I478" i="20"/>
  <c r="I441" i="20"/>
  <c r="I404" i="20"/>
  <c r="I368" i="20"/>
  <c r="I331" i="20"/>
  <c r="I295" i="20"/>
  <c r="I258" i="20"/>
  <c r="I222" i="20"/>
  <c r="I185" i="20"/>
  <c r="I148" i="20"/>
  <c r="I112" i="20"/>
  <c r="I73" i="20"/>
  <c r="I31" i="20"/>
  <c r="I1505" i="20"/>
  <c r="I1491" i="20"/>
  <c r="I1472" i="20"/>
  <c r="I1457" i="20"/>
  <c r="I1439" i="20"/>
  <c r="I1420" i="20"/>
  <c r="I1405" i="20"/>
  <c r="I1387" i="20"/>
  <c r="I1372" i="20"/>
  <c r="I1353" i="20"/>
  <c r="I1335" i="20"/>
  <c r="I1320" i="20"/>
  <c r="I1301" i="20"/>
  <c r="I1287" i="20"/>
  <c r="I1268" i="20"/>
  <c r="I1249" i="20"/>
  <c r="I1235" i="20"/>
  <c r="I1216" i="20"/>
  <c r="I1201" i="20"/>
  <c r="I1183" i="20"/>
  <c r="I1163" i="20"/>
  <c r="I1145" i="20"/>
  <c r="I1120" i="20"/>
  <c r="I1099" i="20"/>
  <c r="I1074" i="20"/>
  <c r="I1048" i="20"/>
  <c r="I1028" i="20"/>
  <c r="I1002" i="20"/>
  <c r="I983" i="20"/>
  <c r="I956" i="20"/>
  <c r="I930" i="20"/>
  <c r="I911" i="20"/>
  <c r="I884" i="20"/>
  <c r="I865" i="20"/>
  <c r="I839" i="20"/>
  <c r="I815" i="20"/>
  <c r="I793" i="20"/>
  <c r="I769" i="20"/>
  <c r="I743" i="20"/>
  <c r="I711" i="20"/>
  <c r="I679" i="20"/>
  <c r="I655" i="20"/>
  <c r="I623" i="20"/>
  <c r="I586" i="20"/>
  <c r="I550" i="20"/>
  <c r="I513" i="20"/>
  <c r="I476" i="20"/>
  <c r="I440" i="20"/>
  <c r="I403" i="20"/>
  <c r="I367" i="20"/>
  <c r="I330" i="20"/>
  <c r="I294" i="20"/>
  <c r="I257" i="20"/>
  <c r="I220" i="20"/>
  <c r="I184" i="20"/>
  <c r="I147" i="20"/>
  <c r="I111" i="20"/>
  <c r="I72" i="20"/>
  <c r="I30" i="20"/>
  <c r="I1016" i="20"/>
  <c r="I873" i="20"/>
  <c r="I696" i="20"/>
  <c r="I568" i="20"/>
  <c r="I422" i="20"/>
  <c r="I275" i="20"/>
  <c r="I129" i="20"/>
  <c r="I1480" i="20"/>
  <c r="I1428" i="20"/>
  <c r="I1376" i="20"/>
  <c r="I1324" i="20"/>
  <c r="I1276" i="20"/>
  <c r="I1224" i="20"/>
  <c r="I1172" i="20"/>
  <c r="I1104" i="20"/>
  <c r="I1058" i="20"/>
  <c r="I1012" i="20"/>
  <c r="I943" i="20"/>
  <c r="I871" i="20"/>
  <c r="I825" i="20"/>
  <c r="I751" i="20"/>
  <c r="I692" i="20"/>
  <c r="I601" i="20"/>
  <c r="I528" i="20"/>
  <c r="I418" i="20"/>
  <c r="I308" i="20"/>
  <c r="I199" i="20"/>
  <c r="I89" i="20"/>
  <c r="I1289" i="20"/>
  <c r="I1504" i="20"/>
  <c r="I1489" i="20"/>
  <c r="I1471" i="20"/>
  <c r="I1452" i="20"/>
  <c r="I1437" i="20"/>
  <c r="I1419" i="20"/>
  <c r="I1404" i="20"/>
  <c r="I1385" i="20"/>
  <c r="I1367" i="20"/>
  <c r="I1352" i="20"/>
  <c r="I1333" i="20"/>
  <c r="I1319" i="20"/>
  <c r="I1300" i="20"/>
  <c r="I1281" i="20"/>
  <c r="I1267" i="20"/>
  <c r="I1248" i="20"/>
  <c r="I1233" i="20"/>
  <c r="I1215" i="20"/>
  <c r="I1196" i="20"/>
  <c r="I1181" i="20"/>
  <c r="I1161" i="20"/>
  <c r="I1144" i="20"/>
  <c r="I1118" i="20"/>
  <c r="I1092" i="20"/>
  <c r="I1072" i="20"/>
  <c r="I1047" i="20"/>
  <c r="I1026" i="20"/>
  <c r="I1001" i="20"/>
  <c r="I975" i="20"/>
  <c r="I955" i="20"/>
  <c r="I929" i="20"/>
  <c r="I910" i="20"/>
  <c r="I883" i="20"/>
  <c r="I857" i="20"/>
  <c r="I838" i="20"/>
  <c r="I811" i="20"/>
  <c r="I792" i="20"/>
  <c r="I766" i="20"/>
  <c r="I734" i="20"/>
  <c r="I710" i="20"/>
  <c r="I678" i="20"/>
  <c r="I651" i="20"/>
  <c r="I619" i="20"/>
  <c r="I583" i="20"/>
  <c r="I546" i="20"/>
  <c r="I510" i="20"/>
  <c r="I473" i="20"/>
  <c r="I436" i="20"/>
  <c r="I400" i="20"/>
  <c r="I363" i="20"/>
  <c r="I327" i="20"/>
  <c r="I290" i="20"/>
  <c r="I254" i="20"/>
  <c r="I217" i="20"/>
  <c r="I180" i="20"/>
  <c r="I144" i="20"/>
  <c r="I107" i="20"/>
  <c r="I67" i="20"/>
  <c r="I26" i="20"/>
  <c r="I1107" i="20"/>
  <c r="I1062" i="20"/>
  <c r="I990" i="20"/>
  <c r="I944" i="20"/>
  <c r="I898" i="20"/>
  <c r="I827" i="20"/>
  <c r="I752" i="20"/>
  <c r="I670" i="20"/>
  <c r="I604" i="20"/>
  <c r="I495" i="20"/>
  <c r="I385" i="20"/>
  <c r="I312" i="20"/>
  <c r="I202" i="20"/>
  <c r="I92" i="20"/>
  <c r="I1513" i="20"/>
  <c r="I1461" i="20"/>
  <c r="I1409" i="20"/>
  <c r="I1361" i="20"/>
  <c r="I1309" i="20"/>
  <c r="I1257" i="20"/>
  <c r="I1205" i="20"/>
  <c r="I1149" i="20"/>
  <c r="I1084" i="20"/>
  <c r="I988" i="20"/>
  <c r="I916" i="20"/>
  <c r="I851" i="20"/>
  <c r="I800" i="20"/>
  <c r="I724" i="20"/>
  <c r="I660" i="20"/>
  <c r="I564" i="20"/>
  <c r="I455" i="20"/>
  <c r="I345" i="20"/>
  <c r="I235" i="20"/>
  <c r="I126" i="20"/>
  <c r="I1341" i="20"/>
  <c r="I1503" i="20"/>
  <c r="I1484" i="20"/>
  <c r="I1469" i="20"/>
  <c r="I1451" i="20"/>
  <c r="I1436" i="20"/>
  <c r="I1417" i="20"/>
  <c r="I1399" i="20"/>
  <c r="I1384" i="20"/>
  <c r="I1365" i="20"/>
  <c r="I1351" i="20"/>
  <c r="I1332" i="20"/>
  <c r="I1313" i="20"/>
  <c r="I1299" i="20"/>
  <c r="I1280" i="20"/>
  <c r="I1265" i="20"/>
  <c r="I1247" i="20"/>
  <c r="I1228" i="20"/>
  <c r="I1213" i="20"/>
  <c r="I1195" i="20"/>
  <c r="I1180" i="20"/>
  <c r="I1160" i="20"/>
  <c r="I1136" i="20"/>
  <c r="I1116" i="20"/>
  <c r="I1090" i="20"/>
  <c r="I1071" i="20"/>
  <c r="I1044" i="20"/>
  <c r="I1019" i="20"/>
  <c r="I999" i="20"/>
  <c r="I974" i="20"/>
  <c r="I953" i="20"/>
  <c r="I928" i="20"/>
  <c r="I902" i="20"/>
  <c r="I882" i="20"/>
  <c r="I856" i="20"/>
  <c r="I836" i="20"/>
  <c r="I810" i="20"/>
  <c r="I784" i="20"/>
  <c r="I764" i="20"/>
  <c r="I732" i="20"/>
  <c r="I706" i="20"/>
  <c r="I674" i="20"/>
  <c r="I642" i="20"/>
  <c r="I618" i="20"/>
  <c r="I582" i="20"/>
  <c r="I545" i="20"/>
  <c r="I508" i="20"/>
  <c r="I472" i="20"/>
  <c r="I435" i="20"/>
  <c r="I399" i="20"/>
  <c r="I362" i="20"/>
  <c r="I326" i="20"/>
  <c r="I289" i="20"/>
  <c r="I252" i="20"/>
  <c r="I216" i="20"/>
  <c r="I179" i="20"/>
  <c r="I143" i="20"/>
  <c r="I106" i="20"/>
  <c r="I66" i="20"/>
  <c r="I25" i="20"/>
  <c r="I615" i="20"/>
  <c r="I596" i="20"/>
  <c r="I578" i="20"/>
  <c r="I560" i="20"/>
  <c r="I542" i="20"/>
  <c r="I523" i="20"/>
  <c r="I505" i="20"/>
  <c r="I487" i="20"/>
  <c r="I468" i="20"/>
  <c r="I450" i="20"/>
  <c r="I432" i="20"/>
  <c r="I414" i="20"/>
  <c r="I395" i="20"/>
  <c r="I377" i="20"/>
  <c r="I359" i="20"/>
  <c r="I340" i="20"/>
  <c r="I322" i="20"/>
  <c r="I304" i="20"/>
  <c r="I286" i="20"/>
  <c r="I267" i="20"/>
  <c r="I249" i="20"/>
  <c r="I231" i="20"/>
  <c r="I212" i="20"/>
  <c r="I194" i="20"/>
  <c r="I176" i="20"/>
  <c r="I158" i="20"/>
  <c r="I139" i="20"/>
  <c r="I121" i="20"/>
  <c r="I103" i="20"/>
  <c r="I83" i="20"/>
  <c r="I63" i="20"/>
  <c r="I42" i="20"/>
  <c r="I20" i="20"/>
  <c r="I1509" i="20"/>
  <c r="I1499" i="20"/>
  <c r="I1488" i="20"/>
  <c r="I1477" i="20"/>
  <c r="I1467" i="20"/>
  <c r="I1456" i="20"/>
  <c r="I1445" i="20"/>
  <c r="I1435" i="20"/>
  <c r="I1424" i="20"/>
  <c r="I1413" i="20"/>
  <c r="I1403" i="20"/>
  <c r="I1392" i="20"/>
  <c r="I1381" i="20"/>
  <c r="I1371" i="20"/>
  <c r="I1360" i="20"/>
  <c r="I1349" i="20"/>
  <c r="I1339" i="20"/>
  <c r="I1328" i="20"/>
  <c r="I1317" i="20"/>
  <c r="I1307" i="20"/>
  <c r="I1296" i="20"/>
  <c r="I1285" i="20"/>
  <c r="I1275" i="20"/>
  <c r="I1264" i="20"/>
  <c r="I1253" i="20"/>
  <c r="I1243" i="20"/>
  <c r="I1232" i="20"/>
  <c r="I1221" i="20"/>
  <c r="I1211" i="20"/>
  <c r="I1200" i="20"/>
  <c r="I1189" i="20"/>
  <c r="I1179" i="20"/>
  <c r="I1168" i="20"/>
  <c r="I1155" i="20"/>
  <c r="I1140" i="20"/>
  <c r="I1127" i="20"/>
  <c r="I1112" i="20"/>
  <c r="I1098" i="20"/>
  <c r="I1083" i="20"/>
  <c r="I1067" i="20"/>
  <c r="I1054" i="20"/>
  <c r="I1039" i="20"/>
  <c r="I1025" i="20"/>
  <c r="I1010" i="20"/>
  <c r="I994" i="20"/>
  <c r="I980" i="20"/>
  <c r="I966" i="20"/>
  <c r="I952" i="20"/>
  <c r="I937" i="20"/>
  <c r="I921" i="20"/>
  <c r="I907" i="20"/>
  <c r="I892" i="20"/>
  <c r="I879" i="20"/>
  <c r="I864" i="20"/>
  <c r="I848" i="20"/>
  <c r="I834" i="20"/>
  <c r="I819" i="20"/>
  <c r="I806" i="20"/>
  <c r="I791" i="20"/>
  <c r="I775" i="20"/>
  <c r="I760" i="20"/>
  <c r="I742" i="20"/>
  <c r="I723" i="20"/>
  <c r="I705" i="20"/>
  <c r="I687" i="20"/>
  <c r="I668" i="20"/>
  <c r="I650" i="20"/>
  <c r="I632" i="20"/>
  <c r="I614" i="20"/>
  <c r="I595" i="20"/>
  <c r="I577" i="20"/>
  <c r="I559" i="20"/>
  <c r="I540" i="20"/>
  <c r="I522" i="20"/>
  <c r="I504" i="20"/>
  <c r="I486" i="20"/>
  <c r="I467" i="20"/>
  <c r="I449" i="20"/>
  <c r="I431" i="20"/>
  <c r="I412" i="20"/>
  <c r="I394" i="20"/>
  <c r="I376" i="20"/>
  <c r="I358" i="20"/>
  <c r="I339" i="20"/>
  <c r="I321" i="20"/>
  <c r="I303" i="20"/>
  <c r="I284" i="20"/>
  <c r="I266" i="20"/>
  <c r="I248" i="20"/>
  <c r="I230" i="20"/>
  <c r="I211" i="20"/>
  <c r="I193" i="20"/>
  <c r="I175" i="20"/>
  <c r="I156" i="20"/>
  <c r="I138" i="20"/>
  <c r="I120" i="20"/>
  <c r="I102" i="20"/>
  <c r="I82" i="20"/>
  <c r="I62" i="20"/>
  <c r="I40" i="20"/>
  <c r="I1519" i="20"/>
  <c r="I1508" i="20"/>
  <c r="I1497" i="20"/>
  <c r="I1487" i="20"/>
  <c r="I1476" i="20"/>
  <c r="I1465" i="20"/>
  <c r="I1455" i="20"/>
  <c r="I1444" i="20"/>
  <c r="I1433" i="20"/>
  <c r="I1423" i="20"/>
  <c r="I1412" i="20"/>
  <c r="I1401" i="20"/>
  <c r="I1391" i="20"/>
  <c r="I1380" i="20"/>
  <c r="I1369" i="20"/>
  <c r="I1359" i="20"/>
  <c r="I1348" i="20"/>
  <c r="I1337" i="20"/>
  <c r="I1327" i="20"/>
  <c r="I1316" i="20"/>
  <c r="I1305" i="20"/>
  <c r="I1295" i="20"/>
  <c r="I1284" i="20"/>
  <c r="I1273" i="20"/>
  <c r="I1263" i="20"/>
  <c r="I1252" i="20"/>
  <c r="I1241" i="20"/>
  <c r="I1231" i="20"/>
  <c r="I1220" i="20"/>
  <c r="I1209" i="20"/>
  <c r="I1199" i="20"/>
  <c r="I1188" i="20"/>
  <c r="I1177" i="20"/>
  <c r="I1165" i="20"/>
  <c r="I1153" i="20"/>
  <c r="I1139" i="20"/>
  <c r="I1126" i="20"/>
  <c r="I1111" i="20"/>
  <c r="I1095" i="20"/>
  <c r="I1081" i="20"/>
  <c r="I1066" i="20"/>
  <c r="I1052" i="20"/>
  <c r="I1038" i="20"/>
  <c r="I1022" i="20"/>
  <c r="I1008" i="20"/>
  <c r="I993" i="20"/>
  <c r="I979" i="20"/>
  <c r="I964" i="20"/>
  <c r="I948" i="20"/>
  <c r="I935" i="20"/>
  <c r="I920" i="20"/>
  <c r="I906" i="20"/>
  <c r="I891" i="20"/>
  <c r="I875" i="20"/>
  <c r="I862" i="20"/>
  <c r="I847" i="20"/>
  <c r="I833" i="20"/>
  <c r="I818" i="20"/>
  <c r="I802" i="20"/>
  <c r="I788" i="20"/>
  <c r="I774" i="20"/>
  <c r="I756" i="20"/>
  <c r="I738" i="20"/>
  <c r="I720" i="20"/>
  <c r="I702" i="20"/>
  <c r="I683" i="20"/>
  <c r="I665" i="20"/>
  <c r="I647" i="20"/>
  <c r="I628" i="20"/>
  <c r="I610" i="20"/>
  <c r="I592" i="20"/>
  <c r="I574" i="20"/>
  <c r="I555" i="20"/>
  <c r="I537" i="20"/>
  <c r="I519" i="20"/>
  <c r="I500" i="20"/>
  <c r="I482" i="20"/>
  <c r="I464" i="20"/>
  <c r="I446" i="20"/>
  <c r="I427" i="20"/>
  <c r="I409" i="20"/>
  <c r="I391" i="20"/>
  <c r="I372" i="20"/>
  <c r="I354" i="20"/>
  <c r="I336" i="20"/>
  <c r="I318" i="20"/>
  <c r="I299" i="20"/>
  <c r="I281" i="20"/>
  <c r="I263" i="20"/>
  <c r="I244" i="20"/>
  <c r="I226" i="20"/>
  <c r="I208" i="20"/>
  <c r="I190" i="20"/>
  <c r="I171" i="20"/>
  <c r="I153" i="20"/>
  <c r="I135" i="20"/>
  <c r="I116" i="20"/>
  <c r="I98" i="20"/>
  <c r="I79" i="20"/>
  <c r="I57" i="20"/>
  <c r="I36" i="20"/>
  <c r="I1517" i="20"/>
  <c r="I1507" i="20"/>
  <c r="I1496" i="20"/>
  <c r="I1485" i="20"/>
  <c r="I1475" i="20"/>
  <c r="I1464" i="20"/>
  <c r="I1453" i="20"/>
  <c r="I1443" i="20"/>
  <c r="I1432" i="20"/>
  <c r="I1421" i="20"/>
  <c r="I1411" i="20"/>
  <c r="I1400" i="20"/>
  <c r="I1389" i="20"/>
  <c r="I1379" i="20"/>
  <c r="I1368" i="20"/>
  <c r="I1357" i="20"/>
  <c r="I1347" i="20"/>
  <c r="I1336" i="20"/>
  <c r="I1325" i="20"/>
  <c r="I1315" i="20"/>
  <c r="I1304" i="20"/>
  <c r="I1293" i="20"/>
  <c r="I1283" i="20"/>
  <c r="I1272" i="20"/>
  <c r="I1261" i="20"/>
  <c r="I1251" i="20"/>
  <c r="I1240" i="20"/>
  <c r="I1229" i="20"/>
  <c r="I1219" i="20"/>
  <c r="I1208" i="20"/>
  <c r="I1197" i="20"/>
  <c r="I1187" i="20"/>
  <c r="I1176" i="20"/>
  <c r="I1164" i="20"/>
  <c r="I1152" i="20"/>
  <c r="I1138" i="20"/>
  <c r="I1122" i="20"/>
  <c r="I1108" i="20"/>
  <c r="I1094" i="20"/>
  <c r="I1080" i="20"/>
  <c r="I1065" i="20"/>
  <c r="I1049" i="20"/>
  <c r="I1035" i="20"/>
  <c r="I1020" i="20"/>
  <c r="I1007" i="20"/>
  <c r="I992" i="20"/>
  <c r="I976" i="20"/>
  <c r="I962" i="20"/>
  <c r="I947" i="20"/>
  <c r="I934" i="20"/>
  <c r="I919" i="20"/>
  <c r="I903" i="20"/>
  <c r="I889" i="20"/>
  <c r="I874" i="20"/>
  <c r="I860" i="20"/>
  <c r="I846" i="20"/>
  <c r="I830" i="20"/>
  <c r="I816" i="20"/>
  <c r="I801" i="20"/>
  <c r="I787" i="20"/>
  <c r="I772" i="20"/>
  <c r="I755" i="20"/>
  <c r="I737" i="20"/>
  <c r="I719" i="20"/>
  <c r="I700" i="20"/>
  <c r="I682" i="20"/>
  <c r="I664" i="20"/>
  <c r="I646" i="20"/>
  <c r="I627" i="20"/>
  <c r="I609" i="20"/>
  <c r="I591" i="20"/>
  <c r="I572" i="20"/>
  <c r="I554" i="20"/>
  <c r="I536" i="20"/>
  <c r="I518" i="20"/>
  <c r="I499" i="20"/>
  <c r="I481" i="20"/>
  <c r="I463" i="20"/>
  <c r="I444" i="20"/>
  <c r="I426" i="20"/>
  <c r="I408" i="20"/>
  <c r="I390" i="20"/>
  <c r="I371" i="20"/>
  <c r="I353" i="20"/>
  <c r="I335" i="20"/>
  <c r="I316" i="20"/>
  <c r="I298" i="20"/>
  <c r="I280" i="20"/>
  <c r="I262" i="20"/>
  <c r="I243" i="20"/>
  <c r="I225" i="20"/>
  <c r="I207" i="20"/>
  <c r="I188" i="20"/>
  <c r="I170" i="20"/>
  <c r="I152" i="20"/>
  <c r="I134" i="20"/>
  <c r="I115" i="20"/>
  <c r="I97" i="20"/>
  <c r="I76" i="20"/>
  <c r="I56" i="20"/>
  <c r="I35" i="20"/>
  <c r="I1167" i="20"/>
  <c r="I1159" i="20"/>
  <c r="I1151" i="20"/>
  <c r="I1143" i="20"/>
  <c r="I1134" i="20"/>
  <c r="I1124" i="20"/>
  <c r="I1115" i="20"/>
  <c r="I1106" i="20"/>
  <c r="I1097" i="20"/>
  <c r="I1088" i="20"/>
  <c r="I1079" i="20"/>
  <c r="I1070" i="20"/>
  <c r="I1060" i="20"/>
  <c r="I1051" i="20"/>
  <c r="I1042" i="20"/>
  <c r="I1033" i="20"/>
  <c r="I1024" i="20"/>
  <c r="I1015" i="20"/>
  <c r="I1006" i="20"/>
  <c r="I996" i="20"/>
  <c r="I987" i="20"/>
  <c r="I978" i="20"/>
  <c r="I969" i="20"/>
  <c r="I960" i="20"/>
  <c r="I951" i="20"/>
  <c r="I942" i="20"/>
  <c r="I932" i="20"/>
  <c r="I923" i="20"/>
  <c r="I914" i="20"/>
  <c r="I905" i="20"/>
  <c r="I896" i="20"/>
  <c r="I887" i="20"/>
  <c r="I878" i="20"/>
  <c r="I868" i="20"/>
  <c r="I859" i="20"/>
  <c r="I850" i="20"/>
  <c r="I841" i="20"/>
  <c r="I832" i="20"/>
  <c r="I823" i="20"/>
  <c r="I814" i="20"/>
  <c r="I804" i="20"/>
  <c r="I795" i="20"/>
  <c r="I786" i="20"/>
  <c r="I777" i="20"/>
  <c r="I768" i="20"/>
  <c r="I759" i="20"/>
  <c r="I750" i="20"/>
  <c r="I740" i="20"/>
  <c r="I731" i="20"/>
  <c r="I722" i="20"/>
  <c r="I713" i="20"/>
  <c r="I704" i="20"/>
  <c r="I695" i="20"/>
  <c r="I686" i="20"/>
  <c r="I676" i="20"/>
  <c r="I667" i="20"/>
  <c r="I658" i="20"/>
  <c r="I649" i="20"/>
  <c r="I640" i="20"/>
  <c r="I631" i="20"/>
  <c r="I622" i="20"/>
  <c r="I612" i="20"/>
  <c r="I603" i="20"/>
  <c r="I594" i="20"/>
  <c r="I585" i="20"/>
  <c r="I576" i="20"/>
  <c r="I567" i="20"/>
  <c r="I558" i="20"/>
  <c r="I548" i="20"/>
  <c r="I539" i="20"/>
  <c r="I530" i="20"/>
  <c r="I521" i="20"/>
  <c r="I512" i="20"/>
  <c r="I503" i="20"/>
  <c r="I494" i="20"/>
  <c r="I484" i="20"/>
  <c r="I475" i="20"/>
  <c r="I466" i="20"/>
  <c r="I457" i="20"/>
  <c r="I448" i="20"/>
  <c r="I439" i="20"/>
  <c r="I430" i="20"/>
  <c r="I420" i="20"/>
  <c r="I411" i="20"/>
  <c r="I402" i="20"/>
  <c r="I393" i="20"/>
  <c r="I384" i="20"/>
  <c r="I375" i="20"/>
  <c r="I366" i="20"/>
  <c r="I356" i="20"/>
  <c r="I347" i="20"/>
  <c r="I338" i="20"/>
  <c r="I329" i="20"/>
  <c r="I320" i="20"/>
  <c r="I311" i="20"/>
  <c r="I302" i="20"/>
  <c r="I292" i="20"/>
  <c r="I283" i="20"/>
  <c r="I274" i="20"/>
  <c r="I265" i="20"/>
  <c r="I256" i="20"/>
  <c r="I247" i="20"/>
  <c r="I238" i="20"/>
  <c r="I228" i="20"/>
  <c r="I219" i="20"/>
  <c r="I210" i="20"/>
  <c r="I201" i="20"/>
  <c r="I192" i="20"/>
  <c r="I183" i="20"/>
  <c r="I174" i="20"/>
  <c r="I164" i="20"/>
  <c r="I155" i="20"/>
  <c r="I146" i="20"/>
  <c r="I137" i="20"/>
  <c r="I128" i="20"/>
  <c r="I119" i="20"/>
  <c r="I110" i="20"/>
  <c r="I100" i="20"/>
  <c r="I91" i="20"/>
  <c r="I81" i="20"/>
  <c r="I71" i="20"/>
  <c r="I60" i="20"/>
  <c r="I49" i="20"/>
  <c r="I39" i="20"/>
  <c r="I28" i="20"/>
  <c r="I1518" i="20"/>
  <c r="I1510" i="20"/>
  <c r="I1502" i="20"/>
  <c r="I1494" i="20"/>
  <c r="I1486" i="20"/>
  <c r="I1478" i="20"/>
  <c r="I1470" i="20"/>
  <c r="I1462" i="20"/>
  <c r="I1454" i="20"/>
  <c r="I1446" i="20"/>
  <c r="I1438" i="20"/>
  <c r="I1430" i="20"/>
  <c r="I1422" i="20"/>
  <c r="I1414" i="20"/>
  <c r="I1406" i="20"/>
  <c r="I1398" i="20"/>
  <c r="I1390" i="20"/>
  <c r="I1382" i="20"/>
  <c r="I1374" i="20"/>
  <c r="I1366" i="20"/>
  <c r="I1358" i="20"/>
  <c r="I1350" i="20"/>
  <c r="I1342" i="20"/>
  <c r="I1334" i="20"/>
  <c r="I1326" i="20"/>
  <c r="I1318" i="20"/>
  <c r="I1310" i="20"/>
  <c r="I1302" i="20"/>
  <c r="I1294" i="20"/>
  <c r="I1286" i="20"/>
  <c r="I1278" i="20"/>
  <c r="I1270" i="20"/>
  <c r="I1262" i="20"/>
  <c r="I1254" i="20"/>
  <c r="I1246" i="20"/>
  <c r="I1238" i="20"/>
  <c r="I1230" i="20"/>
  <c r="I1222" i="20"/>
  <c r="I1214" i="20"/>
  <c r="I1206" i="20"/>
  <c r="I1198" i="20"/>
  <c r="I1190" i="20"/>
  <c r="I1182" i="20"/>
  <c r="I1174" i="20"/>
  <c r="I1166" i="20"/>
  <c r="I1158" i="20"/>
  <c r="I1150" i="20"/>
  <c r="I1142" i="20"/>
  <c r="I1132" i="20"/>
  <c r="I1123" i="20"/>
  <c r="I1114" i="20"/>
  <c r="I1105" i="20"/>
  <c r="I1096" i="20"/>
  <c r="I1087" i="20"/>
  <c r="I1078" i="20"/>
  <c r="I1068" i="20"/>
  <c r="I1059" i="20"/>
  <c r="I1050" i="20"/>
  <c r="I1041" i="20"/>
  <c r="I1032" i="20"/>
  <c r="I1023" i="20"/>
  <c r="I1014" i="20"/>
  <c r="I1004" i="20"/>
  <c r="I995" i="20"/>
  <c r="I986" i="20"/>
  <c r="I977" i="20"/>
  <c r="I968" i="20"/>
  <c r="I959" i="20"/>
  <c r="I950" i="20"/>
  <c r="I940" i="20"/>
  <c r="I931" i="20"/>
  <c r="I922" i="20"/>
  <c r="I913" i="20"/>
  <c r="I904" i="20"/>
  <c r="I895" i="20"/>
  <c r="I886" i="20"/>
  <c r="I876" i="20"/>
  <c r="I867" i="20"/>
  <c r="I858" i="20"/>
  <c r="I849" i="20"/>
  <c r="I840" i="20"/>
  <c r="I831" i="20"/>
  <c r="I822" i="20"/>
  <c r="I812" i="20"/>
  <c r="I803" i="20"/>
  <c r="I794" i="20"/>
  <c r="I785" i="20"/>
  <c r="I776" i="20"/>
  <c r="I767" i="20"/>
  <c r="I758" i="20"/>
  <c r="I748" i="20"/>
  <c r="I739" i="20"/>
  <c r="I730" i="20"/>
  <c r="I721" i="20"/>
  <c r="I712" i="20"/>
  <c r="I703" i="20"/>
  <c r="I694" i="20"/>
  <c r="I684" i="20"/>
  <c r="I675" i="20"/>
  <c r="I666" i="20"/>
  <c r="I657" i="20"/>
  <c r="I648" i="20"/>
  <c r="I639" i="20"/>
  <c r="I630" i="20"/>
  <c r="I620" i="20"/>
  <c r="I611" i="20"/>
  <c r="I602" i="20"/>
  <c r="I593" i="20"/>
  <c r="I584" i="20"/>
  <c r="I575" i="20"/>
  <c r="I566" i="20"/>
  <c r="I556" i="20"/>
  <c r="I547" i="20"/>
  <c r="I538" i="20"/>
  <c r="I529" i="20"/>
  <c r="I520" i="20"/>
  <c r="I511" i="20"/>
  <c r="I502" i="20"/>
  <c r="I492" i="20"/>
  <c r="I483" i="20"/>
  <c r="I474" i="20"/>
  <c r="I465" i="20"/>
  <c r="I456" i="20"/>
  <c r="I447" i="20"/>
  <c r="I438" i="20"/>
  <c r="I428" i="20"/>
  <c r="I419" i="20"/>
  <c r="I410" i="20"/>
  <c r="I401" i="20"/>
  <c r="I392" i="20"/>
  <c r="I383" i="20"/>
  <c r="I374" i="20"/>
  <c r="I364" i="20"/>
  <c r="I355" i="20"/>
  <c r="I346" i="20"/>
  <c r="I337" i="20"/>
  <c r="I328" i="20"/>
  <c r="I319" i="20"/>
  <c r="I310" i="20"/>
  <c r="I300" i="20"/>
  <c r="I291" i="20"/>
  <c r="I282" i="20"/>
  <c r="I273" i="20"/>
  <c r="I264" i="20"/>
  <c r="I255" i="20"/>
  <c r="I246" i="20"/>
  <c r="I236" i="20"/>
  <c r="I227" i="20"/>
  <c r="I218" i="20"/>
  <c r="I209" i="20"/>
  <c r="I200" i="20"/>
  <c r="I191" i="20"/>
  <c r="I182" i="20"/>
  <c r="I172" i="20"/>
  <c r="I163" i="20"/>
  <c r="I154" i="20"/>
  <c r="I145" i="20"/>
  <c r="I136" i="20"/>
  <c r="I127" i="20"/>
  <c r="I118" i="20"/>
  <c r="I108" i="20"/>
  <c r="I99" i="20"/>
  <c r="I90" i="20"/>
  <c r="I80" i="20"/>
  <c r="I70" i="20"/>
  <c r="I58" i="20"/>
  <c r="I48" i="20"/>
  <c r="I38" i="20"/>
  <c r="I27" i="20"/>
  <c r="I763" i="20"/>
  <c r="I754" i="20"/>
  <c r="I745" i="20"/>
  <c r="I736" i="20"/>
  <c r="I727" i="20"/>
  <c r="I718" i="20"/>
  <c r="I708" i="20"/>
  <c r="I699" i="20"/>
  <c r="I690" i="20"/>
  <c r="I681" i="20"/>
  <c r="I672" i="20"/>
  <c r="I663" i="20"/>
  <c r="I654" i="20"/>
  <c r="I644" i="20"/>
  <c r="I635" i="20"/>
  <c r="I626" i="20"/>
  <c r="I617" i="20"/>
  <c r="I608" i="20"/>
  <c r="I599" i="20"/>
  <c r="I590" i="20"/>
  <c r="I580" i="20"/>
  <c r="I571" i="20"/>
  <c r="I562" i="20"/>
  <c r="I553" i="20"/>
  <c r="I544" i="20"/>
  <c r="I535" i="20"/>
  <c r="I526" i="20"/>
  <c r="I516" i="20"/>
  <c r="I507" i="20"/>
  <c r="I498" i="20"/>
  <c r="I489" i="20"/>
  <c r="I480" i="20"/>
  <c r="I471" i="20"/>
  <c r="I462" i="20"/>
  <c r="I452" i="20"/>
  <c r="I443" i="20"/>
  <c r="I434" i="20"/>
  <c r="I425" i="20"/>
  <c r="I416" i="20"/>
  <c r="I407" i="20"/>
  <c r="I398" i="20"/>
  <c r="I388" i="20"/>
  <c r="I379" i="20"/>
  <c r="I370" i="20"/>
  <c r="I361" i="20"/>
  <c r="I352" i="20"/>
  <c r="I343" i="20"/>
  <c r="I334" i="20"/>
  <c r="I324" i="20"/>
  <c r="I315" i="20"/>
  <c r="I306" i="20"/>
  <c r="I297" i="20"/>
  <c r="I288" i="20"/>
  <c r="I279" i="20"/>
  <c r="I270" i="20"/>
  <c r="I260" i="20"/>
  <c r="I251" i="20"/>
  <c r="I242" i="20"/>
  <c r="I233" i="20"/>
  <c r="I224" i="20"/>
  <c r="I215" i="20"/>
  <c r="I206" i="20"/>
  <c r="I196" i="20"/>
  <c r="I187" i="20"/>
  <c r="I178" i="20"/>
  <c r="I169" i="20"/>
  <c r="I160" i="20"/>
  <c r="I151" i="20"/>
  <c r="I142" i="20"/>
  <c r="I132" i="20"/>
  <c r="I123" i="20"/>
  <c r="I114" i="20"/>
  <c r="I105" i="20"/>
  <c r="I96" i="20"/>
  <c r="I86" i="20"/>
  <c r="I75" i="20"/>
  <c r="I65" i="20"/>
  <c r="I55" i="20"/>
  <c r="I44" i="20"/>
  <c r="I34" i="20"/>
  <c r="I24" i="20"/>
  <c r="I1514" i="20"/>
  <c r="I1506" i="20"/>
  <c r="I1498" i="20"/>
  <c r="I1490" i="20"/>
  <c r="I1482" i="20"/>
  <c r="I1474" i="20"/>
  <c r="I1466" i="20"/>
  <c r="I1458" i="20"/>
  <c r="I1450" i="20"/>
  <c r="I1442" i="20"/>
  <c r="I1434" i="20"/>
  <c r="I1426" i="20"/>
  <c r="I1418" i="20"/>
  <c r="I1410" i="20"/>
  <c r="I1402" i="20"/>
  <c r="I1394" i="20"/>
  <c r="I1386" i="20"/>
  <c r="I1378" i="20"/>
  <c r="I1370" i="20"/>
  <c r="I1362" i="20"/>
  <c r="I1354" i="20"/>
  <c r="I1346" i="20"/>
  <c r="I1338" i="20"/>
  <c r="I1330" i="20"/>
  <c r="I1322" i="20"/>
  <c r="I1314" i="20"/>
  <c r="I1306" i="20"/>
  <c r="I1298" i="20"/>
  <c r="I1290" i="20"/>
  <c r="I1282" i="20"/>
  <c r="I1274" i="20"/>
  <c r="I1266" i="20"/>
  <c r="I1258" i="20"/>
  <c r="I1250" i="20"/>
  <c r="I1242" i="20"/>
  <c r="I1234" i="20"/>
  <c r="I1226" i="20"/>
  <c r="I1218" i="20"/>
  <c r="I1210" i="20"/>
  <c r="I1202" i="20"/>
  <c r="I1194" i="20"/>
  <c r="I1186" i="20"/>
  <c r="I1178" i="20"/>
  <c r="I1170" i="20"/>
  <c r="I1162" i="20"/>
  <c r="I1154" i="20"/>
  <c r="I1146" i="20"/>
  <c r="I1137" i="20"/>
  <c r="I1128" i="20"/>
  <c r="I1119" i="20"/>
  <c r="I1110" i="20"/>
  <c r="I1100" i="20"/>
  <c r="I1091" i="20"/>
  <c r="I1082" i="20"/>
  <c r="I1073" i="20"/>
  <c r="I1064" i="20"/>
  <c r="I1055" i="20"/>
  <c r="I1046" i="20"/>
  <c r="I1036" i="20"/>
  <c r="I1027" i="20"/>
  <c r="I1018" i="20"/>
  <c r="I1009" i="20"/>
  <c r="I1000" i="20"/>
  <c r="I991" i="20"/>
  <c r="I982" i="20"/>
  <c r="I972" i="20"/>
  <c r="I963" i="20"/>
  <c r="I954" i="20"/>
  <c r="I945" i="20"/>
  <c r="I936" i="20"/>
  <c r="I927" i="20"/>
  <c r="I918" i="20"/>
  <c r="I908" i="20"/>
  <c r="I899" i="20"/>
  <c r="I890" i="20"/>
  <c r="I881" i="20"/>
  <c r="I872" i="20"/>
  <c r="I863" i="20"/>
  <c r="I854" i="20"/>
  <c r="I844" i="20"/>
  <c r="I835" i="20"/>
  <c r="I826" i="20"/>
  <c r="I817" i="20"/>
  <c r="I808" i="20"/>
  <c r="I799" i="20"/>
  <c r="I790" i="20"/>
  <c r="I780" i="20"/>
  <c r="I771" i="20"/>
  <c r="I762" i="20"/>
  <c r="I753" i="20"/>
  <c r="I744" i="20"/>
  <c r="I735" i="20"/>
  <c r="I726" i="20"/>
  <c r="I716" i="20"/>
  <c r="I707" i="20"/>
  <c r="I698" i="20"/>
  <c r="I689" i="20"/>
  <c r="I680" i="20"/>
  <c r="I671" i="20"/>
  <c r="I662" i="20"/>
  <c r="I652" i="20"/>
  <c r="I643" i="20"/>
  <c r="I634" i="20"/>
  <c r="I625" i="20"/>
  <c r="I616" i="20"/>
  <c r="I607" i="20"/>
  <c r="I598" i="20"/>
  <c r="I588" i="20"/>
  <c r="I579" i="20"/>
  <c r="I570" i="20"/>
  <c r="I561" i="20"/>
  <c r="I552" i="20"/>
  <c r="I543" i="20"/>
  <c r="I534" i="20"/>
  <c r="I524" i="20"/>
  <c r="I515" i="20"/>
  <c r="I506" i="20"/>
  <c r="I497" i="20"/>
  <c r="I488" i="20"/>
  <c r="I479" i="20"/>
  <c r="I470" i="20"/>
  <c r="I460" i="20"/>
  <c r="I451" i="20"/>
  <c r="I442" i="20"/>
  <c r="I433" i="20"/>
  <c r="I424" i="20"/>
  <c r="I415" i="20"/>
  <c r="I406" i="20"/>
  <c r="I396" i="20"/>
  <c r="I387" i="20"/>
  <c r="I378" i="20"/>
  <c r="I369" i="20"/>
  <c r="I360" i="20"/>
  <c r="I351" i="20"/>
  <c r="I342" i="20"/>
  <c r="I332" i="20"/>
  <c r="I323" i="20"/>
  <c r="I314" i="20"/>
  <c r="I305" i="20"/>
  <c r="I296" i="20"/>
  <c r="I287" i="20"/>
  <c r="I278" i="20"/>
  <c r="I268" i="20"/>
  <c r="I259" i="20"/>
  <c r="I250" i="20"/>
  <c r="I241" i="20"/>
  <c r="I232" i="20"/>
  <c r="I223" i="20"/>
  <c r="I214" i="20"/>
  <c r="I204" i="20"/>
  <c r="I195" i="20"/>
  <c r="I186" i="20"/>
  <c r="I177" i="20"/>
  <c r="I168" i="20"/>
  <c r="I159" i="20"/>
  <c r="I150" i="20"/>
  <c r="I140" i="20"/>
  <c r="I131" i="20"/>
  <c r="I122" i="20"/>
  <c r="I113" i="20"/>
  <c r="I104" i="20"/>
  <c r="I95" i="20"/>
  <c r="I84" i="20"/>
  <c r="I74" i="20"/>
  <c r="I64" i="20"/>
  <c r="I54" i="20"/>
  <c r="I43" i="20"/>
  <c r="I33" i="20"/>
  <c r="I22" i="20"/>
  <c r="I87" i="20"/>
  <c r="I78" i="20"/>
  <c r="I68" i="20"/>
  <c r="I59" i="20"/>
  <c r="I50" i="20"/>
  <c r="I41" i="20"/>
  <c r="I32" i="20"/>
  <c r="I23" i="20"/>
  <c r="I1141" i="20"/>
  <c r="I1133" i="20"/>
  <c r="I1125" i="20"/>
  <c r="I1117" i="20"/>
  <c r="I1109" i="20"/>
  <c r="I1101" i="20"/>
  <c r="I1093" i="20"/>
  <c r="I1085" i="20"/>
  <c r="I1077" i="20"/>
  <c r="I1069" i="20"/>
  <c r="I1061" i="20"/>
  <c r="I1053" i="20"/>
  <c r="I1045" i="20"/>
  <c r="I1037" i="20"/>
  <c r="I1029" i="20"/>
  <c r="I1021" i="20"/>
  <c r="I1013" i="20"/>
  <c r="I1005" i="20"/>
  <c r="I997" i="20"/>
  <c r="I989" i="20"/>
  <c r="I981" i="20"/>
  <c r="I973" i="20"/>
  <c r="I965" i="20"/>
  <c r="I957" i="20"/>
  <c r="I949" i="20"/>
  <c r="I941" i="20"/>
  <c r="I933" i="20"/>
  <c r="I925" i="20"/>
  <c r="I917" i="20"/>
  <c r="I909" i="20"/>
  <c r="I901" i="20"/>
  <c r="I893" i="20"/>
  <c r="I885" i="20"/>
  <c r="I877" i="20"/>
  <c r="I869" i="20"/>
  <c r="I861" i="20"/>
  <c r="I853" i="20"/>
  <c r="I845" i="20"/>
  <c r="I837" i="20"/>
  <c r="I829" i="20"/>
  <c r="I821" i="20"/>
  <c r="I813" i="20"/>
  <c r="I805" i="20"/>
  <c r="I797" i="20"/>
  <c r="I789" i="20"/>
  <c r="I781" i="20"/>
  <c r="I773" i="20"/>
  <c r="I765" i="20"/>
  <c r="I757" i="20"/>
  <c r="I749" i="20"/>
  <c r="I741" i="20"/>
  <c r="I733" i="20"/>
  <c r="I725" i="20"/>
  <c r="I717" i="20"/>
  <c r="I709" i="20"/>
  <c r="I701" i="20"/>
  <c r="I693" i="20"/>
  <c r="I685" i="20"/>
  <c r="I677" i="20"/>
  <c r="I669" i="20"/>
  <c r="I661" i="20"/>
  <c r="I653" i="20"/>
  <c r="I645" i="20"/>
  <c r="I637" i="20"/>
  <c r="I629" i="20"/>
  <c r="I621" i="20"/>
  <c r="I613" i="20"/>
  <c r="I605" i="20"/>
  <c r="I597" i="20"/>
  <c r="I589" i="20"/>
  <c r="I581" i="20"/>
  <c r="I573" i="20"/>
  <c r="I565" i="20"/>
  <c r="I557" i="20"/>
  <c r="I549" i="20"/>
  <c r="I541" i="20"/>
  <c r="I533" i="20"/>
  <c r="I525" i="20"/>
  <c r="I517" i="20"/>
  <c r="I509" i="20"/>
  <c r="I501" i="20"/>
  <c r="I493" i="20"/>
  <c r="I485" i="20"/>
  <c r="I477" i="20"/>
  <c r="I469" i="20"/>
  <c r="I461" i="20"/>
  <c r="I453" i="20"/>
  <c r="I445" i="20"/>
  <c r="I437" i="20"/>
  <c r="I429" i="20"/>
  <c r="I421" i="20"/>
  <c r="I413" i="20"/>
  <c r="I405" i="20"/>
  <c r="I397" i="20"/>
  <c r="I389" i="20"/>
  <c r="I381" i="20"/>
  <c r="I373" i="20"/>
  <c r="I365" i="20"/>
  <c r="I357" i="20"/>
  <c r="I349" i="20"/>
  <c r="I341" i="20"/>
  <c r="I333" i="20"/>
  <c r="I325" i="20"/>
  <c r="I317" i="20"/>
  <c r="I309" i="20"/>
  <c r="I301" i="20"/>
  <c r="I293" i="20"/>
  <c r="I285" i="20"/>
  <c r="I277" i="20"/>
  <c r="I269" i="20"/>
  <c r="I261" i="20"/>
  <c r="I253" i="20"/>
  <c r="I245" i="20"/>
  <c r="I237" i="20"/>
  <c r="I229" i="20"/>
  <c r="I221" i="20"/>
  <c r="I213" i="20"/>
  <c r="I205" i="20"/>
  <c r="I197" i="20"/>
  <c r="I189" i="20"/>
  <c r="I181" i="20"/>
  <c r="I173" i="20"/>
  <c r="I165" i="20"/>
  <c r="I157" i="20"/>
  <c r="I149" i="20"/>
  <c r="I141" i="20"/>
  <c r="I133" i="20"/>
  <c r="I125" i="20"/>
  <c r="I117" i="20"/>
  <c r="I109" i="20"/>
  <c r="I101" i="20"/>
  <c r="I93" i="20"/>
  <c r="I85" i="20"/>
  <c r="I77" i="20"/>
  <c r="I69" i="20"/>
  <c r="I61" i="20"/>
  <c r="I53" i="20"/>
  <c r="I45" i="20"/>
  <c r="I37" i="20"/>
  <c r="I29" i="20"/>
  <c r="I21" i="20"/>
  <c r="AT99" i="21"/>
  <c r="AT107" i="21"/>
  <c r="AT101" i="21"/>
  <c r="AV55" i="21"/>
  <c r="AS48" i="21"/>
  <c r="AU50" i="21"/>
  <c r="AU107" i="21"/>
  <c r="AS102" i="21"/>
  <c r="AS46" i="21"/>
  <c r="AV52" i="21"/>
  <c r="AS103" i="21"/>
  <c r="AU43" i="21"/>
  <c r="AV106" i="21"/>
  <c r="AT72" i="21"/>
  <c r="AT67" i="21"/>
  <c r="AU68" i="21"/>
  <c r="AV64" i="21"/>
  <c r="AV67" i="21"/>
  <c r="AS63" i="21"/>
  <c r="AS71" i="21"/>
  <c r="AT54" i="21"/>
  <c r="AT42" i="21"/>
  <c r="AU98" i="21"/>
  <c r="AU104" i="21"/>
  <c r="AS98" i="21"/>
  <c r="AT64" i="21"/>
  <c r="AS62" i="21"/>
  <c r="AU69" i="21"/>
  <c r="AT109" i="21"/>
  <c r="AV102" i="21"/>
  <c r="AV48" i="21"/>
  <c r="AS61" i="21"/>
  <c r="AV66" i="21"/>
  <c r="AS52" i="21"/>
  <c r="AS107" i="21"/>
  <c r="AU103" i="21"/>
  <c r="AU74" i="21"/>
  <c r="AT108" i="21"/>
  <c r="AT49" i="21"/>
  <c r="AT44" i="21"/>
  <c r="AT52" i="21"/>
  <c r="AV103" i="21"/>
  <c r="AS105" i="21"/>
  <c r="AS106" i="21"/>
  <c r="AS42" i="21"/>
  <c r="AV97" i="21"/>
  <c r="AV98" i="21"/>
  <c r="AV99" i="21"/>
  <c r="AU97" i="21"/>
  <c r="AS101" i="21"/>
  <c r="AV105" i="21"/>
  <c r="AT74" i="21"/>
  <c r="AT68" i="21"/>
  <c r="AU71" i="21"/>
  <c r="AV71" i="21"/>
  <c r="AV72" i="21"/>
  <c r="AU66" i="21"/>
  <c r="AU72" i="21"/>
  <c r="AT98" i="21"/>
  <c r="AS54" i="21"/>
  <c r="AS100" i="21"/>
  <c r="AU99" i="21"/>
  <c r="AU53" i="21"/>
  <c r="AV73" i="21"/>
  <c r="AS64" i="21"/>
  <c r="AS70" i="21"/>
  <c r="AT104" i="21"/>
  <c r="AV54" i="21"/>
  <c r="AU54" i="21"/>
  <c r="AT73" i="21"/>
  <c r="AS67" i="21"/>
  <c r="AT102" i="21"/>
  <c r="AS99" i="21"/>
  <c r="AU105" i="21"/>
  <c r="AT63" i="21"/>
  <c r="AV69" i="21"/>
  <c r="AT55" i="21"/>
  <c r="AT47" i="21"/>
  <c r="AT105" i="21"/>
  <c r="AT106" i="21"/>
  <c r="AU49" i="21"/>
  <c r="AV46" i="21"/>
  <c r="AS109" i="21"/>
  <c r="AU101" i="21"/>
  <c r="AS45" i="21"/>
  <c r="AV49" i="21"/>
  <c r="AV107" i="21"/>
  <c r="AS43" i="21"/>
  <c r="AS55" i="21"/>
  <c r="AU42" i="21"/>
  <c r="AT62" i="21"/>
  <c r="AT65" i="21"/>
  <c r="AS69" i="21"/>
  <c r="AU62" i="21"/>
  <c r="AV63" i="21"/>
  <c r="AU70" i="21"/>
  <c r="AV65" i="21"/>
  <c r="AT43" i="21"/>
  <c r="AU52" i="21"/>
  <c r="AU47" i="21"/>
  <c r="AU102" i="21"/>
  <c r="AT70" i="21"/>
  <c r="AU73" i="21"/>
  <c r="AU63" i="21"/>
  <c r="AU64" i="21"/>
  <c r="AV53" i="21"/>
  <c r="AV101" i="21"/>
  <c r="AU108" i="21"/>
  <c r="AV62" i="21"/>
  <c r="AT103" i="21"/>
  <c r="AU45" i="21"/>
  <c r="AV100" i="21"/>
  <c r="AT69" i="21"/>
  <c r="AU65" i="21"/>
  <c r="AT100" i="21"/>
  <c r="AT51" i="21"/>
  <c r="AT97" i="21"/>
  <c r="AV47" i="21"/>
  <c r="AV108" i="21"/>
  <c r="AV104" i="21"/>
  <c r="AU100" i="21"/>
  <c r="AS53" i="21"/>
  <c r="AS97" i="21"/>
  <c r="AS47" i="21"/>
  <c r="AS51" i="21"/>
  <c r="AU48" i="21"/>
  <c r="AU46" i="21"/>
  <c r="AS104" i="21"/>
  <c r="AT61" i="21"/>
  <c r="AU67" i="21"/>
  <c r="AS68" i="21"/>
  <c r="AS74" i="21"/>
  <c r="AS65" i="21"/>
  <c r="AV68" i="21"/>
  <c r="AS72" i="21"/>
  <c r="AT46" i="21"/>
  <c r="AT48" i="21"/>
  <c r="AT50" i="21"/>
  <c r="AV44" i="21"/>
  <c r="AU44" i="21"/>
  <c r="AV43" i="21"/>
  <c r="AV50" i="21"/>
  <c r="AU51" i="21"/>
  <c r="AV51" i="21"/>
  <c r="AU109" i="21"/>
  <c r="AS49" i="21"/>
  <c r="AS50" i="21"/>
  <c r="AU55" i="21"/>
  <c r="AS44" i="21"/>
  <c r="AT71" i="21"/>
  <c r="AV74" i="21"/>
  <c r="AU61" i="21"/>
  <c r="AV70" i="21"/>
  <c r="AT45" i="21"/>
  <c r="AU106" i="21"/>
  <c r="AV42" i="21"/>
  <c r="AV109" i="21"/>
  <c r="AT66" i="21"/>
  <c r="AS66" i="21"/>
  <c r="AT53" i="21"/>
  <c r="AS108" i="21"/>
  <c r="AV45" i="21"/>
  <c r="AV61" i="21"/>
  <c r="AS73" i="21"/>
  <c r="AZ73" i="21" l="1"/>
  <c r="AZ108" i="21"/>
  <c r="BA36" i="21"/>
  <c r="AZ66" i="21"/>
  <c r="BA66" i="21"/>
  <c r="BA28" i="21"/>
  <c r="BA71" i="21"/>
  <c r="AZ27" i="21"/>
  <c r="AZ33" i="21"/>
  <c r="AZ32" i="21"/>
  <c r="BA33" i="21"/>
  <c r="BA31" i="21"/>
  <c r="BA29" i="21"/>
  <c r="AZ72" i="21"/>
  <c r="AZ65" i="21"/>
  <c r="AZ74" i="21"/>
  <c r="AZ68" i="21"/>
  <c r="BA61" i="21"/>
  <c r="AZ104" i="21"/>
  <c r="AZ34" i="21"/>
  <c r="AZ30" i="21"/>
  <c r="AZ97" i="21"/>
  <c r="AZ36" i="21"/>
  <c r="BA97" i="21"/>
  <c r="BA34" i="21"/>
  <c r="BA100" i="21"/>
  <c r="BA69" i="21"/>
  <c r="BA103" i="21"/>
  <c r="BA70" i="21"/>
  <c r="BA26" i="21"/>
  <c r="AZ69" i="21"/>
  <c r="BA65" i="21"/>
  <c r="BA62" i="21"/>
  <c r="AZ38" i="21"/>
  <c r="AZ26" i="21"/>
  <c r="AZ28" i="21"/>
  <c r="AZ109" i="21"/>
  <c r="BA106" i="21"/>
  <c r="BA105" i="21"/>
  <c r="BA30" i="21"/>
  <c r="BA38" i="21"/>
  <c r="BA63" i="21"/>
  <c r="AZ99" i="21"/>
  <c r="BA102" i="21"/>
  <c r="AZ67" i="21"/>
  <c r="BA73" i="21"/>
  <c r="BA104" i="21"/>
  <c r="AZ70" i="21"/>
  <c r="AZ64" i="21"/>
  <c r="AZ100" i="21"/>
  <c r="AZ37" i="21"/>
  <c r="BA98" i="21"/>
  <c r="BA68" i="21"/>
  <c r="BA74" i="21"/>
  <c r="AZ101" i="21"/>
  <c r="AZ25" i="21"/>
  <c r="AZ106" i="21"/>
  <c r="AZ105" i="21"/>
  <c r="BA35" i="21"/>
  <c r="BA27" i="21"/>
  <c r="BA32" i="21"/>
  <c r="BA108" i="21"/>
  <c r="AZ107" i="21"/>
  <c r="AZ35" i="21"/>
  <c r="AZ61" i="21"/>
  <c r="BA109" i="21"/>
  <c r="AZ62" i="21"/>
  <c r="BA64" i="21"/>
  <c r="AZ98" i="21"/>
  <c r="BA25" i="21"/>
  <c r="BA37" i="21"/>
  <c r="AZ71" i="21"/>
  <c r="AZ63" i="21"/>
  <c r="BA67" i="21"/>
  <c r="BA72" i="21"/>
  <c r="AZ103" i="21"/>
  <c r="AZ29" i="21"/>
  <c r="AZ102" i="21"/>
  <c r="AZ31" i="21"/>
  <c r="BA101" i="21"/>
  <c r="BA107" i="21"/>
  <c r="BA99" i="21"/>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<sst xmlns="http://schemas.openxmlformats.org/spreadsheetml/2006/main" count="11114" uniqueCount="427">
  <si>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</si>
  <si>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</si>
  <si>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</si>
  <si>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</si>
  <si>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</si>
  <si>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</si>
  <si>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</si>
  <si>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</si>
  <si>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</si>
  <si>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</si>
  <si>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</si>
  <si>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</si>
  <si>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</si>
  <si>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</si>
  <si>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</si>
  <si>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</si>
  <si>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</si>
  <si>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</si>
  <si>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</si>
  <si>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</si>
  <si>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</si>
  <si>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</si>
  <si>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</si>
  <si>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</si>
  <si>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</si>
  <si>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</si>
  <si>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</si>
  <si>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</si>
  <si>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</si>
  <si>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</si>
  <si>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</si>
  <si>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</si>
  <si>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</si>
  <si>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</si>
  <si>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</si>
  <si>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</si>
  <si>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</si>
  <si>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</si>
  <si>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</si>
  <si>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</si>
  <si>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</si>
  <si>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</si>
  <si>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</si>
  <si>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</si>
  <si>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</si>
  <si>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</si>
  <si>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</si>
  <si>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</si>
  <si>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</si>
  <si>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</si>
  <si>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</si>
  <si>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</si>
  <si>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</si>
  <si>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</si>
  <si>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</si>
  <si>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</si>
  <si>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</si>
  <si>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</si>
  <si>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</si>
  <si>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</si>
  <si>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</si>
  <si>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</si>
  <si>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</si>
  <si>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</si>
  <si>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</si>
  <si>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</si>
  <si>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</si>
  <si>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</si>
  <si>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</si>
  <si>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</si>
  <si>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</si>
  <si>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</si>
  <si>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</si>
  <si>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</si>
  <si>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</si>
  <si>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</si>
  <si>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</si>
  <si>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</si>
  <si>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</si>
  <si>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</si>
  <si>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</si>
  <si>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</si>
  <si>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</si>
  <si>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</si>
  <si>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</si>
  <si>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</si>
  <si>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</si>
  <si>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</si>
  <si>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</si>
  <si>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</si>
  <si>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</si>
  <si>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</si>
  <si>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</si>
  <si>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</si>
  <si>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</si>
  <si>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</si>
  <si>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</si>
  <si>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</si>
  <si>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</si>
  <si>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</si>
  <si>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</si>
  <si>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</si>
  <si>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</si>
  <si>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</si>
  <si>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</si>
  <si>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</si>
  <si>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</si>
  <si>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</si>
  <si>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</si>
  <si>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</si>
  <si>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</si>
  <si>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</si>
  <si>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</si>
  <si>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</si>
  <si>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</si>
  <si>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</si>
  <si>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</si>
  <si>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</si>
  <si>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</si>
  <si>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</si>
  <si>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</si>
  <si>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</si>
  <si>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</si>
  <si>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</si>
  <si>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</si>
  <si>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</si>
  <si>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</si>
  <si>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</si>
  <si>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</si>
  <si>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</si>
  <si>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</si>
  <si>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</si>
  <si>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</si>
  <si>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</si>
  <si>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</si>
  <si>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</si>
  <si>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</si>
  <si>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</si>
  <si>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</si>
  <si>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</si>
  <si>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</si>
  <si>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</si>
  <si>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</si>
  <si>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</si>
  <si>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</si>
  <si>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</si>
  <si>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</si>
  <si>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</si>
  <si>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</si>
  <si>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</si>
  <si>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</si>
  <si>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</si>
  <si>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</si>
  <si>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</si>
  <si>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</si>
  <si>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</si>
  <si>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</si>
  <si>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</si>
  <si>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</si>
  <si>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</si>
  <si>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</si>
  <si>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</si>
  <si>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</si>
  <si>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</si>
  <si>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</si>
  <si>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</si>
  <si>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</si>
  <si>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</si>
  <si>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</si>
  <si>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Periodicity</t>
  </si>
  <si>
    <t>1D</t>
  </si>
  <si>
    <t>Display</t>
  </si>
  <si>
    <t>FromDate</t>
  </si>
  <si>
    <t>ToDate</t>
  </si>
  <si>
    <t>EUR3ML</t>
  </si>
  <si>
    <t>Notional</t>
  </si>
  <si>
    <t>PAYER</t>
  </si>
  <si>
    <t>0D</t>
  </si>
  <si>
    <t>ShortStart</t>
  </si>
  <si>
    <t>Effective
Date</t>
  </si>
  <si>
    <t>Effective Lag</t>
  </si>
  <si>
    <t>Pay / Rec
Fixed Rate</t>
  </si>
  <si>
    <t>Maturity
Or Tenor</t>
  </si>
  <si>
    <t>Fixed
Rate</t>
  </si>
  <si>
    <t>Float
Index</t>
  </si>
  <si>
    <t>Float
Spread</t>
  </si>
  <si>
    <t>Float
First Fixing</t>
  </si>
  <si>
    <t>CSA</t>
  </si>
  <si>
    <t>Par Rate</t>
  </si>
  <si>
    <t>Present Value</t>
  </si>
  <si>
    <t>PV01</t>
  </si>
  <si>
    <t>2D</t>
  </si>
  <si>
    <t>6ML</t>
  </si>
  <si>
    <t>NOCSA</t>
  </si>
  <si>
    <t>+/- Bps</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</si>
  <si>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</si>
  <si>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</si>
  <si>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</si>
  <si>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</si>
  <si>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</si>
  <si>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</si>
  <si>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</si>
  <si>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</si>
  <si>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</si>
  <si>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</si>
  <si>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3ML</t>
  </si>
  <si>
    <t>STD:EUR3ML</t>
  </si>
  <si>
    <t>ERU6 Comdty</t>
  </si>
  <si>
    <t>ERV6 Comdty</t>
  </si>
  <si>
    <t>ERX6 Comdty</t>
  </si>
  <si>
    <t>ERZ6 Comdty</t>
  </si>
  <si>
    <t>ERH7 Comdty</t>
  </si>
  <si>
    <t>ERM7 Comdty</t>
  </si>
  <si>
    <t>ERU7 Comdty</t>
  </si>
  <si>
    <t>ERZ7 Comdty</t>
  </si>
  <si>
    <t>ERH8 Comdty</t>
  </si>
  <si>
    <t>EomDay</t>
  </si>
  <si>
    <t>EUROIS</t>
  </si>
  <si>
    <t>SmoothShortEnd</t>
  </si>
  <si>
    <t>Spline</t>
  </si>
  <si>
    <t>Monthly</t>
  </si>
  <si>
    <t>EUR1ML</t>
  </si>
  <si>
    <t>EUR1M3MBASIS</t>
  </si>
  <si>
    <t>Tenor Basis Conventions ( 1 X 3 )</t>
  </si>
  <si>
    <t>50Y</t>
  </si>
  <si>
    <t>Libor Fixing Data</t>
  </si>
  <si>
    <t>Money Market O/N and T/N Conventions</t>
  </si>
  <si>
    <t>Libor Fixing Conventions</t>
  </si>
  <si>
    <t>EUR12ML</t>
  </si>
  <si>
    <t>RECEIVER</t>
  </si>
  <si>
    <t>EUR3ML + Tenor Basis Spread</t>
  </si>
  <si>
    <t>3 X 6 Spread</t>
  </si>
  <si>
    <t>Par Rate
Difference</t>
  </si>
  <si>
    <t>PV
Difference</t>
  </si>
  <si>
    <t>EUR1ML + Tenor Basis Spread</t>
  </si>
  <si>
    <t>1ML</t>
  </si>
  <si>
    <t>1 X 3 Spread</t>
  </si>
  <si>
    <t>EUR6M12MBASIS</t>
  </si>
  <si>
    <t>Tenor Basis Conventions ( 6 X 12 )</t>
  </si>
  <si>
    <t>Tenor Basis Spreads ( 6 X 12 )</t>
  </si>
  <si>
    <t>12ML</t>
  </si>
  <si>
    <t>Tenor Basis 6 X 12</t>
  </si>
  <si>
    <t>Tenor Basis 3 X 6, Eur6mL</t>
  </si>
  <si>
    <t>Tenor Basis 3 X 6 Calibration, Eur6mL</t>
  </si>
  <si>
    <t>Swap Calibration, Eur3mL</t>
  </si>
  <si>
    <t>Interest Rate Swaps, Eur3mL</t>
  </si>
  <si>
    <t>Tenor Basis 1 X 3, Eur1mL</t>
  </si>
  <si>
    <t>Tenor Basis 1 X 3 Calibration, Eur1mL</t>
  </si>
  <si>
    <t>Tenor Basis 6 X 12 Calibration, Eur12mL</t>
  </si>
  <si>
    <t>PayerReceiver</t>
  </si>
  <si>
    <t>EffectiveDate</t>
  </si>
  <si>
    <t>MaturityDate</t>
  </si>
  <si>
    <t>FixedRate</t>
  </si>
  <si>
    <t>FixedFrequency</t>
  </si>
  <si>
    <t>FixedDaycount</t>
  </si>
  <si>
    <t>FixedBusinessDayAdjustment</t>
  </si>
  <si>
    <t>FixedCalendar</t>
  </si>
  <si>
    <t>FixedRollDay</t>
  </si>
  <si>
    <t>FixedPaymentLag</t>
  </si>
  <si>
    <t>FixedStubType</t>
  </si>
  <si>
    <t>FloatFrequency</t>
  </si>
  <si>
    <t>FloatDaycount</t>
  </si>
  <si>
    <t>FloatBusinessDayAdjustment</t>
  </si>
  <si>
    <t>FloatCalendar</t>
  </si>
  <si>
    <t>FloatRollDay</t>
  </si>
  <si>
    <t>FloatFixingLag</t>
  </si>
  <si>
    <t>FloatFirstFixing</t>
  </si>
  <si>
    <t>FloatLastFixing</t>
  </si>
  <si>
    <t>FloatPaymentLag</t>
  </si>
  <si>
    <t>FloatSpread</t>
  </si>
  <si>
    <t>FloatStubType</t>
  </si>
  <si>
    <t>ForecastCurve</t>
  </si>
  <si>
    <t>DiscountCurve</t>
  </si>
  <si>
    <t>DV01</t>
  </si>
  <si>
    <t>Swap Inputs</t>
  </si>
  <si>
    <t>isDate</t>
  </si>
  <si>
    <t>basis.interpolation</t>
  </si>
  <si>
    <t>meCurveCalibrateOIS</t>
  </si>
  <si>
    <t>meCurveCalibrateSwap</t>
  </si>
  <si>
    <t>meCurveCalibrateBasis</t>
  </si>
  <si>
    <t>BusinessDayAdj</t>
  </si>
  <si>
    <t>meCurveForwardRates</t>
  </si>
  <si>
    <t>Label Value Block Inputs</t>
  </si>
  <si>
    <t>FixedFirstStubDate</t>
  </si>
  <si>
    <t>FixedLastStubDate</t>
  </si>
  <si>
    <t>FloatFirstStubDate</t>
  </si>
  <si>
    <t>FloatLastStubDate</t>
  </si>
  <si>
    <t>6 X 12 Spread</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</si>
  <si>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</si>
  <si>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</si>
  <si>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</si>
  <si>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</si>
  <si>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</si>
  <si>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</si>
  <si>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</si>
  <si>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</si>
  <si>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</si>
  <si>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</si>
  <si>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</si>
  <si>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</si>
  <si>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</si>
  <si>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</si>
  <si>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</si>
  <si>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</si>
  <si>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</si>
  <si>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</si>
  <si>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</si>
  <si>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</si>
  <si>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</si>
  <si>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</si>
  <si>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</si>
  <si>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</si>
  <si>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</si>
  <si>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</si>
  <si>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</si>
  <si>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</si>
  <si>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</si>
  <si>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</si>
  <si>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</si>
  <si>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</si>
  <si>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</si>
  <si>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</si>
  <si>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</si>
  <si>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</si>
  <si>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</si>
  <si>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</si>
  <si>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</si>
  <si>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</si>
  <si>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</si>
  <si>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</si>
  <si>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</si>
  <si>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</si>
  <si>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</si>
  <si>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</si>
  <si>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</si>
  <si>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</si>
  <si>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</si>
  <si>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</si>
  <si>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</si>
  <si>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</si>
  <si>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</si>
  <si>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</si>
  <si>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</si>
  <si>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</si>
  <si>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</si>
  <si>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</si>
  <si>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</si>
  <si>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</si>
  <si>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</si>
  <si>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</si>
  <si>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</si>
  <si>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</si>
  <si>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</si>
  <si>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</si>
  <si>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</si>
  <si>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</si>
  <si>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</si>
  <si>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</si>
  <si>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</si>
  <si>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</si>
  <si>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</si>
  <si>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</si>
  <si>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</si>
  <si>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</si>
  <si>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</si>
  <si>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</si>
  <si>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</si>
  <si>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</si>
  <si>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</si>
  <si>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</si>
  <si>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</si>
  <si>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</si>
  <si>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</si>
  <si>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</si>
  <si>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EUR Swaps</t>
  </si>
  <si>
    <t>Swap Par Rate</t>
  </si>
  <si>
    <t>Swap PV</t>
  </si>
  <si>
    <t>Swap PV01</t>
  </si>
  <si>
    <t>Swap DV01</t>
  </si>
  <si>
    <t>Pay/Receive Fixed</t>
  </si>
  <si>
    <t>Maturity</t>
  </si>
  <si>
    <t>FloatIndex</t>
  </si>
  <si>
    <t>Fixed Rate</t>
  </si>
  <si>
    <t>Float Spread</t>
  </si>
  <si>
    <t>Swap Generators</t>
  </si>
  <si>
    <t>Swap Deal Info</t>
  </si>
  <si>
    <t>EffectiveLag</t>
  </si>
  <si>
    <t>Swap Pricing &amp; Risk</t>
  </si>
  <si>
    <t>Notional (millions)</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</si>
  <si>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</si>
  <si>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</si>
  <si>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</si>
  <si>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</si>
  <si>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</si>
  <si>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</si>
  <si>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</si>
  <si>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</si>
  <si>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</si>
  <si>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</si>
  <si>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TradeType</t>
  </si>
  <si>
    <t>VanillaIRS</t>
  </si>
  <si>
    <t>TradeID</t>
  </si>
  <si>
    <t>BumpSize</t>
  </si>
  <si>
    <t>BumpMode</t>
  </si>
  <si>
    <t>3M6MBASIS</t>
  </si>
  <si>
    <t>1M3MBASIS</t>
  </si>
  <si>
    <t>6M12MBASIS</t>
  </si>
  <si>
    <t>ForecastIndex</t>
  </si>
  <si>
    <t>DiscountIndex</t>
  </si>
  <si>
    <t>StaticData</t>
  </si>
  <si>
    <t>Curve Settings</t>
  </si>
  <si>
    <t>Risk Settings</t>
  </si>
  <si>
    <t>Central</t>
  </si>
  <si>
    <r>
      <t>meProductSwapDeltaLadder</t>
    </r>
    <r>
      <rPr>
        <sz val="18"/>
        <rFont val="Calibri"/>
        <family val="2"/>
        <scheme val="minor"/>
      </rPr>
      <t>("TradeLabelValueBlock","CurveCollection","ForecastCurveSet","BumpSize","BumpMode")</t>
    </r>
  </si>
  <si>
    <t>Numerical Risk: Swap Delta Ladder</t>
  </si>
  <si>
    <t>-</t>
  </si>
  <si>
    <t>Risk Total by Trade</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</si>
  <si>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</si>
  <si>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</si>
  <si>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meCurveForwardRatesFromForwardDates("FromDate","ToDate","CurveCollection","CurveIndex","Daycount","BusinessDayAdj","Calendar","Frequency")</t>
  </si>
  <si>
    <t>Tenor Basis Spreads ( 1 X 3 )</t>
  </si>
  <si>
    <t>1M3MBasis</t>
  </si>
  <si>
    <t>1M3MBasis:EUR1ML</t>
  </si>
  <si>
    <t>3M6MBasis</t>
  </si>
  <si>
    <t>3M6MBasis:EUR6ML</t>
  </si>
  <si>
    <t>6M12MBasis</t>
  </si>
  <si>
    <t>6M12MBasis:EUR12ML</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</si>
</sst>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 #,##0_-;_-* &quot;-&quot;_-;_-@_-"/>
    <numFmt numFmtId="164" formatCode="0.000%"/>
    <numFmt numFmtId="165" formatCode="0.00000%"/>
    <numFmt numFmtId="166" formatCode="#,##0.0000"/>
    <numFmt numFmtId="167" formatCode="ddd\ d\-mmm\-yy"/>
    <numFmt numFmtId="168" formatCode="#,##0_ ;[Red]\-#,##0\ "/>
    <numFmt numFmtId="169" formatCode="0.00000%;[Red]\-0.00000%"/>
    <numFmt numFmtId="170" formatCode="#,##0.000"/>
    <numFmt numFmtId="171" formatCode="ddd\,\ d\-mmm\-yy"/>
    <numFmt numFmtId="172" formatCode="ddd\,\ d\-mmm\-yy\ h:mm"/>
    <numFmt numFmtId="173" formatCode="0.0000%"/>
  </numFmts>
  <fonts count="35"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50">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theme="0" tint="-0.34998626667073579"/>
      </top>
      <bottom style="thin">
        <color theme="0" tint="-0.34998626667073579"/>
      </bottom>
      <diagonal/>
    </border>
    <border>
      <left style="thin">
        <color theme="0" tint="-0.24994659260841701"/>
      </left>
      <right/>
      <top style="thin">
        <color theme="0" tint="-0.34998626667073579"/>
      </top>
      <bottom/>
      <diagonal/>
    </border>
    <border>
      <left style="thin">
        <color theme="0" tint="-0.24994659260841701"/>
      </left>
      <right/>
      <top/>
      <bottom style="thin">
        <color theme="0" tint="-0.34998626667073579"/>
      </bottom>
      <diagonal/>
    </border>
    <border>
      <left style="thin">
        <color theme="0" tint="-0.34998626667073579"/>
      </left>
      <right style="thin">
        <color theme="0" tint="-0.34998626667073579"/>
      </right>
      <top style="dotted">
        <color theme="0" tint="-0.34998626667073579"/>
      </top>
      <bottom/>
      <diagonal/>
    </border>
    <border>
      <left style="thin">
        <color theme="0" tint="-0.34998626667073579"/>
      </left>
      <right style="thin">
        <color theme="0" tint="-0.34998626667073579"/>
      </right>
      <top/>
      <bottom style="dotted">
        <color theme="0" tint="-0.34998626667073579"/>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50">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0" fillId="0" borderId="10" xfId="0" applyBorder="1"/>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11" fillId="2"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5" fontId="9" fillId="0" borderId="21"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15" fontId="9" fillId="0" borderId="30"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0" fillId="0" borderId="0" xfId="0" applyAlignment="1">
      <alignment horizontal="center" vertical="center"/>
    </xf>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3" borderId="31" xfId="0" applyNumberFormat="1" applyFill="1" applyBorder="1" applyAlignment="1">
      <alignment horizontal="center" vertical="top" wrapText="1"/>
    </xf>
    <xf numFmtId="0" fontId="0" fillId="3" borderId="32" xfId="0" applyNumberFormat="1" applyFill="1" applyBorder="1" applyAlignment="1">
      <alignment horizontal="center" vertical="top" wrapText="1"/>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8" fillId="0" borderId="0" xfId="0" applyFont="1"/>
    <xf numFmtId="167" fontId="9" fillId="3" borderId="34" xfId="0" applyNumberFormat="1" applyFont="1" applyFill="1" applyBorder="1" applyAlignment="1">
      <alignment horizontal="center" vertical="center"/>
    </xf>
    <xf numFmtId="167" fontId="0" fillId="0" borderId="35" xfId="0" quotePrefix="1" applyNumberFormat="1" applyFont="1" applyFill="1" applyBorder="1" applyAlignment="1">
      <alignment horizontal="center" vertical="center"/>
    </xf>
    <xf numFmtId="3" fontId="0" fillId="0" borderId="35" xfId="0" applyNumberFormat="1" applyFill="1" applyBorder="1" applyAlignment="1">
      <alignment horizontal="center"/>
    </xf>
    <xf numFmtId="0" fontId="0" fillId="0" borderId="35" xfId="0" applyFill="1" applyBorder="1" applyAlignment="1">
      <alignment horizontal="center"/>
    </xf>
    <xf numFmtId="167" fontId="6" fillId="0" borderId="35" xfId="0" applyNumberFormat="1" applyFont="1" applyFill="1" applyBorder="1" applyAlignment="1">
      <alignment horizontal="center" vertical="center"/>
    </xf>
    <xf numFmtId="165" fontId="6" fillId="0" borderId="35" xfId="0" applyNumberFormat="1" applyFont="1" applyFill="1" applyBorder="1" applyAlignment="1">
      <alignment horizontal="center" vertical="center"/>
    </xf>
    <xf numFmtId="4" fontId="6" fillId="0" borderId="35" xfId="0" applyNumberFormat="1" applyFont="1" applyFill="1" applyBorder="1" applyAlignment="1">
      <alignment horizontal="center" vertical="center"/>
    </xf>
    <xf numFmtId="0" fontId="0" fillId="2" borderId="35" xfId="0" applyFill="1" applyBorder="1" applyAlignment="1">
      <alignment horizontal="center" vertical="center"/>
    </xf>
    <xf numFmtId="0" fontId="0" fillId="2" borderId="35" xfId="0" quotePrefix="1" applyFill="1" applyBorder="1" applyAlignment="1">
      <alignment horizontal="center" vertical="center"/>
    </xf>
    <xf numFmtId="167" fontId="9" fillId="2" borderId="35" xfId="0" applyNumberFormat="1" applyFont="1" applyFill="1" applyBorder="1" applyAlignment="1">
      <alignment horizontal="center" vertical="center"/>
    </xf>
    <xf numFmtId="0" fontId="9" fillId="2" borderId="35" xfId="0" applyFont="1" applyFill="1" applyBorder="1" applyAlignment="1">
      <alignment horizontal="center" vertical="center"/>
    </xf>
    <xf numFmtId="0" fontId="6" fillId="2" borderId="35" xfId="0" quotePrefix="1" applyFont="1" applyFill="1" applyBorder="1" applyAlignment="1">
      <alignment horizontal="center" vertical="center"/>
    </xf>
    <xf numFmtId="0" fontId="9" fillId="2" borderId="35" xfId="0" applyFont="1" applyFill="1" applyBorder="1" applyAlignment="1">
      <alignment horizontal="center"/>
    </xf>
    <xf numFmtId="4" fontId="9" fillId="2" borderId="35" xfId="0" applyNumberFormat="1" applyFont="1" applyFill="1" applyBorder="1" applyAlignment="1">
      <alignment horizontal="center" vertical="center"/>
    </xf>
    <xf numFmtId="165" fontId="9" fillId="2" borderId="35" xfId="0" applyNumberFormat="1" applyFont="1" applyFill="1" applyBorder="1" applyAlignment="1">
      <alignment horizontal="center" vertical="center"/>
    </xf>
    <xf numFmtId="165" fontId="6" fillId="2" borderId="35" xfId="0" applyNumberFormat="1" applyFont="1" applyFill="1" applyBorder="1" applyAlignment="1">
      <alignment horizontal="center" vertical="center"/>
    </xf>
    <xf numFmtId="168" fontId="9" fillId="3" borderId="35" xfId="0" applyNumberFormat="1" applyFont="1" applyFill="1" applyBorder="1" applyAlignment="1">
      <alignment horizontal="center" vertical="center"/>
    </xf>
    <xf numFmtId="167" fontId="9" fillId="3" borderId="38" xfId="0" applyNumberFormat="1" applyFont="1" applyFill="1" applyBorder="1" applyAlignment="1">
      <alignment horizontal="center" vertical="center"/>
    </xf>
    <xf numFmtId="0" fontId="0" fillId="0" borderId="0" xfId="0" quotePrefix="1" applyFont="1" applyFill="1" applyBorder="1" applyAlignment="1">
      <alignment horizontal="center" vertical="center"/>
    </xf>
    <xf numFmtId="3" fontId="0" fillId="0" borderId="0" xfId="0" applyNumberFormat="1" applyFill="1" applyBorder="1" applyAlignment="1">
      <alignment horizontal="center" vertical="center"/>
    </xf>
    <xf numFmtId="0" fontId="0" fillId="0" borderId="0" xfId="0" applyFill="1" applyBorder="1" applyAlignment="1">
      <alignment horizontal="center"/>
    </xf>
    <xf numFmtId="167" fontId="6" fillId="0" borderId="0" xfId="0" applyNumberFormat="1" applyFont="1" applyFill="1" applyBorder="1" applyAlignment="1">
      <alignment horizontal="center" vertical="center"/>
    </xf>
    <xf numFmtId="165" fontId="6" fillId="0" borderId="0" xfId="0" applyNumberFormat="1" applyFont="1" applyFill="1" applyBorder="1" applyAlignment="1">
      <alignment horizontal="center" vertical="center"/>
    </xf>
    <xf numFmtId="4" fontId="6" fillId="0"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0" fontId="0" fillId="0" borderId="0" xfId="0" applyFill="1" applyBorder="1" applyAlignment="1">
      <alignment horizontal="center" vertical="center"/>
    </xf>
    <xf numFmtId="167" fontId="9" fillId="3" borderId="41" xfId="0" applyNumberFormat="1" applyFont="1" applyFill="1" applyBorder="1" applyAlignment="1">
      <alignment horizontal="center" vertical="center"/>
    </xf>
    <xf numFmtId="0" fontId="0" fillId="0" borderId="42" xfId="0" applyFill="1" applyBorder="1" applyAlignment="1">
      <alignment horizontal="center" vertical="center"/>
    </xf>
    <xf numFmtId="3" fontId="0" fillId="0" borderId="43" xfId="0" applyNumberFormat="1" applyFill="1" applyBorder="1" applyAlignment="1">
      <alignment horizontal="center" vertical="center"/>
    </xf>
    <xf numFmtId="0" fontId="0" fillId="0" borderId="43" xfId="0" applyFill="1" applyBorder="1" applyAlignment="1">
      <alignment horizontal="center"/>
    </xf>
    <xf numFmtId="167" fontId="6" fillId="0" borderId="43" xfId="0" applyNumberFormat="1" applyFont="1" applyFill="1" applyBorder="1" applyAlignment="1">
      <alignment horizontal="center" vertical="center"/>
    </xf>
    <xf numFmtId="165" fontId="6" fillId="0" borderId="43" xfId="0" applyNumberFormat="1" applyFont="1" applyFill="1" applyBorder="1" applyAlignment="1">
      <alignment horizontal="center" vertical="center"/>
    </xf>
    <xf numFmtId="4" fontId="6" fillId="0" borderId="43" xfId="0" applyNumberFormat="1" applyFont="1" applyFill="1" applyBorder="1" applyAlignment="1">
      <alignment horizontal="center" vertical="center"/>
    </xf>
    <xf numFmtId="167" fontId="9" fillId="2" borderId="43" xfId="0" applyNumberFormat="1" applyFont="1" applyFill="1" applyBorder="1" applyAlignment="1">
      <alignment horizontal="center" vertical="center"/>
    </xf>
    <xf numFmtId="168" fontId="9" fillId="3" borderId="43" xfId="0" applyNumberFormat="1" applyFont="1" applyFill="1" applyBorder="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169" fontId="9" fillId="0" borderId="4" xfId="0" applyNumberFormat="1" applyFont="1" applyFill="1" applyBorder="1" applyAlignment="1">
      <alignment horizontal="center" vertical="center"/>
    </xf>
    <xf numFmtId="169" fontId="9" fillId="0" borderId="11" xfId="0" applyNumberFormat="1" applyFont="1" applyFill="1" applyBorder="1" applyAlignment="1">
      <alignment horizontal="center" vertical="center"/>
    </xf>
    <xf numFmtId="0" fontId="0" fillId="3" borderId="6" xfId="0" applyFill="1" applyBorder="1" applyAlignment="1">
      <alignment horizontal="center" vertical="center"/>
    </xf>
    <xf numFmtId="0" fontId="0" fillId="3" borderId="8" xfId="0" quotePrefix="1" applyFill="1" applyBorder="1" applyAlignment="1">
      <alignment horizontal="center" vertical="center"/>
    </xf>
    <xf numFmtId="0" fontId="0" fillId="3" borderId="7" xfId="0" applyFill="1" applyBorder="1" applyAlignment="1">
      <alignment horizontal="center" vertical="center"/>
    </xf>
    <xf numFmtId="170" fontId="9" fillId="0" borderId="4" xfId="0" applyNumberFormat="1" applyFont="1" applyFill="1" applyBorder="1" applyAlignment="1">
      <alignment horizontal="center" vertical="center"/>
    </xf>
    <xf numFmtId="170" fontId="9" fillId="0" borderId="11" xfId="0" applyNumberFormat="1" applyFont="1" applyFill="1" applyBorder="1" applyAlignment="1">
      <alignment horizontal="center" vertical="center"/>
    </xf>
    <xf numFmtId="0" fontId="9" fillId="2" borderId="0" xfId="0" applyFont="1" applyFill="1" applyBorder="1"/>
    <xf numFmtId="172"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0" fontId="6" fillId="0" borderId="35" xfId="0" applyNumberFormat="1" applyFont="1" applyFill="1" applyBorder="1" applyAlignment="1">
      <alignment horizontal="center" vertical="center"/>
    </xf>
    <xf numFmtId="0" fontId="6" fillId="0" borderId="0" xfId="0" applyNumberFormat="1" applyFont="1" applyFill="1" applyBorder="1" applyAlignment="1">
      <alignment horizontal="center" vertical="center"/>
    </xf>
    <xf numFmtId="0" fontId="6" fillId="0" borderId="43" xfId="0" applyNumberFormat="1" applyFont="1" applyFill="1" applyBorder="1" applyAlignment="1">
      <alignment horizontal="center" vertical="center"/>
    </xf>
    <xf numFmtId="164" fontId="0" fillId="0" borderId="0" xfId="0" quotePrefix="1" applyNumberFormat="1" applyAlignment="1">
      <alignment horizontal="center" vertical="center"/>
    </xf>
    <xf numFmtId="165" fontId="0" fillId="0" borderId="0" xfId="0" applyNumberFormat="1"/>
    <xf numFmtId="173" fontId="0" fillId="0" borderId="0" xfId="0" applyNumberFormat="1" applyAlignment="1">
      <alignment horizontal="center"/>
    </xf>
    <xf numFmtId="168" fontId="24" fillId="0" borderId="0" xfId="0" applyNumberFormat="1" applyFont="1" applyAlignment="1">
      <alignment horizontal="center" vertical="center"/>
    </xf>
    <xf numFmtId="0" fontId="0" fillId="0" borderId="0" xfId="0" applyAlignment="1">
      <alignment horizontal="center" vertical="center"/>
    </xf>
    <xf numFmtId="0" fontId="27" fillId="2" borderId="0" xfId="0" applyFont="1" applyFill="1" applyBorder="1"/>
    <xf numFmtId="173" fontId="6" fillId="2" borderId="0" xfId="0" applyNumberFormat="1" applyFont="1" applyFill="1" applyBorder="1" applyAlignment="1">
      <alignment horizontal="center" vertical="center"/>
    </xf>
    <xf numFmtId="173" fontId="6" fillId="2" borderId="0" xfId="0" applyNumberFormat="1" applyFont="1" applyFill="1" applyBorder="1"/>
    <xf numFmtId="0" fontId="0" fillId="0" borderId="4" xfId="0" applyBorder="1"/>
    <xf numFmtId="3" fontId="5" fillId="0" borderId="0" xfId="0" applyNumberFormat="1" applyFont="1"/>
    <xf numFmtId="0" fontId="0" fillId="3" borderId="45" xfId="0" applyNumberFormat="1" applyFill="1" applyBorder="1" applyAlignment="1">
      <alignment horizontal="center" vertical="center" wrapText="1"/>
    </xf>
    <xf numFmtId="169" fontId="9" fillId="3" borderId="46" xfId="0" applyNumberFormat="1" applyFont="1" applyFill="1" applyBorder="1" applyAlignment="1">
      <alignment horizontal="center" vertical="center"/>
    </xf>
    <xf numFmtId="169" fontId="9" fillId="3" borderId="9" xfId="0" applyNumberFormat="1" applyFont="1" applyFill="1" applyBorder="1" applyAlignment="1">
      <alignment horizontal="center" vertical="center"/>
    </xf>
    <xf numFmtId="169" fontId="9" fillId="3" borderId="47" xfId="0" applyNumberFormat="1" applyFont="1" applyFill="1" applyBorder="1" applyAlignment="1">
      <alignment horizontal="center" vertical="center"/>
    </xf>
    <xf numFmtId="0" fontId="0" fillId="3" borderId="7" xfId="0" applyFill="1" applyBorder="1" applyAlignment="1">
      <alignment horizontal="center" vertical="center" wrapText="1"/>
    </xf>
    <xf numFmtId="165" fontId="9" fillId="0" borderId="4" xfId="0" applyNumberFormat="1" applyFont="1" applyFill="1" applyBorder="1" applyAlignment="1">
      <alignment horizontal="center" vertical="center"/>
    </xf>
    <xf numFmtId="4" fontId="9" fillId="0" borderId="4" xfId="0" applyNumberFormat="1" applyFont="1" applyFill="1" applyBorder="1" applyAlignment="1">
      <alignment horizontal="center" vertical="center"/>
    </xf>
    <xf numFmtId="0" fontId="0" fillId="3" borderId="1" xfId="0" applyFill="1" applyBorder="1"/>
    <xf numFmtId="0" fontId="0" fillId="3" borderId="4" xfId="0" applyFill="1" applyBorder="1"/>
    <xf numFmtId="0" fontId="0" fillId="3" borderId="11" xfId="0" applyFill="1" applyBorder="1"/>
    <xf numFmtId="4" fontId="9" fillId="0" borderId="11" xfId="0" applyNumberFormat="1" applyFont="1" applyFill="1" applyBorder="1" applyAlignment="1">
      <alignment horizontal="center" vertical="center"/>
    </xf>
    <xf numFmtId="3" fontId="9" fillId="0" borderId="4" xfId="0" applyNumberFormat="1" applyFont="1" applyFill="1" applyBorder="1" applyAlignment="1">
      <alignment horizontal="center" vertical="center"/>
    </xf>
    <xf numFmtId="3" fontId="9" fillId="0" borderId="11" xfId="0" applyNumberFormat="1" applyFont="1" applyFill="1" applyBorder="1" applyAlignment="1">
      <alignment horizontal="center" vertical="center"/>
    </xf>
    <xf numFmtId="0" fontId="0" fillId="3" borderId="8" xfId="0" quotePrefix="1" applyFill="1" applyBorder="1" applyAlignment="1">
      <alignment horizontal="center" vertical="center" wrapText="1"/>
    </xf>
    <xf numFmtId="165" fontId="9" fillId="0" borderId="11" xfId="0" applyNumberFormat="1" applyFont="1" applyFill="1" applyBorder="1" applyAlignment="1">
      <alignment horizontal="center" vertical="center"/>
    </xf>
    <xf numFmtId="0" fontId="5" fillId="0" borderId="0" xfId="0" applyFont="1" applyAlignment="1">
      <alignment horizontal="center" vertical="center"/>
    </xf>
    <xf numFmtId="168" fontId="9" fillId="3" borderId="36" xfId="0" applyNumberFormat="1" applyFont="1" applyFill="1" applyBorder="1" applyAlignment="1">
      <alignment horizontal="center" vertical="center"/>
    </xf>
    <xf numFmtId="168" fontId="9" fillId="3" borderId="39" xfId="0" applyNumberFormat="1" applyFont="1" applyFill="1" applyBorder="1" applyAlignment="1">
      <alignment horizontal="center" vertical="center"/>
    </xf>
    <xf numFmtId="168" fontId="9" fillId="3" borderId="44" xfId="0" applyNumberFormat="1" applyFont="1" applyFill="1" applyBorder="1" applyAlignment="1">
      <alignment horizontal="center" vertical="center"/>
    </xf>
    <xf numFmtId="0" fontId="6" fillId="0" borderId="4" xfId="0" applyFont="1" applyFill="1" applyBorder="1" applyAlignment="1">
      <alignment horizontal="center"/>
    </xf>
    <xf numFmtId="0" fontId="0" fillId="0" borderId="0" xfId="0" applyBorder="1"/>
    <xf numFmtId="0" fontId="0" fillId="0" borderId="9" xfId="0" applyBorder="1"/>
    <xf numFmtId="169" fontId="5" fillId="0" borderId="0" xfId="0" applyNumberFormat="1" applyFont="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9" fillId="2" borderId="0" xfId="0" applyFont="1" applyFill="1" applyBorder="1" applyAlignment="1">
      <alignment horizontal="center"/>
    </xf>
    <xf numFmtId="0" fontId="9" fillId="2" borderId="43" xfId="0" applyFont="1" applyFill="1" applyBorder="1" applyAlignment="1">
      <alignment horizontal="center"/>
    </xf>
    <xf numFmtId="0" fontId="0" fillId="2" borderId="0" xfId="0" quotePrefix="1" applyFill="1" applyBorder="1" applyAlignment="1">
      <alignment horizontal="center" vertical="center"/>
    </xf>
    <xf numFmtId="167" fontId="9" fillId="2" borderId="0" xfId="0" applyNumberFormat="1" applyFont="1" applyFill="1" applyBorder="1" applyAlignment="1">
      <alignment horizontal="center" vertical="center"/>
    </xf>
    <xf numFmtId="0" fontId="9" fillId="2" borderId="0" xfId="0" applyFont="1" applyFill="1" applyBorder="1" applyAlignment="1">
      <alignment horizontal="center" vertical="center"/>
    </xf>
    <xf numFmtId="0" fontId="6" fillId="2" borderId="0" xfId="0" quotePrefix="1" applyFont="1" applyFill="1" applyBorder="1" applyAlignment="1">
      <alignment horizontal="center" vertical="center"/>
    </xf>
    <xf numFmtId="165" fontId="9" fillId="2" borderId="0" xfId="0" applyNumberFormat="1" applyFont="1" applyFill="1" applyBorder="1" applyAlignment="1">
      <alignment horizontal="center" vertical="center"/>
    </xf>
    <xf numFmtId="165" fontId="6" fillId="2" borderId="0" xfId="0" applyNumberFormat="1" applyFont="1" applyFill="1" applyBorder="1" applyAlignment="1">
      <alignment horizontal="center" vertical="center"/>
    </xf>
    <xf numFmtId="4" fontId="9" fillId="2"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4" fontId="9" fillId="2" borderId="43" xfId="0" applyNumberFormat="1" applyFont="1" applyFill="1" applyBorder="1" applyAlignment="1">
      <alignment horizontal="center" vertical="center"/>
    </xf>
    <xf numFmtId="0" fontId="0" fillId="3" borderId="31" xfId="0" applyNumberFormat="1" applyFill="1" applyBorder="1" applyAlignment="1">
      <alignment horizontal="center" vertical="center" wrapText="1"/>
    </xf>
    <xf numFmtId="0" fontId="9" fillId="2" borderId="43" xfId="0" applyFont="1"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0" fillId="0" borderId="0" xfId="0" applyBorder="1" applyAlignment="1">
      <alignment horizontal="center" vertical="center"/>
    </xf>
    <xf numFmtId="0" fontId="5" fillId="0" borderId="0" xfId="0" applyFont="1" applyBorder="1" applyAlignment="1">
      <alignment horizontal="center" vertical="center"/>
    </xf>
    <xf numFmtId="173" fontId="9" fillId="2" borderId="35" xfId="0" applyNumberFormat="1" applyFont="1" applyFill="1" applyBorder="1" applyAlignment="1">
      <alignment horizontal="center" vertical="center"/>
    </xf>
    <xf numFmtId="173" fontId="9" fillId="2" borderId="36" xfId="0" applyNumberFormat="1" applyFont="1" applyFill="1" applyBorder="1" applyAlignment="1">
      <alignment horizontal="center" vertical="center"/>
    </xf>
    <xf numFmtId="173" fontId="9" fillId="2" borderId="39" xfId="0" applyNumberFormat="1" applyFont="1" applyFill="1" applyBorder="1" applyAlignment="1">
      <alignment horizontal="center" vertical="center"/>
    </xf>
    <xf numFmtId="0" fontId="0" fillId="2" borderId="43" xfId="0" applyFill="1" applyBorder="1" applyAlignment="1">
      <alignment horizontal="center" vertical="center"/>
    </xf>
    <xf numFmtId="0" fontId="0" fillId="2" borderId="43" xfId="0" quotePrefix="1" applyFill="1" applyBorder="1" applyAlignment="1">
      <alignment horizontal="center" vertical="center"/>
    </xf>
    <xf numFmtId="0" fontId="6" fillId="2" borderId="43" xfId="0" quotePrefix="1" applyFont="1" applyFill="1" applyBorder="1" applyAlignment="1">
      <alignment horizontal="center" vertical="center"/>
    </xf>
    <xf numFmtId="165" fontId="9" fillId="2" borderId="43" xfId="0" applyNumberFormat="1" applyFont="1" applyFill="1" applyBorder="1" applyAlignment="1">
      <alignment horizontal="center" vertical="center"/>
    </xf>
    <xf numFmtId="165" fontId="6" fillId="2" borderId="43" xfId="0" applyNumberFormat="1" applyFont="1" applyFill="1" applyBorder="1" applyAlignment="1">
      <alignment horizontal="center" vertical="center"/>
    </xf>
    <xf numFmtId="173" fontId="9" fillId="2" borderId="44" xfId="0" applyNumberFormat="1" applyFont="1" applyFill="1" applyBorder="1" applyAlignment="1">
      <alignment horizontal="center" vertical="center"/>
    </xf>
    <xf numFmtId="3" fontId="9" fillId="2" borderId="37" xfId="0" applyNumberFormat="1" applyFont="1" applyFill="1" applyBorder="1" applyAlignment="1">
      <alignment horizontal="center"/>
    </xf>
    <xf numFmtId="3" fontId="9" fillId="2" borderId="40" xfId="0" applyNumberFormat="1" applyFont="1" applyFill="1" applyBorder="1" applyAlignment="1">
      <alignment horizontal="center"/>
    </xf>
    <xf numFmtId="3" fontId="9" fillId="2" borderId="42" xfId="0" applyNumberFormat="1" applyFont="1" applyFill="1" applyBorder="1" applyAlignment="1">
      <alignment horizontal="center"/>
    </xf>
    <xf numFmtId="173" fontId="9" fillId="2" borderId="0" xfId="0" applyNumberFormat="1" applyFont="1" applyFill="1" applyBorder="1" applyAlignment="1">
      <alignment horizontal="center" vertical="center"/>
    </xf>
    <xf numFmtId="173" fontId="9" fillId="2" borderId="43" xfId="0" applyNumberFormat="1" applyFont="1" applyFill="1" applyBorder="1" applyAlignment="1">
      <alignment horizontal="center" vertical="center"/>
    </xf>
    <xf numFmtId="0" fontId="5" fillId="0" borderId="4" xfId="0" applyFont="1" applyBorder="1"/>
    <xf numFmtId="168" fontId="5" fillId="0" borderId="0" xfId="0" applyNumberFormat="1" applyFont="1"/>
    <xf numFmtId="9" fontId="0" fillId="0" borderId="0" xfId="0" applyNumberFormat="1"/>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8" xfId="0" applyFont="1" applyFill="1" applyBorder="1" applyAlignment="1">
      <alignment horizontal="center" vertical="center"/>
    </xf>
    <xf numFmtId="0" fontId="6" fillId="2" borderId="38" xfId="0" applyFont="1" applyFill="1" applyBorder="1" applyAlignment="1">
      <alignment horizontal="center"/>
    </xf>
    <xf numFmtId="0" fontId="0" fillId="2" borderId="38" xfId="0" applyNumberFormat="1" applyFill="1" applyBorder="1" applyAlignment="1">
      <alignment horizontal="left" vertical="center" wrapText="1"/>
    </xf>
    <xf numFmtId="0" fontId="0" fillId="2" borderId="41" xfId="0" applyNumberFormat="1" applyFill="1" applyBorder="1" applyAlignment="1">
      <alignment horizontal="left" vertical="center" wrapText="1"/>
    </xf>
    <xf numFmtId="167" fontId="6" fillId="0" borderId="48" xfId="0" applyNumberFormat="1" applyFont="1" applyFill="1" applyBorder="1" applyAlignment="1">
      <alignment horizontal="center" vertical="center"/>
    </xf>
    <xf numFmtId="0" fontId="0" fillId="2" borderId="1" xfId="0" applyNumberFormat="1" applyFill="1" applyBorder="1" applyAlignment="1">
      <alignment horizontal="left" vertical="center" wrapText="1"/>
    </xf>
    <xf numFmtId="173"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4" fontId="25" fillId="2" borderId="35" xfId="0" applyNumberFormat="1" applyFont="1" applyFill="1" applyBorder="1" applyAlignment="1">
      <alignment horizontal="center" vertical="center"/>
    </xf>
    <xf numFmtId="4" fontId="25" fillId="2" borderId="0" xfId="0" applyNumberFormat="1" applyFont="1" applyFill="1" applyBorder="1" applyAlignment="1">
      <alignment horizontal="center" vertical="center"/>
    </xf>
    <xf numFmtId="4" fontId="25" fillId="2" borderId="43" xfId="0" applyNumberFormat="1"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xf>
    <xf numFmtId="167" fontId="9" fillId="6" borderId="38" xfId="0" applyNumberFormat="1" applyFont="1" applyFill="1" applyBorder="1" applyAlignment="1">
      <alignment horizontal="center" vertical="center"/>
    </xf>
    <xf numFmtId="0" fontId="6" fillId="6" borderId="48" xfId="0" applyFont="1" applyFill="1" applyBorder="1" applyAlignment="1">
      <alignment horizontal="center" vertical="center"/>
    </xf>
    <xf numFmtId="0" fontId="6" fillId="6" borderId="38" xfId="0" quotePrefix="1" applyFont="1" applyFill="1" applyBorder="1" applyAlignment="1">
      <alignment horizontal="center" vertical="center"/>
    </xf>
    <xf numFmtId="0" fontId="6" fillId="6" borderId="38" xfId="0" applyFont="1" applyFill="1" applyBorder="1" applyAlignment="1">
      <alignment horizontal="center" vertical="center"/>
    </xf>
    <xf numFmtId="167" fontId="6" fillId="6" borderId="38" xfId="0" applyNumberFormat="1" applyFont="1" applyFill="1" applyBorder="1" applyAlignment="1">
      <alignment horizontal="center" vertical="center"/>
    </xf>
    <xf numFmtId="0" fontId="9" fillId="6" borderId="38" xfId="0" applyFont="1" applyFill="1" applyBorder="1" applyAlignment="1">
      <alignment horizontal="center" vertical="center"/>
    </xf>
    <xf numFmtId="165" fontId="6" fillId="6" borderId="38" xfId="0" applyNumberFormat="1" applyFont="1" applyFill="1" applyBorder="1" applyAlignment="1">
      <alignment horizontal="center" vertical="center"/>
    </xf>
    <xf numFmtId="173" fontId="0" fillId="0" borderId="0" xfId="0" applyNumberFormat="1"/>
    <xf numFmtId="0" fontId="0" fillId="2" borderId="34" xfId="0" applyFont="1" applyFill="1" applyBorder="1"/>
    <xf numFmtId="0" fontId="0" fillId="2" borderId="38" xfId="0" applyFont="1" applyFill="1" applyBorder="1"/>
    <xf numFmtId="0" fontId="0" fillId="2" borderId="41" xfId="0" applyFont="1" applyFill="1" applyBorder="1"/>
    <xf numFmtId="0" fontId="5" fillId="0" borderId="0" xfId="0" applyFont="1" applyAlignment="1">
      <alignment horizontal="left"/>
    </xf>
    <xf numFmtId="10" fontId="9" fillId="6" borderId="49" xfId="0" applyNumberFormat="1" applyFont="1" applyFill="1" applyBorder="1" applyAlignment="1">
      <alignment horizontal="center" vertical="center"/>
    </xf>
    <xf numFmtId="0" fontId="9" fillId="6" borderId="48" xfId="0" applyFont="1" applyFill="1" applyBorder="1" applyAlignment="1">
      <alignment horizontal="center"/>
    </xf>
    <xf numFmtId="4" fontId="9" fillId="6" borderId="38" xfId="0" applyNumberFormat="1" applyFont="1" applyFill="1" applyBorder="1" applyAlignment="1">
      <alignment horizontal="center" vertical="center"/>
    </xf>
    <xf numFmtId="3" fontId="9" fillId="6" borderId="34" xfId="0" applyNumberFormat="1" applyFont="1" applyFill="1" applyBorder="1" applyAlignment="1">
      <alignment horizontal="center" vertical="center"/>
    </xf>
    <xf numFmtId="167" fontId="9" fillId="6" borderId="49" xfId="0" applyNumberFormat="1" applyFont="1" applyFill="1" applyBorder="1" applyAlignment="1">
      <alignment horizontal="center" vertical="center"/>
    </xf>
    <xf numFmtId="10" fontId="6" fillId="6" borderId="38" xfId="0" applyNumberFormat="1" applyFont="1" applyFill="1" applyBorder="1" applyAlignment="1">
      <alignment horizontal="center" vertical="center"/>
    </xf>
    <xf numFmtId="4" fontId="6" fillId="6" borderId="41" xfId="0" applyNumberFormat="1" applyFont="1" applyFill="1" applyBorder="1" applyAlignment="1">
      <alignment horizontal="center" vertical="center"/>
    </xf>
    <xf numFmtId="4" fontId="6" fillId="6" borderId="34" xfId="0" applyNumberFormat="1" applyFont="1" applyFill="1" applyBorder="1" applyAlignment="1">
      <alignment horizontal="center" vertical="center"/>
    </xf>
    <xf numFmtId="0" fontId="0" fillId="2" borderId="34" xfId="0" applyNumberFormat="1" applyFont="1" applyFill="1" applyBorder="1" applyAlignment="1">
      <alignment horizontal="left" vertical="center" wrapText="1"/>
    </xf>
    <xf numFmtId="3" fontId="9" fillId="6" borderId="38" xfId="0" applyNumberFormat="1" applyFont="1" applyFill="1" applyBorder="1" applyAlignment="1">
      <alignment horizontal="center" vertical="center"/>
    </xf>
    <xf numFmtId="0" fontId="0" fillId="2" borderId="38" xfId="0" applyNumberFormat="1" applyFont="1" applyFill="1" applyBorder="1" applyAlignment="1">
      <alignment horizontal="left" vertical="center" wrapText="1"/>
    </xf>
    <xf numFmtId="3" fontId="0" fillId="6" borderId="38" xfId="0" applyNumberFormat="1" applyFont="1" applyFill="1" applyBorder="1" applyAlignment="1">
      <alignment horizontal="center" vertical="center"/>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4" fontId="6" fillId="6" borderId="38" xfId="0" applyNumberFormat="1" applyFont="1" applyFill="1" applyBorder="1" applyAlignment="1">
      <alignment horizontal="center" vertical="center"/>
    </xf>
    <xf numFmtId="0" fontId="9" fillId="0" borderId="41" xfId="0" applyFont="1" applyFill="1" applyBorder="1" applyAlignment="1">
      <alignment horizontal="center"/>
    </xf>
    <xf numFmtId="171" fontId="6" fillId="0" borderId="1" xfId="0" applyNumberFormat="1" applyFont="1" applyFill="1" applyBorder="1" applyAlignment="1">
      <alignment horizontal="center" vertical="center"/>
    </xf>
    <xf numFmtId="171"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71" fontId="7" fillId="2" borderId="11" xfId="0" applyNumberFormat="1" applyFont="1" applyFill="1" applyBorder="1" applyAlignment="1">
      <alignment horizontal="center" vertical="center"/>
    </xf>
    <xf numFmtId="171" fontId="7" fillId="2" borderId="4" xfId="0" applyNumberFormat="1" applyFont="1" applyFill="1" applyBorder="1" applyAlignment="1">
      <alignment horizontal="center" vertical="center"/>
    </xf>
    <xf numFmtId="0" fontId="6" fillId="0" borderId="0" xfId="0" applyFont="1"/>
    <xf numFmtId="3" fontId="6" fillId="0" borderId="0" xfId="0" applyNumberFormat="1" applyFont="1" applyAlignment="1">
      <alignment horizontal="center" vertical="center"/>
    </xf>
    <xf numFmtId="3" fontId="6" fillId="0" borderId="0" xfId="0" applyNumberFormat="1" applyFont="1" applyAlignment="1">
      <alignment horizontal="left" vertical="center"/>
    </xf>
    <xf numFmtId="0" fontId="6" fillId="0" borderId="0" xfId="0" applyFont="1" applyAlignment="1">
      <alignment horizontal="left" vertical="center"/>
    </xf>
    <xf numFmtId="3" fontId="7" fillId="0" borderId="0" xfId="0" applyNumberFormat="1" applyFont="1" applyAlignment="1">
      <alignment horizontal="left" vertical="center"/>
    </xf>
    <xf numFmtId="0" fontId="23" fillId="0" borderId="0" xfId="0" applyFont="1" applyAlignment="1">
      <alignment horizontal="left" vertical="center"/>
    </xf>
    <xf numFmtId="0" fontId="33" fillId="0" borderId="0" xfId="0" applyFont="1" applyAlignment="1">
      <alignment horizontal="left" vertical="center"/>
    </xf>
    <xf numFmtId="0" fontId="5" fillId="0" borderId="0" xfId="0" applyFont="1" applyAlignment="1">
      <alignment horizontal="left" vertical="center"/>
    </xf>
    <xf numFmtId="3" fontId="0" fillId="6" borderId="43" xfId="0" applyNumberFormat="1" applyFont="1" applyFill="1" applyBorder="1" applyAlignment="1">
      <alignment horizontal="center" vertical="center"/>
    </xf>
    <xf numFmtId="0" fontId="5" fillId="0" borderId="9" xfId="0" applyFont="1" applyBorder="1" applyAlignment="1">
      <alignment horizontal="left" vertical="center"/>
    </xf>
    <xf numFmtId="3" fontId="6" fillId="0" borderId="0"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5" fillId="0" borderId="14" xfId="0" applyFont="1" applyBorder="1" applyAlignment="1">
      <alignment horizontal="left" vertical="center"/>
    </xf>
    <xf numFmtId="3" fontId="6" fillId="0" borderId="12" xfId="0" applyNumberFormat="1" applyFont="1" applyBorder="1" applyAlignment="1">
      <alignment horizontal="center" vertical="center"/>
    </xf>
    <xf numFmtId="3" fontId="7" fillId="0" borderId="13" xfId="0" applyNumberFormat="1" applyFont="1" applyBorder="1" applyAlignment="1">
      <alignment horizontal="center" vertical="center"/>
    </xf>
    <xf numFmtId="0" fontId="7" fillId="2" borderId="6" xfId="0" applyFont="1" applyFill="1" applyBorder="1" applyAlignment="1">
      <alignment horizontal="left" vertical="center"/>
    </xf>
    <xf numFmtId="3" fontId="7" fillId="2" borderId="7" xfId="0" applyNumberFormat="1" applyFont="1" applyFill="1" applyBorder="1" applyAlignment="1">
      <alignment horizontal="center" vertical="center"/>
    </xf>
    <xf numFmtId="3" fontId="7" fillId="2" borderId="8" xfId="0" applyNumberFormat="1" applyFont="1" applyFill="1" applyBorder="1" applyAlignment="1">
      <alignment horizontal="center" vertical="center"/>
    </xf>
    <xf numFmtId="168" fontId="9" fillId="2" borderId="7" xfId="0" applyNumberFormat="1" applyFont="1" applyFill="1" applyBorder="1" applyAlignment="1">
      <alignment horizontal="center" vertical="center"/>
    </xf>
    <xf numFmtId="168" fontId="9" fillId="2" borderId="8" xfId="0" quotePrefix="1" applyNumberFormat="1" applyFont="1" applyFill="1" applyBorder="1" applyAlignment="1">
      <alignment horizontal="center"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6" fillId="2" borderId="12" xfId="0" quotePrefix="1" applyFont="1" applyFill="1" applyBorder="1" applyAlignment="1">
      <alignment horizontal="center" vertical="center"/>
    </xf>
    <xf numFmtId="165" fontId="6" fillId="2" borderId="12"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168" fontId="24" fillId="0" borderId="0" xfId="0" applyNumberFormat="1" applyFont="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'EUR Forwards'!$D$9</c:f>
              <c:strCache>
                <c:ptCount val="1"/>
                <c:pt idx="0">
                  <c:v>EUROIS</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Forwards'!$E$20:$E$1519</c:f>
              <c:numCache>
                <c:formatCode>0.00000%</c:formatCode>
                <c:ptCount val="1500"/>
                <c:pt idx="0">
                  <c:v>-3.4500000000026176E-3</c:v>
                </c:pt>
                <c:pt idx="1">
                  <c:v>-3.4500000000425857E-3</c:v>
                </c:pt>
                <c:pt idx="2">
                  <c:v>-3.3999999999423385E-3</c:v>
                </c:pt>
                <c:pt idx="3">
                  <c:v>-3.3999999999956287E-3</c:v>
                </c:pt>
                <c:pt idx="4">
                  <c:v>-3.3999999999023691E-3</c:v>
                </c:pt>
                <c:pt idx="5">
                  <c:v>-3.3999999999823052E-3</c:v>
                </c:pt>
                <c:pt idx="6">
                  <c:v>-3.3999999999423372E-3</c:v>
                </c:pt>
                <c:pt idx="7">
                  <c:v>-3.4000000000222776E-3</c:v>
                </c:pt>
                <c:pt idx="8">
                  <c:v>-3.3999999999823069E-3</c:v>
                </c:pt>
                <c:pt idx="9">
                  <c:v>-3.3999999999823013E-3</c:v>
                </c:pt>
                <c:pt idx="10">
                  <c:v>-3.3999999999023735E-3</c:v>
                </c:pt>
                <c:pt idx="11">
                  <c:v>-3.4000000000222693E-3</c:v>
                </c:pt>
                <c:pt idx="12">
                  <c:v>-3.3999999999823095E-3</c:v>
                </c:pt>
                <c:pt idx="13">
                  <c:v>-3.3999999999956296E-3</c:v>
                </c:pt>
                <c:pt idx="14">
                  <c:v>-3.3999999999823013E-3</c:v>
                </c:pt>
                <c:pt idx="15">
                  <c:v>-3.3999999999423415E-3</c:v>
                </c:pt>
                <c:pt idx="16">
                  <c:v>-3.3999999999823095E-3</c:v>
                </c:pt>
                <c:pt idx="17">
                  <c:v>-3.3999999999823013E-3</c:v>
                </c:pt>
                <c:pt idx="18">
                  <c:v>-3.3999999999689843E-3</c:v>
                </c:pt>
                <c:pt idx="19">
                  <c:v>-3.3999999999823013E-3</c:v>
                </c:pt>
                <c:pt idx="20">
                  <c:v>-3.3999999999823013E-3</c:v>
                </c:pt>
                <c:pt idx="21">
                  <c:v>-3.3999999999023822E-3</c:v>
                </c:pt>
                <c:pt idx="22">
                  <c:v>-3.3999999999423333E-3</c:v>
                </c:pt>
                <c:pt idx="23">
                  <c:v>-3.3999999999956296E-3</c:v>
                </c:pt>
                <c:pt idx="24">
                  <c:v>-3.4000000000222693E-3</c:v>
                </c:pt>
                <c:pt idx="25">
                  <c:v>-3.3999999999423333E-3</c:v>
                </c:pt>
                <c:pt idx="26">
                  <c:v>-3.3999999999823182E-3</c:v>
                </c:pt>
                <c:pt idx="27">
                  <c:v>-3.3999999999823013E-3</c:v>
                </c:pt>
                <c:pt idx="28">
                  <c:v>-3.3999999999689843E-3</c:v>
                </c:pt>
                <c:pt idx="29">
                  <c:v>-3.4000000000222693E-3</c:v>
                </c:pt>
                <c:pt idx="30">
                  <c:v>-3.3999999999823013E-3</c:v>
                </c:pt>
                <c:pt idx="31">
                  <c:v>-3.3999999999823182E-3</c:v>
                </c:pt>
                <c:pt idx="32">
                  <c:v>-3.3999999999023652E-3</c:v>
                </c:pt>
                <c:pt idx="33">
                  <c:v>-3.3999999999956296E-3</c:v>
                </c:pt>
                <c:pt idx="34">
                  <c:v>-3.4000000000222862E-3</c:v>
                </c:pt>
                <c:pt idx="35">
                  <c:v>-3.3999999999423164E-3</c:v>
                </c:pt>
                <c:pt idx="36">
                  <c:v>-3.3999999999823182E-3</c:v>
                </c:pt>
                <c:pt idx="37">
                  <c:v>-3.4999999999829738E-3</c:v>
                </c:pt>
                <c:pt idx="38">
                  <c:v>-3.499999999996273E-3</c:v>
                </c:pt>
                <c:pt idx="39">
                  <c:v>-3.5000000000229418E-3</c:v>
                </c:pt>
                <c:pt idx="40">
                  <c:v>-3.4999999999829738E-3</c:v>
                </c:pt>
                <c:pt idx="41">
                  <c:v>-3.5000000000229067E-3</c:v>
                </c:pt>
                <c:pt idx="42">
                  <c:v>-3.4999999999829738E-3</c:v>
                </c:pt>
                <c:pt idx="43">
                  <c:v>-3.5000000000229301E-3</c:v>
                </c:pt>
                <c:pt idx="44">
                  <c:v>-3.4999999999430057E-3</c:v>
                </c:pt>
                <c:pt idx="45">
                  <c:v>-3.5000000000628747E-3</c:v>
                </c:pt>
                <c:pt idx="46">
                  <c:v>-3.5000000000229418E-3</c:v>
                </c:pt>
                <c:pt idx="47">
                  <c:v>-3.4999999999829738E-3</c:v>
                </c:pt>
                <c:pt idx="48">
                  <c:v>-3.499999999996273E-3</c:v>
                </c:pt>
                <c:pt idx="49">
                  <c:v>-3.5000000000629098E-3</c:v>
                </c:pt>
                <c:pt idx="50">
                  <c:v>-3.5000000000229418E-3</c:v>
                </c:pt>
                <c:pt idx="51">
                  <c:v>-3.5000000000229067E-3</c:v>
                </c:pt>
                <c:pt idx="52">
                  <c:v>-3.4999999999829738E-3</c:v>
                </c:pt>
                <c:pt idx="53">
                  <c:v>-3.4999999999829621E-3</c:v>
                </c:pt>
                <c:pt idx="54">
                  <c:v>-3.5000000000629098E-3</c:v>
                </c:pt>
                <c:pt idx="55">
                  <c:v>-3.5000000000229067E-3</c:v>
                </c:pt>
                <c:pt idx="56">
                  <c:v>-3.5000000000629098E-3</c:v>
                </c:pt>
                <c:pt idx="57">
                  <c:v>-3.4999999999829738E-3</c:v>
                </c:pt>
                <c:pt idx="58">
                  <c:v>-3.499999999996273E-3</c:v>
                </c:pt>
                <c:pt idx="59">
                  <c:v>-3.4999999999829738E-3</c:v>
                </c:pt>
                <c:pt idx="60">
                  <c:v>-3.5000000000229418E-3</c:v>
                </c:pt>
                <c:pt idx="61">
                  <c:v>-3.5000000000628747E-3</c:v>
                </c:pt>
                <c:pt idx="62">
                  <c:v>-3.4999999999430057E-3</c:v>
                </c:pt>
                <c:pt idx="63">
                  <c:v>-3.5000000000096074E-3</c:v>
                </c:pt>
                <c:pt idx="64">
                  <c:v>-3.4999999999430057E-3</c:v>
                </c:pt>
                <c:pt idx="65">
                  <c:v>-3.5000000000629098E-3</c:v>
                </c:pt>
                <c:pt idx="66">
                  <c:v>-3.5000000000228715E-3</c:v>
                </c:pt>
                <c:pt idx="67">
                  <c:v>-3.5000000000229418E-3</c:v>
                </c:pt>
                <c:pt idx="68">
                  <c:v>-3.4999999999829738E-3</c:v>
                </c:pt>
                <c:pt idx="69">
                  <c:v>-3.5000000000229418E-3</c:v>
                </c:pt>
                <c:pt idx="70">
                  <c:v>-3.4999999999829035E-3</c:v>
                </c:pt>
                <c:pt idx="71">
                  <c:v>-3.5000000000229418E-3</c:v>
                </c:pt>
                <c:pt idx="72">
                  <c:v>-3.7099999999723595E-3</c:v>
                </c:pt>
                <c:pt idx="73">
                  <c:v>-3.7100000000123276E-3</c:v>
                </c:pt>
                <c:pt idx="74">
                  <c:v>-3.7099999999722854E-3</c:v>
                </c:pt>
                <c:pt idx="75">
                  <c:v>-3.7099999999723595E-3</c:v>
                </c:pt>
                <c:pt idx="76">
                  <c:v>-3.7099999999323915E-3</c:v>
                </c:pt>
                <c:pt idx="77">
                  <c:v>-3.7100000000522956E-3</c:v>
                </c:pt>
                <c:pt idx="78">
                  <c:v>-3.7100000000123028E-3</c:v>
                </c:pt>
                <c:pt idx="79">
                  <c:v>-3.7099999999723595E-3</c:v>
                </c:pt>
                <c:pt idx="80">
                  <c:v>-3.7099999999323915E-3</c:v>
                </c:pt>
                <c:pt idx="81">
                  <c:v>-3.7099999999323915E-3</c:v>
                </c:pt>
                <c:pt idx="82">
                  <c:v>-3.7100000000123276E-3</c:v>
                </c:pt>
                <c:pt idx="83">
                  <c:v>-3.7099999999989802E-3</c:v>
                </c:pt>
                <c:pt idx="84">
                  <c:v>-3.7099999999723595E-3</c:v>
                </c:pt>
                <c:pt idx="85">
                  <c:v>-3.7099999999323915E-3</c:v>
                </c:pt>
                <c:pt idx="86">
                  <c:v>-3.7100000000522214E-3</c:v>
                </c:pt>
                <c:pt idx="87">
                  <c:v>-3.7100000000123276E-3</c:v>
                </c:pt>
                <c:pt idx="88">
                  <c:v>-3.7099999999990049E-3</c:v>
                </c:pt>
                <c:pt idx="89">
                  <c:v>-3.7100000000123276E-3</c:v>
                </c:pt>
                <c:pt idx="90">
                  <c:v>-3.7099999999323174E-3</c:v>
                </c:pt>
                <c:pt idx="91">
                  <c:v>-3.7100000000123276E-3</c:v>
                </c:pt>
                <c:pt idx="92">
                  <c:v>-3.7099999999723595E-3</c:v>
                </c:pt>
                <c:pt idx="93">
                  <c:v>-3.7100000000256502E-3</c:v>
                </c:pt>
                <c:pt idx="94">
                  <c:v>-3.7099999999323174E-3</c:v>
                </c:pt>
                <c:pt idx="95">
                  <c:v>-3.7100000000123276E-3</c:v>
                </c:pt>
                <c:pt idx="96">
                  <c:v>-3.7099999999723595E-3</c:v>
                </c:pt>
                <c:pt idx="97">
                  <c:v>-3.7100000000522956E-3</c:v>
                </c:pt>
                <c:pt idx="98">
                  <c:v>-3.7099999999989802E-3</c:v>
                </c:pt>
                <c:pt idx="99">
                  <c:v>-3.7099999999723595E-3</c:v>
                </c:pt>
                <c:pt idx="100">
                  <c:v>-3.7099999999723595E-3</c:v>
                </c:pt>
                <c:pt idx="101">
                  <c:v>-3.7099999999323915E-3</c:v>
                </c:pt>
                <c:pt idx="102">
                  <c:v>-3.8200000000010582E-3</c:v>
                </c:pt>
                <c:pt idx="103">
                  <c:v>-3.8200000000010331E-3</c:v>
                </c:pt>
                <c:pt idx="104">
                  <c:v>-3.8200000000010582E-3</c:v>
                </c:pt>
                <c:pt idx="105">
                  <c:v>-3.8200000000010582E-3</c:v>
                </c:pt>
                <c:pt idx="106">
                  <c:v>-3.8199999999610902E-3</c:v>
                </c:pt>
                <c:pt idx="107">
                  <c:v>-3.8199999999610139E-3</c:v>
                </c:pt>
                <c:pt idx="108">
                  <c:v>-3.8200000000143809E-3</c:v>
                </c:pt>
                <c:pt idx="109">
                  <c:v>-3.8200000000010582E-3</c:v>
                </c:pt>
                <c:pt idx="110">
                  <c:v>-3.8199999999210458E-3</c:v>
                </c:pt>
                <c:pt idx="111">
                  <c:v>-3.8200000000010582E-3</c:v>
                </c:pt>
                <c:pt idx="112">
                  <c:v>-3.8199999999610902E-3</c:v>
                </c:pt>
                <c:pt idx="113">
                  <c:v>-3.8199999999877355E-3</c:v>
                </c:pt>
                <c:pt idx="114">
                  <c:v>-3.8199999999610139E-3</c:v>
                </c:pt>
                <c:pt idx="115">
                  <c:v>-3.8200000000010582E-3</c:v>
                </c:pt>
                <c:pt idx="116">
                  <c:v>-3.8200000000010582E-3</c:v>
                </c:pt>
                <c:pt idx="117">
                  <c:v>-3.8200000000010582E-3</c:v>
                </c:pt>
                <c:pt idx="118">
                  <c:v>-3.8200000000010331E-3</c:v>
                </c:pt>
                <c:pt idx="119">
                  <c:v>-3.8200000000410263E-3</c:v>
                </c:pt>
                <c:pt idx="120">
                  <c:v>-3.8200000000010582E-3</c:v>
                </c:pt>
                <c:pt idx="121">
                  <c:v>-3.8199999999610902E-3</c:v>
                </c:pt>
                <c:pt idx="122">
                  <c:v>-3.8200000000410263E-3</c:v>
                </c:pt>
                <c:pt idx="123">
                  <c:v>-3.8199999999877104E-3</c:v>
                </c:pt>
                <c:pt idx="124">
                  <c:v>-3.8199999999211222E-3</c:v>
                </c:pt>
                <c:pt idx="125">
                  <c:v>-3.8200000000010582E-3</c:v>
                </c:pt>
                <c:pt idx="126">
                  <c:v>-3.8199999999610902E-3</c:v>
                </c:pt>
                <c:pt idx="127">
                  <c:v>-3.8200000000409499E-3</c:v>
                </c:pt>
                <c:pt idx="128">
                  <c:v>-3.8200000000010582E-3</c:v>
                </c:pt>
                <c:pt idx="129">
                  <c:v>-3.8200000000410263E-3</c:v>
                </c:pt>
                <c:pt idx="130">
                  <c:v>-3.8199999999610902E-3</c:v>
                </c:pt>
                <c:pt idx="131">
                  <c:v>-3.8199999999610902E-3</c:v>
                </c:pt>
                <c:pt idx="132">
                  <c:v>-3.8200000000010582E-3</c:v>
                </c:pt>
                <c:pt idx="133">
                  <c:v>-3.8200000000010075E-3</c:v>
                </c:pt>
                <c:pt idx="134">
                  <c:v>-3.8199999998811541E-3</c:v>
                </c:pt>
                <c:pt idx="135">
                  <c:v>-3.8200000000010582E-3</c:v>
                </c:pt>
                <c:pt idx="136">
                  <c:v>-3.8199999999211222E-3</c:v>
                </c:pt>
                <c:pt idx="137">
                  <c:v>-3.8224651227469898E-3</c:v>
                </c:pt>
                <c:pt idx="138">
                  <c:v>-3.8286898490547251E-3</c:v>
                </c:pt>
                <c:pt idx="139">
                  <c:v>-3.835002393848277E-3</c:v>
                </c:pt>
                <c:pt idx="140">
                  <c:v>-3.8381409294395421E-3</c:v>
                </c:pt>
                <c:pt idx="141">
                  <c:v>-3.8412806987642291E-3</c:v>
                </c:pt>
                <c:pt idx="142">
                  <c:v>-3.8444214756028351E-3</c:v>
                </c:pt>
                <c:pt idx="143">
                  <c:v>-3.8506640653013374E-3</c:v>
                </c:pt>
                <c:pt idx="144">
                  <c:v>-3.8569901238450083E-3</c:v>
                </c:pt>
                <c:pt idx="145">
                  <c:v>-3.8601325380938217E-3</c:v>
                </c:pt>
                <c:pt idx="146">
                  <c:v>-3.8632746002243007E-3</c:v>
                </c:pt>
                <c:pt idx="147">
                  <c:v>-3.8664160834578493E-3</c:v>
                </c:pt>
                <c:pt idx="148">
                  <c:v>-3.874202373560484E-3</c:v>
                </c:pt>
                <c:pt idx="149">
                  <c:v>-3.8821068857553126E-3</c:v>
                </c:pt>
                <c:pt idx="150">
                  <c:v>-3.8852401372535678E-3</c:v>
                </c:pt>
                <c:pt idx="151">
                  <c:v>-3.8883712236037621E-3</c:v>
                </c:pt>
                <c:pt idx="152">
                  <c:v>-3.9017047633160967E-3</c:v>
                </c:pt>
                <c:pt idx="153">
                  <c:v>-3.9115780602561184E-3</c:v>
                </c:pt>
                <c:pt idx="154">
                  <c:v>-3.9147119960869642E-3</c:v>
                </c:pt>
                <c:pt idx="155">
                  <c:v>-3.9178423762820241E-3</c:v>
                </c:pt>
                <c:pt idx="156">
                  <c:v>-3.9209689715445596E-3</c:v>
                </c:pt>
                <c:pt idx="157">
                  <c:v>-3.9271655586148452E-3</c:v>
                </c:pt>
                <c:pt idx="158">
                  <c:v>-3.9334329210572033E-3</c:v>
                </c:pt>
                <c:pt idx="159">
                  <c:v>-3.9365371551269984E-3</c:v>
                </c:pt>
                <c:pt idx="160">
                  <c:v>-3.9396362298438486E-3</c:v>
                </c:pt>
                <c:pt idx="161">
                  <c:v>-3.9427299158312362E-3</c:v>
                </c:pt>
                <c:pt idx="162">
                  <c:v>-3.9488548645927463E-3</c:v>
                </c:pt>
                <c:pt idx="163">
                  <c:v>-3.9550461924296679E-3</c:v>
                </c:pt>
                <c:pt idx="164">
                  <c:v>-3.9581094992380411E-3</c:v>
                </c:pt>
                <c:pt idx="165">
                  <c:v>-3.9611660429361845E-3</c:v>
                </c:pt>
                <c:pt idx="166">
                  <c:v>-3.9642155944674823E-3</c:v>
                </c:pt>
                <c:pt idx="167">
                  <c:v>-3.9702464580093771E-3</c:v>
                </c:pt>
                <c:pt idx="168">
                  <c:v>-3.9763392964698024E-3</c:v>
                </c:pt>
                <c:pt idx="169">
                  <c:v>-3.9793504504759408E-3</c:v>
                </c:pt>
                <c:pt idx="170">
                  <c:v>-3.9823532378946563E-3</c:v>
                </c:pt>
                <c:pt idx="171">
                  <c:v>-3.9853474294693353E-3</c:v>
                </c:pt>
                <c:pt idx="172">
                  <c:v>-3.9912617629189349E-3</c:v>
                </c:pt>
                <c:pt idx="173">
                  <c:v>-3.9972336553129179E-3</c:v>
                </c:pt>
                <c:pt idx="174">
                  <c:v>-4.0001814312962264E-3</c:v>
                </c:pt>
                <c:pt idx="175">
                  <c:v>-4.0031192368950169E-3</c:v>
                </c:pt>
                <c:pt idx="176">
                  <c:v>-4.0060468430525159E-3</c:v>
                </c:pt>
                <c:pt idx="177">
                  <c:v>-4.0118222033225376E-3</c:v>
                </c:pt>
                <c:pt idx="178">
                  <c:v>-4.0176506912148607E-3</c:v>
                </c:pt>
                <c:pt idx="179">
                  <c:v>-4.0205238637547464E-3</c:v>
                </c:pt>
                <c:pt idx="180">
                  <c:v>-4.0233854621528264E-3</c:v>
                </c:pt>
                <c:pt idx="181">
                  <c:v>-4.0262352575926169E-3</c:v>
                </c:pt>
                <c:pt idx="182">
                  <c:v>-4.0318492034075041E-3</c:v>
                </c:pt>
                <c:pt idx="183">
                  <c:v>-4.0375118264313207E-3</c:v>
                </c:pt>
                <c:pt idx="184">
                  <c:v>-4.0402991700272542E-3</c:v>
                </c:pt>
                <c:pt idx="185">
                  <c:v>-4.0430733360041918E-3</c:v>
                </c:pt>
                <c:pt idx="186">
                  <c:v>-4.0458340951454877E-3</c:v>
                </c:pt>
                <c:pt idx="187">
                  <c:v>-4.051264187427921E-3</c:v>
                </c:pt>
                <c:pt idx="188">
                  <c:v>-4.0567384831380485E-3</c:v>
                </c:pt>
                <c:pt idx="189">
                  <c:v>-4.0594287724893411E-3</c:v>
                </c:pt>
                <c:pt idx="190">
                  <c:v>-4.0621042805444466E-3</c:v>
                </c:pt>
                <c:pt idx="191">
                  <c:v>-4.0647647781666555E-3</c:v>
                </c:pt>
                <c:pt idx="192">
                  <c:v>-4.0699885794648486E-3</c:v>
                </c:pt>
                <c:pt idx="193">
                  <c:v>-4.0752520837106379E-3</c:v>
                </c:pt>
                <c:pt idx="194">
                  <c:v>-4.0778340933567284E-3</c:v>
                </c:pt>
                <c:pt idx="195">
                  <c:v>-4.0803997181093768E-3</c:v>
                </c:pt>
                <c:pt idx="196">
                  <c:v>-4.0829487287118065E-3</c:v>
                </c:pt>
                <c:pt idx="197">
                  <c:v>-4.0879438022933959E-3</c:v>
                </c:pt>
                <c:pt idx="198">
                  <c:v>-4.0929740457285183E-3</c:v>
                </c:pt>
                <c:pt idx="199">
                  <c:v>-4.0954365478906999E-3</c:v>
                </c:pt>
                <c:pt idx="200">
                  <c:v>-4.0978810610426001E-3</c:v>
                </c:pt>
                <c:pt idx="201">
                  <c:v>-4.1003073562473494E-3</c:v>
                </c:pt>
                <c:pt idx="202">
                  <c:v>-4.1050512635410078E-3</c:v>
                </c:pt>
                <c:pt idx="203">
                  <c:v>-4.1100557043759088E-3</c:v>
                </c:pt>
                <c:pt idx="204">
                  <c:v>-4.1125538493069916E-3</c:v>
                </c:pt>
                <c:pt idx="205">
                  <c:v>-4.1150213710938891E-3</c:v>
                </c:pt>
                <c:pt idx="206">
                  <c:v>-4.1174582708159027E-3</c:v>
                </c:pt>
                <c:pt idx="207">
                  <c:v>-4.1221828023019361E-3</c:v>
                </c:pt>
                <c:pt idx="208">
                  <c:v>-4.1268996783117165E-3</c:v>
                </c:pt>
                <c:pt idx="209">
                  <c:v>-4.1291834890122706E-3</c:v>
                </c:pt>
                <c:pt idx="210">
                  <c:v>-4.1314366860412269E-3</c:v>
                </c:pt>
                <c:pt idx="211">
                  <c:v>-4.1336592704377543E-3</c:v>
                </c:pt>
                <c:pt idx="212">
                  <c:v>-4.1379548412567449E-3</c:v>
                </c:pt>
                <c:pt idx="213">
                  <c:v>-4.1422435120353077E-3</c:v>
                </c:pt>
                <c:pt idx="214">
                  <c:v>-4.1443130551322019E-3</c:v>
                </c:pt>
                <c:pt idx="215">
                  <c:v>-4.1463519939899532E-3</c:v>
                </c:pt>
                <c:pt idx="216">
                  <c:v>-4.1483603301673147E-3</c:v>
                </c:pt>
                <c:pt idx="217">
                  <c:v>-4.1522271072391851E-3</c:v>
                </c:pt>
                <c:pt idx="218">
                  <c:v>-4.1560876738522415E-3</c:v>
                </c:pt>
                <c:pt idx="219">
                  <c:v>-4.1579430165317325E-3</c:v>
                </c:pt>
                <c:pt idx="220">
                  <c:v>-4.159767764684145E-3</c:v>
                </c:pt>
                <c:pt idx="221">
                  <c:v>-4.1615619197088597E-3</c:v>
                </c:pt>
                <c:pt idx="222">
                  <c:v>-4.1650000717918948E-3</c:v>
                </c:pt>
                <c:pt idx="223">
                  <c:v>-4.1684326359448113E-3</c:v>
                </c:pt>
                <c:pt idx="224">
                  <c:v>-4.170073846072612E-3</c:v>
                </c:pt>
                <c:pt idx="225">
                  <c:v>-4.1716844712658277E-3</c:v>
                </c:pt>
                <c:pt idx="226">
                  <c:v>-4.1762053768756675E-3</c:v>
                </c:pt>
                <c:pt idx="227">
                  <c:v>-4.1807060201337768E-3</c:v>
                </c:pt>
                <c:pt idx="228">
                  <c:v>-4.1821025908328627E-3</c:v>
                </c:pt>
                <c:pt idx="229">
                  <c:v>-4.1834685878683478E-3</c:v>
                </c:pt>
                <c:pt idx="230">
                  <c:v>-4.1860500011914473E-3</c:v>
                </c:pt>
                <c:pt idx="231">
                  <c:v>-4.1886268684310371E-3</c:v>
                </c:pt>
                <c:pt idx="232">
                  <c:v>-4.1898400183315735E-3</c:v>
                </c:pt>
                <c:pt idx="233">
                  <c:v>-4.1910226035213475E-3</c:v>
                </c:pt>
                <c:pt idx="234">
                  <c:v>-4.1921746246796482E-3</c:v>
                </c:pt>
                <c:pt idx="235">
                  <c:v>-4.1948285501092345E-3</c:v>
                </c:pt>
                <c:pt idx="236">
                  <c:v>-4.1974763236396631E-3</c:v>
                </c:pt>
                <c:pt idx="237">
                  <c:v>-4.1984449919452308E-3</c:v>
                </c:pt>
                <c:pt idx="238">
                  <c:v>-4.1993831064113399E-3</c:v>
                </c:pt>
                <c:pt idx="239">
                  <c:v>-4.2011084693305426E-3</c:v>
                </c:pt>
                <c:pt idx="240">
                  <c:v>-4.2028300540186839E-3</c:v>
                </c:pt>
                <c:pt idx="241">
                  <c:v>-4.2036154203504844E-3</c:v>
                </c:pt>
                <c:pt idx="242">
                  <c:v>-4.2043702413963194E-3</c:v>
                </c:pt>
                <c:pt idx="243">
                  <c:v>-4.2050945185145997E-3</c:v>
                </c:pt>
                <c:pt idx="244">
                  <c:v>-4.2063921166901755E-3</c:v>
                </c:pt>
                <c:pt idx="245">
                  <c:v>-4.2076862164908283E-3</c:v>
                </c:pt>
                <c:pt idx="246">
                  <c:v>-4.2082577951552272E-3</c:v>
                </c:pt>
                <c:pt idx="247">
                  <c:v>-4.2087988387651412E-3</c:v>
                </c:pt>
                <c:pt idx="248">
                  <c:v>-4.2093093483197711E-3</c:v>
                </c:pt>
                <c:pt idx="249">
                  <c:v>-4.2101793558657211E-3</c:v>
                </c:pt>
                <c:pt idx="250">
                  <c:v>-4.2110460754418858E-3</c:v>
                </c:pt>
                <c:pt idx="251">
                  <c:v>-4.2114039365426384E-3</c:v>
                </c:pt>
                <c:pt idx="252">
                  <c:v>-4.2117312722611691E-3</c:v>
                </c:pt>
                <c:pt idx="253">
                  <c:v>-4.212028084076295E-3</c:v>
                </c:pt>
                <c:pt idx="254">
                  <c:v>-4.2124706757595979E-3</c:v>
                </c:pt>
                <c:pt idx="255">
                  <c:v>-4.2129101200005939E-3</c:v>
                </c:pt>
                <c:pt idx="256">
                  <c:v>-4.2130543332819107E-3</c:v>
                </c:pt>
                <c:pt idx="257">
                  <c:v>-4.2131680311330447E-3</c:v>
                </c:pt>
                <c:pt idx="258">
                  <c:v>-4.2132512151527171E-3</c:v>
                </c:pt>
                <c:pt idx="259">
                  <c:v>-4.2133080830231298E-3</c:v>
                </c:pt>
                <c:pt idx="260">
                  <c:v>-4.2134495218837534E-3</c:v>
                </c:pt>
                <c:pt idx="261">
                  <c:v>-4.2134908655718896E-3</c:v>
                </c:pt>
                <c:pt idx="262">
                  <c:v>-4.2135293779255326E-3</c:v>
                </c:pt>
                <c:pt idx="263">
                  <c:v>-4.2135650587438326E-3</c:v>
                </c:pt>
                <c:pt idx="264">
                  <c:v>-4.2135776650065329E-3</c:v>
                </c:pt>
                <c:pt idx="265">
                  <c:v>-4.2136794710234829E-3</c:v>
                </c:pt>
                <c:pt idx="266">
                  <c:v>-4.2137009969245446E-3</c:v>
                </c:pt>
                <c:pt idx="267">
                  <c:v>-4.2137196921299283E-3</c:v>
                </c:pt>
                <c:pt idx="268">
                  <c:v>-4.2137355571192506E-3</c:v>
                </c:pt>
                <c:pt idx="269">
                  <c:v>-4.2137085310045711E-3</c:v>
                </c:pt>
                <c:pt idx="270">
                  <c:v>-4.213770714076596E-3</c:v>
                </c:pt>
                <c:pt idx="271">
                  <c:v>-4.2137724285851311E-3</c:v>
                </c:pt>
                <c:pt idx="272">
                  <c:v>-4.213771313277285E-3</c:v>
                </c:pt>
                <c:pt idx="273">
                  <c:v>-4.21376736851277E-3</c:v>
                </c:pt>
                <c:pt idx="274">
                  <c:v>-4.2137007265674745E-3</c:v>
                </c:pt>
                <c:pt idx="275">
                  <c:v>-4.2137232964867414E-3</c:v>
                </c:pt>
                <c:pt idx="276">
                  <c:v>-4.2137052060376027E-3</c:v>
                </c:pt>
                <c:pt idx="277">
                  <c:v>-4.2136842865311388E-3</c:v>
                </c:pt>
                <c:pt idx="278">
                  <c:v>-4.2136605388476559E-3</c:v>
                </c:pt>
                <c:pt idx="279">
                  <c:v>-4.213554297138892E-3</c:v>
                </c:pt>
                <c:pt idx="280">
                  <c:v>-4.2135372634977278E-3</c:v>
                </c:pt>
                <c:pt idx="281">
                  <c:v>-4.213499374565736E-3</c:v>
                </c:pt>
                <c:pt idx="282">
                  <c:v>-4.2134586576958602E-3</c:v>
                </c:pt>
                <c:pt idx="283">
                  <c:v>-4.2134151131678768E-3</c:v>
                </c:pt>
                <c:pt idx="284">
                  <c:v>-4.2132692880825365E-3</c:v>
                </c:pt>
                <c:pt idx="285">
                  <c:v>-4.2132126607530443E-3</c:v>
                </c:pt>
                <c:pt idx="286">
                  <c:v>-4.213154979773052E-3</c:v>
                </c:pt>
                <c:pt idx="287">
                  <c:v>-4.2130944718543764E-3</c:v>
                </c:pt>
                <c:pt idx="288">
                  <c:v>-4.2130311371968579E-3</c:v>
                </c:pt>
                <c:pt idx="289">
                  <c:v>-4.2128457448420567E-3</c:v>
                </c:pt>
                <c:pt idx="290">
                  <c:v>-4.2127495335764356E-3</c:v>
                </c:pt>
                <c:pt idx="291">
                  <c:v>-4.2126720669832954E-3</c:v>
                </c:pt>
                <c:pt idx="292">
                  <c:v>-4.2125917745705769E-3</c:v>
                </c:pt>
                <c:pt idx="293">
                  <c:v>-4.2125086561784078E-3</c:v>
                </c:pt>
                <c:pt idx="294">
                  <c:v>-4.2122837127943763E-3</c:v>
                </c:pt>
                <c:pt idx="295">
                  <c:v>-4.2121479272916465E-3</c:v>
                </c:pt>
                <c:pt idx="296">
                  <c:v>-4.2120506815202111E-3</c:v>
                </c:pt>
                <c:pt idx="297">
                  <c:v>-4.2119506112081742E-3</c:v>
                </c:pt>
                <c:pt idx="298">
                  <c:v>-4.2118477155961434E-3</c:v>
                </c:pt>
                <c:pt idx="299">
                  <c:v>-4.2115832373435117E-3</c:v>
                </c:pt>
                <c:pt idx="300">
                  <c:v>-4.2114078871424857E-3</c:v>
                </c:pt>
                <c:pt idx="301">
                  <c:v>-4.2112908691471921E-3</c:v>
                </c:pt>
                <c:pt idx="302">
                  <c:v>-4.2111710268910732E-3</c:v>
                </c:pt>
                <c:pt idx="303">
                  <c:v>-4.2110483606938734E-3</c:v>
                </c:pt>
                <c:pt idx="304">
                  <c:v>-4.2107443637862266E-3</c:v>
                </c:pt>
                <c:pt idx="305">
                  <c:v>-4.2105294587724421E-3</c:v>
                </c:pt>
                <c:pt idx="306">
                  <c:v>-4.2103926746683987E-3</c:v>
                </c:pt>
                <c:pt idx="307">
                  <c:v>-4.2102530673826669E-3</c:v>
                </c:pt>
                <c:pt idx="308">
                  <c:v>-4.2101106369152467E-3</c:v>
                </c:pt>
                <c:pt idx="309">
                  <c:v>-4.2097671374329432E-3</c:v>
                </c:pt>
                <c:pt idx="310">
                  <c:v>-4.2095126873853564E-3</c:v>
                </c:pt>
                <c:pt idx="311">
                  <c:v>-4.2093561435274799E-3</c:v>
                </c:pt>
                <c:pt idx="312">
                  <c:v>-4.2091967776070197E-3</c:v>
                </c:pt>
                <c:pt idx="313">
                  <c:v>-4.2090345893841677E-3</c:v>
                </c:pt>
                <c:pt idx="314">
                  <c:v>-4.2086516036210645E-3</c:v>
                </c:pt>
                <c:pt idx="315">
                  <c:v>-4.2083576180251972E-3</c:v>
                </c:pt>
                <c:pt idx="316">
                  <c:v>-4.2081813212080524E-3</c:v>
                </c:pt>
                <c:pt idx="317">
                  <c:v>-4.2080022029278444E-3</c:v>
                </c:pt>
                <c:pt idx="318">
                  <c:v>-4.2078202635043175E-3</c:v>
                </c:pt>
                <c:pt idx="319">
                  <c:v>-4.2073978075407728E-3</c:v>
                </c:pt>
                <c:pt idx="320">
                  <c:v>-4.2070642962954855E-3</c:v>
                </c:pt>
                <c:pt idx="321">
                  <c:v>-4.2068682526741489E-3</c:v>
                </c:pt>
                <c:pt idx="322">
                  <c:v>-4.2066693886289178E-3</c:v>
                </c:pt>
                <c:pt idx="323">
                  <c:v>-4.2064677044795365E-3</c:v>
                </c:pt>
                <c:pt idx="324">
                  <c:v>-4.2060057943693755E-3</c:v>
                </c:pt>
                <c:pt idx="325">
                  <c:v>-4.2056349375038226E-3</c:v>
                </c:pt>
                <c:pt idx="326">
                  <c:v>-4.2054321766960149E-3</c:v>
                </c:pt>
                <c:pt idx="327">
                  <c:v>-4.2052396187264455E-3</c:v>
                </c:pt>
                <c:pt idx="328">
                  <c:v>-4.2050572631158337E-3</c:v>
                </c:pt>
                <c:pt idx="329">
                  <c:v>-4.2046774473902962E-3</c:v>
                </c:pt>
                <c:pt idx="330">
                  <c:v>-4.2044298550303486E-3</c:v>
                </c:pt>
                <c:pt idx="331">
                  <c:v>-4.2042985042201201E-3</c:v>
                </c:pt>
                <c:pt idx="332">
                  <c:v>-4.2041773530110552E-3</c:v>
                </c:pt>
                <c:pt idx="333">
                  <c:v>-4.2040664006837295E-3</c:v>
                </c:pt>
                <c:pt idx="334">
                  <c:v>-4.2038294003976665E-3</c:v>
                </c:pt>
                <c:pt idx="335">
                  <c:v>-4.2037245727177966E-3</c:v>
                </c:pt>
                <c:pt idx="336">
                  <c:v>-4.2036646086440902E-3</c:v>
                </c:pt>
                <c:pt idx="337">
                  <c:v>-4.2036148406543608E-3</c:v>
                </c:pt>
                <c:pt idx="338">
                  <c:v>-4.2035752685487685E-3</c:v>
                </c:pt>
                <c:pt idx="339">
                  <c:v>-4.2034810251623403E-3</c:v>
                </c:pt>
                <c:pt idx="340">
                  <c:v>-4.2035189271772003E-3</c:v>
                </c:pt>
                <c:pt idx="341">
                  <c:v>-4.2035303264983514E-3</c:v>
                </c:pt>
                <c:pt idx="342">
                  <c:v>-4.2035519185468365E-3</c:v>
                </c:pt>
                <c:pt idx="343">
                  <c:v>-4.2035837030418724E-3</c:v>
                </c:pt>
                <c:pt idx="344">
                  <c:v>-4.2036321584149198E-3</c:v>
                </c:pt>
                <c:pt idx="345">
                  <c:v>-4.2038127551391616E-3</c:v>
                </c:pt>
                <c:pt idx="346">
                  <c:v>-4.2038954943946086E-3</c:v>
                </c:pt>
                <c:pt idx="347">
                  <c:v>-4.203988423139308E-3</c:v>
                </c:pt>
                <c:pt idx="348">
                  <c:v>-4.2040915410135474E-3</c:v>
                </c:pt>
                <c:pt idx="349">
                  <c:v>-4.2042826368060707E-3</c:v>
                </c:pt>
                <c:pt idx="350">
                  <c:v>-4.2046058932543465E-3</c:v>
                </c:pt>
                <c:pt idx="351">
                  <c:v>-4.2047599491423929E-3</c:v>
                </c:pt>
                <c:pt idx="352">
                  <c:v>-4.2049241912023453E-3</c:v>
                </c:pt>
                <c:pt idx="353">
                  <c:v>-4.2050986191943954E-3</c:v>
                </c:pt>
                <c:pt idx="354">
                  <c:v>-4.2054322969731365E-3</c:v>
                </c:pt>
                <c:pt idx="355">
                  <c:v>-4.2058981780934849E-3</c:v>
                </c:pt>
                <c:pt idx="356">
                  <c:v>-4.2061235274326739E-3</c:v>
                </c:pt>
                <c:pt idx="357">
                  <c:v>-4.2063590595864545E-3</c:v>
                </c:pt>
                <c:pt idx="358">
                  <c:v>-4.2066047739549705E-3</c:v>
                </c:pt>
                <c:pt idx="359">
                  <c:v>-4.207080975686687E-3</c:v>
                </c:pt>
                <c:pt idx="360">
                  <c:v>-4.2076894464671147E-3</c:v>
                </c:pt>
                <c:pt idx="361">
                  <c:v>-4.2079860656763094E-3</c:v>
                </c:pt>
                <c:pt idx="362">
                  <c:v>-4.2082928645825893E-3</c:v>
                </c:pt>
                <c:pt idx="363">
                  <c:v>-4.2086098423466259E-3</c:v>
                </c:pt>
                <c:pt idx="364">
                  <c:v>-4.2092285092909668E-3</c:v>
                </c:pt>
                <c:pt idx="365">
                  <c:v>-4.2099795345462857E-3</c:v>
                </c:pt>
                <c:pt idx="366">
                  <c:v>-4.2103474006438693E-3</c:v>
                </c:pt>
                <c:pt idx="367">
                  <c:v>-4.2107254426016075E-3</c:v>
                </c:pt>
                <c:pt idx="368">
                  <c:v>-4.2111136605394043E-3</c:v>
                </c:pt>
                <c:pt idx="369">
                  <c:v>-4.2118747342501242E-3</c:v>
                </c:pt>
                <c:pt idx="370">
                  <c:v>-4.2127682790615998E-3</c:v>
                </c:pt>
                <c:pt idx="371">
                  <c:v>-4.2132073682266272E-3</c:v>
                </c:pt>
                <c:pt idx="372">
                  <c:v>-4.213656630294175E-3</c:v>
                </c:pt>
                <c:pt idx="373">
                  <c:v>-4.2141160646647228E-3</c:v>
                </c:pt>
                <c:pt idx="374">
                  <c:v>-4.2150194866818064E-3</c:v>
                </c:pt>
                <c:pt idx="375">
                  <c:v>-4.2160555158643623E-3</c:v>
                </c:pt>
                <c:pt idx="376">
                  <c:v>-4.2165658049153768E-3</c:v>
                </c:pt>
                <c:pt idx="377">
                  <c:v>-4.2170862633517251E-3</c:v>
                </c:pt>
                <c:pt idx="378">
                  <c:v>-4.2176168906138548E-3</c:v>
                </c:pt>
                <c:pt idx="379">
                  <c:v>-4.2186626025175903E-3</c:v>
                </c:pt>
                <c:pt idx="380">
                  <c:v>-4.2198410808858148E-3</c:v>
                </c:pt>
                <c:pt idx="381">
                  <c:v>-4.2204225462017112E-3</c:v>
                </c:pt>
                <c:pt idx="382">
                  <c:v>-4.221014177545627E-3</c:v>
                </c:pt>
                <c:pt idx="383">
                  <c:v>-4.221615974677754E-3</c:v>
                </c:pt>
                <c:pt idx="384">
                  <c:v>-4.2228039172753787E-3</c:v>
                </c:pt>
                <c:pt idx="385">
                  <c:v>-4.2241248095775822E-3</c:v>
                </c:pt>
                <c:pt idx="386">
                  <c:v>-4.2247774277370956E-3</c:v>
                </c:pt>
                <c:pt idx="387">
                  <c:v>-4.2254402086072821E-3</c:v>
                </c:pt>
                <c:pt idx="388">
                  <c:v>-4.2261131516685571E-3</c:v>
                </c:pt>
                <c:pt idx="389">
                  <c:v>-4.2274432663268599E-3</c:v>
                </c:pt>
                <c:pt idx="390">
                  <c:v>-4.228902339988864E-3</c:v>
                </c:pt>
                <c:pt idx="391">
                  <c:v>-4.2296009045150887E-3</c:v>
                </c:pt>
                <c:pt idx="392">
                  <c:v>-4.2302844463782E-3</c:v>
                </c:pt>
                <c:pt idx="393">
                  <c:v>-4.2309529666173665E-3</c:v>
                </c:pt>
                <c:pt idx="394">
                  <c:v>-4.2321901832664969E-3</c:v>
                </c:pt>
                <c:pt idx="395">
                  <c:v>-4.2334768444440988E-3</c:v>
                </c:pt>
                <c:pt idx="396">
                  <c:v>-4.2340702665555488E-3</c:v>
                </c:pt>
                <c:pt idx="397">
                  <c:v>-4.2346486711997292E-3</c:v>
                </c:pt>
                <c:pt idx="398">
                  <c:v>-4.2352120589761602E-3</c:v>
                </c:pt>
                <c:pt idx="399">
                  <c:v>-4.2362389320427388E-3</c:v>
                </c:pt>
                <c:pt idx="400">
                  <c:v>-4.2373154564723384E-3</c:v>
                </c:pt>
                <c:pt idx="401">
                  <c:v>-4.2378037708212949E-3</c:v>
                </c:pt>
                <c:pt idx="402">
                  <c:v>-4.2382770725391131E-3</c:v>
                </c:pt>
                <c:pt idx="403">
                  <c:v>-4.2387353626249938E-3</c:v>
                </c:pt>
                <c:pt idx="404">
                  <c:v>-4.2399052844083766E-3</c:v>
                </c:pt>
                <c:pt idx="405">
                  <c:v>-4.2411698922029265E-3</c:v>
                </c:pt>
                <c:pt idx="406">
                  <c:v>-4.2415231187309535E-3</c:v>
                </c:pt>
                <c:pt idx="407">
                  <c:v>-4.2422561680322138E-3</c:v>
                </c:pt>
                <c:pt idx="408">
                  <c:v>-4.2430641719759668E-3</c:v>
                </c:pt>
                <c:pt idx="409">
                  <c:v>-4.2433273716380318E-3</c:v>
                </c:pt>
                <c:pt idx="410">
                  <c:v>-4.2435755695402625E-3</c:v>
                </c:pt>
                <c:pt idx="411">
                  <c:v>-4.2439719294584824E-3</c:v>
                </c:pt>
                <c:pt idx="412">
                  <c:v>-4.2444183545020811E-3</c:v>
                </c:pt>
                <c:pt idx="413">
                  <c:v>-4.2445915529176906E-3</c:v>
                </c:pt>
                <c:pt idx="414">
                  <c:v>-4.2447497536901727E-3</c:v>
                </c:pt>
                <c:pt idx="415">
                  <c:v>-4.2448929570193675E-3</c:v>
                </c:pt>
                <c:pt idx="416">
                  <c:v>-4.2450793191450989E-3</c:v>
                </c:pt>
                <c:pt idx="417">
                  <c:v>-4.2453158151278961E-3</c:v>
                </c:pt>
                <c:pt idx="418">
                  <c:v>-4.2453840440304239E-3</c:v>
                </c:pt>
                <c:pt idx="419">
                  <c:v>-4.2454372800057125E-3</c:v>
                </c:pt>
                <c:pt idx="420">
                  <c:v>-4.2454755241339162E-3</c:v>
                </c:pt>
                <c:pt idx="421">
                  <c:v>-4.2454519748647149E-3</c:v>
                </c:pt>
                <c:pt idx="422">
                  <c:v>-4.2454785934387266E-3</c:v>
                </c:pt>
                <c:pt idx="423">
                  <c:v>-4.2454418875603897E-3</c:v>
                </c:pt>
                <c:pt idx="424">
                  <c:v>-4.2453901938710606E-3</c:v>
                </c:pt>
                <c:pt idx="425">
                  <c:v>-4.2453235131301318E-3</c:v>
                </c:pt>
                <c:pt idx="426">
                  <c:v>-4.2450901389967802E-3</c:v>
                </c:pt>
                <c:pt idx="427">
                  <c:v>-4.244906932240348E-3</c:v>
                </c:pt>
                <c:pt idx="428">
                  <c:v>-4.2447653263932997E-3</c:v>
                </c:pt>
                <c:pt idx="429">
                  <c:v>-4.2446087374514866E-3</c:v>
                </c:pt>
                <c:pt idx="430">
                  <c:v>-4.2444371662942052E-3</c:v>
                </c:pt>
                <c:pt idx="431">
                  <c:v>-4.2439940541605528E-3</c:v>
                </c:pt>
                <c:pt idx="432">
                  <c:v>-4.2436010741386957E-3</c:v>
                </c:pt>
                <c:pt idx="433">
                  <c:v>-4.2433546027354089E-3</c:v>
                </c:pt>
                <c:pt idx="434">
                  <c:v>-4.2430931531134567E-3</c:v>
                </c:pt>
                <c:pt idx="435">
                  <c:v>-4.2428167263916048E-3</c:v>
                </c:pt>
                <c:pt idx="436">
                  <c:v>-4.2421639626155786E-3</c:v>
                </c:pt>
                <c:pt idx="437">
                  <c:v>-4.2415612610202805E-3</c:v>
                </c:pt>
                <c:pt idx="438">
                  <c:v>-4.2412099587530042E-3</c:v>
                </c:pt>
                <c:pt idx="439">
                  <c:v>-4.2408436832230981E-3</c:v>
                </c:pt>
                <c:pt idx="440">
                  <c:v>-4.240462435469731E-3</c:v>
                </c:pt>
                <c:pt idx="441">
                  <c:v>-4.2396001063682723E-3</c:v>
                </c:pt>
                <c:pt idx="442">
                  <c:v>-4.2387877352112616E-3</c:v>
                </c:pt>
                <c:pt idx="443">
                  <c:v>-4.2383316364125326E-3</c:v>
                </c:pt>
                <c:pt idx="444">
                  <c:v>-4.2378605695869856E-3</c:v>
                </c:pt>
                <c:pt idx="445">
                  <c:v>-4.2373745351343009E-3</c:v>
                </c:pt>
                <c:pt idx="446">
                  <c:v>-4.2363027271053047E-3</c:v>
                </c:pt>
                <c:pt idx="447">
                  <c:v>-4.2352807381585015E-3</c:v>
                </c:pt>
                <c:pt idx="448">
                  <c:v>-4.2347198774006648E-3</c:v>
                </c:pt>
                <c:pt idx="449">
                  <c:v>-4.2341440534521416E-3</c:v>
                </c:pt>
                <c:pt idx="450">
                  <c:v>-4.2335532670723245E-3</c:v>
                </c:pt>
                <c:pt idx="451">
                  <c:v>-4.2322575191765651E-3</c:v>
                </c:pt>
                <c:pt idx="452">
                  <c:v>-4.2309807070273356E-3</c:v>
                </c:pt>
                <c:pt idx="453">
                  <c:v>-4.2302763288315651E-3</c:v>
                </c:pt>
                <c:pt idx="454">
                  <c:v>-4.2295472957176875E-3</c:v>
                </c:pt>
                <c:pt idx="455">
                  <c:v>-4.2287936092044879E-3</c:v>
                </c:pt>
                <c:pt idx="456">
                  <c:v>-4.2271544270011821E-3</c:v>
                </c:pt>
                <c:pt idx="457">
                  <c:v>-4.2255323512607893E-3</c:v>
                </c:pt>
                <c:pt idx="458">
                  <c:v>-4.2246554144176477E-3</c:v>
                </c:pt>
                <c:pt idx="459">
                  <c:v>-4.2237538311296211E-3</c:v>
                </c:pt>
                <c:pt idx="460">
                  <c:v>-4.2228276024358783E-3</c:v>
                </c:pt>
                <c:pt idx="461">
                  <c:v>-4.2208435105983858E-3</c:v>
                </c:pt>
                <c:pt idx="462">
                  <c:v>-4.2188762557860008E-3</c:v>
                </c:pt>
                <c:pt idx="463">
                  <c:v>-4.2178268172099612E-3</c:v>
                </c:pt>
                <c:pt idx="464">
                  <c:v>-4.2167527398628982E-3</c:v>
                </c:pt>
                <c:pt idx="465">
                  <c:v>-4.2156540252236288E-3</c:v>
                </c:pt>
                <c:pt idx="466">
                  <c:v>-4.213325164412654E-3</c:v>
                </c:pt>
                <c:pt idx="467">
                  <c:v>-4.2110128153272234E-3</c:v>
                </c:pt>
                <c:pt idx="468">
                  <c:v>-4.209790930653782E-3</c:v>
                </c:pt>
                <c:pt idx="469">
                  <c:v>-4.2085444155626353E-3</c:v>
                </c:pt>
                <c:pt idx="470">
                  <c:v>-4.2045342571572922E-3</c:v>
                </c:pt>
                <c:pt idx="471">
                  <c:v>-4.2005481471152498E-3</c:v>
                </c:pt>
                <c:pt idx="472">
                  <c:v>-4.1991292499155156E-3</c:v>
                </c:pt>
                <c:pt idx="473">
                  <c:v>-4.1976857314107866E-3</c:v>
                </c:pt>
                <c:pt idx="474">
                  <c:v>-4.1946677518112244E-3</c:v>
                </c:pt>
                <c:pt idx="475">
                  <c:v>-4.1916654652052335E-3</c:v>
                </c:pt>
                <c:pt idx="476">
                  <c:v>-4.1900988563226141E-3</c:v>
                </c:pt>
                <c:pt idx="477">
                  <c:v>-4.1885076327696927E-3</c:v>
                </c:pt>
                <c:pt idx="478">
                  <c:v>-4.1868917956256061E-3</c:v>
                </c:pt>
                <c:pt idx="479">
                  <c:v>-4.1835294644254764E-3</c:v>
                </c:pt>
                <c:pt idx="480">
                  <c:v>-4.1801823340392877E-3</c:v>
                </c:pt>
                <c:pt idx="481">
                  <c:v>-4.1784434459654213E-3</c:v>
                </c:pt>
                <c:pt idx="482">
                  <c:v>-4.1766799510956224E-3</c:v>
                </c:pt>
                <c:pt idx="483">
                  <c:v>-4.174891850468058E-3</c:v>
                </c:pt>
                <c:pt idx="484">
                  <c:v>-4.1711853049308948E-3</c:v>
                </c:pt>
                <c:pt idx="485">
                  <c:v>-4.1674934132851652E-3</c:v>
                </c:pt>
                <c:pt idx="486">
                  <c:v>-4.1655823007769191E-3</c:v>
                </c:pt>
                <c:pt idx="487">
                  <c:v>-4.1636465894257105E-3</c:v>
                </c:pt>
                <c:pt idx="488">
                  <c:v>-4.1616862799909319E-3</c:v>
                </c:pt>
                <c:pt idx="489">
                  <c:v>-4.1576356562478415E-3</c:v>
                </c:pt>
                <c:pt idx="490">
                  <c:v>-4.1525334944414608E-3</c:v>
                </c:pt>
                <c:pt idx="491">
                  <c:v>-4.1494079290949207E-3</c:v>
                </c:pt>
                <c:pt idx="492">
                  <c:v>-4.1472754652094471E-3</c:v>
                </c:pt>
                <c:pt idx="493">
                  <c:v>-4.1428808982191404E-3</c:v>
                </c:pt>
                <c:pt idx="494">
                  <c:v>-4.138499729311477E-3</c:v>
                </c:pt>
                <c:pt idx="495">
                  <c:v>-4.1362443306436495E-3</c:v>
                </c:pt>
                <c:pt idx="496">
                  <c:v>-4.133964348440284E-3</c:v>
                </c:pt>
                <c:pt idx="497">
                  <c:v>-4.1316597837415406E-3</c:v>
                </c:pt>
                <c:pt idx="498">
                  <c:v>-4.1269214071837515E-3</c:v>
                </c:pt>
                <c:pt idx="499">
                  <c:v>-4.1221957208082008E-3</c:v>
                </c:pt>
                <c:pt idx="500">
                  <c:v>-4.1197682594562727E-3</c:v>
                </c:pt>
                <c:pt idx="501">
                  <c:v>-4.1173162220031903E-3</c:v>
                </c:pt>
                <c:pt idx="502">
                  <c:v>-4.1148396096879628E-3</c:v>
                </c:pt>
                <c:pt idx="503">
                  <c:v>-4.1097575557636082E-3</c:v>
                </c:pt>
                <c:pt idx="504">
                  <c:v>-4.1046874316297425E-3</c:v>
                </c:pt>
                <c:pt idx="505">
                  <c:v>-4.1020879604314478E-3</c:v>
                </c:pt>
                <c:pt idx="506">
                  <c:v>-4.0994639205260844E-3</c:v>
                </c:pt>
                <c:pt idx="507">
                  <c:v>-4.0968153131526611E-3</c:v>
                </c:pt>
                <c:pt idx="508">
                  <c:v>-4.0913897126770996E-3</c:v>
                </c:pt>
                <c:pt idx="509">
                  <c:v>-4.0859752298017119E-3</c:v>
                </c:pt>
                <c:pt idx="510">
                  <c:v>-4.0832038007554564E-3</c:v>
                </c:pt>
                <c:pt idx="511">
                  <c:v>-4.0804078105960576E-3</c:v>
                </c:pt>
                <c:pt idx="512">
                  <c:v>-4.0775872602427802E-3</c:v>
                </c:pt>
                <c:pt idx="513">
                  <c:v>-4.0718182422194863E-3</c:v>
                </c:pt>
                <c:pt idx="514">
                  <c:v>-4.0660632898248542E-3</c:v>
                </c:pt>
                <c:pt idx="515">
                  <c:v>-4.0631428210380497E-3</c:v>
                </c:pt>
                <c:pt idx="516">
                  <c:v>-4.0602206636419927E-3</c:v>
                </c:pt>
                <c:pt idx="517">
                  <c:v>-4.0572968180363636E-3</c:v>
                </c:pt>
                <c:pt idx="518">
                  <c:v>-4.0513979037992845E-3</c:v>
                </c:pt>
                <c:pt idx="519">
                  <c:v>-4.0455845511999803E-3</c:v>
                </c:pt>
                <c:pt idx="520">
                  <c:v>-4.0426522634667067E-3</c:v>
                </c:pt>
                <c:pt idx="521">
                  <c:v>-4.039718287445219E-3</c:v>
                </c:pt>
                <c:pt idx="522">
                  <c:v>-4.0367826229337359E-3</c:v>
                </c:pt>
                <c:pt idx="523">
                  <c:v>-4.030860532449069E-3</c:v>
                </c:pt>
                <c:pt idx="524">
                  <c:v>-4.0250230815131044E-3</c:v>
                </c:pt>
                <c:pt idx="525">
                  <c:v>-4.0220789752343361E-3</c:v>
                </c:pt>
                <c:pt idx="526">
                  <c:v>-4.0191331807859637E-3</c:v>
                </c:pt>
                <c:pt idx="527">
                  <c:v>-4.0161856978082749E-3</c:v>
                </c:pt>
                <c:pt idx="528">
                  <c:v>-4.0102404311826018E-3</c:v>
                </c:pt>
                <c:pt idx="529">
                  <c:v>-4.0043788830024379E-3</c:v>
                </c:pt>
                <c:pt idx="530">
                  <c:v>-4.0014229584972721E-3</c:v>
                </c:pt>
                <c:pt idx="531">
                  <c:v>-3.9984653456226621E-3</c:v>
                </c:pt>
                <c:pt idx="532">
                  <c:v>-3.995506044658384E-3</c:v>
                </c:pt>
                <c:pt idx="533">
                  <c:v>-3.9895376017318324E-3</c:v>
                </c:pt>
                <c:pt idx="534">
                  <c:v>-3.9836519573866053E-3</c:v>
                </c:pt>
                <c:pt idx="535">
                  <c:v>-3.9806842147749461E-3</c:v>
                </c:pt>
                <c:pt idx="536">
                  <c:v>-3.9777147838737786E-3</c:v>
                </c:pt>
                <c:pt idx="537">
                  <c:v>-3.9747436649229112E-3</c:v>
                </c:pt>
                <c:pt idx="538">
                  <c:v>-3.968752045535609E-3</c:v>
                </c:pt>
                <c:pt idx="539">
                  <c:v>-3.9628423058646473E-3</c:v>
                </c:pt>
                <c:pt idx="540">
                  <c:v>-3.9598627453863028E-3</c:v>
                </c:pt>
                <c:pt idx="541">
                  <c:v>-3.9568814967383542E-3</c:v>
                </c:pt>
                <c:pt idx="542">
                  <c:v>-3.9538985596809934E-3</c:v>
                </c:pt>
                <c:pt idx="543">
                  <c:v>-3.9478837638196179E-3</c:v>
                </c:pt>
                <c:pt idx="544">
                  <c:v>-3.9419499295157007E-3</c:v>
                </c:pt>
                <c:pt idx="545">
                  <c:v>-3.9389585514104791E-3</c:v>
                </c:pt>
                <c:pt idx="546">
                  <c:v>-3.9359654849358133E-3</c:v>
                </c:pt>
                <c:pt idx="547">
                  <c:v>-3.9329707302515754E-3</c:v>
                </c:pt>
                <c:pt idx="548">
                  <c:v>-3.9269327571300888E-3</c:v>
                </c:pt>
                <c:pt idx="549">
                  <c:v>-3.9209748290991581E-3</c:v>
                </c:pt>
                <c:pt idx="550">
                  <c:v>-3.9179716333270914E-3</c:v>
                </c:pt>
                <c:pt idx="551">
                  <c:v>-3.9149667492655166E-3</c:v>
                </c:pt>
                <c:pt idx="552">
                  <c:v>-3.9119601768344975E-3</c:v>
                </c:pt>
                <c:pt idx="553">
                  <c:v>-3.9058990260530113E-3</c:v>
                </c:pt>
                <c:pt idx="554">
                  <c:v>-3.8999170051346038E-3</c:v>
                </c:pt>
                <c:pt idx="555">
                  <c:v>-3.89690199153582E-3</c:v>
                </c:pt>
                <c:pt idx="556">
                  <c:v>-3.8938852898074E-3</c:v>
                </c:pt>
                <c:pt idx="557">
                  <c:v>-3.8908668997894719E-3</c:v>
                </c:pt>
                <c:pt idx="558">
                  <c:v>-3.8847825705890099E-3</c:v>
                </c:pt>
                <c:pt idx="559">
                  <c:v>-3.8787764573022937E-3</c:v>
                </c:pt>
                <c:pt idx="560">
                  <c:v>-3.8757496259567287E-3</c:v>
                </c:pt>
                <c:pt idx="561">
                  <c:v>-3.8727211067213357E-3</c:v>
                </c:pt>
                <c:pt idx="562">
                  <c:v>-3.8696908988367223E-3</c:v>
                </c:pt>
                <c:pt idx="563">
                  <c:v>-3.8635833905109745E-3</c:v>
                </c:pt>
                <c:pt idx="564">
                  <c:v>-3.8575531855222916E-3</c:v>
                </c:pt>
                <c:pt idx="565">
                  <c:v>-3.8545145363500094E-3</c:v>
                </c:pt>
                <c:pt idx="566">
                  <c:v>-3.8514741992079632E-3</c:v>
                </c:pt>
                <c:pt idx="567">
                  <c:v>-3.8484321736165367E-3</c:v>
                </c:pt>
                <c:pt idx="568">
                  <c:v>-3.8423014851529792E-3</c:v>
                </c:pt>
                <c:pt idx="569">
                  <c:v>-3.8362471888753326E-3</c:v>
                </c:pt>
                <c:pt idx="570">
                  <c:v>-3.8331967218763331E-3</c:v>
                </c:pt>
                <c:pt idx="571">
                  <c:v>-3.8301445667077295E-3</c:v>
                </c:pt>
                <c:pt idx="572">
                  <c:v>-3.8270907232496178E-3</c:v>
                </c:pt>
                <c:pt idx="573">
                  <c:v>-3.8209368536756961E-3</c:v>
                </c:pt>
                <c:pt idx="574">
                  <c:v>-3.8148584663622166E-3</c:v>
                </c:pt>
                <c:pt idx="575">
                  <c:v>-3.8117961814565639E-3</c:v>
                </c:pt>
                <c:pt idx="576">
                  <c:v>-3.8087322081414988E-3</c:v>
                </c:pt>
                <c:pt idx="577">
                  <c:v>-3.8056665465768936E-3</c:v>
                </c:pt>
                <c:pt idx="578">
                  <c:v>-3.7994894946003078E-3</c:v>
                </c:pt>
                <c:pt idx="579">
                  <c:v>-3.7933870776951785E-3</c:v>
                </c:pt>
                <c:pt idx="580">
                  <c:v>-3.7903133390715517E-3</c:v>
                </c:pt>
                <c:pt idx="581">
                  <c:v>-3.7872382768267122E-3</c:v>
                </c:pt>
                <c:pt idx="582">
                  <c:v>-3.7841618909606601E-3</c:v>
                </c:pt>
                <c:pt idx="583">
                  <c:v>-3.7779650587932557E-3</c:v>
                </c:pt>
                <c:pt idx="584">
                  <c:v>-3.7718431101246494E-3</c:v>
                </c:pt>
                <c:pt idx="585">
                  <c:v>-3.7687601053138088E-3</c:v>
                </c:pt>
                <c:pt idx="586">
                  <c:v>-3.7656757770410244E-3</c:v>
                </c:pt>
                <c:pt idx="587">
                  <c:v>-3.7625901245075389E-3</c:v>
                </c:pt>
                <c:pt idx="588">
                  <c:v>-3.7563752110969652E-3</c:v>
                </c:pt>
                <c:pt idx="589">
                  <c:v>-3.7502342766826536E-3</c:v>
                </c:pt>
                <c:pt idx="590">
                  <c:v>-3.7471420048840322E-3</c:v>
                </c:pt>
                <c:pt idx="591">
                  <c:v>-3.7440484090245497E-3</c:v>
                </c:pt>
                <c:pt idx="592">
                  <c:v>-3.7409534893839825E-3</c:v>
                </c:pt>
                <c:pt idx="593">
                  <c:v>-3.734720490919954E-3</c:v>
                </c:pt>
                <c:pt idx="594">
                  <c:v>-3.7285605698933601E-3</c:v>
                </c:pt>
                <c:pt idx="595">
                  <c:v>-3.7254590299085201E-3</c:v>
                </c:pt>
                <c:pt idx="596">
                  <c:v>-3.7223561657429146E-3</c:v>
                </c:pt>
                <c:pt idx="597">
                  <c:v>-3.7192519773166085E-3</c:v>
                </c:pt>
                <c:pt idx="598">
                  <c:v>-3.7130008906283282E-3</c:v>
                </c:pt>
                <c:pt idx="599">
                  <c:v>-3.7068219819636058E-3</c:v>
                </c:pt>
                <c:pt idx="600">
                  <c:v>-3.7037111726734425E-3</c:v>
                </c:pt>
                <c:pt idx="601">
                  <c:v>-3.7005990387628659E-3</c:v>
                </c:pt>
                <c:pt idx="602">
                  <c:v>-3.6974855807114923E-3</c:v>
                </c:pt>
                <c:pt idx="603">
                  <c:v>-3.6912164020552881E-3</c:v>
                </c:pt>
                <c:pt idx="604">
                  <c:v>-3.6850185046999459E-3</c:v>
                </c:pt>
                <c:pt idx="605">
                  <c:v>-3.6818984247855143E-3</c:v>
                </c:pt>
                <c:pt idx="606">
                  <c:v>-3.6787770201707334E-3</c:v>
                </c:pt>
                <c:pt idx="607">
                  <c:v>-3.6756542912552833E-3</c:v>
                </c:pt>
                <c:pt idx="608">
                  <c:v>-3.6693670168075473E-3</c:v>
                </c:pt>
                <c:pt idx="609">
                  <c:v>-3.6631501297490618E-3</c:v>
                </c:pt>
                <c:pt idx="610">
                  <c:v>-3.660020777891417E-3</c:v>
                </c:pt>
                <c:pt idx="611">
                  <c:v>-3.656890101453327E-3</c:v>
                </c:pt>
                <c:pt idx="612">
                  <c:v>-3.6537581002749195E-3</c:v>
                </c:pt>
                <c:pt idx="613">
                  <c:v>-3.6474527262653341E-3</c:v>
                </c:pt>
                <c:pt idx="614">
                  <c:v>-3.6412168483579551E-3</c:v>
                </c:pt>
                <c:pt idx="615">
                  <c:v>-3.6380782233980244E-3</c:v>
                </c:pt>
                <c:pt idx="616">
                  <c:v>-3.634938273577872E-3</c:v>
                </c:pt>
                <c:pt idx="617">
                  <c:v>-3.6317969990567896E-3</c:v>
                </c:pt>
                <c:pt idx="618">
                  <c:v>-3.6254735215690689E-3</c:v>
                </c:pt>
                <c:pt idx="619">
                  <c:v>-3.6192186514938515E-3</c:v>
                </c:pt>
                <c:pt idx="620">
                  <c:v>-3.6160707521126897E-3</c:v>
                </c:pt>
                <c:pt idx="621">
                  <c:v>-3.6129215277913703E-3</c:v>
                </c:pt>
                <c:pt idx="622">
                  <c:v>-3.6097709784499573E-3</c:v>
                </c:pt>
                <c:pt idx="623">
                  <c:v>-3.6034293935261049E-3</c:v>
                </c:pt>
                <c:pt idx="624">
                  <c:v>-3.5971555299241357E-3</c:v>
                </c:pt>
                <c:pt idx="625">
                  <c:v>-3.5939983547628299E-3</c:v>
                </c:pt>
                <c:pt idx="626">
                  <c:v>-3.5908398546213986E-3</c:v>
                </c:pt>
                <c:pt idx="627">
                  <c:v>-3.5876800291401293E-3</c:v>
                </c:pt>
                <c:pt idx="628">
                  <c:v>-3.5813203325574376E-3</c:v>
                </c:pt>
                <c:pt idx="629">
                  <c:v>-3.5750274741364178E-3</c:v>
                </c:pt>
                <c:pt idx="630">
                  <c:v>-3.5718610219959272E-3</c:v>
                </c:pt>
                <c:pt idx="631">
                  <c:v>-3.5686932444356626E-3</c:v>
                </c:pt>
                <c:pt idx="632">
                  <c:v>-3.5655241413756881E-3</c:v>
                </c:pt>
                <c:pt idx="633">
                  <c:v>-3.5591463290041273E-3</c:v>
                </c:pt>
                <c:pt idx="634">
                  <c:v>-3.5528344742985622E-3</c:v>
                </c:pt>
                <c:pt idx="635">
                  <c:v>-3.5496587436601016E-3</c:v>
                </c:pt>
                <c:pt idx="636">
                  <c:v>-3.5464816873220909E-3</c:v>
                </c:pt>
                <c:pt idx="637">
                  <c:v>-3.5433033054044342E-3</c:v>
                </c:pt>
                <c:pt idx="638">
                  <c:v>-3.5369073727276172E-3</c:v>
                </c:pt>
                <c:pt idx="639">
                  <c:v>-3.5305765204185617E-3</c:v>
                </c:pt>
                <c:pt idx="640">
                  <c:v>-3.5273915097633461E-3</c:v>
                </c:pt>
                <c:pt idx="641">
                  <c:v>-3.5242051732087402E-3</c:v>
                </c:pt>
                <c:pt idx="642">
                  <c:v>-3.5210175107947121E-3</c:v>
                </c:pt>
                <c:pt idx="643">
                  <c:v>-3.514603453482769E-3</c:v>
                </c:pt>
                <c:pt idx="644">
                  <c:v>-3.5082571108979847E-3</c:v>
                </c:pt>
                <c:pt idx="645">
                  <c:v>-3.5050838716666048E-3</c:v>
                </c:pt>
                <c:pt idx="646">
                  <c:v>-3.50193035889569E-3</c:v>
                </c:pt>
                <c:pt idx="647">
                  <c:v>-3.4987965713462314E-3</c:v>
                </c:pt>
                <c:pt idx="648">
                  <c:v>-3.49256085962573E-3</c:v>
                </c:pt>
                <c:pt idx="649">
                  <c:v>-3.4864586584948524E-3</c:v>
                </c:pt>
                <c:pt idx="650">
                  <c:v>-3.4834234853820104E-3</c:v>
                </c:pt>
                <c:pt idx="651">
                  <c:v>-3.4804080324946211E-3</c:v>
                </c:pt>
                <c:pt idx="652">
                  <c:v>-3.4774122990333233E-3</c:v>
                </c:pt>
                <c:pt idx="653">
                  <c:v>-3.4714530846047375E-3</c:v>
                </c:pt>
                <c:pt idx="654">
                  <c:v>-3.4656265442612032E-3</c:v>
                </c:pt>
                <c:pt idx="655">
                  <c:v>-3.4627293960598615E-3</c:v>
                </c:pt>
                <c:pt idx="656">
                  <c:v>-3.4598519624085122E-3</c:v>
                </c:pt>
                <c:pt idx="657">
                  <c:v>-3.4569942422679866E-3</c:v>
                </c:pt>
                <c:pt idx="658">
                  <c:v>-3.4513114222667462E-3</c:v>
                </c:pt>
                <c:pt idx="659">
                  <c:v>-3.4429749598530301E-3</c:v>
                </c:pt>
                <c:pt idx="660">
                  <c:v>-3.4375421166377273E-3</c:v>
                </c:pt>
                <c:pt idx="661">
                  <c:v>-3.4321355900379779E-3</c:v>
                </c:pt>
                <c:pt idx="662">
                  <c:v>-3.4255332840094199E-3</c:v>
                </c:pt>
                <c:pt idx="663">
                  <c:v>-3.4216374557694117E-3</c:v>
                </c:pt>
                <c:pt idx="664">
                  <c:v>-3.4190556416469186E-3</c:v>
                </c:pt>
                <c:pt idx="665">
                  <c:v>-3.4139253088083642E-3</c:v>
                </c:pt>
                <c:pt idx="666">
                  <c:v>-3.4089253926472673E-3</c:v>
                </c:pt>
                <c:pt idx="667">
                  <c:v>-3.4064420780932757E-3</c:v>
                </c:pt>
                <c:pt idx="668">
                  <c:v>-3.4039784610628964E-3</c:v>
                </c:pt>
                <c:pt idx="669">
                  <c:v>-3.4015345408766728E-3</c:v>
                </c:pt>
                <c:pt idx="670">
                  <c:v>-3.3966803031582182E-3</c:v>
                </c:pt>
                <c:pt idx="671">
                  <c:v>-3.3919558112272107E-3</c:v>
                </c:pt>
                <c:pt idx="672">
                  <c:v>-3.3896103626318685E-3</c:v>
                </c:pt>
                <c:pt idx="673">
                  <c:v>-3.3872846060845185E-3</c:v>
                </c:pt>
                <c:pt idx="674">
                  <c:v>-3.3849785407058641E-3</c:v>
                </c:pt>
                <c:pt idx="675">
                  <c:v>-3.3804003010118443E-3</c:v>
                </c:pt>
                <c:pt idx="676">
                  <c:v>-3.3759511756503834E-3</c:v>
                </c:pt>
                <c:pt idx="677">
                  <c:v>-3.3737435546044147E-3</c:v>
                </c:pt>
                <c:pt idx="678">
                  <c:v>-3.3715556200503431E-3</c:v>
                </c:pt>
                <c:pt idx="679">
                  <c:v>-3.3693873712303934E-3</c:v>
                </c:pt>
                <c:pt idx="680">
                  <c:v>-3.3650850333311177E-3</c:v>
                </c:pt>
                <c:pt idx="681">
                  <c:v>-3.3609112178512156E-3</c:v>
                </c:pt>
                <c:pt idx="682">
                  <c:v>-3.3588413860252807E-3</c:v>
                </c:pt>
                <c:pt idx="683">
                  <c:v>-3.3567912355758739E-3</c:v>
                </c:pt>
                <c:pt idx="684">
                  <c:v>-3.3547607651440831E-3</c:v>
                </c:pt>
                <c:pt idx="685">
                  <c:v>-3.3507342342487096E-3</c:v>
                </c:pt>
                <c:pt idx="686">
                  <c:v>-3.3468356721622189E-3</c:v>
                </c:pt>
                <c:pt idx="687">
                  <c:v>-3.3449035920663068E-3</c:v>
                </c:pt>
                <c:pt idx="688">
                  <c:v>-3.3429911878713032E-3</c:v>
                </c:pt>
                <c:pt idx="689">
                  <c:v>-3.3410984585780074E-3</c:v>
                </c:pt>
                <c:pt idx="690">
                  <c:v>-3.3373476404286013E-3</c:v>
                </c:pt>
                <c:pt idx="691">
                  <c:v>-3.3337242761932845E-3</c:v>
                </c:pt>
                <c:pt idx="692">
                  <c:v>-3.331929910337384E-3</c:v>
                </c:pt>
                <c:pt idx="693">
                  <c:v>-3.3301552152664843E-3</c:v>
                </c:pt>
                <c:pt idx="694">
                  <c:v>-3.3284001898215127E-3</c:v>
                </c:pt>
                <c:pt idx="695">
                  <c:v>-3.3249249914124707E-3</c:v>
                </c:pt>
                <c:pt idx="696">
                  <c:v>-3.3215767696326399E-3</c:v>
                </c:pt>
                <c:pt idx="697">
                  <c:v>-3.3199200814060365E-3</c:v>
                </c:pt>
                <c:pt idx="698">
                  <c:v>-3.3182830582490059E-3</c:v>
                </c:pt>
                <c:pt idx="699">
                  <c:v>-3.3166656996819316E-3</c:v>
                </c:pt>
                <c:pt idx="700">
                  <c:v>-3.3134660290867874E-3</c:v>
                </c:pt>
                <c:pt idx="701">
                  <c:v>-3.3103928950062428E-3</c:v>
                </c:pt>
                <c:pt idx="702">
                  <c:v>-3.308873847558414E-3</c:v>
                </c:pt>
                <c:pt idx="703">
                  <c:v>-3.3073744599843142E-3</c:v>
                </c:pt>
                <c:pt idx="704">
                  <c:v>-3.305894731804327E-3</c:v>
                </c:pt>
                <c:pt idx="705">
                  <c:v>-3.3029704975762303E-3</c:v>
                </c:pt>
                <c:pt idx="706">
                  <c:v>-3.3001624918815981E-3</c:v>
                </c:pt>
                <c:pt idx="707">
                  <c:v>-3.2987216200197739E-3</c:v>
                </c:pt>
                <c:pt idx="708">
                  <c:v>-3.297240976332117E-3</c:v>
                </c:pt>
                <c:pt idx="709">
                  <c:v>-3.2957205622974445E-3</c:v>
                </c:pt>
                <c:pt idx="710">
                  <c:v>-3.2925170594875789E-3</c:v>
                </c:pt>
                <c:pt idx="711">
                  <c:v>-3.2892412296270496E-3</c:v>
                </c:pt>
                <c:pt idx="712">
                  <c:v>-3.287521984640674E-3</c:v>
                </c:pt>
                <c:pt idx="713">
                  <c:v>-3.2857629777405368E-3</c:v>
                </c:pt>
                <c:pt idx="714">
                  <c:v>-3.2839642104853912E-3</c:v>
                </c:pt>
                <c:pt idx="715">
                  <c:v>-3.2802042593349629E-3</c:v>
                </c:pt>
                <c:pt idx="716">
                  <c:v>-3.2763715650130482E-3</c:v>
                </c:pt>
                <c:pt idx="717">
                  <c:v>-3.2743740166463315E-3</c:v>
                </c:pt>
                <c:pt idx="718">
                  <c:v>-3.2723367164777645E-3</c:v>
                </c:pt>
                <c:pt idx="719">
                  <c:v>-3.2702596657463562E-3</c:v>
                </c:pt>
                <c:pt idx="720">
                  <c:v>-3.2659434402759874E-3</c:v>
                </c:pt>
                <c:pt idx="721">
                  <c:v>-3.2615539856895143E-3</c:v>
                </c:pt>
                <c:pt idx="722">
                  <c:v>-3.2592782034068907E-3</c:v>
                </c:pt>
                <c:pt idx="723">
                  <c:v>-3.2569626790346479E-3</c:v>
                </c:pt>
                <c:pt idx="724">
                  <c:v>-3.2546074138917309E-3</c:v>
                </c:pt>
                <c:pt idx="725">
                  <c:v>-3.2497350856575242E-3</c:v>
                </c:pt>
                <c:pt idx="726">
                  <c:v>-3.2447889742304287E-3</c:v>
                </c:pt>
                <c:pt idx="727">
                  <c:v>-3.2422350263372596E-3</c:v>
                </c:pt>
                <c:pt idx="728">
                  <c:v>-3.2396413460267343E-3</c:v>
                </c:pt>
                <c:pt idx="729">
                  <c:v>-3.2370079348576059E-3</c:v>
                </c:pt>
                <c:pt idx="730">
                  <c:v>-3.2315796733106807E-3</c:v>
                </c:pt>
                <c:pt idx="731">
                  <c:v>-3.2260770068548552E-3</c:v>
                </c:pt>
                <c:pt idx="732">
                  <c:v>-3.2232449609370774E-3</c:v>
                </c:pt>
                <c:pt idx="733">
                  <c:v>-3.2203731922742064E-3</c:v>
                </c:pt>
                <c:pt idx="734">
                  <c:v>-3.217461701905411E-3</c:v>
                </c:pt>
                <c:pt idx="735">
                  <c:v>-3.2114776741121289E-3</c:v>
                </c:pt>
                <c:pt idx="736">
                  <c:v>-3.20541855326707E-3</c:v>
                </c:pt>
                <c:pt idx="737">
                  <c:v>-3.2023084757515476E-3</c:v>
                </c:pt>
                <c:pt idx="738">
                  <c:v>-3.1991586848834188E-3</c:v>
                </c:pt>
                <c:pt idx="739">
                  <c:v>-3.1893748235543142E-3</c:v>
                </c:pt>
                <c:pt idx="740">
                  <c:v>-3.1794260316115345E-3</c:v>
                </c:pt>
                <c:pt idx="741">
                  <c:v>-3.1759982837664793E-3</c:v>
                </c:pt>
                <c:pt idx="742">
                  <c:v>-3.1725308329599968E-3</c:v>
                </c:pt>
                <c:pt idx="743">
                  <c:v>-3.1654357612431851E-3</c:v>
                </c:pt>
                <c:pt idx="744">
                  <c:v>-3.1582640268634889E-3</c:v>
                </c:pt>
                <c:pt idx="745">
                  <c:v>-3.1527314552226684E-3</c:v>
                </c:pt>
                <c:pt idx="746">
                  <c:v>-3.1471471051602974E-3</c:v>
                </c:pt>
                <c:pt idx="747">
                  <c:v>-3.1394967495179784E-3</c:v>
                </c:pt>
                <c:pt idx="748">
                  <c:v>-3.1317688524490463E-3</c:v>
                </c:pt>
                <c:pt idx="749">
                  <c:v>-3.1278250671107457E-3</c:v>
                </c:pt>
                <c:pt idx="750">
                  <c:v>-3.1238415956380662E-3</c:v>
                </c:pt>
                <c:pt idx="751">
                  <c:v>-3.1198184390701768E-3</c:v>
                </c:pt>
                <c:pt idx="752">
                  <c:v>-3.1116129533659384E-3</c:v>
                </c:pt>
                <c:pt idx="753">
                  <c:v>-3.1033289869464406E-3</c:v>
                </c:pt>
                <c:pt idx="754">
                  <c:v>-3.0991074235675706E-3</c:v>
                </c:pt>
                <c:pt idx="755">
                  <c:v>-3.0948461825275439E-3</c:v>
                </c:pt>
                <c:pt idx="756">
                  <c:v>-3.0905452651453055E-3</c:v>
                </c:pt>
                <c:pt idx="757">
                  <c:v>-3.0817847994058065E-3</c:v>
                </c:pt>
                <c:pt idx="758">
                  <c:v>-3.0729448547761715E-3</c:v>
                </c:pt>
                <c:pt idx="759">
                  <c:v>-3.0684455731489033E-3</c:v>
                </c:pt>
                <c:pt idx="760">
                  <c:v>-3.0639066222137965E-3</c:v>
                </c:pt>
                <c:pt idx="761">
                  <c:v>-3.0593280030499878E-3</c:v>
                </c:pt>
                <c:pt idx="762">
                  <c:v>-3.050012703038629E-3</c:v>
                </c:pt>
                <c:pt idx="763">
                  <c:v>-3.0406168694074973E-3</c:v>
                </c:pt>
                <c:pt idx="764">
                  <c:v>-3.0358399272856326E-3</c:v>
                </c:pt>
                <c:pt idx="765">
                  <c:v>-3.0310233242092474E-3</c:v>
                </c:pt>
                <c:pt idx="766">
                  <c:v>-3.0261670611375743E-3</c:v>
                </c:pt>
                <c:pt idx="767">
                  <c:v>-3.0162970680214338E-3</c:v>
                </c:pt>
                <c:pt idx="768">
                  <c:v>-3.0063523883550156E-3</c:v>
                </c:pt>
                <c:pt idx="769">
                  <c:v>-3.0013395817452102E-3</c:v>
                </c:pt>
                <c:pt idx="770">
                  <c:v>-2.9963288601875357E-3</c:v>
                </c:pt>
                <c:pt idx="771">
                  <c:v>-2.9913202232423439E-3</c:v>
                </c:pt>
                <c:pt idx="772">
                  <c:v>-2.9812852074371969E-3</c:v>
                </c:pt>
                <c:pt idx="773">
                  <c:v>-2.9713065164305268E-3</c:v>
                </c:pt>
                <c:pt idx="774">
                  <c:v>-2.9663082987108173E-3</c:v>
                </c:pt>
                <c:pt idx="775">
                  <c:v>-2.9613121640848054E-3</c:v>
                </c:pt>
                <c:pt idx="776">
                  <c:v>-2.9563181119130026E-3</c:v>
                </c:pt>
                <c:pt idx="777">
                  <c:v>-2.946312835505626E-3</c:v>
                </c:pt>
                <c:pt idx="778">
                  <c:v>-2.9363627257295126E-3</c:v>
                </c:pt>
                <c:pt idx="779">
                  <c:v>-2.9313790833507374E-3</c:v>
                </c:pt>
                <c:pt idx="780">
                  <c:v>-2.9263975220672582E-3</c:v>
                </c:pt>
                <c:pt idx="781">
                  <c:v>-2.9214180414793949E-3</c:v>
                </c:pt>
                <c:pt idx="782">
                  <c:v>-2.9114424690846012E-3</c:v>
                </c:pt>
                <c:pt idx="783">
                  <c:v>-2.9015209221272646E-3</c:v>
                </c:pt>
                <c:pt idx="784">
                  <c:v>-2.896551841860006E-3</c:v>
                </c:pt>
                <c:pt idx="785">
                  <c:v>-2.8915848404098658E-3</c:v>
                </c:pt>
                <c:pt idx="786">
                  <c:v>-2.8866199182164924E-3</c:v>
                </c:pt>
                <c:pt idx="787">
                  <c:v>-2.876674014715707E-3</c:v>
                </c:pt>
                <c:pt idx="788">
                  <c:v>-2.8667810124982751E-3</c:v>
                </c:pt>
                <c:pt idx="789">
                  <c:v>-2.8618264808333393E-3</c:v>
                </c:pt>
                <c:pt idx="790">
                  <c:v>-2.8568740262668968E-3</c:v>
                </c:pt>
                <c:pt idx="791">
                  <c:v>-2.8519236489188515E-3</c:v>
                </c:pt>
                <c:pt idx="792">
                  <c:v>-2.842007379753052E-3</c:v>
                </c:pt>
                <c:pt idx="793">
                  <c:v>-2.83214290427659E-3</c:v>
                </c:pt>
                <c:pt idx="794">
                  <c:v>-2.8272029079046235E-3</c:v>
                </c:pt>
                <c:pt idx="795">
                  <c:v>-2.8222649871523331E-3</c:v>
                </c:pt>
                <c:pt idx="796">
                  <c:v>-2.8173291415401025E-3</c:v>
                </c:pt>
                <c:pt idx="797">
                  <c:v>-2.8074424722302027E-3</c:v>
                </c:pt>
                <c:pt idx="798">
                  <c:v>-2.7976065052959342E-3</c:v>
                </c:pt>
                <c:pt idx="799">
                  <c:v>-2.7926810316270079E-3</c:v>
                </c:pt>
                <c:pt idx="800">
                  <c:v>-2.787757631339548E-3</c:v>
                </c:pt>
                <c:pt idx="801">
                  <c:v>-2.7828363044735227E-3</c:v>
                </c:pt>
                <c:pt idx="802">
                  <c:v>-2.7729792007003084E-3</c:v>
                </c:pt>
                <c:pt idx="803">
                  <c:v>-2.7631717247485043E-3</c:v>
                </c:pt>
                <c:pt idx="804">
                  <c:v>-2.7582607604337383E-3</c:v>
                </c:pt>
                <c:pt idx="805">
                  <c:v>-2.7533518679412439E-3</c:v>
                </c:pt>
                <c:pt idx="806">
                  <c:v>-2.7484450467918464E-3</c:v>
                </c:pt>
                <c:pt idx="807">
                  <c:v>-2.7386174746224607E-3</c:v>
                </c:pt>
                <c:pt idx="808">
                  <c:v>-2.728838471988136E-3</c:v>
                </c:pt>
                <c:pt idx="809">
                  <c:v>-2.7239420041169733E-3</c:v>
                </c:pt>
                <c:pt idx="810">
                  <c:v>-2.7190476065897069E-3</c:v>
                </c:pt>
                <c:pt idx="811">
                  <c:v>-2.7141552784071361E-3</c:v>
                </c:pt>
                <c:pt idx="812">
                  <c:v>-2.7043572039486914E-3</c:v>
                </c:pt>
                <c:pt idx="813">
                  <c:v>-2.6946066571254075E-3</c:v>
                </c:pt>
                <c:pt idx="814">
                  <c:v>-2.6897246731483289E-3</c:v>
                </c:pt>
                <c:pt idx="815">
                  <c:v>-2.6848447574767771E-3</c:v>
                </c:pt>
                <c:pt idx="816">
                  <c:v>-2.6799669095112317E-3</c:v>
                </c:pt>
                <c:pt idx="817">
                  <c:v>-2.6701982995636182E-3</c:v>
                </c:pt>
                <c:pt idx="818">
                  <c:v>-2.6604761909521197E-3</c:v>
                </c:pt>
                <c:pt idx="819">
                  <c:v>-2.6556086783191641E-3</c:v>
                </c:pt>
                <c:pt idx="820">
                  <c:v>-2.6507432318734299E-3</c:v>
                </c:pt>
                <c:pt idx="821">
                  <c:v>-2.6458798516149169E-3</c:v>
                </c:pt>
                <c:pt idx="822">
                  <c:v>-2.636140672658281E-3</c:v>
                </c:pt>
                <c:pt idx="823">
                  <c:v>-2.626446985218865E-3</c:v>
                </c:pt>
                <c:pt idx="824">
                  <c:v>-2.6215939312601668E-3</c:v>
                </c:pt>
                <c:pt idx="825">
                  <c:v>-2.616742941530257E-3</c:v>
                </c:pt>
                <c:pt idx="826">
                  <c:v>-2.6118940161490392E-3</c:v>
                </c:pt>
                <c:pt idx="827">
                  <c:v>-2.6021842354895333E-3</c:v>
                </c:pt>
                <c:pt idx="828">
                  <c:v>-2.5925189519560112E-3</c:v>
                </c:pt>
                <c:pt idx="829">
                  <c:v>-2.5876803441216103E-3</c:v>
                </c:pt>
                <c:pt idx="830">
                  <c:v>-2.582843798757404E-3</c:v>
                </c:pt>
                <c:pt idx="831">
                  <c:v>-2.5780093159433284E-3</c:v>
                </c:pt>
                <c:pt idx="832">
                  <c:v>-2.568328900673942E-3</c:v>
                </c:pt>
                <c:pt idx="833">
                  <c:v>-2.558691517862153E-3</c:v>
                </c:pt>
                <c:pt idx="834">
                  <c:v>-2.5538644245370981E-3</c:v>
                </c:pt>
                <c:pt idx="835">
                  <c:v>-2.5490364734581752E-3</c:v>
                </c:pt>
                <c:pt idx="836">
                  <c:v>-2.5442076643452014E-3</c:v>
                </c:pt>
                <c:pt idx="837">
                  <c:v>-2.5345293406431415E-3</c:v>
                </c:pt>
                <c:pt idx="838">
                  <c:v>-2.5248838435620959E-3</c:v>
                </c:pt>
                <c:pt idx="839">
                  <c:v>-2.5200507414835462E-3</c:v>
                </c:pt>
                <c:pt idx="840">
                  <c:v>-2.5152167804520877E-3</c:v>
                </c:pt>
                <c:pt idx="841">
                  <c:v>-2.510381959908168E-3</c:v>
                </c:pt>
                <c:pt idx="842">
                  <c:v>-2.5006920833670152E-3</c:v>
                </c:pt>
                <c:pt idx="843">
                  <c:v>-2.4910340825279407E-3</c:v>
                </c:pt>
                <c:pt idx="844">
                  <c:v>-2.4861949635424183E-3</c:v>
                </c:pt>
                <c:pt idx="845">
                  <c:v>-2.481354983965298E-3</c:v>
                </c:pt>
                <c:pt idx="846">
                  <c:v>-2.4765141441962599E-3</c:v>
                </c:pt>
                <c:pt idx="847">
                  <c:v>-2.4668126920746134E-3</c:v>
                </c:pt>
                <c:pt idx="848">
                  <c:v>-2.4571421769259503E-3</c:v>
                </c:pt>
                <c:pt idx="849">
                  <c:v>-2.4522970322804569E-3</c:v>
                </c:pt>
                <c:pt idx="850">
                  <c:v>-2.447451026204037E-3</c:v>
                </c:pt>
                <c:pt idx="851">
                  <c:v>-2.4426041584968503E-3</c:v>
                </c:pt>
                <c:pt idx="852">
                  <c:v>-2.4328911084392588E-3</c:v>
                </c:pt>
                <c:pt idx="853">
                  <c:v>-2.4232080680031218E-3</c:v>
                </c:pt>
                <c:pt idx="854">
                  <c:v>-2.4183568895042116E-3</c:v>
                </c:pt>
                <c:pt idx="855">
                  <c:v>-2.4135048484552699E-3</c:v>
                </c:pt>
                <c:pt idx="856">
                  <c:v>-2.4086519445365526E-3</c:v>
                </c:pt>
                <c:pt idx="857">
                  <c:v>-2.3989272738278531E-3</c:v>
                </c:pt>
                <c:pt idx="858">
                  <c:v>-2.3892316970464209E-3</c:v>
                </c:pt>
                <c:pt idx="859">
                  <c:v>-2.3843744764207118E-3</c:v>
                </c:pt>
                <c:pt idx="860">
                  <c:v>-2.3795163918860578E-3</c:v>
                </c:pt>
                <c:pt idx="861">
                  <c:v>-2.3746574432426198E-3</c:v>
                </c:pt>
                <c:pt idx="862">
                  <c:v>-2.3649211293541666E-3</c:v>
                </c:pt>
                <c:pt idx="863">
                  <c:v>-2.3552130052229086E-3</c:v>
                </c:pt>
                <c:pt idx="864">
                  <c:v>-2.3503497338373063E-3</c:v>
                </c:pt>
                <c:pt idx="865">
                  <c:v>-2.3454855974236548E-3</c:v>
                </c:pt>
                <c:pt idx="866">
                  <c:v>-2.340620595782114E-3</c:v>
                </c:pt>
                <c:pt idx="867">
                  <c:v>-2.3308726157055212E-3</c:v>
                </c:pt>
                <c:pt idx="868">
                  <c:v>-2.3211519331400947E-3</c:v>
                </c:pt>
                <c:pt idx="869">
                  <c:v>-2.3162826026013133E-3</c:v>
                </c:pt>
                <c:pt idx="870">
                  <c:v>-2.3114124059153778E-3</c:v>
                </c:pt>
                <c:pt idx="871">
                  <c:v>-2.3065413425227359E-3</c:v>
                </c:pt>
                <c:pt idx="872">
                  <c:v>-2.2967816734231843E-3</c:v>
                </c:pt>
                <c:pt idx="873">
                  <c:v>-2.287048421325552E-3</c:v>
                </c:pt>
                <c:pt idx="874">
                  <c:v>-2.2821730231204012E-3</c:v>
                </c:pt>
                <c:pt idx="875">
                  <c:v>-2.2772967574091834E-3</c:v>
                </c:pt>
                <c:pt idx="876">
                  <c:v>-2.2724196239121224E-3</c:v>
                </c:pt>
                <c:pt idx="877">
                  <c:v>-2.2626482427545807E-3</c:v>
                </c:pt>
                <c:pt idx="878">
                  <c:v>-2.2529024099471407E-3</c:v>
                </c:pt>
                <c:pt idx="879">
                  <c:v>-2.2480209353226222E-3</c:v>
                </c:pt>
                <c:pt idx="880">
                  <c:v>-2.243138592152868E-3</c:v>
                </c:pt>
                <c:pt idx="881">
                  <c:v>-2.2382553799982297E-3</c:v>
                </c:pt>
                <c:pt idx="882">
                  <c:v>-2.2284722636278865E-3</c:v>
                </c:pt>
                <c:pt idx="883">
                  <c:v>-2.2187138387330741E-3</c:v>
                </c:pt>
                <c:pt idx="884">
                  <c:v>-2.2138262792559338E-3</c:v>
                </c:pt>
                <c:pt idx="885">
                  <c:v>-2.2089378499545809E-3</c:v>
                </c:pt>
                <c:pt idx="886">
                  <c:v>-2.2040485504693031E-3</c:v>
                </c:pt>
                <c:pt idx="887">
                  <c:v>-2.1942536756913789E-3</c:v>
                </c:pt>
                <c:pt idx="888">
                  <c:v>-2.1844826474115642E-3</c:v>
                </c:pt>
                <c:pt idx="889">
                  <c:v>-2.1795889944087399E-3</c:v>
                </c:pt>
                <c:pt idx="890">
                  <c:v>-2.1746944703826621E-3</c:v>
                </c:pt>
                <c:pt idx="891">
                  <c:v>-2.1697990748137464E-3</c:v>
                </c:pt>
                <c:pt idx="892">
                  <c:v>-2.1599924182735897E-3</c:v>
                </c:pt>
                <c:pt idx="893">
                  <c:v>-2.1502087753511112E-3</c:v>
                </c:pt>
                <c:pt idx="894">
                  <c:v>-2.1453090200696046E-3</c:v>
                </c:pt>
                <c:pt idx="895">
                  <c:v>-2.1404083926457396E-3</c:v>
                </c:pt>
                <c:pt idx="896">
                  <c:v>-2.1355068922002192E-3</c:v>
                </c:pt>
                <c:pt idx="897">
                  <c:v>-2.1256884305298558E-3</c:v>
                </c:pt>
                <c:pt idx="898">
                  <c:v>-2.1158973382595721E-3</c:v>
                </c:pt>
                <c:pt idx="899">
                  <c:v>-2.111022533259906E-3</c:v>
                </c:pt>
                <c:pt idx="900">
                  <c:v>-2.1061779147931764E-3</c:v>
                </c:pt>
                <c:pt idx="901">
                  <c:v>-2.1013634821809364E-3</c:v>
                </c:pt>
                <c:pt idx="902">
                  <c:v>-2.0918230766886555E-3</c:v>
                </c:pt>
                <c:pt idx="903">
                  <c:v>-2.082407591363918E-3</c:v>
                </c:pt>
                <c:pt idx="904">
                  <c:v>-2.0777440741914861E-3</c:v>
                </c:pt>
                <c:pt idx="905">
                  <c:v>-2.0731107372373788E-3</c:v>
                </c:pt>
                <c:pt idx="906">
                  <c:v>-2.0685075801818516E-3</c:v>
                </c:pt>
                <c:pt idx="907">
                  <c:v>-2.0593900791343674E-3</c:v>
                </c:pt>
                <c:pt idx="908">
                  <c:v>-2.0503967296825539E-3</c:v>
                </c:pt>
                <c:pt idx="909">
                  <c:v>-2.0459444574916293E-3</c:v>
                </c:pt>
                <c:pt idx="910">
                  <c:v>-2.0415223595238248E-3</c:v>
                </c:pt>
                <c:pt idx="911">
                  <c:v>-2.0371304353394922E-3</c:v>
                </c:pt>
                <c:pt idx="912">
                  <c:v>-2.0284357315691966E-3</c:v>
                </c:pt>
                <c:pt idx="913">
                  <c:v>-2.0198644566926734E-3</c:v>
                </c:pt>
                <c:pt idx="914">
                  <c:v>-2.0114113049141194E-3</c:v>
                </c:pt>
                <c:pt idx="915">
                  <c:v>-1.9989597445313548E-3</c:v>
                </c:pt>
                <c:pt idx="916">
                  <c:v>-1.9908104847843403E-3</c:v>
                </c:pt>
                <c:pt idx="917">
                  <c:v>-1.9793632533615726E-3</c:v>
                </c:pt>
                <c:pt idx="918">
                  <c:v>-1.9734316125230647E-3</c:v>
                </c:pt>
                <c:pt idx="919">
                  <c:v>-1.9656244282773086E-3</c:v>
                </c:pt>
                <c:pt idx="920">
                  <c:v>-1.9579384197543417E-3</c:v>
                </c:pt>
                <c:pt idx="921">
                  <c:v>-1.9541399027334164E-3</c:v>
                </c:pt>
                <c:pt idx="922">
                  <c:v>-1.9503712965463008E-3</c:v>
                </c:pt>
                <c:pt idx="923">
                  <c:v>-1.9466326003136983E-3</c:v>
                </c:pt>
                <c:pt idx="924">
                  <c:v>-1.9392444584420757E-3</c:v>
                </c:pt>
                <c:pt idx="925">
                  <c:v>-1.9319769020187463E-3</c:v>
                </c:pt>
                <c:pt idx="926">
                  <c:v>-1.9283877450870859E-3</c:v>
                </c:pt>
                <c:pt idx="927">
                  <c:v>-1.9248284939132956E-3</c:v>
                </c:pt>
                <c:pt idx="928">
                  <c:v>-1.9212991473782704E-3</c:v>
                </c:pt>
                <c:pt idx="929">
                  <c:v>-1.9143299540224248E-3</c:v>
                </c:pt>
                <c:pt idx="930">
                  <c:v>-1.9074807955155105E-3</c:v>
                </c:pt>
                <c:pt idx="931">
                  <c:v>-1.9041009620624006E-3</c:v>
                </c:pt>
                <c:pt idx="932">
                  <c:v>-1.9007510292912211E-3</c:v>
                </c:pt>
                <c:pt idx="933">
                  <c:v>-1.8974309962827075E-3</c:v>
                </c:pt>
                <c:pt idx="934">
                  <c:v>-1.8908806603024143E-3</c:v>
                </c:pt>
                <c:pt idx="935">
                  <c:v>-1.8844498466075233E-3</c:v>
                </c:pt>
                <c:pt idx="936">
                  <c:v>-1.8812793013012264E-3</c:v>
                </c:pt>
                <c:pt idx="937">
                  <c:v>-1.8781386514410481E-3</c:v>
                </c:pt>
                <c:pt idx="938">
                  <c:v>-1.875027896347532E-3</c:v>
                </c:pt>
                <c:pt idx="939">
                  <c:v>-1.8688963294799588E-3</c:v>
                </c:pt>
                <c:pt idx="940">
                  <c:v>-1.8628838090917266E-3</c:v>
                </c:pt>
                <c:pt idx="941">
                  <c:v>-1.8599225170801213E-3</c:v>
                </c:pt>
                <c:pt idx="942">
                  <c:v>-1.8569911157584394E-3</c:v>
                </c:pt>
                <c:pt idx="943">
                  <c:v>-1.8540896040475439E-3</c:v>
                </c:pt>
                <c:pt idx="944">
                  <c:v>-1.8483767200017163E-3</c:v>
                </c:pt>
                <c:pt idx="945">
                  <c:v>-1.8427824427202986E-3</c:v>
                </c:pt>
                <c:pt idx="946">
                  <c:v>-1.8400303701504648E-3</c:v>
                </c:pt>
                <c:pt idx="947">
                  <c:v>-1.8373081833944547E-3</c:v>
                </c:pt>
                <c:pt idx="948">
                  <c:v>-1.8346158819326839E-3</c:v>
                </c:pt>
                <c:pt idx="949">
                  <c:v>-1.8293215965759012E-3</c:v>
                </c:pt>
                <c:pt idx="950">
                  <c:v>-1.8241455131606864E-3</c:v>
                </c:pt>
                <c:pt idx="951">
                  <c:v>-1.8216026271389361E-3</c:v>
                </c:pt>
                <c:pt idx="952">
                  <c:v>-1.8190896221348461E-3</c:v>
                </c:pt>
                <c:pt idx="953">
                  <c:v>-1.8166064976288319E-3</c:v>
                </c:pt>
                <c:pt idx="954">
                  <c:v>-1.8117307293730243E-3</c:v>
                </c:pt>
                <c:pt idx="955">
                  <c:v>-1.8069727916758603E-3</c:v>
                </c:pt>
                <c:pt idx="956">
                  <c:v>-1.8046390597481541E-3</c:v>
                </c:pt>
                <c:pt idx="957">
                  <c:v>-1.8023352046814332E-3</c:v>
                </c:pt>
                <c:pt idx="958">
                  <c:v>-1.8000612252366884E-3</c:v>
                </c:pt>
                <c:pt idx="959">
                  <c:v>-1.7956038937061499E-3</c:v>
                </c:pt>
                <c:pt idx="960">
                  <c:v>-1.7912473639158995E-3</c:v>
                </c:pt>
                <c:pt idx="961">
                  <c:v>-1.7890226112934871E-3</c:v>
                </c:pt>
                <c:pt idx="962">
                  <c:v>-1.7867275891214681E-3</c:v>
                </c:pt>
                <c:pt idx="963">
                  <c:v>-1.7843622988778015E-3</c:v>
                </c:pt>
                <c:pt idx="964">
                  <c:v>-1.7793887025163776E-3</c:v>
                </c:pt>
                <c:pt idx="965">
                  <c:v>-1.7741984827290898E-3</c:v>
                </c:pt>
                <c:pt idx="966">
                  <c:v>-1.7714818715930454E-3</c:v>
                </c:pt>
                <c:pt idx="967">
                  <c:v>-1.7686950003792453E-3</c:v>
                </c:pt>
                <c:pt idx="968">
                  <c:v>-1.7658378704466023E-3</c:v>
                </c:pt>
                <c:pt idx="969">
                  <c:v>-1.7598808172225651E-3</c:v>
                </c:pt>
                <c:pt idx="970">
                  <c:v>-1.7537067877482278E-3</c:v>
                </c:pt>
                <c:pt idx="971">
                  <c:v>-1.7504983828864403E-3</c:v>
                </c:pt>
                <c:pt idx="972">
                  <c:v>-1.7472197271795116E-3</c:v>
                </c:pt>
                <c:pt idx="973">
                  <c:v>-1.7438708214268025E-3</c:v>
                </c:pt>
                <c:pt idx="974">
                  <c:v>-1.7369304701064852E-3</c:v>
                </c:pt>
                <c:pt idx="975">
                  <c:v>-1.7297727262155565E-3</c:v>
                </c:pt>
                <c:pt idx="976">
                  <c:v>-1.7260725904577673E-3</c:v>
                </c:pt>
                <c:pt idx="977">
                  <c:v>-1.722302212288091E-3</c:v>
                </c:pt>
                <c:pt idx="978">
                  <c:v>-1.7184615931853447E-3</c:v>
                </c:pt>
                <c:pt idx="979">
                  <c:v>-1.7105380965132316E-3</c:v>
                </c:pt>
                <c:pt idx="980">
                  <c:v>-1.7023967303453407E-3</c:v>
                </c:pt>
                <c:pt idx="981">
                  <c:v>-1.6982049240033053E-3</c:v>
                </c:pt>
                <c:pt idx="982">
                  <c:v>-1.6939428836027009E-3</c:v>
                </c:pt>
                <c:pt idx="983">
                  <c:v>-1.6896106107022807E-3</c:v>
                </c:pt>
                <c:pt idx="984">
                  <c:v>-1.6807041149880025E-3</c:v>
                </c:pt>
                <c:pt idx="985">
                  <c:v>-1.6715792149257838E-3</c:v>
                </c:pt>
                <c:pt idx="986">
                  <c:v>-1.666895795713336E-3</c:v>
                </c:pt>
                <c:pt idx="987">
                  <c:v>-1.662142150515861E-3</c:v>
                </c:pt>
                <c:pt idx="988">
                  <c:v>-1.6473745724994218E-3</c:v>
                </c:pt>
                <c:pt idx="989">
                  <c:v>-1.6321455979939673E-3</c:v>
                </c:pt>
                <c:pt idx="990">
                  <c:v>-1.6269004023161729E-3</c:v>
                </c:pt>
                <c:pt idx="991">
                  <c:v>-1.6215849893264137E-3</c:v>
                </c:pt>
                <c:pt idx="992">
                  <c:v>-1.6107129041741696E-3</c:v>
                </c:pt>
                <c:pt idx="993">
                  <c:v>-1.5996211850311027E-3</c:v>
                </c:pt>
                <c:pt idx="994">
                  <c:v>-1.5939547008692102E-3</c:v>
                </c:pt>
                <c:pt idx="995">
                  <c:v>-1.5882180054305251E-3</c:v>
                </c:pt>
                <c:pt idx="996">
                  <c:v>-1.5824110999540565E-3</c:v>
                </c:pt>
                <c:pt idx="997">
                  <c:v>-1.570556407046736E-3</c:v>
                </c:pt>
                <c:pt idx="998">
                  <c:v>-1.5584813930180686E-3</c:v>
                </c:pt>
                <c:pt idx="999">
                  <c:v>-1.5523234499426107E-3</c:v>
                </c:pt>
                <c:pt idx="1000">
                  <c:v>-1.5460953021051492E-3</c:v>
                </c:pt>
                <c:pt idx="1001">
                  <c:v>-1.530164160489239E-3</c:v>
                </c:pt>
                <c:pt idx="1002">
                  <c:v>-1.5139015219034545E-3</c:v>
                </c:pt>
                <c:pt idx="1003">
                  <c:v>-1.5072521638792634E-3</c:v>
                </c:pt>
                <c:pt idx="1004">
                  <c:v>-1.5005326066086565E-3</c:v>
                </c:pt>
                <c:pt idx="1005">
                  <c:v>-1.4937428515304826E-3</c:v>
                </c:pt>
                <c:pt idx="1006">
                  <c:v>-1.4799232678130256E-3</c:v>
                </c:pt>
                <c:pt idx="1007">
                  <c:v>-1.4658818659720916E-3</c:v>
                </c:pt>
                <c:pt idx="1008">
                  <c:v>-1.4587411318476235E-3</c:v>
                </c:pt>
                <c:pt idx="1009">
                  <c:v>-1.4515302045128449E-3</c:v>
                </c:pt>
                <c:pt idx="1010">
                  <c:v>-1.4442490841257668E-3</c:v>
                </c:pt>
                <c:pt idx="1011">
                  <c:v>-1.4294471946519596E-3</c:v>
                </c:pt>
                <c:pt idx="1012">
                  <c:v>-1.4144226873733521E-3</c:v>
                </c:pt>
                <c:pt idx="1013">
                  <c:v>-1.4067906126815711E-3</c:v>
                </c:pt>
                <c:pt idx="1014">
                  <c:v>-1.399088349054226E-3</c:v>
                </c:pt>
                <c:pt idx="1015">
                  <c:v>-1.3913158968128557E-3</c:v>
                </c:pt>
                <c:pt idx="1016">
                  <c:v>-1.3755317784935198E-3</c:v>
                </c:pt>
                <c:pt idx="1017">
                  <c:v>-1.3595242159649692E-3</c:v>
                </c:pt>
                <c:pt idx="1018">
                  <c:v>-1.3514008302804134E-3</c:v>
                </c:pt>
                <c:pt idx="1019">
                  <c:v>-1.3432072596588603E-3</c:v>
                </c:pt>
                <c:pt idx="1020">
                  <c:v>-1.334943504138555E-3</c:v>
                </c:pt>
                <c:pt idx="1021">
                  <c:v>-1.3181772202575854E-3</c:v>
                </c:pt>
                <c:pt idx="1022">
                  <c:v>-1.3011866452703655E-3</c:v>
                </c:pt>
                <c:pt idx="1023">
                  <c:v>-1.292584657788465E-3</c:v>
                </c:pt>
                <c:pt idx="1024">
                  <c:v>-1.2839759097136518E-3</c:v>
                </c:pt>
                <c:pt idx="1025">
                  <c:v>-1.2753730848615726E-3</c:v>
                </c:pt>
                <c:pt idx="1026">
                  <c:v>-1.2581827788160011E-3</c:v>
                </c:pt>
                <c:pt idx="1027">
                  <c:v>-1.2410210043613896E-3</c:v>
                </c:pt>
                <c:pt idx="1028">
                  <c:v>-1.2324477854262234E-3</c:v>
                </c:pt>
                <c:pt idx="1029">
                  <c:v>-1.223880485637019E-3</c:v>
                </c:pt>
                <c:pt idx="1030">
                  <c:v>-1.2153191041129096E-3</c:v>
                </c:pt>
                <c:pt idx="1031">
                  <c:v>-1.1982120775711606E-3</c:v>
                </c:pt>
                <c:pt idx="1032">
                  <c:v>-1.1811327482067855E-3</c:v>
                </c:pt>
                <c:pt idx="1033">
                  <c:v>-1.172600948380534E-3</c:v>
                </c:pt>
                <c:pt idx="1034">
                  <c:v>-1.1640750627826392E-3</c:v>
                </c:pt>
                <c:pt idx="1035">
                  <c:v>-1.1555550908150748E-3</c:v>
                </c:pt>
                <c:pt idx="1036">
                  <c:v>-1.1385312546740567E-3</c:v>
                </c:pt>
                <c:pt idx="1037">
                  <c:v>-1.1215343249706023E-3</c:v>
                </c:pt>
                <c:pt idx="1038">
                  <c:v>-1.1130439107985206E-3</c:v>
                </c:pt>
                <c:pt idx="1039">
                  <c:v>-1.1045594060197722E-3</c:v>
                </c:pt>
                <c:pt idx="1040">
                  <c:v>-1.096080810234669E-3</c:v>
                </c:pt>
                <c:pt idx="1041">
                  <c:v>-1.0791400765652343E-3</c:v>
                </c:pt>
                <c:pt idx="1042">
                  <c:v>-1.0622255018379395E-3</c:v>
                </c:pt>
                <c:pt idx="1043">
                  <c:v>-1.0537764404270917E-3</c:v>
                </c:pt>
                <c:pt idx="1044">
                  <c:v>-1.0453332836137296E-3</c:v>
                </c:pt>
                <c:pt idx="1045">
                  <c:v>-1.0368960309968301E-3</c:v>
                </c:pt>
                <c:pt idx="1046">
                  <c:v>-1.0200383131087644E-3</c:v>
                </c:pt>
                <c:pt idx="1047">
                  <c:v>-1.0032060495522397E-3</c:v>
                </c:pt>
                <c:pt idx="1048">
                  <c:v>-9.9479830804954537E-4</c:v>
                </c:pt>
                <c:pt idx="1049">
                  <c:v>-9.8639646686644726E-4</c:v>
                </c:pt>
                <c:pt idx="1050">
                  <c:v>-9.7800052512491569E-4</c:v>
                </c:pt>
                <c:pt idx="1051">
                  <c:v>-9.6122573752572486E-4</c:v>
                </c:pt>
                <c:pt idx="1052">
                  <c:v>-9.4447574157567778E-4</c:v>
                </c:pt>
                <c:pt idx="1053">
                  <c:v>-9.3610928832517999E-4</c:v>
                </c:pt>
                <c:pt idx="1054">
                  <c:v>-9.2774873055938181E-4</c:v>
                </c:pt>
                <c:pt idx="1055">
                  <c:v>-9.1939406787741097E-4</c:v>
                </c:pt>
                <c:pt idx="1056">
                  <c:v>-9.0270212628867496E-4</c:v>
                </c:pt>
                <c:pt idx="1057">
                  <c:v>-8.8603435544495934E-4</c:v>
                </c:pt>
                <c:pt idx="1058">
                  <c:v>-8.7770915855337384E-4</c:v>
                </c:pt>
                <c:pt idx="1059">
                  <c:v>-8.6938985294868502E-4</c:v>
                </c:pt>
                <c:pt idx="1060">
                  <c:v>-8.6107643779268135E-4</c:v>
                </c:pt>
                <c:pt idx="1061">
                  <c:v>-8.4446725927995981E-4</c:v>
                </c:pt>
                <c:pt idx="1062">
                  <c:v>-8.27881671217192E-4</c:v>
                </c:pt>
                <c:pt idx="1063">
                  <c:v>-8.1959769990800854E-4</c:v>
                </c:pt>
                <c:pt idx="1064">
                  <c:v>-8.1131961529048383E-4</c:v>
                </c:pt>
                <c:pt idx="1065">
                  <c:v>-8.0304741696389449E-4</c:v>
                </c:pt>
                <c:pt idx="1066">
                  <c:v>-7.8652091940694139E-4</c:v>
                </c:pt>
                <c:pt idx="1067">
                  <c:v>-7.7001747310389179E-4</c:v>
                </c:pt>
                <c:pt idx="1068">
                  <c:v>-7.6177469648287767E-4</c:v>
                </c:pt>
                <c:pt idx="1069">
                  <c:v>-7.5353780235586803E-4</c:v>
                </c:pt>
                <c:pt idx="1070">
                  <c:v>-7.4530679012431119E-4</c:v>
                </c:pt>
                <c:pt idx="1071">
                  <c:v>-7.2886289322667539E-4</c:v>
                </c:pt>
                <c:pt idx="1072">
                  <c:v>-7.1244154771654656E-4</c:v>
                </c:pt>
                <c:pt idx="1073">
                  <c:v>-7.0423993576718548E-4</c:v>
                </c:pt>
                <c:pt idx="1074">
                  <c:v>-6.9604420187541422E-4</c:v>
                </c:pt>
                <c:pt idx="1075">
                  <c:v>-6.8785434592222446E-4</c:v>
                </c:pt>
                <c:pt idx="1076">
                  <c:v>-6.7149297013454614E-4</c:v>
                </c:pt>
                <c:pt idx="1077">
                  <c:v>-6.5515368546275763E-4</c:v>
                </c:pt>
                <c:pt idx="1078">
                  <c:v>-6.469932083684836E-4</c:v>
                </c:pt>
                <c:pt idx="1079">
                  <c:v>-6.3883860529589281E-4</c:v>
                </c:pt>
                <c:pt idx="1080">
                  <c:v>-6.3068987576454653E-4</c:v>
                </c:pt>
                <c:pt idx="1081">
                  <c:v>-6.1441094304285509E-4</c:v>
                </c:pt>
                <c:pt idx="1082">
                  <c:v>-5.9815367966721913E-4</c:v>
                </c:pt>
                <c:pt idx="1083">
                  <c:v>-5.9003430837210804E-4</c:v>
                </c:pt>
                <c:pt idx="1084">
                  <c:v>-5.8192080678134202E-4</c:v>
                </c:pt>
                <c:pt idx="1085">
                  <c:v>-5.7381317453595812E-4</c:v>
                </c:pt>
                <c:pt idx="1086">
                  <c:v>-5.5761660791461831E-4</c:v>
                </c:pt>
                <c:pt idx="1087">
                  <c:v>-5.4144132697340162E-4</c:v>
                </c:pt>
                <c:pt idx="1088">
                  <c:v>-5.3336303257980877E-4</c:v>
                </c:pt>
                <c:pt idx="1089">
                  <c:v>-5.252904319120481E-4</c:v>
                </c:pt>
                <c:pt idx="1090">
                  <c:v>-5.1722283624036874E-4</c:v>
                </c:pt>
                <c:pt idx="1091">
                  <c:v>-5.011030557034176E-4</c:v>
                </c:pt>
                <c:pt idx="1092">
                  <c:v>-4.8500077482131109E-4</c:v>
                </c:pt>
                <c:pt idx="1093">
                  <c:v>-4.7695733666593988E-4</c:v>
                </c:pt>
                <c:pt idx="1094">
                  <c:v>-4.6891872848668246E-4</c:v>
                </c:pt>
                <c:pt idx="1095">
                  <c:v>-4.60884949324911E-4</c:v>
                </c:pt>
                <c:pt idx="1096">
                  <c:v>-4.4483293612616057E-4</c:v>
                </c:pt>
                <c:pt idx="1097">
                  <c:v>-4.2879811385628034E-4</c:v>
                </c:pt>
                <c:pt idx="1098">
                  <c:v>-4.2078847250597381E-4</c:v>
                </c:pt>
                <c:pt idx="1099">
                  <c:v>-4.1278365685577605E-4</c:v>
                </c:pt>
                <c:pt idx="1100">
                  <c:v>-4.0478366670531398E-4</c:v>
                </c:pt>
                <c:pt idx="1101">
                  <c:v>-3.8879934785021044E-4</c:v>
                </c:pt>
                <c:pt idx="1102">
                  <c:v>-3.7283194755482752E-4</c:v>
                </c:pt>
                <c:pt idx="1103">
                  <c:v>-3.6485607559194459E-4</c:v>
                </c:pt>
                <c:pt idx="1104">
                  <c:v>-3.5688502549208472E-4</c:v>
                </c:pt>
                <c:pt idx="1105">
                  <c:v>-3.4891879685522529E-4</c:v>
                </c:pt>
                <c:pt idx="1106">
                  <c:v>-3.330021004144446E-4</c:v>
                </c:pt>
                <c:pt idx="1107">
                  <c:v>-3.1710208602925879E-4</c:v>
                </c:pt>
                <c:pt idx="1108">
                  <c:v>-3.0915995639540562E-4</c:v>
                </c:pt>
                <c:pt idx="1109">
                  <c:v>-3.0122264486726898E-4</c:v>
                </c:pt>
                <c:pt idx="1110">
                  <c:v>-2.932901512453991E-4</c:v>
                </c:pt>
                <c:pt idx="1111">
                  <c:v>-2.7744100594249982E-4</c:v>
                </c:pt>
                <c:pt idx="1112">
                  <c:v>-2.6160834158965698E-4</c:v>
                </c:pt>
                <c:pt idx="1113">
                  <c:v>-2.5369992802555725E-4</c:v>
                </c:pt>
                <c:pt idx="1114">
                  <c:v>-2.4579632865066723E-4</c:v>
                </c:pt>
                <c:pt idx="1115">
                  <c:v>-2.3789754330479529E-4</c:v>
                </c:pt>
                <c:pt idx="1116">
                  <c:v>-2.2211587904942418E-4</c:v>
                </c:pt>
                <c:pt idx="1117">
                  <c:v>-2.0635052978331786E-4</c:v>
                </c:pt>
                <c:pt idx="1118">
                  <c:v>-1.9847580575053006E-4</c:v>
                </c:pt>
                <c:pt idx="1119">
                  <c:v>-1.9060589250938028E-4</c:v>
                </c:pt>
                <c:pt idx="1120">
                  <c:v>-1.8274078942062888E-4</c:v>
                </c:pt>
                <c:pt idx="1121">
                  <c:v>-1.670265369080243E-4</c:v>
                </c:pt>
                <c:pt idx="1122">
                  <c:v>-1.5132846815648889E-4</c:v>
                </c:pt>
                <c:pt idx="1123">
                  <c:v>-1.4348740795531144E-4</c:v>
                </c:pt>
                <c:pt idx="1124">
                  <c:v>-1.3565115490890009E-4</c:v>
                </c:pt>
                <c:pt idx="1125">
                  <c:v>-1.2781970817774769E-4</c:v>
                </c:pt>
                <c:pt idx="1126">
                  <c:v>-1.1217279938247697E-4</c:v>
                </c:pt>
                <c:pt idx="1127">
                  <c:v>-9.6541976812843268E-5</c:v>
                </c:pt>
                <c:pt idx="1128">
                  <c:v>-8.8734555103734471E-5</c:v>
                </c:pt>
                <c:pt idx="1129">
                  <c:v>-8.0931936712312481E-5</c:v>
                </c:pt>
                <c:pt idx="1130">
                  <c:v>-7.3134121398877612E-5</c:v>
                </c:pt>
                <c:pt idx="1131">
                  <c:v>-5.7554488575026124E-5</c:v>
                </c:pt>
                <c:pt idx="1132">
                  <c:v>-4.1990878614235542E-5</c:v>
                </c:pt>
                <c:pt idx="1133">
                  <c:v>-3.4217070297154688E-5</c:v>
                </c:pt>
                <c:pt idx="1134">
                  <c:v>-2.6448061460908494E-5</c:v>
                </c:pt>
                <c:pt idx="1135">
                  <c:v>-1.8683852505138453E-5</c:v>
                </c:pt>
                <c:pt idx="1136">
                  <c:v>-3.1714292259009215E-6</c:v>
                </c:pt>
                <c:pt idx="1137">
                  <c:v>1.2325001019777087E-5</c:v>
                </c:pt>
                <c:pt idx="1138">
                  <c:v>2.0065221004724936E-5</c:v>
                </c:pt>
                <c:pt idx="1139">
                  <c:v>2.7800644586411063E-5</c:v>
                </c:pt>
                <c:pt idx="1140">
                  <c:v>3.553127232435726E-5</c:v>
                </c:pt>
                <c:pt idx="1141">
                  <c:v>5.0976551300155451E-5</c:v>
                </c:pt>
                <c:pt idx="1142">
                  <c:v>6.6405834591155177E-5</c:v>
                </c:pt>
                <c:pt idx="1143">
                  <c:v>7.4112490464640538E-5</c:v>
                </c:pt>
                <c:pt idx="1144">
                  <c:v>8.1814353451990481E-5</c:v>
                </c:pt>
                <c:pt idx="1145">
                  <c:v>8.9511424032921085E-5</c:v>
                </c:pt>
                <c:pt idx="1146">
                  <c:v>1.0488962336018848E-4</c:v>
                </c:pt>
                <c:pt idx="1147">
                  <c:v>1.2025179180421308E-4</c:v>
                </c:pt>
                <c:pt idx="1148">
                  <c:v>1.2792490778677166E-4</c:v>
                </c:pt>
                <c:pt idx="1149">
                  <c:v>1.3559323400083031E-4</c:v>
                </c:pt>
                <c:pt idx="1150">
                  <c:v>1.4325677124558104E-4</c:v>
                </c:pt>
                <c:pt idx="1151">
                  <c:v>1.5856795474001665E-4</c:v>
                </c:pt>
                <c:pt idx="1152">
                  <c:v>1.7386304012487254E-4</c:v>
                </c:pt>
                <c:pt idx="1153">
                  <c:v>1.8150263947805579E-4</c:v>
                </c:pt>
                <c:pt idx="1154">
                  <c:v>1.8913250981353143E-4</c:v>
                </c:pt>
                <c:pt idx="1155">
                  <c:v>1.967328795071987E-4</c:v>
                </c:pt>
                <c:pt idx="1156">
                  <c:v>2.118189327138148E-4</c:v>
                </c:pt>
                <c:pt idx="1157">
                  <c:v>2.2678992827710839E-4</c:v>
                </c:pt>
                <c:pt idx="1158">
                  <c:v>2.3421808516662314E-4</c:v>
                </c:pt>
                <c:pt idx="1159">
                  <c:v>2.4161180048669137E-4</c:v>
                </c:pt>
                <c:pt idx="1160">
                  <c:v>2.4897107487649721E-4</c:v>
                </c:pt>
                <c:pt idx="1161">
                  <c:v>2.635750146407084E-4</c:v>
                </c:pt>
                <c:pt idx="1162">
                  <c:v>2.7806376865053921E-4</c:v>
                </c:pt>
                <c:pt idx="1163">
                  <c:v>2.8525084278645751E-4</c:v>
                </c:pt>
                <c:pt idx="1164">
                  <c:v>2.9240347799048698E-4</c:v>
                </c:pt>
                <c:pt idx="1165">
                  <c:v>2.9952167450280519E-4</c:v>
                </c:pt>
                <c:pt idx="1166">
                  <c:v>3.1364354654782149E-4</c:v>
                </c:pt>
                <c:pt idx="1167">
                  <c:v>3.2765007938801311E-4</c:v>
                </c:pt>
                <c:pt idx="1168">
                  <c:v>3.3459608675739857E-4</c:v>
                </c:pt>
                <c:pt idx="1169">
                  <c:v>3.4150765711332898E-4</c:v>
                </c:pt>
                <c:pt idx="1170">
                  <c:v>3.5861493638656003E-4</c:v>
                </c:pt>
                <c:pt idx="1171">
                  <c:v>3.7554896368702825E-4</c:v>
                </c:pt>
                <c:pt idx="1172">
                  <c:v>3.8225391779883177E-4</c:v>
                </c:pt>
                <c:pt idx="1173">
                  <c:v>3.8892443633648769E-4</c:v>
                </c:pt>
                <c:pt idx="1174">
                  <c:v>4.0657596771298689E-4</c:v>
                </c:pt>
                <c:pt idx="1175">
                  <c:v>4.2299613020262464E-4</c:v>
                </c:pt>
                <c:pt idx="1176">
                  <c:v>4.2949503481722132E-4</c:v>
                </c:pt>
                <c:pt idx="1177">
                  <c:v>4.3595922184273952E-4</c:v>
                </c:pt>
                <c:pt idx="1178">
                  <c:v>4.4238869135966878E-4</c:v>
                </c:pt>
                <c:pt idx="1179">
                  <c:v>4.5513248186244092E-4</c:v>
                </c:pt>
                <c:pt idx="1180">
                  <c:v>4.6775939849482567E-4</c:v>
                </c:pt>
                <c:pt idx="1181">
                  <c:v>4.7401528326488723E-4</c:v>
                </c:pt>
                <c:pt idx="1182">
                  <c:v>4.8023645156555295E-4</c:v>
                </c:pt>
                <c:pt idx="1183">
                  <c:v>4.8642290363602069E-4</c:v>
                </c:pt>
                <c:pt idx="1184">
                  <c:v>4.9868077768525142E-4</c:v>
                </c:pt>
                <c:pt idx="1185">
                  <c:v>5.1082155041895852E-4</c:v>
                </c:pt>
                <c:pt idx="1186">
                  <c:v>5.1683442237945973E-4</c:v>
                </c:pt>
                <c:pt idx="1187">
                  <c:v>5.2281257874922812E-4</c:v>
                </c:pt>
                <c:pt idx="1188">
                  <c:v>5.2875601960886457E-4</c:v>
                </c:pt>
                <c:pt idx="1189">
                  <c:v>5.4052799457690679E-4</c:v>
                </c:pt>
                <c:pt idx="1190">
                  <c:v>5.5218262874143914E-4</c:v>
                </c:pt>
                <c:pt idx="1191">
                  <c:v>5.5795249308756732E-4</c:v>
                </c:pt>
                <c:pt idx="1192">
                  <c:v>5.6368764208345802E-4</c:v>
                </c:pt>
                <c:pt idx="1193">
                  <c:v>5.6938807620801038E-4</c:v>
                </c:pt>
                <c:pt idx="1194">
                  <c:v>5.8067416419230709E-4</c:v>
                </c:pt>
                <c:pt idx="1195">
                  <c:v>5.9184266263824969E-4</c:v>
                </c:pt>
                <c:pt idx="1196">
                  <c:v>5.9736952216847593E-4</c:v>
                </c:pt>
                <c:pt idx="1197">
                  <c:v>6.0286166666747036E-4</c:v>
                </c:pt>
                <c:pt idx="1198">
                  <c:v>6.0831909637561394E-4</c:v>
                </c:pt>
                <c:pt idx="1199">
                  <c:v>6.1911930465011948E-4</c:v>
                </c:pt>
                <c:pt idx="1200">
                  <c:v>6.2980166745764269E-4</c:v>
                </c:pt>
                <c:pt idx="1201">
                  <c:v>6.350855232907165E-4</c:v>
                </c:pt>
                <c:pt idx="1202">
                  <c:v>6.4033466417247038E-4</c:v>
                </c:pt>
                <c:pt idx="1203">
                  <c:v>6.4554909034352794E-4</c:v>
                </c:pt>
                <c:pt idx="1204">
                  <c:v>6.5586342119946584E-4</c:v>
                </c:pt>
                <c:pt idx="1205">
                  <c:v>6.6605964599741668E-4</c:v>
                </c:pt>
                <c:pt idx="1206">
                  <c:v>6.7110049749342145E-4</c:v>
                </c:pt>
                <c:pt idx="1207">
                  <c:v>6.7610663395900551E-4</c:v>
                </c:pt>
                <c:pt idx="1208">
                  <c:v>6.8107805531337118E-4</c:v>
                </c:pt>
                <c:pt idx="1209">
                  <c:v>6.9090650672624693E-4</c:v>
                </c:pt>
                <c:pt idx="1210">
                  <c:v>7.0061658858466976E-4</c:v>
                </c:pt>
                <c:pt idx="1211">
                  <c:v>7.0541443350625045E-4</c:v>
                </c:pt>
                <c:pt idx="1212">
                  <c:v>7.1017756299684986E-4</c:v>
                </c:pt>
                <c:pt idx="1213">
                  <c:v>7.1490597673762898E-4</c:v>
                </c:pt>
                <c:pt idx="1214">
                  <c:v>7.2424854225868482E-4</c:v>
                </c:pt>
                <c:pt idx="1215">
                  <c:v>7.3347247411715611E-4</c:v>
                </c:pt>
                <c:pt idx="1216">
                  <c:v>7.3804275594990375E-4</c:v>
                </c:pt>
                <c:pt idx="1217">
                  <c:v>7.426555592095033E-4</c:v>
                </c:pt>
                <c:pt idx="1218">
                  <c:v>7.4732633217766112E-4</c:v>
                </c:pt>
                <c:pt idx="1219">
                  <c:v>7.5686270403001329E-4</c:v>
                </c:pt>
                <c:pt idx="1220">
                  <c:v>7.6658913201287603E-4</c:v>
                </c:pt>
                <c:pt idx="1221">
                  <c:v>7.7154976255945759E-4</c:v>
                </c:pt>
                <c:pt idx="1222">
                  <c:v>7.7656836673144561E-4</c:v>
                </c:pt>
                <c:pt idx="1223">
                  <c:v>7.816449452492547E-4</c:v>
                </c:pt>
                <c:pt idx="1224">
                  <c:v>7.919930959853933E-4</c:v>
                </c:pt>
                <c:pt idx="1225">
                  <c:v>8.0253101708129622E-4</c:v>
                </c:pt>
                <c:pt idx="1226">
                  <c:v>8.0789747803665238E-4</c:v>
                </c:pt>
                <c:pt idx="1227">
                  <c:v>8.1332191813401314E-4</c:v>
                </c:pt>
                <c:pt idx="1228">
                  <c:v>8.1880433745227762E-4</c:v>
                </c:pt>
                <c:pt idx="1229">
                  <c:v>8.2996435878608698E-4</c:v>
                </c:pt>
                <c:pt idx="1230">
                  <c:v>8.4131382636534616E-4</c:v>
                </c:pt>
                <c:pt idx="1231">
                  <c:v>8.4708615521997906E-4</c:v>
                </c:pt>
                <c:pt idx="1232">
                  <c:v>8.5291646865229341E-4</c:v>
                </c:pt>
                <c:pt idx="1233">
                  <c:v>8.5880476714081844E-4</c:v>
                </c:pt>
                <c:pt idx="1234">
                  <c:v>8.7077675856588835E-4</c:v>
                </c:pt>
                <c:pt idx="1235">
                  <c:v>8.8293783004886404E-4</c:v>
                </c:pt>
                <c:pt idx="1236">
                  <c:v>8.8911606725098442E-4</c:v>
                </c:pt>
                <c:pt idx="1237">
                  <c:v>8.9535229502488037E-4</c:v>
                </c:pt>
                <c:pt idx="1238">
                  <c:v>9.1447156909299976E-4</c:v>
                </c:pt>
                <c:pt idx="1239">
                  <c:v>9.3398751021197374E-4</c:v>
                </c:pt>
                <c:pt idx="1240">
                  <c:v>9.4062969629342516E-4</c:v>
                </c:pt>
                <c:pt idx="1241">
                  <c:v>9.4732988054054457E-4</c:v>
                </c:pt>
                <c:pt idx="1242">
                  <c:v>9.6092614468196082E-4</c:v>
                </c:pt>
                <c:pt idx="1243">
                  <c:v>9.7471061549987725E-4</c:v>
                </c:pt>
                <c:pt idx="1244">
                  <c:v>9.8170080400821706E-4</c:v>
                </c:pt>
                <c:pt idx="1245">
                  <c:v>9.8874899643759478E-4</c:v>
                </c:pt>
                <c:pt idx="1246">
                  <c:v>9.958551939083756E-4</c:v>
                </c:pt>
                <c:pt idx="1247">
                  <c:v>1.010263779352932E-3</c:v>
                </c:pt>
                <c:pt idx="1248">
                  <c:v>1.0248600554609308E-3</c:v>
                </c:pt>
                <c:pt idx="1249">
                  <c:v>1.032256294282002E-3</c:v>
                </c:pt>
                <c:pt idx="1250">
                  <c:v>1.0397105445393885E-3</c:v>
                </c:pt>
                <c:pt idx="1251">
                  <c:v>1.0472228076706142E-3</c:v>
                </c:pt>
                <c:pt idx="1252">
                  <c:v>1.0624438506568518E-3</c:v>
                </c:pt>
                <c:pt idx="1253">
                  <c:v>1.0778520098851366E-3</c:v>
                </c:pt>
                <c:pt idx="1254">
                  <c:v>1.0856543540961991E-3</c:v>
                </c:pt>
                <c:pt idx="1255">
                  <c:v>1.0935147178157646E-3</c:v>
                </c:pt>
                <c:pt idx="1256">
                  <c:v>1.1014331026439473E-3</c:v>
                </c:pt>
                <c:pt idx="1257">
                  <c:v>1.1174667503332514E-3</c:v>
                </c:pt>
                <c:pt idx="1258">
                  <c:v>1.1336868765356631E-3</c:v>
                </c:pt>
                <c:pt idx="1259">
                  <c:v>1.1418953849682714E-3</c:v>
                </c:pt>
                <c:pt idx="1260">
                  <c:v>1.1501619221030857E-3</c:v>
                </c:pt>
                <c:pt idx="1261">
                  <c:v>1.1584864890592189E-3</c:v>
                </c:pt>
                <c:pt idx="1262">
                  <c:v>1.1753328998053672E-3</c:v>
                </c:pt>
                <c:pt idx="1263">
                  <c:v>1.1923650825897698E-3</c:v>
                </c:pt>
                <c:pt idx="1264">
                  <c:v>1.2009798192733965E-3</c:v>
                </c:pt>
                <c:pt idx="1265">
                  <c:v>1.2096525937723458E-3</c:v>
                </c:pt>
                <c:pt idx="1266">
                  <c:v>1.2183834080834771E-3</c:v>
                </c:pt>
                <c:pt idx="1267">
                  <c:v>1.2360427520442122E-3</c:v>
                </c:pt>
                <c:pt idx="1268">
                  <c:v>1.253887087759668E-3</c:v>
                </c:pt>
                <c:pt idx="1269">
                  <c:v>1.2629081207207026E-3</c:v>
                </c:pt>
                <c:pt idx="1270">
                  <c:v>1.2719872020470434E-3</c:v>
                </c:pt>
                <c:pt idx="1271">
                  <c:v>1.2811243330192886E-3</c:v>
                </c:pt>
                <c:pt idx="1272">
                  <c:v>1.2995967930073313E-3</c:v>
                </c:pt>
                <c:pt idx="1273">
                  <c:v>1.318253384612549E-3</c:v>
                </c:pt>
                <c:pt idx="1274">
                  <c:v>1.3276807873106179E-3</c:v>
                </c:pt>
                <c:pt idx="1275">
                  <c:v>1.3371662490870816E-3</c:v>
                </c:pt>
                <c:pt idx="1276">
                  <c:v>1.3467097714590208E-3</c:v>
                </c:pt>
                <c:pt idx="1277">
                  <c:v>1.3659955431589376E-3</c:v>
                </c:pt>
                <c:pt idx="1278">
                  <c:v>1.3854645008846199E-3</c:v>
                </c:pt>
                <c:pt idx="1279">
                  <c:v>1.3952983514988809E-3</c:v>
                </c:pt>
                <c:pt idx="1280">
                  <c:v>1.4051793701417316E-3</c:v>
                </c:pt>
                <c:pt idx="1281">
                  <c:v>1.4150639481782614E-3</c:v>
                </c:pt>
                <c:pt idx="1282">
                  <c:v>1.4348143487463003E-3</c:v>
                </c:pt>
                <c:pt idx="1283">
                  <c:v>1.4545288419312175E-3</c:v>
                </c:pt>
                <c:pt idx="1284">
                  <c:v>1.4643767142883332E-3</c:v>
                </c:pt>
                <c:pt idx="1285">
                  <c:v>1.4742172473971771E-3</c:v>
                </c:pt>
                <c:pt idx="1286">
                  <c:v>1.4840504424549106E-3</c:v>
                </c:pt>
                <c:pt idx="1287">
                  <c:v>1.5036986550588127E-3</c:v>
                </c:pt>
                <c:pt idx="1288">
                  <c:v>1.5233098516984462E-3</c:v>
                </c:pt>
                <c:pt idx="1289">
                  <c:v>1.5331063650594618E-3</c:v>
                </c:pt>
                <c:pt idx="1290">
                  <c:v>1.5428955438865164E-3</c:v>
                </c:pt>
                <c:pt idx="1291">
                  <c:v>1.5526773891408091E-3</c:v>
                </c:pt>
                <c:pt idx="1292">
                  <c:v>1.5722235038938875E-3</c:v>
                </c:pt>
                <c:pt idx="1293">
                  <c:v>1.5917314472877208E-3</c:v>
                </c:pt>
                <c:pt idx="1294">
                  <c:v>1.6014766343455508E-3</c:v>
                </c:pt>
                <c:pt idx="1295">
                  <c:v>1.6112144918254113E-3</c:v>
                </c:pt>
                <c:pt idx="1296">
                  <c:v>1.6209450202889094E-3</c:v>
                </c:pt>
                <c:pt idx="1297">
                  <c:v>1.6403891250948172E-3</c:v>
                </c:pt>
                <c:pt idx="1298">
                  <c:v>1.6597938573961683E-3</c:v>
                </c:pt>
                <c:pt idx="1299">
                  <c:v>1.6694877507636595E-3</c:v>
                </c:pt>
                <c:pt idx="1300">
                  <c:v>1.6791743188718203E-3</c:v>
                </c:pt>
                <c:pt idx="1301">
                  <c:v>1.6888535627576776E-3</c:v>
                </c:pt>
                <c:pt idx="1302">
                  <c:v>1.7081957438947887E-3</c:v>
                </c:pt>
                <c:pt idx="1303">
                  <c:v>1.7274973062428387E-3</c:v>
                </c:pt>
                <c:pt idx="1304">
                  <c:v>1.7371399374968629E-3</c:v>
                </c:pt>
                <c:pt idx="1305">
                  <c:v>1.7467752479657973E-3</c:v>
                </c:pt>
                <c:pt idx="1306">
                  <c:v>1.7564032386111024E-3</c:v>
                </c:pt>
                <c:pt idx="1307">
                  <c:v>1.7756435807569032E-3</c:v>
                </c:pt>
                <c:pt idx="1308">
                  <c:v>1.7948420133343127E-3</c:v>
                </c:pt>
                <c:pt idx="1309">
                  <c:v>1.8044334133279726E-3</c:v>
                </c:pt>
                <c:pt idx="1310">
                  <c:v>1.8140174970951628E-3</c:v>
                </c:pt>
                <c:pt idx="1311">
                  <c:v>1.8235942652730576E-3</c:v>
                </c:pt>
                <c:pt idx="1312">
                  <c:v>1.8427328512960965E-3</c:v>
                </c:pt>
                <c:pt idx="1313">
                  <c:v>1.8618281936163971E-3</c:v>
                </c:pt>
                <c:pt idx="1314">
                  <c:v>1.8713683926477602E-3</c:v>
                </c:pt>
                <c:pt idx="1315">
                  <c:v>1.8809012798467863E-3</c:v>
                </c:pt>
                <c:pt idx="1316">
                  <c:v>1.8904268555356189E-3</c:v>
                </c:pt>
                <c:pt idx="1317">
                  <c:v>1.9094637665960806E-3</c:v>
                </c:pt>
                <c:pt idx="1318">
                  <c:v>1.9284560567637097E-3</c:v>
                </c:pt>
                <c:pt idx="1319">
                  <c:v>1.9379450848064108E-3</c:v>
                </c:pt>
                <c:pt idx="1320">
                  <c:v>1.9474268046962692E-3</c:v>
                </c:pt>
                <c:pt idx="1321">
                  <c:v>1.9569012176298413E-3</c:v>
                </c:pt>
                <c:pt idx="1322">
                  <c:v>1.9758365329726204E-3</c:v>
                </c:pt>
                <c:pt idx="1323">
                  <c:v>1.9947258086091759E-3</c:v>
                </c:pt>
                <c:pt idx="1324">
                  <c:v>2.0041636942022189E-3</c:v>
                </c:pt>
                <c:pt idx="1325">
                  <c:v>2.0135942761182429E-3</c:v>
                </c:pt>
                <c:pt idx="1326">
                  <c:v>2.023017554834933E-3</c:v>
                </c:pt>
                <c:pt idx="1327">
                  <c:v>2.0418513521037792E-3</c:v>
                </c:pt>
                <c:pt idx="1328">
                  <c:v>2.060637649714214E-3</c:v>
                </c:pt>
                <c:pt idx="1329">
                  <c:v>2.0700244213148807E-3</c:v>
                </c:pt>
                <c:pt idx="1330">
                  <c:v>2.0794038932333636E-3</c:v>
                </c:pt>
                <c:pt idx="1331">
                  <c:v>2.0887760658719972E-3</c:v>
                </c:pt>
                <c:pt idx="1332">
                  <c:v>2.1075084211651446E-3</c:v>
                </c:pt>
                <c:pt idx="1333">
                  <c:v>2.1261917762419734E-3</c:v>
                </c:pt>
                <c:pt idx="1334">
                  <c:v>2.1355274615860722E-3</c:v>
                </c:pt>
                <c:pt idx="1335">
                  <c:v>2.1448558509277356E-3</c:v>
                </c:pt>
                <c:pt idx="1336">
                  <c:v>2.1541769452234592E-3</c:v>
                </c:pt>
                <c:pt idx="1337">
                  <c:v>2.1728079325634823E-3</c:v>
                </c:pt>
                <c:pt idx="1338">
                  <c:v>2.1913883799570171E-3</c:v>
                </c:pt>
                <c:pt idx="1339">
                  <c:v>2.2006730059057887E-3</c:v>
                </c:pt>
                <c:pt idx="1340">
                  <c:v>2.2099503398461547E-3</c:v>
                </c:pt>
                <c:pt idx="1341">
                  <c:v>2.2192203822605523E-3</c:v>
                </c:pt>
                <c:pt idx="1342">
                  <c:v>2.2377500743341323E-3</c:v>
                </c:pt>
                <c:pt idx="1343">
                  <c:v>2.2562276477526089E-3</c:v>
                </c:pt>
                <c:pt idx="1344">
                  <c:v>2.2654612406821438E-3</c:v>
                </c:pt>
                <c:pt idx="1345">
                  <c:v>2.2746875453631241E-3</c:v>
                </c:pt>
                <c:pt idx="1346">
                  <c:v>2.2839065844944867E-3</c:v>
                </c:pt>
                <c:pt idx="1347">
                  <c:v>2.3023354975039356E-3</c:v>
                </c:pt>
                <c:pt idx="1348">
                  <c:v>2.3207111203134827E-3</c:v>
                </c:pt>
                <c:pt idx="1349">
                  <c:v>2.3298943739917177E-3</c:v>
                </c:pt>
                <c:pt idx="1350">
                  <c:v>2.3390704765887346E-3</c:v>
                </c:pt>
                <c:pt idx="1351">
                  <c:v>2.3482394285871352E-3</c:v>
                </c:pt>
                <c:pt idx="1352">
                  <c:v>2.3665690569617472E-3</c:v>
                </c:pt>
                <c:pt idx="1353">
                  <c:v>2.3848437409683134E-3</c:v>
                </c:pt>
                <c:pt idx="1354">
                  <c:v>2.393976947798374E-3</c:v>
                </c:pt>
                <c:pt idx="1355">
                  <c:v>2.403103006987488E-3</c:v>
                </c:pt>
                <c:pt idx="1356">
                  <c:v>2.4122219192520117E-3</c:v>
                </c:pt>
                <c:pt idx="1357">
                  <c:v>2.4304523309658277E-3</c:v>
                </c:pt>
                <c:pt idx="1358">
                  <c:v>2.4486261075566513E-3</c:v>
                </c:pt>
                <c:pt idx="1359">
                  <c:v>2.4577092920803944E-3</c:v>
                </c:pt>
                <c:pt idx="1360">
                  <c:v>2.4667853325603542E-3</c:v>
                </c:pt>
                <c:pt idx="1361">
                  <c:v>2.4758542293131253E-3</c:v>
                </c:pt>
                <c:pt idx="1362">
                  <c:v>2.4939854908991063E-3</c:v>
                </c:pt>
                <c:pt idx="1363">
                  <c:v>2.5120583906619825E-3</c:v>
                </c:pt>
                <c:pt idx="1364">
                  <c:v>2.5210915766220266E-3</c:v>
                </c:pt>
                <c:pt idx="1365">
                  <c:v>2.5301176222920982E-3</c:v>
                </c:pt>
                <c:pt idx="1366">
                  <c:v>2.5391365276754272E-3</c:v>
                </c:pt>
                <c:pt idx="1367">
                  <c:v>2.557168703693919E-3</c:v>
                </c:pt>
                <c:pt idx="1368">
                  <c:v>2.575140755994164E-3</c:v>
                </c:pt>
                <c:pt idx="1369">
                  <c:v>2.5841239674480447E-3</c:v>
                </c:pt>
                <c:pt idx="1370">
                  <c:v>2.5931000411731704E-3</c:v>
                </c:pt>
                <c:pt idx="1371">
                  <c:v>2.6020689782853363E-3</c:v>
                </c:pt>
                <c:pt idx="1372">
                  <c:v>2.6200021320745104E-3</c:v>
                </c:pt>
                <c:pt idx="1373">
                  <c:v>2.6378733658201409E-3</c:v>
                </c:pt>
                <c:pt idx="1374">
                  <c:v>2.6468066249933802E-3</c:v>
                </c:pt>
                <c:pt idx="1375">
                  <c:v>2.655732749791835E-3</c:v>
                </c:pt>
                <c:pt idx="1376">
                  <c:v>2.664651741098192E-3</c:v>
                </c:pt>
                <c:pt idx="1377">
                  <c:v>2.6824859343931081E-3</c:v>
                </c:pt>
                <c:pt idx="1378">
                  <c:v>2.700256377377472E-3</c:v>
                </c:pt>
                <c:pt idx="1379">
                  <c:v>2.709139706648787E-3</c:v>
                </c:pt>
                <c:pt idx="1380">
                  <c:v>2.7180159045863128E-3</c:v>
                </c:pt>
                <c:pt idx="1381">
                  <c:v>2.726884972065875E-3</c:v>
                </c:pt>
                <c:pt idx="1382">
                  <c:v>2.7446202647942071E-3</c:v>
                </c:pt>
                <c:pt idx="1383">
                  <c:v>2.7622899441399739E-3</c:v>
                </c:pt>
                <c:pt idx="1384">
                  <c:v>2.7711233648557518E-3</c:v>
                </c:pt>
                <c:pt idx="1385">
                  <c:v>2.779949657511614E-3</c:v>
                </c:pt>
                <c:pt idx="1386">
                  <c:v>2.7887688225107904E-3</c:v>
                </c:pt>
                <c:pt idx="1387">
                  <c:v>2.8064052731567582E-3</c:v>
                </c:pt>
                <c:pt idx="1388">
                  <c:v>2.8239742149511774E-3</c:v>
                </c:pt>
                <c:pt idx="1389">
                  <c:v>2.8327577481328712E-3</c:v>
                </c:pt>
                <c:pt idx="1390">
                  <c:v>2.8415341562122443E-3</c:v>
                </c:pt>
                <c:pt idx="1391">
                  <c:v>2.8503034396725408E-3</c:v>
                </c:pt>
                <c:pt idx="1392">
                  <c:v>2.8678411050984914E-3</c:v>
                </c:pt>
                <c:pt idx="1393">
                  <c:v>2.8853093346552778E-3</c:v>
                </c:pt>
                <c:pt idx="1394">
                  <c:v>2.8940430006847346E-3</c:v>
                </c:pt>
                <c:pt idx="1395">
                  <c:v>2.9027695445731664E-3</c:v>
                </c:pt>
                <c:pt idx="1396">
                  <c:v>2.9114889664767388E-3</c:v>
                </c:pt>
                <c:pt idx="1397">
                  <c:v>2.9289279021062486E-3</c:v>
                </c:pt>
                <c:pt idx="1398">
                  <c:v>2.9462954439369695E-3</c:v>
                </c:pt>
                <c:pt idx="1399">
                  <c:v>2.9549792624821549E-3</c:v>
                </c:pt>
                <c:pt idx="1400">
                  <c:v>2.963655961840209E-3</c:v>
                </c:pt>
                <c:pt idx="1401">
                  <c:v>2.9723255420149169E-3</c:v>
                </c:pt>
                <c:pt idx="1402">
                  <c:v>2.989665801482595E-3</c:v>
                </c:pt>
                <c:pt idx="1403">
                  <c:v>3.0069326793307678E-3</c:v>
                </c:pt>
                <c:pt idx="1404">
                  <c:v>3.0155666696524979E-3</c:v>
                </c:pt>
                <c:pt idx="1405">
                  <c:v>3.024193543348869E-3</c:v>
                </c:pt>
                <c:pt idx="1406">
                  <c:v>3.0328133006558267E-3</c:v>
                </c:pt>
                <c:pt idx="1407">
                  <c:v>3.0500549364022647E-3</c:v>
                </c:pt>
                <c:pt idx="1408">
                  <c:v>3.0672211729671694E-3</c:v>
                </c:pt>
                <c:pt idx="1409">
                  <c:v>3.0758053536943972E-3</c:v>
                </c:pt>
                <c:pt idx="1410">
                  <c:v>3.0843824204302601E-3</c:v>
                </c:pt>
                <c:pt idx="1411">
                  <c:v>3.0929491188219143E-3</c:v>
                </c:pt>
                <c:pt idx="1412">
                  <c:v>3.1100270941751391E-3</c:v>
                </c:pt>
                <c:pt idx="1413">
                  <c:v>3.1269625368240518E-3</c:v>
                </c:pt>
                <c:pt idx="1414">
                  <c:v>3.1353992913980095E-3</c:v>
                </c:pt>
                <c:pt idx="1415">
                  <c:v>3.143809405524126E-3</c:v>
                </c:pt>
                <c:pt idx="1416">
                  <c:v>3.1521928785588973E-3</c:v>
                </c:pt>
                <c:pt idx="1417">
                  <c:v>3.1688989134350388E-3</c:v>
                </c:pt>
                <c:pt idx="1418">
                  <c:v>3.1854603540532617E-3</c:v>
                </c:pt>
                <c:pt idx="1419">
                  <c:v>3.1937106169271589E-3</c:v>
                </c:pt>
                <c:pt idx="1420">
                  <c:v>3.2019342367112782E-3</c:v>
                </c:pt>
                <c:pt idx="1421">
                  <c:v>3.2101312129290661E-3</c:v>
                </c:pt>
                <c:pt idx="1422">
                  <c:v>3.2264652676785191E-3</c:v>
                </c:pt>
                <c:pt idx="1423">
                  <c:v>3.2426526740531518E-3</c:v>
                </c:pt>
                <c:pt idx="1424">
                  <c:v>3.2507164263600769E-3</c:v>
                </c:pt>
                <c:pt idx="1425">
                  <c:v>3.2587535326195527E-3</c:v>
                </c:pt>
                <c:pt idx="1426">
                  <c:v>3.2667639926758705E-3</c:v>
                </c:pt>
                <c:pt idx="1427">
                  <c:v>3.282726022453112E-3</c:v>
                </c:pt>
                <c:pt idx="1428">
                  <c:v>3.2985393589340778E-3</c:v>
                </c:pt>
                <c:pt idx="1429">
                  <c:v>3.3064165802082872E-3</c:v>
                </c:pt>
                <c:pt idx="1430">
                  <c:v>3.3142671520019905E-3</c:v>
                </c:pt>
                <c:pt idx="1431">
                  <c:v>3.3220910742310177E-3</c:v>
                </c:pt>
                <c:pt idx="1432">
                  <c:v>3.3376810285192468E-3</c:v>
                </c:pt>
                <c:pt idx="1433">
                  <c:v>3.353120257373918E-3</c:v>
                </c:pt>
                <c:pt idx="1434">
                  <c:v>3.3608109242783063E-3</c:v>
                </c:pt>
                <c:pt idx="1435">
                  <c:v>3.3684749385004828E-3</c:v>
                </c:pt>
                <c:pt idx="1436">
                  <c:v>3.3761122997250058E-3</c:v>
                </c:pt>
                <c:pt idx="1437">
                  <c:v>3.3913301228592463E-3</c:v>
                </c:pt>
                <c:pt idx="1438">
                  <c:v>3.40639520302999E-3</c:v>
                </c:pt>
                <c:pt idx="1439">
                  <c:v>3.4138992909399581E-3</c:v>
                </c:pt>
                <c:pt idx="1440">
                  <c:v>3.4213767224150521E-3</c:v>
                </c:pt>
                <c:pt idx="1441">
                  <c:v>3.4288274972110924E-3</c:v>
                </c:pt>
                <c:pt idx="1442">
                  <c:v>3.4436731284161761E-3</c:v>
                </c:pt>
                <c:pt idx="1443">
                  <c:v>3.4583640163615846E-3</c:v>
                </c:pt>
                <c:pt idx="1444">
                  <c:v>3.4656814985029151E-3</c:v>
                </c:pt>
                <c:pt idx="1445">
                  <c:v>3.4729723202881046E-3</c:v>
                </c:pt>
                <c:pt idx="1446">
                  <c:v>3.4802364810821019E-3</c:v>
                </c:pt>
                <c:pt idx="1447">
                  <c:v>3.4947098548341808E-3</c:v>
                </c:pt>
                <c:pt idx="1448">
                  <c:v>3.509026504167641E-3</c:v>
                </c:pt>
                <c:pt idx="1449">
                  <c:v>3.5161573517589252E-3</c:v>
                </c:pt>
                <c:pt idx="1450">
                  <c:v>3.5232615349217941E-3</c:v>
                </c:pt>
                <c:pt idx="1451">
                  <c:v>3.5303390526925135E-3</c:v>
                </c:pt>
                <c:pt idx="1452">
                  <c:v>3.5444400984106406E-3</c:v>
                </c:pt>
                <c:pt idx="1453">
                  <c:v>3.5583824604496204E-3</c:v>
                </c:pt>
                <c:pt idx="1454">
                  <c:v>3.5653266430374342E-3</c:v>
                </c:pt>
                <c:pt idx="1455">
                  <c:v>3.5722441566405092E-3</c:v>
                </c:pt>
                <c:pt idx="1456">
                  <c:v>3.5791350004549206E-3</c:v>
                </c:pt>
                <c:pt idx="1457">
                  <c:v>3.5928636428652449E-3</c:v>
                </c:pt>
                <c:pt idx="1458">
                  <c:v>3.6064316658629327E-3</c:v>
                </c:pt>
                <c:pt idx="1459">
                  <c:v>3.6131891513952264E-3</c:v>
                </c:pt>
                <c:pt idx="1460">
                  <c:v>3.6199199628222825E-3</c:v>
                </c:pt>
                <c:pt idx="1461">
                  <c:v>3.6266241000687915E-3</c:v>
                </c:pt>
                <c:pt idx="1462">
                  <c:v>3.6399802592066845E-3</c:v>
                </c:pt>
                <c:pt idx="1463">
                  <c:v>3.6531738894757669E-3</c:v>
                </c:pt>
                <c:pt idx="1464">
                  <c:v>3.6597446436553546E-3</c:v>
                </c:pt>
                <c:pt idx="1465">
                  <c:v>3.666288718938193E-3</c:v>
                </c:pt>
                <c:pt idx="1466">
                  <c:v>3.6728061146801081E-3</c:v>
                </c:pt>
                <c:pt idx="1467">
                  <c:v>3.6857897063759955E-3</c:v>
                </c:pt>
                <c:pt idx="1468">
                  <c:v>3.6986088877183124E-3</c:v>
                </c:pt>
                <c:pt idx="1469">
                  <c:v>3.7049928748983888E-3</c:v>
                </c:pt>
                <c:pt idx="1470">
                  <c:v>3.7113501778212902E-3</c:v>
                </c:pt>
                <c:pt idx="1471">
                  <c:v>3.717680795932207E-3</c:v>
                </c:pt>
                <c:pt idx="1472">
                  <c:v>3.730291731560512E-3</c:v>
                </c:pt>
                <c:pt idx="1473">
                  <c:v>3.74273640551931E-3</c:v>
                </c:pt>
                <c:pt idx="1474">
                  <c:v>3.7489335879653221E-3</c:v>
                </c:pt>
                <c:pt idx="1475">
                  <c:v>3.7551139274866782E-3</c:v>
                </c:pt>
                <c:pt idx="1476">
                  <c:v>3.7613168092936692E-3</c:v>
                </c:pt>
                <c:pt idx="1477">
                  <c:v>3.773870103485281E-3</c:v>
                </c:pt>
                <c:pt idx="1478">
                  <c:v>3.786452254858593E-3</c:v>
                </c:pt>
                <c:pt idx="1479">
                  <c:v>3.7928171043872341E-3</c:v>
                </c:pt>
                <c:pt idx="1480">
                  <c:v>3.7992143524772817E-3</c:v>
                </c:pt>
                <c:pt idx="1481">
                  <c:v>3.8056440008122474E-3</c:v>
                </c:pt>
                <c:pt idx="1482">
                  <c:v>3.818651812492556E-3</c:v>
                </c:pt>
                <c:pt idx="1483">
                  <c:v>3.8316866320637511E-3</c:v>
                </c:pt>
                <c:pt idx="1484">
                  <c:v>3.8382783080675551E-3</c:v>
                </c:pt>
                <c:pt idx="1485">
                  <c:v>3.8449023943070799E-3</c:v>
                </c:pt>
                <c:pt idx="1486">
                  <c:v>3.8515588932603504E-3</c:v>
                </c:pt>
                <c:pt idx="1487">
                  <c:v>3.865021435993462E-3</c:v>
                </c:pt>
                <c:pt idx="1488">
                  <c:v>3.8785090482480146E-3</c:v>
                </c:pt>
                <c:pt idx="1489">
                  <c:v>3.8853276355415613E-3</c:v>
                </c:pt>
                <c:pt idx="1490">
                  <c:v>3.8921786460217301E-3</c:v>
                </c:pt>
                <c:pt idx="1491">
                  <c:v>3.8990620812822687E-3</c:v>
                </c:pt>
                <c:pt idx="1492">
                  <c:v>3.9129795743610973E-3</c:v>
                </c:pt>
                <c:pt idx="1493">
                  <c:v>3.9269201063690216E-3</c:v>
                </c:pt>
                <c:pt idx="1494">
                  <c:v>3.9339656927246157E-3</c:v>
                </c:pt>
                <c:pt idx="1495">
                  <c:v>3.9410437148917291E-3</c:v>
                </c:pt>
                <c:pt idx="1496">
                  <c:v>3.9481541743142459E-3</c:v>
                </c:pt>
                <c:pt idx="1497">
                  <c:v>3.9625268425955958E-3</c:v>
                </c:pt>
                <c:pt idx="1498">
                  <c:v>3.9769204248158831E-3</c:v>
                </c:pt>
                <c:pt idx="1499">
                  <c:v>3.9841930995970099E-3</c:v>
                </c:pt>
              </c:numCache>
            </c:numRef>
          </c:val>
          <c:smooth val="0"/>
        </c:ser>
        <c:ser>
          <c:idx val="3"/>
          <c:order val="1"/>
          <c:tx>
            <c:v>EUR1ML</c:v>
          </c:tx>
          <c:marker>
            <c:symbol val="none"/>
          </c:marker>
          <c:val>
            <c:numRef>
              <c:f>'EUR Forwards'!$I$20:$I$1519</c:f>
              <c:numCache>
                <c:formatCode>0.00000%</c:formatCode>
                <c:ptCount val="1500"/>
                <c:pt idx="0">
                  <c:v>-3.4881028536560806E-3</c:v>
                </c:pt>
                <c:pt idx="1">
                  <c:v>-3.4890515335113245E-3</c:v>
                </c:pt>
                <c:pt idx="2">
                  <c:v>-3.4899996600852644E-3</c:v>
                </c:pt>
                <c:pt idx="3">
                  <c:v>-3.4909477866592042E-3</c:v>
                </c:pt>
                <c:pt idx="4">
                  <c:v>-3.4937976991940606E-3</c:v>
                </c:pt>
                <c:pt idx="5">
                  <c:v>-3.4947513585810368E-3</c:v>
                </c:pt>
                <c:pt idx="6">
                  <c:v>-3.4957077843745317E-3</c:v>
                </c:pt>
                <c:pt idx="7">
                  <c:v>-3.4966675298558486E-3</c:v>
                </c:pt>
                <c:pt idx="8">
                  <c:v>-3.4976311483062902E-3</c:v>
                </c:pt>
                <c:pt idx="9">
                  <c:v>-3.5005507742854052E-3</c:v>
                </c:pt>
                <c:pt idx="10">
                  <c:v>-3.5015354174253856E-3</c:v>
                </c:pt>
                <c:pt idx="11">
                  <c:v>-3.5025266999410098E-3</c:v>
                </c:pt>
                <c:pt idx="12">
                  <c:v>-3.5035251751135807E-3</c:v>
                </c:pt>
                <c:pt idx="13">
                  <c:v>-3.5045313962244031E-3</c:v>
                </c:pt>
                <c:pt idx="14">
                  <c:v>-3.5076020679994128E-3</c:v>
                </c:pt>
                <c:pt idx="15">
                  <c:v>-3.5086448056762753E-3</c:v>
                </c:pt>
                <c:pt idx="16">
                  <c:v>-3.5096980556979067E-3</c:v>
                </c:pt>
                <c:pt idx="17">
                  <c:v>-3.510762371345612E-3</c:v>
                </c:pt>
                <c:pt idx="18">
                  <c:v>-3.511838305900693E-3</c:v>
                </c:pt>
                <c:pt idx="19">
                  <c:v>-3.515141355823231E-3</c:v>
                </c:pt>
                <c:pt idx="20">
                  <c:v>-3.5162692988208546E-3</c:v>
                </c:pt>
                <c:pt idx="21">
                  <c:v>-3.5174116271323732E-3</c:v>
                </c:pt>
                <c:pt idx="22">
                  <c:v>-3.5185688940390894E-3</c:v>
                </c:pt>
                <c:pt idx="23">
                  <c:v>-3.5197416528223078E-3</c:v>
                </c:pt>
                <c:pt idx="24">
                  <c:v>-3.5233584132440105E-3</c:v>
                </c:pt>
                <c:pt idx="25">
                  <c:v>-3.5245984418932198E-3</c:v>
                </c:pt>
                <c:pt idx="26">
                  <c:v>-3.5258553461071295E-3</c:v>
                </c:pt>
                <c:pt idx="27">
                  <c:v>-3.5271282964487245E-3</c:v>
                </c:pt>
                <c:pt idx="28">
                  <c:v>-3.5284164634809883E-3</c:v>
                </c:pt>
                <c:pt idx="29">
                  <c:v>-3.5323639703516334E-3</c:v>
                </c:pt>
                <c:pt idx="30">
                  <c:v>-3.5337047097764142E-3</c:v>
                </c:pt>
                <c:pt idx="31">
                  <c:v>-3.5350565187067841E-3</c:v>
                </c:pt>
                <c:pt idx="32">
                  <c:v>-3.5364185677057283E-3</c:v>
                </c:pt>
                <c:pt idx="33">
                  <c:v>-3.5377900273362295E-3</c:v>
                </c:pt>
                <c:pt idx="34">
                  <c:v>-3.5419525756469222E-3</c:v>
                </c:pt>
                <c:pt idx="35">
                  <c:v>-3.5433533834334963E-3</c:v>
                </c:pt>
                <c:pt idx="36">
                  <c:v>-3.5447594546665481E-3</c:v>
                </c:pt>
                <c:pt idx="37">
                  <c:v>-3.5461699599090629E-3</c:v>
                </c:pt>
                <c:pt idx="38">
                  <c:v>-3.5475840697240251E-3</c:v>
                </c:pt>
                <c:pt idx="39">
                  <c:v>-3.5518397322334312E-3</c:v>
                </c:pt>
                <c:pt idx="40">
                  <c:v>-3.5532599659680213E-3</c:v>
                </c:pt>
                <c:pt idx="41">
                  <c:v>-3.5546796570899782E-3</c:v>
                </c:pt>
                <c:pt idx="42">
                  <c:v>-3.5560979761622867E-3</c:v>
                </c:pt>
                <c:pt idx="43">
                  <c:v>-3.5575140937479312E-3</c:v>
                </c:pt>
                <c:pt idx="44">
                  <c:v>-3.5617409432147184E-3</c:v>
                </c:pt>
                <c:pt idx="45">
                  <c:v>-3.5631399604835459E-3</c:v>
                </c:pt>
                <c:pt idx="46">
                  <c:v>-3.5645328030336531E-3</c:v>
                </c:pt>
                <c:pt idx="47">
                  <c:v>-3.5659195111931428E-3</c:v>
                </c:pt>
                <c:pt idx="48">
                  <c:v>-3.5673002992431379E-3</c:v>
                </c:pt>
                <c:pt idx="49">
                  <c:v>-3.5714092855474188E-3</c:v>
                </c:pt>
                <c:pt idx="50">
                  <c:v>-3.5727685359706945E-3</c:v>
                </c:pt>
                <c:pt idx="51">
                  <c:v>-3.5741229376901034E-3</c:v>
                </c:pt>
                <c:pt idx="52">
                  <c:v>-3.5754727049867705E-3</c:v>
                </c:pt>
                <c:pt idx="53">
                  <c:v>-3.5768180521418211E-3</c:v>
                </c:pt>
                <c:pt idx="54">
                  <c:v>-3.5808297155685278E-3</c:v>
                </c:pt>
                <c:pt idx="55">
                  <c:v>-3.5821595249683671E-3</c:v>
                </c:pt>
                <c:pt idx="56">
                  <c:v>-3.5834859856322147E-3</c:v>
                </c:pt>
                <c:pt idx="57">
                  <c:v>-3.5848093118411978E-3</c:v>
                </c:pt>
                <c:pt idx="58">
                  <c:v>-3.5861297178764419E-3</c:v>
                </c:pt>
                <c:pt idx="59">
                  <c:v>-3.5900755577509902E-3</c:v>
                </c:pt>
                <c:pt idx="60">
                  <c:v>-3.5913864259025288E-3</c:v>
                </c:pt>
                <c:pt idx="61">
                  <c:v>-3.5926954452859547E-3</c:v>
                </c:pt>
                <c:pt idx="62">
                  <c:v>-3.5940028301823927E-3</c:v>
                </c:pt>
                <c:pt idx="63">
                  <c:v>-3.5953087948729684E-3</c:v>
                </c:pt>
                <c:pt idx="64">
                  <c:v>-3.5992203105207721E-3</c:v>
                </c:pt>
                <c:pt idx="65">
                  <c:v>-3.6005227371991499E-3</c:v>
                </c:pt>
                <c:pt idx="66">
                  <c:v>-3.6018248150772921E-3</c:v>
                </c:pt>
                <c:pt idx="67">
                  <c:v>-3.6031267584363228E-3</c:v>
                </c:pt>
                <c:pt idx="68">
                  <c:v>-3.6044287815573681E-3</c:v>
                </c:pt>
                <c:pt idx="69">
                  <c:v>-3.6083367606149401E-3</c:v>
                </c:pt>
                <c:pt idx="70">
                  <c:v>-3.6096402703179103E-3</c:v>
                </c:pt>
                <c:pt idx="71">
                  <c:v>-3.6109442985761638E-3</c:v>
                </c:pt>
                <c:pt idx="72">
                  <c:v>-3.6122489015177361E-3</c:v>
                </c:pt>
                <c:pt idx="73">
                  <c:v>-3.6135541352706625E-3</c:v>
                </c:pt>
                <c:pt idx="74">
                  <c:v>-3.6174741826779291E-3</c:v>
                </c:pt>
                <c:pt idx="75">
                  <c:v>-3.6187825009566322E-3</c:v>
                </c:pt>
                <c:pt idx="76">
                  <c:v>-3.6200917306868693E-3</c:v>
                </c:pt>
                <c:pt idx="77">
                  <c:v>-3.6214019279966767E-3</c:v>
                </c:pt>
                <c:pt idx="78">
                  <c:v>-3.6227131490140885E-3</c:v>
                </c:pt>
                <c:pt idx="79">
                  <c:v>-3.6266535155923159E-3</c:v>
                </c:pt>
                <c:pt idx="80">
                  <c:v>-3.6279693927205084E-3</c:v>
                </c:pt>
                <c:pt idx="81">
                  <c:v>-3.6292865741964849E-3</c:v>
                </c:pt>
                <c:pt idx="82">
                  <c:v>-3.6306051161482823E-3</c:v>
                </c:pt>
                <c:pt idx="83">
                  <c:v>-3.6319250747039351E-3</c:v>
                </c:pt>
                <c:pt idx="84">
                  <c:v>-3.6358940112743909E-3</c:v>
                </c:pt>
                <c:pt idx="85">
                  <c:v>-3.6372201975258278E-3</c:v>
                </c:pt>
                <c:pt idx="86">
                  <c:v>-3.6385480810213E-3</c:v>
                </c:pt>
                <c:pt idx="87">
                  <c:v>-3.6398777178888431E-3</c:v>
                </c:pt>
                <c:pt idx="88">
                  <c:v>-3.6412091642564932E-3</c:v>
                </c:pt>
                <c:pt idx="89">
                  <c:v>-3.6452149216404449E-3</c:v>
                </c:pt>
                <c:pt idx="90">
                  <c:v>-3.6465541275184422E-3</c:v>
                </c:pt>
                <c:pt idx="91">
                  <c:v>-3.6478951849140883E-3</c:v>
                </c:pt>
                <c:pt idx="92">
                  <c:v>-3.6492379113327827E-3</c:v>
                </c:pt>
                <c:pt idx="93">
                  <c:v>-3.6505821242799222E-3</c:v>
                </c:pt>
                <c:pt idx="94">
                  <c:v>-3.6546218573460078E-3</c:v>
                </c:pt>
                <c:pt idx="95">
                  <c:v>-3.6559701914609202E-3</c:v>
                </c:pt>
                <c:pt idx="96">
                  <c:v>-3.657319099631272E-3</c:v>
                </c:pt>
                <c:pt idx="97">
                  <c:v>-3.6586683993624623E-3</c:v>
                </c:pt>
                <c:pt idx="98">
                  <c:v>-3.6600179081598891E-3</c:v>
                </c:pt>
                <c:pt idx="99">
                  <c:v>-3.6640658640035785E-3</c:v>
                </c:pt>
                <c:pt idx="100">
                  <c:v>-3.6654143841199395E-3</c:v>
                </c:pt>
                <c:pt idx="101">
                  <c:v>-3.6667622008295306E-3</c:v>
                </c:pt>
                <c:pt idx="102">
                  <c:v>-3.6681091316377512E-3</c:v>
                </c:pt>
                <c:pt idx="103">
                  <c:v>-3.6694549940499985E-3</c:v>
                </c:pt>
                <c:pt idx="104">
                  <c:v>-3.6734843459648933E-3</c:v>
                </c:pt>
                <c:pt idx="105">
                  <c:v>-3.6748241098472374E-3</c:v>
                </c:pt>
                <c:pt idx="106">
                  <c:v>-3.676161892860603E-3</c:v>
                </c:pt>
                <c:pt idx="107">
                  <c:v>-3.6774975125103875E-3</c:v>
                </c:pt>
                <c:pt idx="108">
                  <c:v>-3.6788307863019898E-3</c:v>
                </c:pt>
                <c:pt idx="109">
                  <c:v>-3.6828147075816924E-3</c:v>
                </c:pt>
                <c:pt idx="110">
                  <c:v>-3.6841367729945544E-3</c:v>
                </c:pt>
                <c:pt idx="111">
                  <c:v>-3.6854555800762273E-3</c:v>
                </c:pt>
                <c:pt idx="112">
                  <c:v>-3.6867711149856379E-3</c:v>
                </c:pt>
                <c:pt idx="113">
                  <c:v>-3.6880840384958245E-3</c:v>
                </c:pt>
                <c:pt idx="114">
                  <c:v>-3.6920154348966941E-3</c:v>
                </c:pt>
                <c:pt idx="115">
                  <c:v>-3.6933262070756407E-3</c:v>
                </c:pt>
                <c:pt idx="116">
                  <c:v>-3.6946385149881902E-3</c:v>
                </c:pt>
                <c:pt idx="117">
                  <c:v>-3.6959531880609094E-3</c:v>
                </c:pt>
                <c:pt idx="118">
                  <c:v>-3.6972710557203648E-3</c:v>
                </c:pt>
                <c:pt idx="119">
                  <c:v>-3.7012521204847978E-3</c:v>
                </c:pt>
                <c:pt idx="120">
                  <c:v>-3.7025910607568504E-3</c:v>
                </c:pt>
                <c:pt idx="121">
                  <c:v>-3.7039373427484672E-3</c:v>
                </c:pt>
                <c:pt idx="122">
                  <c:v>-3.7052917958862132E-3</c:v>
                </c:pt>
                <c:pt idx="123">
                  <c:v>-3.7066552495966542E-3</c:v>
                </c:pt>
                <c:pt idx="124">
                  <c:v>-3.7108079084298032E-3</c:v>
                </c:pt>
                <c:pt idx="125">
                  <c:v>-3.7122156586966814E-3</c:v>
                </c:pt>
                <c:pt idx="126">
                  <c:v>-3.713636556669083E-3</c:v>
                </c:pt>
                <c:pt idx="127">
                  <c:v>-3.7150714317735721E-3</c:v>
                </c:pt>
                <c:pt idx="128">
                  <c:v>-3.716521113436717E-3</c:v>
                </c:pt>
                <c:pt idx="129">
                  <c:v>-3.7209672920437364E-3</c:v>
                </c:pt>
                <c:pt idx="130">
                  <c:v>-3.722484494207156E-3</c:v>
                </c:pt>
                <c:pt idx="131">
                  <c:v>-3.7240206500620595E-3</c:v>
                </c:pt>
                <c:pt idx="132">
                  <c:v>-3.7255765890350108E-3</c:v>
                </c:pt>
                <c:pt idx="133">
                  <c:v>-3.7271531405525769E-3</c:v>
                </c:pt>
                <c:pt idx="134">
                  <c:v>-3.73200386110705E-3</c:v>
                </c:pt>
                <c:pt idx="135">
                  <c:v>-3.7336562151921372E-3</c:v>
                </c:pt>
                <c:pt idx="136">
                  <c:v>-3.7353236369266074E-3</c:v>
                </c:pt>
                <c:pt idx="137">
                  <c:v>-3.7370045327300098E-3</c:v>
                </c:pt>
                <c:pt idx="138">
                  <c:v>-3.7386973090218966E-3</c:v>
                </c:pt>
                <c:pt idx="139">
                  <c:v>-3.7438309850239657E-3</c:v>
                </c:pt>
                <c:pt idx="140">
                  <c:v>-3.7455553474652933E-3</c:v>
                </c:pt>
                <c:pt idx="141">
                  <c:v>-3.7472836224928577E-3</c:v>
                </c:pt>
                <c:pt idx="142">
                  <c:v>-3.7490142165262099E-3</c:v>
                </c:pt>
                <c:pt idx="143">
                  <c:v>-3.7507455359848995E-3</c:v>
                </c:pt>
                <c:pt idx="144">
                  <c:v>-3.7559279111085051E-3</c:v>
                </c:pt>
                <c:pt idx="145">
                  <c:v>-3.7576461964640533E-3</c:v>
                </c:pt>
                <c:pt idx="146">
                  <c:v>-3.7593572393426929E-3</c:v>
                </c:pt>
                <c:pt idx="147">
                  <c:v>-3.761059446163974E-3</c:v>
                </c:pt>
                <c:pt idx="148">
                  <c:v>-3.7627512233474481E-3</c:v>
                </c:pt>
                <c:pt idx="149">
                  <c:v>-3.7693821640942802E-3</c:v>
                </c:pt>
                <c:pt idx="150">
                  <c:v>-3.7709978893819755E-3</c:v>
                </c:pt>
                <c:pt idx="151">
                  <c:v>-3.772593623549167E-3</c:v>
                </c:pt>
                <c:pt idx="152">
                  <c:v>-3.774167773015404E-3</c:v>
                </c:pt>
                <c:pt idx="153">
                  <c:v>-3.7787529201072367E-3</c:v>
                </c:pt>
                <c:pt idx="154">
                  <c:v>-3.780229152052022E-3</c:v>
                </c:pt>
                <c:pt idx="155">
                  <c:v>-3.7816787907881595E-3</c:v>
                </c:pt>
                <c:pt idx="156">
                  <c:v>-3.7831033643195978E-3</c:v>
                </c:pt>
                <c:pt idx="157">
                  <c:v>-3.7845044006502892E-3</c:v>
                </c:pt>
                <c:pt idx="158">
                  <c:v>-3.7885815664773759E-3</c:v>
                </c:pt>
                <c:pt idx="159">
                  <c:v>-3.7899037340445767E-3</c:v>
                </c:pt>
                <c:pt idx="160">
                  <c:v>-3.7912100044307797E-3</c:v>
                </c:pt>
                <c:pt idx="161">
                  <c:v>-3.7925019056399348E-3</c:v>
                </c:pt>
                <c:pt idx="162">
                  <c:v>-3.7937809656759928E-3</c:v>
                </c:pt>
                <c:pt idx="163">
                  <c:v>-3.7975563787850824E-3</c:v>
                </c:pt>
                <c:pt idx="164">
                  <c:v>-3.7987993541682514E-3</c:v>
                </c:pt>
                <c:pt idx="165">
                  <c:v>-3.8000371283980739E-3</c:v>
                </c:pt>
                <c:pt idx="166">
                  <c:v>-3.8012712294784989E-3</c:v>
                </c:pt>
                <c:pt idx="167">
                  <c:v>-3.8025031854134776E-3</c:v>
                </c:pt>
                <c:pt idx="168">
                  <c:v>-3.8062014623852307E-3</c:v>
                </c:pt>
                <c:pt idx="169">
                  <c:v>-3.8074401177779233E-3</c:v>
                </c:pt>
                <c:pt idx="170">
                  <c:v>-3.8086842680449175E-3</c:v>
                </c:pt>
                <c:pt idx="171">
                  <c:v>-3.8099354411901664E-3</c:v>
                </c:pt>
                <c:pt idx="172">
                  <c:v>-3.8111951652176185E-3</c:v>
                </c:pt>
                <c:pt idx="173">
                  <c:v>-3.8150409226326977E-3</c:v>
                </c:pt>
                <c:pt idx="174">
                  <c:v>-3.8163501302284652E-3</c:v>
                </c:pt>
                <c:pt idx="175">
                  <c:v>-3.8176755287261861E-3</c:v>
                </c:pt>
                <c:pt idx="176">
                  <c:v>-3.8190186461298115E-3</c:v>
                </c:pt>
                <c:pt idx="177">
                  <c:v>-3.8203805522665532E-3</c:v>
                </c:pt>
                <c:pt idx="178">
                  <c:v>-3.824569541571073E-3</c:v>
                </c:pt>
                <c:pt idx="179">
                  <c:v>-3.8259962247824022E-3</c:v>
                </c:pt>
                <c:pt idx="180">
                  <c:v>-3.8274360496211731E-3</c:v>
                </c:pt>
                <c:pt idx="181">
                  <c:v>-3.8288877950309018E-3</c:v>
                </c:pt>
                <c:pt idx="182">
                  <c:v>-3.8303502399551037E-3</c:v>
                </c:pt>
                <c:pt idx="183">
                  <c:v>-3.8347895612497345E-3</c:v>
                </c:pt>
                <c:pt idx="184">
                  <c:v>-3.8362825936670082E-3</c:v>
                </c:pt>
                <c:pt idx="185">
                  <c:v>-3.8377802203163444E-3</c:v>
                </c:pt>
                <c:pt idx="186">
                  <c:v>-3.8392812201412585E-3</c:v>
                </c:pt>
                <c:pt idx="187">
                  <c:v>-3.8407843720852683E-3</c:v>
                </c:pt>
                <c:pt idx="188">
                  <c:v>-3.8452945300670432E-3</c:v>
                </c:pt>
                <c:pt idx="189">
                  <c:v>-3.8467940799226078E-3</c:v>
                </c:pt>
                <c:pt idx="190">
                  <c:v>-3.848289676614854E-3</c:v>
                </c:pt>
                <c:pt idx="191">
                  <c:v>-3.8497800990872997E-3</c:v>
                </c:pt>
                <c:pt idx="192">
                  <c:v>-3.8512641262834608E-3</c:v>
                </c:pt>
                <c:pt idx="193">
                  <c:v>-3.8556656256494158E-3</c:v>
                </c:pt>
                <c:pt idx="194">
                  <c:v>-3.8571118611756151E-3</c:v>
                </c:pt>
                <c:pt idx="195">
                  <c:v>-3.8585455961431168E-3</c:v>
                </c:pt>
                <c:pt idx="196">
                  <c:v>-3.8599656094954384E-3</c:v>
                </c:pt>
                <c:pt idx="197">
                  <c:v>-3.8613710167194385E-3</c:v>
                </c:pt>
                <c:pt idx="198">
                  <c:v>-3.8655055643971492E-3</c:v>
                </c:pt>
                <c:pt idx="199">
                  <c:v>-3.8668591829701857E-3</c:v>
                </c:pt>
                <c:pt idx="200">
                  <c:v>-3.8682018498894018E-3</c:v>
                </c:pt>
                <c:pt idx="201">
                  <c:v>-3.8695343633583681E-3</c:v>
                </c:pt>
                <c:pt idx="202">
                  <c:v>-3.8708575215806525E-3</c:v>
                </c:pt>
                <c:pt idx="203">
                  <c:v>-3.8747788468031018E-3</c:v>
                </c:pt>
                <c:pt idx="204">
                  <c:v>-3.8760725660743471E-3</c:v>
                </c:pt>
                <c:pt idx="205">
                  <c:v>-3.8773609211167539E-3</c:v>
                </c:pt>
                <c:pt idx="206">
                  <c:v>-3.8786447101338915E-3</c:v>
                </c:pt>
                <c:pt idx="207">
                  <c:v>-3.8799247313293281E-3</c:v>
                </c:pt>
                <c:pt idx="208">
                  <c:v>-3.8837501700211227E-3</c:v>
                </c:pt>
                <c:pt idx="209">
                  <c:v>-3.8850231019654457E-3</c:v>
                </c:pt>
                <c:pt idx="210">
                  <c:v>-3.8862962571059104E-3</c:v>
                </c:pt>
                <c:pt idx="211">
                  <c:v>-3.8875704336460881E-3</c:v>
                </c:pt>
                <c:pt idx="212">
                  <c:v>-3.8888464297895465E-3</c:v>
                </c:pt>
                <c:pt idx="213">
                  <c:v>-3.8926933178752925E-3</c:v>
                </c:pt>
                <c:pt idx="214">
                  <c:v>-3.8939845744675608E-3</c:v>
                </c:pt>
                <c:pt idx="215">
                  <c:v>-3.8952816416809532E-3</c:v>
                </c:pt>
                <c:pt idx="216">
                  <c:v>-3.8965853177190392E-3</c:v>
                </c:pt>
                <c:pt idx="217">
                  <c:v>-3.8978964007853872E-3</c:v>
                </c:pt>
                <c:pt idx="218">
                  <c:v>-3.9018820741896902E-3</c:v>
                </c:pt>
                <c:pt idx="219">
                  <c:v>-3.9032305464983294E-3</c:v>
                </c:pt>
                <c:pt idx="220">
                  <c:v>-3.904589091414409E-3</c:v>
                </c:pt>
                <c:pt idx="221">
                  <c:v>-3.9059571817028336E-3</c:v>
                </c:pt>
                <c:pt idx="222">
                  <c:v>-3.9073342901285073E-3</c:v>
                </c:pt>
                <c:pt idx="223">
                  <c:v>-3.911514451878058E-3</c:v>
                </c:pt>
                <c:pt idx="224">
                  <c:v>-3.9129223605017657E-3</c:v>
                </c:pt>
                <c:pt idx="225">
                  <c:v>-3.9143366510872414E-3</c:v>
                </c:pt>
                <c:pt idx="226">
                  <c:v>-3.9157567963993903E-3</c:v>
                </c:pt>
                <c:pt idx="227">
                  <c:v>-3.9229268906318532E-3</c:v>
                </c:pt>
                <c:pt idx="228">
                  <c:v>-3.9243710923670171E-3</c:v>
                </c:pt>
                <c:pt idx="229">
                  <c:v>-3.9258174581831813E-3</c:v>
                </c:pt>
                <c:pt idx="230">
                  <c:v>-3.9272654608452492E-3</c:v>
                </c:pt>
                <c:pt idx="231">
                  <c:v>-3.931614017555915E-3</c:v>
                </c:pt>
                <c:pt idx="232">
                  <c:v>-3.933063295250637E-3</c:v>
                </c:pt>
                <c:pt idx="233">
                  <c:v>-3.9345115736157824E-3</c:v>
                </c:pt>
                <c:pt idx="234">
                  <c:v>-3.9359583254162554E-3</c:v>
                </c:pt>
                <c:pt idx="235">
                  <c:v>-3.9374030234169593E-3</c:v>
                </c:pt>
                <c:pt idx="236">
                  <c:v>-3.943150732720167E-3</c:v>
                </c:pt>
                <c:pt idx="237">
                  <c:v>-3.9445773012898901E-3</c:v>
                </c:pt>
                <c:pt idx="238">
                  <c:v>-3.9459989412150929E-3</c:v>
                </c:pt>
                <c:pt idx="239">
                  <c:v>-3.9474154138265036E-3</c:v>
                </c:pt>
                <c:pt idx="240">
                  <c:v>-3.9516314410852609E-3</c:v>
                </c:pt>
                <c:pt idx="241">
                  <c:v>-3.9530248577487829E-3</c:v>
                </c:pt>
                <c:pt idx="242">
                  <c:v>-3.9544119137521552E-3</c:v>
                </c:pt>
                <c:pt idx="243">
                  <c:v>-3.9557923704261052E-3</c:v>
                </c:pt>
                <c:pt idx="244">
                  <c:v>-3.9571659891013602E-3</c:v>
                </c:pt>
                <c:pt idx="245">
                  <c:v>-3.9612434304422406E-3</c:v>
                </c:pt>
                <c:pt idx="246">
                  <c:v>-3.9625873104300012E-3</c:v>
                </c:pt>
                <c:pt idx="247">
                  <c:v>-3.9639231590727084E-3</c:v>
                </c:pt>
                <c:pt idx="248">
                  <c:v>-3.9652507377010912E-3</c:v>
                </c:pt>
                <c:pt idx="249">
                  <c:v>-3.9665698076458778E-3</c:v>
                </c:pt>
                <c:pt idx="250">
                  <c:v>-3.9704735786859425E-3</c:v>
                </c:pt>
                <c:pt idx="251">
                  <c:v>-3.9717562272036265E-3</c:v>
                </c:pt>
                <c:pt idx="252">
                  <c:v>-3.9730291736913568E-3</c:v>
                </c:pt>
                <c:pt idx="253">
                  <c:v>-3.9742921794798597E-3</c:v>
                </c:pt>
                <c:pt idx="254">
                  <c:v>-3.9755450058998644E-3</c:v>
                </c:pt>
                <c:pt idx="255">
                  <c:v>-3.9792400222561737E-3</c:v>
                </c:pt>
                <c:pt idx="256">
                  <c:v>-3.9804497445094676E-3</c:v>
                </c:pt>
                <c:pt idx="257">
                  <c:v>-3.9816480940479066E-3</c:v>
                </c:pt>
                <c:pt idx="258">
                  <c:v>-3.9828348322022171E-3</c:v>
                </c:pt>
                <c:pt idx="259">
                  <c:v>-3.9840097203031272E-3</c:v>
                </c:pt>
                <c:pt idx="260">
                  <c:v>-3.9874622865841139E-3</c:v>
                </c:pt>
                <c:pt idx="261">
                  <c:v>-3.9885892912113309E-3</c:v>
                </c:pt>
                <c:pt idx="262">
                  <c:v>-3.9897044870977885E-3</c:v>
                </c:pt>
                <c:pt idx="263">
                  <c:v>-3.9908079442389664E-3</c:v>
                </c:pt>
                <c:pt idx="264">
                  <c:v>-3.9918997326303393E-3</c:v>
                </c:pt>
                <c:pt idx="265">
                  <c:v>-3.9951057852604267E-3</c:v>
                </c:pt>
                <c:pt idx="266">
                  <c:v>-3.9961515986073701E-3</c:v>
                </c:pt>
                <c:pt idx="267">
                  <c:v>-3.997186093181903E-3</c:v>
                </c:pt>
                <c:pt idx="268">
                  <c:v>-3.9982093389795007E-3</c:v>
                </c:pt>
                <c:pt idx="269">
                  <c:v>-3.9992214059956432E-3</c:v>
                </c:pt>
                <c:pt idx="270">
                  <c:v>-4.0021912343101169E-3</c:v>
                </c:pt>
                <c:pt idx="271">
                  <c:v>-4.0031592861552176E-3</c:v>
                </c:pt>
                <c:pt idx="272">
                  <c:v>-4.0041165091962531E-3</c:v>
                </c:pt>
                <c:pt idx="273">
                  <c:v>-4.0050629734287033E-3</c:v>
                </c:pt>
                <c:pt idx="274">
                  <c:v>-4.0059987488480428E-3</c:v>
                </c:pt>
                <c:pt idx="275">
                  <c:v>-4.0087426421821937E-3</c:v>
                </c:pt>
                <c:pt idx="276">
                  <c:v>-4.0096363623038809E-3</c:v>
                </c:pt>
                <c:pt idx="277">
                  <c:v>-4.0105197435898491E-3</c:v>
                </c:pt>
                <c:pt idx="278">
                  <c:v>-4.01139285603558E-3</c:v>
                </c:pt>
                <c:pt idx="279">
                  <c:v>-4.0122557696365474E-3</c:v>
                </c:pt>
                <c:pt idx="280">
                  <c:v>-4.014784017325663E-3</c:v>
                </c:pt>
                <c:pt idx="281">
                  <c:v>-4.0156067979814566E-3</c:v>
                </c:pt>
                <c:pt idx="282">
                  <c:v>-4.0164195046444272E-3</c:v>
                </c:pt>
                <c:pt idx="283">
                  <c:v>-4.0172219821845989E-3</c:v>
                </c:pt>
                <c:pt idx="284">
                  <c:v>-4.018014075471997E-3</c:v>
                </c:pt>
                <c:pt idx="285">
                  <c:v>-4.0203264985177968E-3</c:v>
                </c:pt>
                <c:pt idx="286">
                  <c:v>-4.0210755034943493E-3</c:v>
                </c:pt>
                <c:pt idx="287">
                  <c:v>-4.0218133485682541E-3</c:v>
                </c:pt>
                <c:pt idx="288">
                  <c:v>-4.0225398786095344E-3</c:v>
                </c:pt>
                <c:pt idx="289">
                  <c:v>-4.0232549384882164E-3</c:v>
                </c:pt>
                <c:pt idx="290">
                  <c:v>-4.0253297458489228E-3</c:v>
                </c:pt>
                <c:pt idx="291">
                  <c:v>-4.025997373777462E-3</c:v>
                </c:pt>
                <c:pt idx="292">
                  <c:v>-4.0266527558935269E-3</c:v>
                </c:pt>
                <c:pt idx="293">
                  <c:v>-4.0272957370671445E-3</c:v>
                </c:pt>
                <c:pt idx="294">
                  <c:v>-4.0279261621683389E-3</c:v>
                </c:pt>
                <c:pt idx="295">
                  <c:v>-4.0297405497376343E-3</c:v>
                </c:pt>
                <c:pt idx="296">
                  <c:v>-4.0303191992493862E-3</c:v>
                </c:pt>
                <c:pt idx="297">
                  <c:v>-4.0308845170388416E-3</c:v>
                </c:pt>
                <c:pt idx="298">
                  <c:v>-4.0314363479760232E-3</c:v>
                </c:pt>
                <c:pt idx="299">
                  <c:v>-4.0319745369309578E-3</c:v>
                </c:pt>
                <c:pt idx="300">
                  <c:v>-4.0335057006025228E-3</c:v>
                </c:pt>
                <c:pt idx="301">
                  <c:v>-4.0339877703287168E-3</c:v>
                </c:pt>
                <c:pt idx="302">
                  <c:v>-4.0344554224227887E-3</c:v>
                </c:pt>
                <c:pt idx="303">
                  <c:v>-4.0349085470782553E-3</c:v>
                </c:pt>
                <c:pt idx="304">
                  <c:v>-4.0353472157826061E-3</c:v>
                </c:pt>
                <c:pt idx="305">
                  <c:v>-4.0365776542987866E-3</c:v>
                </c:pt>
                <c:pt idx="306">
                  <c:v>-4.0369596673084946E-3</c:v>
                </c:pt>
                <c:pt idx="307">
                  <c:v>-4.0373278084219972E-3</c:v>
                </c:pt>
                <c:pt idx="308">
                  <c:v>-4.0376821944502752E-3</c:v>
                </c:pt>
                <c:pt idx="309">
                  <c:v>-4.0380229422043116E-3</c:v>
                </c:pt>
                <c:pt idx="310">
                  <c:v>-4.0389645239307884E-3</c:v>
                </c:pt>
                <c:pt idx="311">
                  <c:v>-4.0392518866976751E-3</c:v>
                </c:pt>
                <c:pt idx="312">
                  <c:v>-4.0395261952452305E-3</c:v>
                </c:pt>
                <c:pt idx="313">
                  <c:v>-4.0397875663844346E-3</c:v>
                </c:pt>
                <c:pt idx="314">
                  <c:v>-4.0400361169262719E-3</c:v>
                </c:pt>
                <c:pt idx="315">
                  <c:v>-4.0407060130773879E-3</c:v>
                </c:pt>
                <c:pt idx="316">
                  <c:v>-4.0409044493395678E-3</c:v>
                </c:pt>
                <c:pt idx="317">
                  <c:v>-4.0410906490592905E-3</c:v>
                </c:pt>
                <c:pt idx="318">
                  <c:v>-4.0412647290475352E-3</c:v>
                </c:pt>
                <c:pt idx="319">
                  <c:v>-4.0414268061152855E-3</c:v>
                </c:pt>
                <c:pt idx="320">
                  <c:v>-4.0418421879053834E-3</c:v>
                </c:pt>
                <c:pt idx="321">
                  <c:v>-4.0419574214009728E-3</c:v>
                </c:pt>
                <c:pt idx="322">
                  <c:v>-4.0420612360309756E-3</c:v>
                </c:pt>
                <c:pt idx="323">
                  <c:v>-4.0421537486063754E-3</c:v>
                </c:pt>
                <c:pt idx="324">
                  <c:v>-4.0422350759381533E-3</c:v>
                </c:pt>
                <c:pt idx="325">
                  <c:v>-4.0424131145815768E-3</c:v>
                </c:pt>
                <c:pt idx="326">
                  <c:v>-4.0424508266035481E-3</c:v>
                </c:pt>
                <c:pt idx="327">
                  <c:v>-4.0424776827659688E-3</c:v>
                </c:pt>
                <c:pt idx="328">
                  <c:v>-4.0424935452089833E-3</c:v>
                </c:pt>
                <c:pt idx="329">
                  <c:v>-4.0424982760727353E-3</c:v>
                </c:pt>
                <c:pt idx="330">
                  <c:v>-4.0424443005898526E-3</c:v>
                </c:pt>
                <c:pt idx="331">
                  <c:v>-4.0424031265379927E-3</c:v>
                </c:pt>
                <c:pt idx="332">
                  <c:v>-4.0423501316075878E-3</c:v>
                </c:pt>
                <c:pt idx="333">
                  <c:v>-4.042285177938784E-3</c:v>
                </c:pt>
                <c:pt idx="334">
                  <c:v>-4.0422081276717241E-3</c:v>
                </c:pt>
                <c:pt idx="335">
                  <c:v>-4.0419030186824457E-3</c:v>
                </c:pt>
                <c:pt idx="336">
                  <c:v>-4.041776203423799E-3</c:v>
                </c:pt>
                <c:pt idx="337">
                  <c:v>-4.0416366022676155E-3</c:v>
                </c:pt>
                <c:pt idx="338">
                  <c:v>-4.0414840773540387E-3</c:v>
                </c:pt>
                <c:pt idx="339">
                  <c:v>-4.0413184908232131E-3</c:v>
                </c:pt>
                <c:pt idx="340">
                  <c:v>-4.0407419829286747E-3</c:v>
                </c:pt>
                <c:pt idx="341">
                  <c:v>-4.0405227713302882E-3</c:v>
                </c:pt>
                <c:pt idx="342">
                  <c:v>-4.0402898088153713E-3</c:v>
                </c:pt>
                <c:pt idx="343">
                  <c:v>-4.0400429575240676E-3</c:v>
                </c:pt>
                <c:pt idx="344">
                  <c:v>-4.0397820795965208E-3</c:v>
                </c:pt>
                <c:pt idx="345">
                  <c:v>-4.0389139073978599E-3</c:v>
                </c:pt>
                <c:pt idx="346">
                  <c:v>-4.0385956117363212E-3</c:v>
                </c:pt>
                <c:pt idx="347">
                  <c:v>-4.0382630045965049E-3</c:v>
                </c:pt>
                <c:pt idx="348">
                  <c:v>-4.0379163525758044E-3</c:v>
                </c:pt>
                <c:pt idx="349">
                  <c:v>-4.0375559222716106E-3</c:v>
                </c:pt>
                <c:pt idx="350">
                  <c:v>-4.0363946276319885E-3</c:v>
                </c:pt>
                <c:pt idx="351">
                  <c:v>-4.0359817501677388E-3</c:v>
                </c:pt>
                <c:pt idx="352">
                  <c:v>-4.0355564274069545E-3</c:v>
                </c:pt>
                <c:pt idx="353">
                  <c:v>-4.0351189259470273E-3</c:v>
                </c:pt>
                <c:pt idx="354">
                  <c:v>-4.0346695123853471E-3</c:v>
                </c:pt>
                <c:pt idx="355">
                  <c:v>-4.0332524650637143E-3</c:v>
                </c:pt>
                <c:pt idx="356">
                  <c:v>-4.0327580690689441E-3</c:v>
                </c:pt>
                <c:pt idx="357">
                  <c:v>-4.0322530939593806E-3</c:v>
                </c:pt>
                <c:pt idx="358">
                  <c:v>-4.0317378063324145E-3</c:v>
                </c:pt>
                <c:pt idx="359">
                  <c:v>-4.0312124727854386E-3</c:v>
                </c:pt>
                <c:pt idx="360">
                  <c:v>-4.0295788625983615E-3</c:v>
                </c:pt>
                <c:pt idx="361">
                  <c:v>-4.0290160113452596E-3</c:v>
                </c:pt>
                <c:pt idx="362">
                  <c:v>-4.0284444471591048E-3</c:v>
                </c:pt>
                <c:pt idx="363">
                  <c:v>-4.0278644366372887E-3</c:v>
                </c:pt>
                <c:pt idx="364">
                  <c:v>-4.0272762463772049E-3</c:v>
                </c:pt>
                <c:pt idx="365">
                  <c:v>-4.0254652631412516E-3</c:v>
                </c:pt>
                <c:pt idx="366">
                  <c:v>-4.0248470199020061E-3</c:v>
                </c:pt>
                <c:pt idx="367">
                  <c:v>-4.0242219299114496E-3</c:v>
                </c:pt>
                <c:pt idx="368">
                  <c:v>-4.0235902597669732E-3</c:v>
                </c:pt>
                <c:pt idx="369">
                  <c:v>-4.0229521525327562E-3</c:v>
                </c:pt>
                <c:pt idx="370">
                  <c:v>-4.0209952034721006E-3</c:v>
                </c:pt>
                <c:pt idx="371">
                  <c:v>-4.0203270959929338E-3</c:v>
                </c:pt>
                <c:pt idx="372">
                  <c:v>-4.0196503019478197E-3</c:v>
                </c:pt>
                <c:pt idx="373">
                  <c:v>-4.0189643467348742E-3</c:v>
                </c:pt>
                <c:pt idx="374">
                  <c:v>-4.0182687557522153E-3</c:v>
                </c:pt>
                <c:pt idx="375">
                  <c:v>-4.016119422167108E-3</c:v>
                </c:pt>
                <c:pt idx="376">
                  <c:v>-4.0153805420867503E-3</c:v>
                </c:pt>
                <c:pt idx="377">
                  <c:v>-4.0146296532272575E-3</c:v>
                </c:pt>
                <c:pt idx="378">
                  <c:v>-4.0138662809867482E-3</c:v>
                </c:pt>
                <c:pt idx="379">
                  <c:v>-4.013089950763337E-3</c:v>
                </c:pt>
                <c:pt idx="380">
                  <c:v>-4.0106784661768534E-3</c:v>
                </c:pt>
                <c:pt idx="381">
                  <c:v>-4.009845558002996E-3</c:v>
                </c:pt>
                <c:pt idx="382">
                  <c:v>-4.0089973188368174E-3</c:v>
                </c:pt>
                <c:pt idx="383">
                  <c:v>-4.008133274076434E-3</c:v>
                </c:pt>
                <c:pt idx="384">
                  <c:v>-4.0072529491199617E-3</c:v>
                </c:pt>
                <c:pt idx="385">
                  <c:v>-4.0045095470551762E-3</c:v>
                </c:pt>
                <c:pt idx="386">
                  <c:v>-4.0035593552955103E-3</c:v>
                </c:pt>
                <c:pt idx="387">
                  <c:v>-4.0025905103303373E-3</c:v>
                </c:pt>
                <c:pt idx="388">
                  <c:v>-4.0016025375577725E-3</c:v>
                </c:pt>
                <c:pt idx="389">
                  <c:v>-4.0005949623759321E-3</c:v>
                </c:pt>
                <c:pt idx="390">
                  <c:v>-3.9974498763559177E-3</c:v>
                </c:pt>
                <c:pt idx="391">
                  <c:v>-3.9963593611974726E-3</c:v>
                </c:pt>
                <c:pt idx="392">
                  <c:v>-3.995248164696358E-3</c:v>
                </c:pt>
                <c:pt idx="393">
                  <c:v>-3.9941171063267123E-3</c:v>
                </c:pt>
                <c:pt idx="394">
                  <c:v>-3.9929670055626771E-3</c:v>
                </c:pt>
                <c:pt idx="395">
                  <c:v>-3.989410643645633E-3</c:v>
                </c:pt>
                <c:pt idx="396">
                  <c:v>-3.9881925680454395E-3</c:v>
                </c:pt>
                <c:pt idx="397">
                  <c:v>-3.9869595474215569E-3</c:v>
                </c:pt>
                <c:pt idx="398">
                  <c:v>-3.9857124012481274E-3</c:v>
                </c:pt>
                <c:pt idx="399">
                  <c:v>-3.9844519489992897E-3</c:v>
                </c:pt>
                <c:pt idx="400">
                  <c:v>-3.9805989505417288E-3</c:v>
                </c:pt>
                <c:pt idx="401">
                  <c:v>-3.9792934687326613E-3</c:v>
                </c:pt>
                <c:pt idx="402">
                  <c:v>-3.9779787782188861E-3</c:v>
                </c:pt>
                <c:pt idx="403">
                  <c:v>-3.9766556984745464E-3</c:v>
                </c:pt>
                <c:pt idx="404">
                  <c:v>-3.9753250489737799E-3</c:v>
                </c:pt>
                <c:pt idx="405">
                  <c:v>-3.9685869367184681E-3</c:v>
                </c:pt>
                <c:pt idx="406">
                  <c:v>-3.9672280776360909E-3</c:v>
                </c:pt>
                <c:pt idx="407">
                  <c:v>-3.965867385116271E-3</c:v>
                </c:pt>
                <c:pt idx="408">
                  <c:v>-3.9604226701453575E-3</c:v>
                </c:pt>
                <c:pt idx="409">
                  <c:v>-3.9590647710811052E-3</c:v>
                </c:pt>
                <c:pt idx="410">
                  <c:v>-3.9577079666083519E-3</c:v>
                </c:pt>
                <c:pt idx="411">
                  <c:v>-3.956351087385338E-3</c:v>
                </c:pt>
                <c:pt idx="412">
                  <c:v>-3.9522683077971386E-3</c:v>
                </c:pt>
                <c:pt idx="413">
                  <c:v>-3.9508994361554892E-3</c:v>
                </c:pt>
                <c:pt idx="414">
                  <c:v>-3.9495246430547833E-3</c:v>
                </c:pt>
                <c:pt idx="415">
                  <c:v>-3.9481427591532611E-3</c:v>
                </c:pt>
                <c:pt idx="416">
                  <c:v>-3.9467526151091645E-3</c:v>
                </c:pt>
                <c:pt idx="417">
                  <c:v>-3.9425209287038314E-3</c:v>
                </c:pt>
                <c:pt idx="418">
                  <c:v>-3.9410860506718425E-3</c:v>
                </c:pt>
                <c:pt idx="419">
                  <c:v>-3.9396370657884825E-3</c:v>
                </c:pt>
                <c:pt idx="420">
                  <c:v>-3.9381728047119917E-3</c:v>
                </c:pt>
                <c:pt idx="421">
                  <c:v>-3.936692098100613E-3</c:v>
                </c:pt>
                <c:pt idx="422">
                  <c:v>-3.9321396116395466E-3</c:v>
                </c:pt>
                <c:pt idx="423">
                  <c:v>-3.9305814294710176E-3</c:v>
                </c:pt>
                <c:pt idx="424">
                  <c:v>-3.9290009550588039E-3</c:v>
                </c:pt>
                <c:pt idx="425">
                  <c:v>-3.9273970190611459E-3</c:v>
                </c:pt>
                <c:pt idx="426">
                  <c:v>-3.9257684521362838E-3</c:v>
                </c:pt>
                <c:pt idx="427">
                  <c:v>-3.9207232723808853E-3</c:v>
                </c:pt>
                <c:pt idx="428">
                  <c:v>-3.9189844883296176E-3</c:v>
                </c:pt>
                <c:pt idx="429">
                  <c:v>-3.9172152266423498E-3</c:v>
                </c:pt>
                <c:pt idx="430">
                  <c:v>-3.915414317977324E-3</c:v>
                </c:pt>
                <c:pt idx="431">
                  <c:v>-3.9135805929927797E-3</c:v>
                </c:pt>
                <c:pt idx="432">
                  <c:v>-3.9078837981361024E-3</c:v>
                </c:pt>
                <c:pt idx="433">
                  <c:v>-3.9059248901214963E-3</c:v>
                </c:pt>
                <c:pt idx="434">
                  <c:v>-3.9039388492400468E-3</c:v>
                </c:pt>
                <c:pt idx="435">
                  <c:v>-3.9019273886903619E-3</c:v>
                </c:pt>
                <c:pt idx="436">
                  <c:v>-3.8998922216710516E-3</c:v>
                </c:pt>
                <c:pt idx="437">
                  <c:v>-3.8936616137814472E-3</c:v>
                </c:pt>
                <c:pt idx="438">
                  <c:v>-3.891548752869717E-3</c:v>
                </c:pt>
                <c:pt idx="439">
                  <c:v>-3.8894207514814029E-3</c:v>
                </c:pt>
                <c:pt idx="440">
                  <c:v>-3.8872793228151127E-3</c:v>
                </c:pt>
                <c:pt idx="441">
                  <c:v>-3.8851261800694563E-3</c:v>
                </c:pt>
                <c:pt idx="442">
                  <c:v>-3.8786135993423708E-3</c:v>
                </c:pt>
                <c:pt idx="443">
                  <c:v>-3.8764307322653319E-3</c:v>
                </c:pt>
                <c:pt idx="444">
                  <c:v>-3.8742447171019683E-3</c:v>
                </c:pt>
                <c:pt idx="445">
                  <c:v>-3.8720572670508896E-3</c:v>
                </c:pt>
                <c:pt idx="446">
                  <c:v>-3.8698700953107021E-3</c:v>
                </c:pt>
                <c:pt idx="447">
                  <c:v>-3.8633273819415818E-3</c:v>
                </c:pt>
                <c:pt idx="448">
                  <c:v>-3.8611584554310496E-3</c:v>
                </c:pt>
                <c:pt idx="449">
                  <c:v>-3.8589983732244528E-3</c:v>
                </c:pt>
                <c:pt idx="450">
                  <c:v>-3.8568488485203989E-3</c:v>
                </c:pt>
                <c:pt idx="451">
                  <c:v>-3.8547115945174971E-3</c:v>
                </c:pt>
                <c:pt idx="452">
                  <c:v>-3.8483748810148625E-3</c:v>
                </c:pt>
                <c:pt idx="453">
                  <c:v>-3.8462823164539029E-3</c:v>
                </c:pt>
                <c:pt idx="454">
                  <c:v>-3.8441966261987598E-3</c:v>
                </c:pt>
                <c:pt idx="455">
                  <c:v>-3.8421160328509464E-3</c:v>
                </c:pt>
                <c:pt idx="456">
                  <c:v>-3.840038759011977E-3</c:v>
                </c:pt>
                <c:pt idx="457">
                  <c:v>-3.8338090805632697E-3</c:v>
                </c:pt>
                <c:pt idx="458">
                  <c:v>-3.8317273107748148E-3</c:v>
                </c:pt>
                <c:pt idx="459">
                  <c:v>-3.8296399735027733E-3</c:v>
                </c:pt>
                <c:pt idx="460">
                  <c:v>-3.8275452913486595E-3</c:v>
                </c:pt>
                <c:pt idx="461">
                  <c:v>-3.8254414869139863E-3</c:v>
                </c:pt>
                <c:pt idx="462">
                  <c:v>-3.8190575659417547E-3</c:v>
                </c:pt>
                <c:pt idx="463">
                  <c:v>-3.8168994983999861E-3</c:v>
                </c:pt>
                <c:pt idx="464">
                  <c:v>-3.814723421585228E-3</c:v>
                </c:pt>
                <c:pt idx="465">
                  <c:v>-3.812527558098995E-3</c:v>
                </c:pt>
                <c:pt idx="466">
                  <c:v>-3.8103101305428009E-3</c:v>
                </c:pt>
                <c:pt idx="467">
                  <c:v>-3.8035106894695903E-3</c:v>
                </c:pt>
                <c:pt idx="468">
                  <c:v>-3.8011892316486898E-3</c:v>
                </c:pt>
                <c:pt idx="469">
                  <c:v>-3.7988373227653975E-3</c:v>
                </c:pt>
                <c:pt idx="470">
                  <c:v>-3.7964531854212278E-3</c:v>
                </c:pt>
                <c:pt idx="471">
                  <c:v>-3.7839868628401995E-3</c:v>
                </c:pt>
                <c:pt idx="472">
                  <c:v>-3.7813727102634686E-3</c:v>
                </c:pt>
                <c:pt idx="473">
                  <c:v>-3.7787179728419381E-3</c:v>
                </c:pt>
                <c:pt idx="474">
                  <c:v>-3.7760249585826024E-3</c:v>
                </c:pt>
                <c:pt idx="475">
                  <c:v>-3.7677393348477116E-3</c:v>
                </c:pt>
                <c:pt idx="476">
                  <c:v>-3.7649162933071022E-3</c:v>
                </c:pt>
                <c:pt idx="477">
                  <c:v>-3.7620665149636608E-3</c:v>
                </c:pt>
                <c:pt idx="478">
                  <c:v>-3.7591923078243816E-3</c:v>
                </c:pt>
                <c:pt idx="479">
                  <c:v>-3.7562959798962603E-3</c:v>
                </c:pt>
                <c:pt idx="480">
                  <c:v>-3.7474973514487844E-3</c:v>
                </c:pt>
                <c:pt idx="481">
                  <c:v>-3.7445356204352381E-3</c:v>
                </c:pt>
                <c:pt idx="482">
                  <c:v>-3.741563308667822E-3</c:v>
                </c:pt>
                <c:pt idx="483">
                  <c:v>-3.7385827241535313E-3</c:v>
                </c:pt>
                <c:pt idx="484">
                  <c:v>-3.7355961748993592E-3</c:v>
                </c:pt>
                <c:pt idx="485">
                  <c:v>-3.7266238187675083E-3</c:v>
                </c:pt>
                <c:pt idx="486">
                  <c:v>-3.723636490623761E-3</c:v>
                </c:pt>
                <c:pt idx="487">
                  <c:v>-3.720654737775107E-3</c:v>
                </c:pt>
                <c:pt idx="488">
                  <c:v>-3.71768086822854E-3</c:v>
                </c:pt>
                <c:pt idx="489">
                  <c:v>-3.7147171899910543E-3</c:v>
                </c:pt>
                <c:pt idx="490">
                  <c:v>-3.7059103832030359E-3</c:v>
                </c:pt>
                <c:pt idx="491">
                  <c:v>-3.7001324486846676E-3</c:v>
                </c:pt>
                <c:pt idx="492">
                  <c:v>-3.6972777012979972E-3</c:v>
                </c:pt>
                <c:pt idx="493">
                  <c:v>-3.6944451903659884E-3</c:v>
                </c:pt>
                <c:pt idx="494">
                  <c:v>-3.6860630473340536E-3</c:v>
                </c:pt>
                <c:pt idx="495">
                  <c:v>-3.6833014532568131E-3</c:v>
                </c:pt>
                <c:pt idx="496">
                  <c:v>-3.680553081152295E-3</c:v>
                </c:pt>
                <c:pt idx="497">
                  <c:v>-3.6778161281241116E-3</c:v>
                </c:pt>
                <c:pt idx="498">
                  <c:v>-3.6750887912758755E-3</c:v>
                </c:pt>
                <c:pt idx="499">
                  <c:v>-3.6669464488469686E-3</c:v>
                </c:pt>
                <c:pt idx="500">
                  <c:v>-3.6642395477546412E-3</c:v>
                </c:pt>
                <c:pt idx="501">
                  <c:v>-3.6615332483603217E-3</c:v>
                </c:pt>
                <c:pt idx="502">
                  <c:v>-3.6588257477676214E-3</c:v>
                </c:pt>
                <c:pt idx="503">
                  <c:v>-3.6561152430801529E-3</c:v>
                </c:pt>
                <c:pt idx="504">
                  <c:v>-3.6479476754852618E-3</c:v>
                </c:pt>
                <c:pt idx="505">
                  <c:v>-3.6452071254548424E-3</c:v>
                </c:pt>
                <c:pt idx="506">
                  <c:v>-3.6424545568477162E-3</c:v>
                </c:pt>
                <c:pt idx="507">
                  <c:v>-3.6396881667674946E-3</c:v>
                </c:pt>
                <c:pt idx="508">
                  <c:v>-3.6369061523177908E-3</c:v>
                </c:pt>
                <c:pt idx="509">
                  <c:v>-3.6284483337879012E-3</c:v>
                </c:pt>
                <c:pt idx="510">
                  <c:v>-3.6255857928963872E-3</c:v>
                </c:pt>
                <c:pt idx="511">
                  <c:v>-3.62269861315345E-3</c:v>
                </c:pt>
                <c:pt idx="512">
                  <c:v>-3.6197849916627029E-3</c:v>
                </c:pt>
                <c:pt idx="513">
                  <c:v>-3.6168431255277577E-3</c:v>
                </c:pt>
                <c:pt idx="514">
                  <c:v>-3.6078300302938579E-3</c:v>
                </c:pt>
                <c:pt idx="515">
                  <c:v>-3.6047577102234609E-3</c:v>
                </c:pt>
                <c:pt idx="516">
                  <c:v>-3.6016514526582329E-3</c:v>
                </c:pt>
                <c:pt idx="517">
                  <c:v>-3.5985127763330936E-3</c:v>
                </c:pt>
                <c:pt idx="518">
                  <c:v>-3.5953431999829625E-3</c:v>
                </c:pt>
                <c:pt idx="519">
                  <c:v>-3.5856642581317986E-3</c:v>
                </c:pt>
                <c:pt idx="520">
                  <c:v>-3.5823862690308834E-3</c:v>
                </c:pt>
                <c:pt idx="521">
                  <c:v>-3.5790849735795696E-3</c:v>
                </c:pt>
                <c:pt idx="522">
                  <c:v>-3.5757618905127761E-3</c:v>
                </c:pt>
                <c:pt idx="523">
                  <c:v>-3.5724185385654209E-3</c:v>
                </c:pt>
                <c:pt idx="524">
                  <c:v>-3.5622820567891796E-3</c:v>
                </c:pt>
                <c:pt idx="525">
                  <c:v>-3.5588728166687689E-3</c:v>
                </c:pt>
                <c:pt idx="526">
                  <c:v>-3.5554509013423921E-3</c:v>
                </c:pt>
                <c:pt idx="527">
                  <c:v>-3.5520178295449663E-3</c:v>
                </c:pt>
                <c:pt idx="528">
                  <c:v>-3.548575120011411E-3</c:v>
                </c:pt>
                <c:pt idx="529">
                  <c:v>-3.5382043523431578E-3</c:v>
                </c:pt>
                <c:pt idx="530">
                  <c:v>-3.534738279214274E-3</c:v>
                </c:pt>
                <c:pt idx="531">
                  <c:v>-3.5312701620238553E-3</c:v>
                </c:pt>
                <c:pt idx="532">
                  <c:v>-3.5278015195068192E-3</c:v>
                </c:pt>
                <c:pt idx="533">
                  <c:v>-3.5243338703980862E-3</c:v>
                </c:pt>
                <c:pt idx="534">
                  <c:v>-3.5139520708708889E-3</c:v>
                </c:pt>
                <c:pt idx="535">
                  <c:v>-3.5105033424739783E-3</c:v>
                </c:pt>
                <c:pt idx="536">
                  <c:v>-3.5070617595365106E-3</c:v>
                </c:pt>
                <c:pt idx="537">
                  <c:v>-3.5036273991699536E-3</c:v>
                </c:pt>
                <c:pt idx="538">
                  <c:v>-3.500200338485773E-3</c:v>
                </c:pt>
                <c:pt idx="539">
                  <c:v>-3.4899637256421475E-3</c:v>
                </c:pt>
                <c:pt idx="540">
                  <c:v>-3.4865666348021318E-3</c:v>
                </c:pt>
                <c:pt idx="541">
                  <c:v>-3.4831772292018229E-3</c:v>
                </c:pt>
                <c:pt idx="542">
                  <c:v>-3.4797955859526856E-3</c:v>
                </c:pt>
                <c:pt idx="543">
                  <c:v>-3.476421782166189E-3</c:v>
                </c:pt>
                <c:pt idx="544">
                  <c:v>-3.4663481786971909E-3</c:v>
                </c:pt>
                <c:pt idx="545">
                  <c:v>-3.4630065038759104E-3</c:v>
                </c:pt>
                <c:pt idx="546">
                  <c:v>-3.4596730540745989E-3</c:v>
                </c:pt>
                <c:pt idx="547">
                  <c:v>-3.4563479064047224E-3</c:v>
                </c:pt>
                <c:pt idx="548">
                  <c:v>-3.4530311379777478E-3</c:v>
                </c:pt>
                <c:pt idx="549">
                  <c:v>-3.4431318792688959E-3</c:v>
                </c:pt>
                <c:pt idx="550">
                  <c:v>-3.43984939892819E-3</c:v>
                </c:pt>
                <c:pt idx="551">
                  <c:v>-3.4365756833877152E-3</c:v>
                </c:pt>
                <c:pt idx="552">
                  <c:v>-3.4333108097589393E-3</c:v>
                </c:pt>
                <c:pt idx="553">
                  <c:v>-3.430054855153328E-3</c:v>
                </c:pt>
                <c:pt idx="554">
                  <c:v>-3.4203412765901409E-3</c:v>
                </c:pt>
                <c:pt idx="555">
                  <c:v>-3.4171217691918486E-3</c:v>
                </c:pt>
                <c:pt idx="556">
                  <c:v>-3.4139115663740513E-3</c:v>
                </c:pt>
                <c:pt idx="557">
                  <c:v>-3.4107107452482147E-3</c:v>
                </c:pt>
                <c:pt idx="558">
                  <c:v>-3.4075192038870777E-3</c:v>
                </c:pt>
                <c:pt idx="559">
                  <c:v>-3.3979913614151811E-3</c:v>
                </c:pt>
                <c:pt idx="560">
                  <c:v>-3.3948276840587051E-3</c:v>
                </c:pt>
                <c:pt idx="561">
                  <c:v>-3.3916684799011327E-3</c:v>
                </c:pt>
                <c:pt idx="562">
                  <c:v>-3.3885127518215596E-3</c:v>
                </c:pt>
                <c:pt idx="563">
                  <c:v>-3.3853595026990821E-3</c:v>
                </c:pt>
                <c:pt idx="564">
                  <c:v>-3.3759046578651654E-3</c:v>
                </c:pt>
                <c:pt idx="565">
                  <c:v>-3.3727513533620174E-3</c:v>
                </c:pt>
                <c:pt idx="566">
                  <c:v>-3.3695955422114398E-3</c:v>
                </c:pt>
                <c:pt idx="567">
                  <c:v>-3.3664362272925281E-3</c:v>
                </c:pt>
                <c:pt idx="568">
                  <c:v>-3.3632724114843779E-3</c:v>
                </c:pt>
                <c:pt idx="569">
                  <c:v>-3.3537439875154489E-3</c:v>
                </c:pt>
                <c:pt idx="570">
                  <c:v>-3.3505521969412985E-3</c:v>
                </c:pt>
                <c:pt idx="571">
                  <c:v>-3.3473509198733843E-3</c:v>
                </c:pt>
                <c:pt idx="572">
                  <c:v>-3.3441391591908041E-3</c:v>
                </c:pt>
                <c:pt idx="573">
                  <c:v>-3.340915917772652E-3</c:v>
                </c:pt>
                <c:pt idx="574">
                  <c:v>-3.3311673378957195E-3</c:v>
                </c:pt>
                <c:pt idx="575">
                  <c:v>-3.3278882023262354E-3</c:v>
                </c:pt>
                <c:pt idx="576">
                  <c:v>-3.3245926004166547E-3</c:v>
                </c:pt>
                <c:pt idx="577">
                  <c:v>-3.3212795350460755E-3</c:v>
                </c:pt>
                <c:pt idx="578">
                  <c:v>-3.3179480090935907E-3</c:v>
                </c:pt>
                <c:pt idx="579">
                  <c:v>-3.3078326965356635E-3</c:v>
                </c:pt>
                <c:pt idx="580">
                  <c:v>-3.3044176855584321E-3</c:v>
                </c:pt>
                <c:pt idx="581">
                  <c:v>-3.3009811994662809E-3</c:v>
                </c:pt>
                <c:pt idx="582">
                  <c:v>-3.2975242122098149E-3</c:v>
                </c:pt>
                <c:pt idx="583">
                  <c:v>-3.2940476977396348E-3</c:v>
                </c:pt>
                <c:pt idx="584">
                  <c:v>-3.2835107305528573E-3</c:v>
                </c:pt>
                <c:pt idx="585">
                  <c:v>-3.2799658467338633E-3</c:v>
                </c:pt>
                <c:pt idx="586">
                  <c:v>-3.2764063054541749E-3</c:v>
                </c:pt>
                <c:pt idx="587">
                  <c:v>-3.2728330806643955E-3</c:v>
                </c:pt>
                <c:pt idx="588">
                  <c:v>-3.2692471463151283E-3</c:v>
                </c:pt>
                <c:pt idx="589">
                  <c:v>-3.2584228254164405E-3</c:v>
                </c:pt>
                <c:pt idx="590">
                  <c:v>-3.2547957923352599E-3</c:v>
                </c:pt>
                <c:pt idx="591">
                  <c:v>-3.2511609194476091E-3</c:v>
                </c:pt>
                <c:pt idx="592">
                  <c:v>-3.2475191807040931E-3</c:v>
                </c:pt>
                <c:pt idx="593">
                  <c:v>-3.2438715500553148E-3</c:v>
                </c:pt>
                <c:pt idx="594">
                  <c:v>-3.2329030461834417E-3</c:v>
                </c:pt>
                <c:pt idx="595">
                  <c:v>-3.2292415874196493E-3</c:v>
                </c:pt>
                <c:pt idx="596">
                  <c:v>-3.2255791065036138E-3</c:v>
                </c:pt>
                <c:pt idx="597">
                  <c:v>-3.2219165773859364E-3</c:v>
                </c:pt>
                <c:pt idx="598">
                  <c:v>-3.2182549740172222E-3</c:v>
                </c:pt>
                <c:pt idx="599">
                  <c:v>-3.2072854579108918E-3</c:v>
                </c:pt>
                <c:pt idx="600">
                  <c:v>-3.2036372970440643E-3</c:v>
                </c:pt>
                <c:pt idx="601">
                  <c:v>-3.1999947557186268E-3</c:v>
                </c:pt>
                <c:pt idx="602">
                  <c:v>-3.1963579280822243E-3</c:v>
                </c:pt>
                <c:pt idx="603">
                  <c:v>-3.1927267323219131E-3</c:v>
                </c:pt>
                <c:pt idx="604">
                  <c:v>-3.1818661181680719E-3</c:v>
                </c:pt>
                <c:pt idx="605">
                  <c:v>-3.1782566317826721E-3</c:v>
                </c:pt>
                <c:pt idx="606">
                  <c:v>-3.1746523682086394E-3</c:v>
                </c:pt>
                <c:pt idx="607">
                  <c:v>-3.171053245633027E-3</c:v>
                </c:pt>
                <c:pt idx="608">
                  <c:v>-3.1674591822428897E-3</c:v>
                </c:pt>
                <c:pt idx="609">
                  <c:v>-3.156706529055882E-3</c:v>
                </c:pt>
                <c:pt idx="610">
                  <c:v>-3.153131884278198E-3</c:v>
                </c:pt>
                <c:pt idx="611">
                  <c:v>-3.1495618896212633E-3</c:v>
                </c:pt>
                <c:pt idx="612">
                  <c:v>-3.1459964632721349E-3</c:v>
                </c:pt>
                <c:pt idx="613">
                  <c:v>-3.1424355234178666E-3</c:v>
                </c:pt>
                <c:pt idx="614">
                  <c:v>-3.1317788046947761E-3</c:v>
                </c:pt>
                <c:pt idx="615">
                  <c:v>-3.1282349926905011E-3</c:v>
                </c:pt>
                <c:pt idx="616">
                  <c:v>-3.1246952581163606E-3</c:v>
                </c:pt>
                <c:pt idx="617">
                  <c:v>-3.1211595191594113E-3</c:v>
                </c:pt>
                <c:pt idx="618">
                  <c:v>-3.1176276940067063E-3</c:v>
                </c:pt>
                <c:pt idx="619">
                  <c:v>-3.1070548832446169E-3</c:v>
                </c:pt>
                <c:pt idx="620">
                  <c:v>-3.1035378951794449E-3</c:v>
                </c:pt>
                <c:pt idx="621">
                  <c:v>-3.1000244118537935E-3</c:v>
                </c:pt>
                <c:pt idx="622">
                  <c:v>-3.0965143514547168E-3</c:v>
                </c:pt>
                <c:pt idx="623">
                  <c:v>-3.093007632169271E-3</c:v>
                </c:pt>
                <c:pt idx="624">
                  <c:v>-3.0825027946965104E-3</c:v>
                </c:pt>
                <c:pt idx="625">
                  <c:v>-3.079003266097472E-3</c:v>
                </c:pt>
                <c:pt idx="626">
                  <c:v>-3.0755031956195564E-3</c:v>
                </c:pt>
                <c:pt idx="627">
                  <c:v>-3.072001632967873E-3</c:v>
                </c:pt>
                <c:pt idx="628">
                  <c:v>-3.0684976278475321E-3</c:v>
                </c:pt>
                <c:pt idx="629">
                  <c:v>-3.0579614547256509E-3</c:v>
                </c:pt>
                <c:pt idx="630">
                  <c:v>-3.0544381767817707E-3</c:v>
                </c:pt>
                <c:pt idx="631">
                  <c:v>-3.0509077048947787E-3</c:v>
                </c:pt>
                <c:pt idx="632">
                  <c:v>-3.0473690887697848E-3</c:v>
                </c:pt>
                <c:pt idx="633">
                  <c:v>-3.0438213781118989E-3</c:v>
                </c:pt>
                <c:pt idx="634">
                  <c:v>-3.0331141759919792E-3</c:v>
                </c:pt>
                <c:pt idx="635">
                  <c:v>-3.0295205842536164E-3</c:v>
                </c:pt>
                <c:pt idx="636">
                  <c:v>-3.0259131465079085E-3</c:v>
                </c:pt>
                <c:pt idx="637">
                  <c:v>-3.0222909124599643E-3</c:v>
                </c:pt>
                <c:pt idx="638">
                  <c:v>-3.0186529318148927E-3</c:v>
                </c:pt>
                <c:pt idx="639">
                  <c:v>-3.0076350073480139E-3</c:v>
                </c:pt>
                <c:pt idx="640">
                  <c:v>-3.0039245373655299E-3</c:v>
                </c:pt>
                <c:pt idx="641">
                  <c:v>-3.0001935693114655E-3</c:v>
                </c:pt>
                <c:pt idx="642">
                  <c:v>-2.9964411528909311E-3</c:v>
                </c:pt>
                <c:pt idx="643">
                  <c:v>-2.9926663378090352E-3</c:v>
                </c:pt>
                <c:pt idx="644">
                  <c:v>-2.9811979976462756E-3</c:v>
                </c:pt>
                <c:pt idx="645">
                  <c:v>-2.9773245746491602E-3</c:v>
                </c:pt>
                <c:pt idx="646">
                  <c:v>-2.9734269395910065E-3</c:v>
                </c:pt>
                <c:pt idx="647">
                  <c:v>-2.9695070802517047E-3</c:v>
                </c:pt>
                <c:pt idx="648">
                  <c:v>-2.9655669844111392E-3</c:v>
                </c:pt>
                <c:pt idx="649">
                  <c:v>-2.9536451556807382E-3</c:v>
                </c:pt>
                <c:pt idx="650">
                  <c:v>-2.9496439916339924E-3</c:v>
                </c:pt>
                <c:pt idx="651">
                  <c:v>-2.9456325299854189E-3</c:v>
                </c:pt>
                <c:pt idx="652">
                  <c:v>-2.9416127585149064E-3</c:v>
                </c:pt>
                <c:pt idx="653">
                  <c:v>-2.9375866650023382E-3</c:v>
                </c:pt>
                <c:pt idx="654">
                  <c:v>-2.9254903300111844E-3</c:v>
                </c:pt>
                <c:pt idx="655">
                  <c:v>-2.9214588261292714E-3</c:v>
                </c:pt>
                <c:pt idx="656">
                  <c:v>-2.9174309391047401E-3</c:v>
                </c:pt>
                <c:pt idx="657">
                  <c:v>-2.9134086567174779E-3</c:v>
                </c:pt>
                <c:pt idx="658">
                  <c:v>-2.9093939667473698E-3</c:v>
                </c:pt>
                <c:pt idx="659">
                  <c:v>-2.897415329138849E-3</c:v>
                </c:pt>
                <c:pt idx="660">
                  <c:v>-2.8855765833606553E-3</c:v>
                </c:pt>
                <c:pt idx="661">
                  <c:v>-2.8816706981474698E-3</c:v>
                </c:pt>
                <c:pt idx="662">
                  <c:v>-2.8701019615649677E-3</c:v>
                </c:pt>
                <c:pt idx="663">
                  <c:v>-2.862533447523049E-3</c:v>
                </c:pt>
                <c:pt idx="664">
                  <c:v>-2.8587976779067791E-3</c:v>
                </c:pt>
                <c:pt idx="665">
                  <c:v>-2.8550933153927084E-3</c:v>
                </c:pt>
                <c:pt idx="666">
                  <c:v>-2.8441484059288321E-3</c:v>
                </c:pt>
                <c:pt idx="667">
                  <c:v>-2.8405494072886966E-3</c:v>
                </c:pt>
                <c:pt idx="668">
                  <c:v>-2.8369716834833279E-3</c:v>
                </c:pt>
                <c:pt idx="669">
                  <c:v>-2.8334132080592407E-3</c:v>
                </c:pt>
                <c:pt idx="670">
                  <c:v>-2.8298719545629485E-3</c:v>
                </c:pt>
                <c:pt idx="671">
                  <c:v>-2.8193312611059745E-3</c:v>
                </c:pt>
                <c:pt idx="672">
                  <c:v>-2.8158386307859965E-3</c:v>
                </c:pt>
                <c:pt idx="673">
                  <c:v>-2.8123530901263813E-3</c:v>
                </c:pt>
                <c:pt idx="674">
                  <c:v>-2.8088726126736427E-3</c:v>
                </c:pt>
                <c:pt idx="675">
                  <c:v>-2.8053951719742938E-3</c:v>
                </c:pt>
                <c:pt idx="676">
                  <c:v>-2.7949608058617202E-3</c:v>
                </c:pt>
                <c:pt idx="677">
                  <c:v>-2.7914752476410655E-3</c:v>
                </c:pt>
                <c:pt idx="678">
                  <c:v>-2.787982593906369E-3</c:v>
                </c:pt>
                <c:pt idx="679">
                  <c:v>-2.7844808182041435E-3</c:v>
                </c:pt>
                <c:pt idx="680">
                  <c:v>-2.7809678940809027E-3</c:v>
                </c:pt>
                <c:pt idx="681">
                  <c:v>-2.7703419666502264E-3</c:v>
                </c:pt>
                <c:pt idx="682">
                  <c:v>-2.7667641843080615E-3</c:v>
                </c:pt>
                <c:pt idx="683">
                  <c:v>-2.7631651212774492E-3</c:v>
                </c:pt>
                <c:pt idx="684">
                  <c:v>-2.7595427511049033E-3</c:v>
                </c:pt>
                <c:pt idx="685">
                  <c:v>-2.7558950473369368E-3</c:v>
                </c:pt>
                <c:pt idx="686">
                  <c:v>-2.7447796699256542E-3</c:v>
                </c:pt>
                <c:pt idx="687">
                  <c:v>-2.741010948920822E-3</c:v>
                </c:pt>
                <c:pt idx="688">
                  <c:v>-2.7372102521312073E-3</c:v>
                </c:pt>
                <c:pt idx="689">
                  <c:v>-2.7333790431813931E-3</c:v>
                </c:pt>
                <c:pt idx="690">
                  <c:v>-2.7295187856959634E-3</c:v>
                </c:pt>
                <c:pt idx="691">
                  <c:v>-2.7177783582718082E-3</c:v>
                </c:pt>
                <c:pt idx="692">
                  <c:v>-2.7138165428897448E-3</c:v>
                </c:pt>
                <c:pt idx="693">
                  <c:v>-2.7098329970949831E-3</c:v>
                </c:pt>
                <c:pt idx="694">
                  <c:v>-2.705829184512103E-3</c:v>
                </c:pt>
                <c:pt idx="695">
                  <c:v>-2.7018065687656901E-3</c:v>
                </c:pt>
                <c:pt idx="696">
                  <c:v>-2.6896405387910791E-3</c:v>
                </c:pt>
                <c:pt idx="697">
                  <c:v>-2.6855573466363627E-3</c:v>
                </c:pt>
                <c:pt idx="698">
                  <c:v>-2.6814626694410281E-3</c:v>
                </c:pt>
                <c:pt idx="699">
                  <c:v>-2.6773579708296602E-3</c:v>
                </c:pt>
                <c:pt idx="700">
                  <c:v>-2.6732447144268397E-3</c:v>
                </c:pt>
                <c:pt idx="701">
                  <c:v>-2.6608682347155034E-3</c:v>
                </c:pt>
                <c:pt idx="702">
                  <c:v>-2.6567353833927103E-3</c:v>
                </c:pt>
                <c:pt idx="703">
                  <c:v>-2.6526012924013805E-3</c:v>
                </c:pt>
                <c:pt idx="704">
                  <c:v>-2.6484674253660998E-3</c:v>
                </c:pt>
                <c:pt idx="705">
                  <c:v>-2.6443352459114495E-3</c:v>
                </c:pt>
                <c:pt idx="706">
                  <c:v>-2.6319634692771178E-3</c:v>
                </c:pt>
                <c:pt idx="707">
                  <c:v>-2.6278522956088928E-3</c:v>
                </c:pt>
                <c:pt idx="708">
                  <c:v>-2.6237478429526314E-3</c:v>
                </c:pt>
                <c:pt idx="709">
                  <c:v>-2.6196492902413313E-3</c:v>
                </c:pt>
                <c:pt idx="710">
                  <c:v>-2.6155558164079923E-3</c:v>
                </c:pt>
                <c:pt idx="711">
                  <c:v>-2.6032976575057305E-3</c:v>
                </c:pt>
                <c:pt idx="712">
                  <c:v>-2.5992162885142248E-3</c:v>
                </c:pt>
                <c:pt idx="713">
                  <c:v>-2.5951358930656754E-3</c:v>
                </c:pt>
                <c:pt idx="714">
                  <c:v>-2.5910556500930806E-3</c:v>
                </c:pt>
                <c:pt idx="715">
                  <c:v>-2.5869747385294409E-3</c:v>
                </c:pt>
                <c:pt idx="716">
                  <c:v>-2.5747197816222344E-3</c:v>
                </c:pt>
                <c:pt idx="717">
                  <c:v>-2.5706279850244004E-3</c:v>
                </c:pt>
                <c:pt idx="718">
                  <c:v>-2.5665314145005163E-3</c:v>
                </c:pt>
                <c:pt idx="719">
                  <c:v>-2.5624292489835792E-3</c:v>
                </c:pt>
                <c:pt idx="720">
                  <c:v>-2.5583206674065898E-3</c:v>
                </c:pt>
                <c:pt idx="721">
                  <c:v>-2.5459482156452956E-3</c:v>
                </c:pt>
                <c:pt idx="722">
                  <c:v>-2.5418057591580852E-3</c:v>
                </c:pt>
                <c:pt idx="723">
                  <c:v>-2.5376527812758171E-3</c:v>
                </c:pt>
                <c:pt idx="724">
                  <c:v>-2.5334884609314904E-3</c:v>
                </c:pt>
                <c:pt idx="725">
                  <c:v>-2.5293119770581048E-3</c:v>
                </c:pt>
                <c:pt idx="726">
                  <c:v>-2.5167013335935791E-3</c:v>
                </c:pt>
                <c:pt idx="727">
                  <c:v>-2.5124679849339443E-3</c:v>
                </c:pt>
                <c:pt idx="728">
                  <c:v>-2.5082187261501634E-3</c:v>
                </c:pt>
                <c:pt idx="729">
                  <c:v>-2.5039545298748264E-3</c:v>
                </c:pt>
                <c:pt idx="730">
                  <c:v>-2.4996767274804419E-3</c:v>
                </c:pt>
                <c:pt idx="731">
                  <c:v>-2.4867749973080861E-3</c:v>
                </c:pt>
                <c:pt idx="732">
                  <c:v>-2.4824560841625949E-3</c:v>
                </c:pt>
                <c:pt idx="733">
                  <c:v>-2.4781302217605984E-3</c:v>
                </c:pt>
                <c:pt idx="734">
                  <c:v>-2.4737987414746041E-3</c:v>
                </c:pt>
                <c:pt idx="735">
                  <c:v>-2.4694629746771207E-3</c:v>
                </c:pt>
                <c:pt idx="736">
                  <c:v>-2.4564432689408214E-3</c:v>
                </c:pt>
                <c:pt idx="737">
                  <c:v>-2.4521036698224681E-3</c:v>
                </c:pt>
                <c:pt idx="738">
                  <c:v>-2.447766441055166E-3</c:v>
                </c:pt>
                <c:pt idx="739">
                  <c:v>-2.4434329140114262E-3</c:v>
                </c:pt>
                <c:pt idx="740">
                  <c:v>-2.4218674026839446E-3</c:v>
                </c:pt>
                <c:pt idx="741">
                  <c:v>-2.4175840448042506E-3</c:v>
                </c:pt>
                <c:pt idx="742">
                  <c:v>-2.4133137082556775E-3</c:v>
                </c:pt>
                <c:pt idx="743">
                  <c:v>-2.4090577244107328E-3</c:v>
                </c:pt>
                <c:pt idx="744">
                  <c:v>-2.3963892028227552E-3</c:v>
                </c:pt>
                <c:pt idx="745">
                  <c:v>-2.3922039435174099E-3</c:v>
                </c:pt>
                <c:pt idx="746">
                  <c:v>-2.3838977849777393E-3</c:v>
                </c:pt>
                <c:pt idx="747">
                  <c:v>-2.3797790255648747E-3</c:v>
                </c:pt>
                <c:pt idx="748">
                  <c:v>-2.3675467195050852E-3</c:v>
                </c:pt>
                <c:pt idx="749">
                  <c:v>-2.3635045876486491E-3</c:v>
                </c:pt>
                <c:pt idx="750">
                  <c:v>-2.3594770972592397E-3</c:v>
                </c:pt>
                <c:pt idx="751">
                  <c:v>-2.3554624421680244E-3</c:v>
                </c:pt>
                <c:pt idx="752">
                  <c:v>-2.3514588162061715E-3</c:v>
                </c:pt>
                <c:pt idx="753">
                  <c:v>-2.3394960514084651E-3</c:v>
                </c:pt>
                <c:pt idx="754">
                  <c:v>-2.3355184802757389E-3</c:v>
                </c:pt>
                <c:pt idx="755">
                  <c:v>-2.3315429074282144E-3</c:v>
                </c:pt>
                <c:pt idx="756">
                  <c:v>-2.3275675266970592E-3</c:v>
                </c:pt>
                <c:pt idx="757">
                  <c:v>-2.3235905319134408E-3</c:v>
                </c:pt>
                <c:pt idx="758">
                  <c:v>-2.311631801559483E-3</c:v>
                </c:pt>
                <c:pt idx="759">
                  <c:v>-2.3076302888776902E-3</c:v>
                </c:pt>
                <c:pt idx="760">
                  <c:v>-2.303618131299273E-3</c:v>
                </c:pt>
                <c:pt idx="761">
                  <c:v>-2.2995935226553989E-3</c:v>
                </c:pt>
                <c:pt idx="762">
                  <c:v>-2.2955546567772363E-3</c:v>
                </c:pt>
                <c:pt idx="763">
                  <c:v>-2.2833344540486968E-3</c:v>
                </c:pt>
                <c:pt idx="764">
                  <c:v>-2.2792204975450579E-3</c:v>
                </c:pt>
                <c:pt idx="765">
                  <c:v>-2.2750832529629694E-3</c:v>
                </c:pt>
                <c:pt idx="766">
                  <c:v>-2.2709209141336005E-3</c:v>
                </c:pt>
                <c:pt idx="767">
                  <c:v>-2.2667316748881169E-3</c:v>
                </c:pt>
                <c:pt idx="768">
                  <c:v>-2.2539844929666602E-3</c:v>
                </c:pt>
                <c:pt idx="769">
                  <c:v>-2.2496701165765323E-3</c:v>
                </c:pt>
                <c:pt idx="770">
                  <c:v>-2.2453229661749344E-3</c:v>
                </c:pt>
                <c:pt idx="771">
                  <c:v>-2.2409443928418371E-3</c:v>
                </c:pt>
                <c:pt idx="772">
                  <c:v>-2.2365357476572126E-3</c:v>
                </c:pt>
                <c:pt idx="773">
                  <c:v>-2.2231428917938983E-3</c:v>
                </c:pt>
                <c:pt idx="774">
                  <c:v>-2.2186274700028864E-3</c:v>
                </c:pt>
                <c:pt idx="775">
                  <c:v>-2.2140887317602066E-3</c:v>
                </c:pt>
                <c:pt idx="776">
                  <c:v>-2.2095280281458308E-3</c:v>
                </c:pt>
                <c:pt idx="777">
                  <c:v>-2.2049467102397322E-3</c:v>
                </c:pt>
                <c:pt idx="778">
                  <c:v>-2.1910925815708136E-3</c:v>
                </c:pt>
                <c:pt idx="779">
                  <c:v>-2.1864423172975405E-3</c:v>
                </c:pt>
                <c:pt idx="780">
                  <c:v>-2.1817781941324034E-3</c:v>
                </c:pt>
                <c:pt idx="781">
                  <c:v>-2.1771015631553742E-3</c:v>
                </c:pt>
                <c:pt idx="782">
                  <c:v>-2.1724137754464252E-3</c:v>
                </c:pt>
                <c:pt idx="783">
                  <c:v>-2.1582969827277764E-3</c:v>
                </c:pt>
                <c:pt idx="784">
                  <c:v>-2.1535780788908667E-3</c:v>
                </c:pt>
                <c:pt idx="785">
                  <c:v>-2.148854773721896E-3</c:v>
                </c:pt>
                <c:pt idx="786">
                  <c:v>-2.1441284183008379E-3</c:v>
                </c:pt>
                <c:pt idx="787">
                  <c:v>-2.1394003637076626E-3</c:v>
                </c:pt>
                <c:pt idx="788">
                  <c:v>-2.1252195156951574E-3</c:v>
                </c:pt>
                <c:pt idx="789">
                  <c:v>-2.1204981752132352E-3</c:v>
                </c:pt>
                <c:pt idx="790">
                  <c:v>-2.1157816497395761E-3</c:v>
                </c:pt>
                <c:pt idx="791">
                  <c:v>-2.1110700842567475E-3</c:v>
                </c:pt>
                <c:pt idx="792">
                  <c:v>-2.1063633825278388E-3</c:v>
                </c:pt>
                <c:pt idx="793">
                  <c:v>-2.0922714974955172E-3</c:v>
                </c:pt>
                <c:pt idx="794">
                  <c:v>-2.087583288413171E-3</c:v>
                </c:pt>
                <c:pt idx="795">
                  <c:v>-2.0828994619001861E-3</c:v>
                </c:pt>
                <c:pt idx="796">
                  <c:v>-2.0782199217196508E-3</c:v>
                </c:pt>
                <c:pt idx="797">
                  <c:v>-2.0735445716346538E-3</c:v>
                </c:pt>
                <c:pt idx="798">
                  <c:v>-2.0595426995837743E-3</c:v>
                </c:pt>
                <c:pt idx="799">
                  <c:v>-2.0548831475118126E-3</c:v>
                </c:pt>
                <c:pt idx="800">
                  <c:v>-2.0502273043508314E-3</c:v>
                </c:pt>
                <c:pt idx="801">
                  <c:v>-2.0455750738639172E-3</c:v>
                </c:pt>
                <c:pt idx="802">
                  <c:v>-2.0409263598141591E-3</c:v>
                </c:pt>
                <c:pt idx="803">
                  <c:v>-2.0270003539187057E-3</c:v>
                </c:pt>
                <c:pt idx="804">
                  <c:v>-2.0223647432484563E-3</c:v>
                </c:pt>
                <c:pt idx="805">
                  <c:v>-2.0177321678308052E-3</c:v>
                </c:pt>
                <c:pt idx="806">
                  <c:v>-2.0131025314288394E-3</c:v>
                </c:pt>
                <c:pt idx="807">
                  <c:v>-2.0084757378056491E-3</c:v>
                </c:pt>
                <c:pt idx="808">
                  <c:v>-1.9946114512396059E-3</c:v>
                </c:pt>
                <c:pt idx="809">
                  <c:v>-1.9899950663623961E-3</c:v>
                </c:pt>
                <c:pt idx="810">
                  <c:v>-1.9853810430794021E-3</c:v>
                </c:pt>
                <c:pt idx="811">
                  <c:v>-1.9807692851537139E-3</c:v>
                </c:pt>
                <c:pt idx="812">
                  <c:v>-1.9761596963484172E-3</c:v>
                </c:pt>
                <c:pt idx="813">
                  <c:v>-1.9623375057302582E-3</c:v>
                </c:pt>
                <c:pt idx="814">
                  <c:v>-1.9577281261280136E-3</c:v>
                </c:pt>
                <c:pt idx="815">
                  <c:v>-1.9531155664122609E-3</c:v>
                </c:pt>
                <c:pt idx="816">
                  <c:v>-1.9484985133337534E-3</c:v>
                </c:pt>
                <c:pt idx="817">
                  <c:v>-1.9438756536432438E-3</c:v>
                </c:pt>
                <c:pt idx="818">
                  <c:v>-1.9299591024072309E-3</c:v>
                </c:pt>
                <c:pt idx="819">
                  <c:v>-1.9252998837762404E-3</c:v>
                </c:pt>
                <c:pt idx="820">
                  <c:v>-1.9206282922870114E-3</c:v>
                </c:pt>
                <c:pt idx="821">
                  <c:v>-1.9159430146902974E-3</c:v>
                </c:pt>
                <c:pt idx="822">
                  <c:v>-1.9112427377368502E-3</c:v>
                </c:pt>
                <c:pt idx="823">
                  <c:v>-1.8970387782436416E-3</c:v>
                </c:pt>
                <c:pt idx="824">
                  <c:v>-1.8922653713707915E-3</c:v>
                </c:pt>
                <c:pt idx="825">
                  <c:v>-1.8874703988949735E-3</c:v>
                </c:pt>
                <c:pt idx="826">
                  <c:v>-1.8826525475669391E-3</c:v>
                </c:pt>
                <c:pt idx="827">
                  <c:v>-1.8778105041374409E-3</c:v>
                </c:pt>
                <c:pt idx="828">
                  <c:v>-1.8631260887476961E-3</c:v>
                </c:pt>
                <c:pt idx="829">
                  <c:v>-1.8581741444198736E-3</c:v>
                </c:pt>
                <c:pt idx="830">
                  <c:v>-1.8531914417443522E-3</c:v>
                </c:pt>
                <c:pt idx="831">
                  <c:v>-1.8481766674718837E-3</c:v>
                </c:pt>
                <c:pt idx="832">
                  <c:v>-1.8431285083532224E-3</c:v>
                </c:pt>
                <c:pt idx="833">
                  <c:v>-1.8277705894276016E-3</c:v>
                </c:pt>
                <c:pt idx="834">
                  <c:v>-1.822576445387784E-3</c:v>
                </c:pt>
                <c:pt idx="835">
                  <c:v>-1.8173464719920857E-3</c:v>
                </c:pt>
                <c:pt idx="836">
                  <c:v>-1.8120834777278082E-3</c:v>
                </c:pt>
                <c:pt idx="837">
                  <c:v>-1.806790271082254E-3</c:v>
                </c:pt>
                <c:pt idx="838">
                  <c:v>-1.7907574617309437E-3</c:v>
                </c:pt>
                <c:pt idx="839">
                  <c:v>-1.7853714904332966E-3</c:v>
                </c:pt>
                <c:pt idx="840">
                  <c:v>-1.779969349190881E-3</c:v>
                </c:pt>
                <c:pt idx="841">
                  <c:v>-1.7745538464909983E-3</c:v>
                </c:pt>
                <c:pt idx="842">
                  <c:v>-1.7691277908209505E-3</c:v>
                </c:pt>
                <c:pt idx="843">
                  <c:v>-1.7528143908628335E-3</c:v>
                </c:pt>
                <c:pt idx="844">
                  <c:v>-1.7473742081851431E-3</c:v>
                </c:pt>
                <c:pt idx="845">
                  <c:v>-1.7419375149737948E-3</c:v>
                </c:pt>
                <c:pt idx="846">
                  <c:v>-1.7365071197160916E-3</c:v>
                </c:pt>
                <c:pt idx="847">
                  <c:v>-1.7310858308993357E-3</c:v>
                </c:pt>
                <c:pt idx="848">
                  <c:v>-1.7149046879677658E-3</c:v>
                </c:pt>
                <c:pt idx="849">
                  <c:v>-1.7095479097878152E-3</c:v>
                </c:pt>
                <c:pt idx="850">
                  <c:v>-1.7042142804853193E-3</c:v>
                </c:pt>
                <c:pt idx="851">
                  <c:v>-1.6989066085475815E-3</c:v>
                </c:pt>
                <c:pt idx="852">
                  <c:v>-1.6936277024619016E-3</c:v>
                </c:pt>
                <c:pt idx="853">
                  <c:v>-1.677991664190234E-3</c:v>
                </c:pt>
                <c:pt idx="854">
                  <c:v>-1.6728559063858073E-3</c:v>
                </c:pt>
                <c:pt idx="855">
                  <c:v>-1.6677629568699487E-3</c:v>
                </c:pt>
                <c:pt idx="856">
                  <c:v>-1.6627146350935915E-3</c:v>
                </c:pt>
                <c:pt idx="857">
                  <c:v>-1.6577088043621942E-3</c:v>
                </c:pt>
                <c:pt idx="858">
                  <c:v>-1.6429150011286777E-3</c:v>
                </c:pt>
                <c:pt idx="859">
                  <c:v>-1.6380478772680339E-3</c:v>
                </c:pt>
                <c:pt idx="860">
                  <c:v>-1.6332076157978069E-3</c:v>
                </c:pt>
                <c:pt idx="861">
                  <c:v>-1.6283910909870871E-3</c:v>
                </c:pt>
                <c:pt idx="862">
                  <c:v>-1.6235951771049668E-3</c:v>
                </c:pt>
                <c:pt idx="863">
                  <c:v>-1.6092998437211084E-3</c:v>
                </c:pt>
                <c:pt idx="864">
                  <c:v>-1.6045551162442938E-3</c:v>
                </c:pt>
                <c:pt idx="865">
                  <c:v>-1.599815371041534E-3</c:v>
                </c:pt>
                <c:pt idx="866">
                  <c:v>-1.5950774823819196E-3</c:v>
                </c:pt>
                <c:pt idx="867">
                  <c:v>-1.5903383245345424E-3</c:v>
                </c:pt>
                <c:pt idx="868">
                  <c:v>-1.5760819785567441E-3</c:v>
                </c:pt>
                <c:pt idx="869">
                  <c:v>-1.5713064866492259E-3</c:v>
                </c:pt>
                <c:pt idx="870">
                  <c:v>-1.5665140968994015E-3</c:v>
                </c:pt>
                <c:pt idx="871">
                  <c:v>-1.5617016835763598E-3</c:v>
                </c:pt>
                <c:pt idx="872">
                  <c:v>-1.5568661209491939E-3</c:v>
                </c:pt>
                <c:pt idx="873">
                  <c:v>-1.5421892799338567E-3</c:v>
                </c:pt>
                <c:pt idx="874">
                  <c:v>-1.5372298627811028E-3</c:v>
                </c:pt>
                <c:pt idx="875">
                  <c:v>-1.5322316676696791E-3</c:v>
                </c:pt>
                <c:pt idx="876">
                  <c:v>-1.5271915688686787E-3</c:v>
                </c:pt>
                <c:pt idx="877">
                  <c:v>-1.5221064406471905E-3</c:v>
                </c:pt>
                <c:pt idx="878">
                  <c:v>-1.5065496221507171E-3</c:v>
                </c:pt>
                <c:pt idx="879">
                  <c:v>-1.5012539899614075E-3</c:v>
                </c:pt>
                <c:pt idx="880">
                  <c:v>-1.4959029258363509E-3</c:v>
                </c:pt>
                <c:pt idx="881">
                  <c:v>-1.4904985301839233E-3</c:v>
                </c:pt>
                <c:pt idx="882">
                  <c:v>-1.4850429034124978E-3</c:v>
                </c:pt>
                <c:pt idx="883">
                  <c:v>-1.4683896404679908E-3</c:v>
                </c:pt>
                <c:pt idx="884">
                  <c:v>-1.4627500933043277E-3</c:v>
                </c:pt>
                <c:pt idx="885">
                  <c:v>-1.4570698170635432E-3</c:v>
                </c:pt>
                <c:pt idx="886">
                  <c:v>-1.4513509121540117E-3</c:v>
                </c:pt>
                <c:pt idx="887">
                  <c:v>-1.4455954789841087E-3</c:v>
                </c:pt>
                <c:pt idx="888">
                  <c:v>-1.4281310139959216E-3</c:v>
                </c:pt>
                <c:pt idx="889">
                  <c:v>-1.4222504718682824E-3</c:v>
                </c:pt>
                <c:pt idx="890">
                  <c:v>-1.4163439035221462E-3</c:v>
                </c:pt>
                <c:pt idx="891">
                  <c:v>-1.4104134093658892E-3</c:v>
                </c:pt>
                <c:pt idx="892">
                  <c:v>-1.4044610898078852E-3</c:v>
                </c:pt>
                <c:pt idx="893">
                  <c:v>-1.3864941828071471E-3</c:v>
                </c:pt>
                <c:pt idx="894">
                  <c:v>-1.3804755657259083E-3</c:v>
                </c:pt>
                <c:pt idx="895">
                  <c:v>-1.3744456252847992E-3</c:v>
                </c:pt>
                <c:pt idx="896">
                  <c:v>-1.3684064618921931E-3</c:v>
                </c:pt>
                <c:pt idx="897">
                  <c:v>-1.3623601759564655E-3</c:v>
                </c:pt>
                <c:pt idx="898">
                  <c:v>-1.344199586974307E-3</c:v>
                </c:pt>
                <c:pt idx="899">
                  <c:v>-1.3381456241388858E-3</c:v>
                </c:pt>
                <c:pt idx="900">
                  <c:v>-1.332093895936459E-3</c:v>
                </c:pt>
                <c:pt idx="901">
                  <c:v>-1.3260453579096408E-3</c:v>
                </c:pt>
                <c:pt idx="902">
                  <c:v>-1.3200009656010481E-3</c:v>
                </c:pt>
                <c:pt idx="903">
                  <c:v>-1.3019022184107625E-3</c:v>
                </c:pt>
                <c:pt idx="904">
                  <c:v>-1.2958839644012167E-3</c:v>
                </c:pt>
                <c:pt idx="905">
                  <c:v>-1.2898746338229703E-3</c:v>
                </c:pt>
                <c:pt idx="906">
                  <c:v>-1.2838751822186387E-3</c:v>
                </c:pt>
                <c:pt idx="907">
                  <c:v>-1.2778865651308377E-3</c:v>
                </c:pt>
                <c:pt idx="908">
                  <c:v>-1.2599952763927634E-3</c:v>
                </c:pt>
                <c:pt idx="909">
                  <c:v>-1.2540595527972319E-3</c:v>
                </c:pt>
                <c:pt idx="910">
                  <c:v>-1.2481394414313052E-3</c:v>
                </c:pt>
                <c:pt idx="911">
                  <c:v>-1.2422358978375989E-3</c:v>
                </c:pt>
                <c:pt idx="912">
                  <c:v>-1.236349877558728E-3</c:v>
                </c:pt>
                <c:pt idx="913">
                  <c:v>-1.21880651203728E-3</c:v>
                </c:pt>
                <c:pt idx="914">
                  <c:v>-1.2130001404439023E-3</c:v>
                </c:pt>
                <c:pt idx="915">
                  <c:v>-1.1957186540016919E-3</c:v>
                </c:pt>
                <c:pt idx="916">
                  <c:v>-1.1786636764612856E-3</c:v>
                </c:pt>
                <c:pt idx="917">
                  <c:v>-1.1730334784581999E-3</c:v>
                </c:pt>
                <c:pt idx="918">
                  <c:v>-1.1618913684352231E-3</c:v>
                </c:pt>
                <c:pt idx="919">
                  <c:v>-1.1563653230216909E-3</c:v>
                </c:pt>
                <c:pt idx="920">
                  <c:v>-1.1399445962282041E-3</c:v>
                </c:pt>
                <c:pt idx="921">
                  <c:v>-1.1345145060785108E-3</c:v>
                </c:pt>
                <c:pt idx="922">
                  <c:v>-1.1291016664690993E-3</c:v>
                </c:pt>
                <c:pt idx="923">
                  <c:v>-1.1237033820896999E-3</c:v>
                </c:pt>
                <c:pt idx="924">
                  <c:v>-1.1183169576300432E-3</c:v>
                </c:pt>
                <c:pt idx="925">
                  <c:v>-1.1022018906668132E-3</c:v>
                </c:pt>
                <c:pt idx="926">
                  <c:v>-1.0968359527834151E-3</c:v>
                </c:pt>
                <c:pt idx="927">
                  <c:v>-1.0914683982684065E-3</c:v>
                </c:pt>
                <c:pt idx="928">
                  <c:v>-1.0860965318115145E-3</c:v>
                </c:pt>
                <c:pt idx="929">
                  <c:v>-1.0807176581024694E-3</c:v>
                </c:pt>
                <c:pt idx="930">
                  <c:v>-1.0645120403597102E-3</c:v>
                </c:pt>
                <c:pt idx="931">
                  <c:v>-1.0590781845393465E-3</c:v>
                </c:pt>
                <c:pt idx="932">
                  <c:v>-1.0536238449154764E-3</c:v>
                </c:pt>
                <c:pt idx="933">
                  <c:v>-1.0481463261778304E-3</c:v>
                </c:pt>
                <c:pt idx="934">
                  <c:v>-1.0426429330161356E-3</c:v>
                </c:pt>
                <c:pt idx="935">
                  <c:v>-1.0259505538840602E-3</c:v>
                </c:pt>
                <c:pt idx="936">
                  <c:v>-1.0203167099234686E-3</c:v>
                </c:pt>
                <c:pt idx="937">
                  <c:v>-1.0146435149874769E-3</c:v>
                </c:pt>
                <c:pt idx="938">
                  <c:v>-1.0089282737658128E-3</c:v>
                </c:pt>
                <c:pt idx="939">
                  <c:v>-1.0031682909482065E-3</c:v>
                </c:pt>
                <c:pt idx="940">
                  <c:v>-9.8559293981702843E-4</c:v>
                </c:pt>
                <c:pt idx="941">
                  <c:v>-9.796278781240824E-4</c:v>
                </c:pt>
                <c:pt idx="942">
                  <c:v>-9.7360964195065383E-4</c:v>
                </c:pt>
                <c:pt idx="943">
                  <c:v>-9.6754057965328666E-4</c:v>
                </c:pt>
                <c:pt idx="944">
                  <c:v>-9.6142303958852158E-4</c:v>
                </c:pt>
                <c:pt idx="945">
                  <c:v>-9.4280303635527012E-4</c:v>
                </c:pt>
                <c:pt idx="946">
                  <c:v>-9.3651506878634399E-4</c:v>
                </c:pt>
                <c:pt idx="947">
                  <c:v>-9.3019036523273274E-4</c:v>
                </c:pt>
                <c:pt idx="948">
                  <c:v>-9.2383127405098022E-4</c:v>
                </c:pt>
                <c:pt idx="949">
                  <c:v>-9.1744014359762982E-4</c:v>
                </c:pt>
                <c:pt idx="950">
                  <c:v>-8.9809800017340898E-4</c:v>
                </c:pt>
                <c:pt idx="951">
                  <c:v>-8.9160219619908846E-4</c:v>
                </c:pt>
                <c:pt idx="952">
                  <c:v>-8.8508609473588308E-4</c:v>
                </c:pt>
                <c:pt idx="953">
                  <c:v>-8.7855204414033353E-4</c:v>
                </c:pt>
                <c:pt idx="954">
                  <c:v>-8.7200239276898355E-4</c:v>
                </c:pt>
                <c:pt idx="955">
                  <c:v>-8.5228331756555698E-4</c:v>
                </c:pt>
                <c:pt idx="956">
                  <c:v>-8.4569474665643072E-4</c:v>
                </c:pt>
                <c:pt idx="957">
                  <c:v>-8.3910231675421681E-4</c:v>
                </c:pt>
                <c:pt idx="958">
                  <c:v>-8.3250837621545899E-4</c:v>
                </c:pt>
                <c:pt idx="959">
                  <c:v>-8.2591527339669795E-4</c:v>
                </c:pt>
                <c:pt idx="960">
                  <c:v>-8.0616447482582737E-4</c:v>
                </c:pt>
                <c:pt idx="961">
                  <c:v>-7.9959784023752862E-4</c:v>
                </c:pt>
                <c:pt idx="962">
                  <c:v>-7.9304158786221591E-4</c:v>
                </c:pt>
                <c:pt idx="963">
                  <c:v>-7.8649586876670442E-4</c:v>
                </c:pt>
                <c:pt idx="964">
                  <c:v>-7.7996083401781207E-4</c:v>
                </c:pt>
                <c:pt idx="965">
                  <c:v>-7.6042134651902165E-4</c:v>
                </c:pt>
                <c:pt idx="966">
                  <c:v>-7.5393055982477647E-4</c:v>
                </c:pt>
                <c:pt idx="967">
                  <c:v>-7.4745121281123564E-4</c:v>
                </c:pt>
                <c:pt idx="968">
                  <c:v>-7.4098345654521728E-4</c:v>
                </c:pt>
                <c:pt idx="969">
                  <c:v>-7.3452744209353627E-4</c:v>
                </c:pt>
                <c:pt idx="970">
                  <c:v>-7.1523136029269497E-4</c:v>
                </c:pt>
                <c:pt idx="971">
                  <c:v>-7.0882382376653949E-4</c:v>
                </c:pt>
                <c:pt idx="972">
                  <c:v>-7.0242878438880657E-4</c:v>
                </c:pt>
                <c:pt idx="973">
                  <c:v>-6.9604639322631433E-4</c:v>
                </c:pt>
                <c:pt idx="974">
                  <c:v>-6.8967680134588111E-4</c:v>
                </c:pt>
                <c:pt idx="975">
                  <c:v>-6.7064633206509482E-4</c:v>
                </c:pt>
                <c:pt idx="976">
                  <c:v>-6.6432944798106193E-4</c:v>
                </c:pt>
                <c:pt idx="977">
                  <c:v>-6.5802611851317294E-4</c:v>
                </c:pt>
                <c:pt idx="978">
                  <c:v>-6.5173649472824284E-4</c:v>
                </c:pt>
                <c:pt idx="979">
                  <c:v>-6.4546072769308997E-4</c:v>
                </c:pt>
                <c:pt idx="980">
                  <c:v>-6.2671807775446483E-4</c:v>
                </c:pt>
                <c:pt idx="981">
                  <c:v>-6.2049924838659053E-4</c:v>
                </c:pt>
                <c:pt idx="982">
                  <c:v>-6.1429503110257847E-4</c:v>
                </c:pt>
                <c:pt idx="983">
                  <c:v>-6.0810557696924675E-4</c:v>
                </c:pt>
                <c:pt idx="984">
                  <c:v>-6.0193077034153132E-4</c:v>
                </c:pt>
                <c:pt idx="985">
                  <c:v>-5.8348134371879936E-4</c:v>
                </c:pt>
                <c:pt idx="986">
                  <c:v>-5.7735170191650445E-4</c:v>
                </c:pt>
                <c:pt idx="987">
                  <c:v>-5.712297283094243E-4</c:v>
                </c:pt>
                <c:pt idx="988">
                  <c:v>-5.6511397369310066E-4</c:v>
                </c:pt>
                <c:pt idx="989">
                  <c:v>-5.345777633168668E-4</c:v>
                </c:pt>
                <c:pt idx="990">
                  <c:v>-5.284688893515009E-4</c:v>
                </c:pt>
                <c:pt idx="991">
                  <c:v>-5.2235608994569821E-4</c:v>
                </c:pt>
                <c:pt idx="992">
                  <c:v>-5.1623791589499983E-4</c:v>
                </c:pt>
                <c:pt idx="993">
                  <c:v>-4.978366538289725E-4</c:v>
                </c:pt>
                <c:pt idx="994">
                  <c:v>-4.9168248915413214E-4</c:v>
                </c:pt>
                <c:pt idx="995">
                  <c:v>-4.8551570381211357E-4</c:v>
                </c:pt>
                <c:pt idx="996">
                  <c:v>-4.7933484859846156E-4</c:v>
                </c:pt>
                <c:pt idx="997">
                  <c:v>-4.7313847430872062E-4</c:v>
                </c:pt>
                <c:pt idx="998">
                  <c:v>-4.544417449383896E-4</c:v>
                </c:pt>
                <c:pt idx="999">
                  <c:v>-4.4816880229972273E-4</c:v>
                </c:pt>
                <c:pt idx="1000">
                  <c:v>-4.4187309456268436E-4</c:v>
                </c:pt>
                <c:pt idx="1001">
                  <c:v>-4.3555317252281606E-4</c:v>
                </c:pt>
                <c:pt idx="1002">
                  <c:v>-4.1000235724592438E-4</c:v>
                </c:pt>
                <c:pt idx="1003">
                  <c:v>-4.0353999953145474E-4</c:v>
                </c:pt>
                <c:pt idx="1004">
                  <c:v>-3.9704697572576258E-4</c:v>
                </c:pt>
                <c:pt idx="1005">
                  <c:v>-3.9052408006273753E-4</c:v>
                </c:pt>
                <c:pt idx="1006">
                  <c:v>-3.8397210677626638E-4</c:v>
                </c:pt>
                <c:pt idx="1007">
                  <c:v>-3.6414966351507131E-4</c:v>
                </c:pt>
                <c:pt idx="1008">
                  <c:v>-3.5748932207370761E-4</c:v>
                </c:pt>
                <c:pt idx="1009">
                  <c:v>-3.5080387417834382E-4</c:v>
                </c:pt>
                <c:pt idx="1010">
                  <c:v>-3.4409411406286655E-4</c:v>
                </c:pt>
                <c:pt idx="1011">
                  <c:v>-3.3736083596116562E-4</c:v>
                </c:pt>
                <c:pt idx="1012">
                  <c:v>-3.1702783607760998E-4</c:v>
                </c:pt>
                <c:pt idx="1013">
                  <c:v>-3.1020842836990229E-4</c:v>
                </c:pt>
                <c:pt idx="1014">
                  <c:v>-3.0336947384541489E-4</c:v>
                </c:pt>
                <c:pt idx="1015">
                  <c:v>-2.9651176673803765E-4</c:v>
                </c:pt>
                <c:pt idx="1016">
                  <c:v>-2.8963610128165712E-4</c:v>
                </c:pt>
                <c:pt idx="1017">
                  <c:v>-2.6890929715739012E-4</c:v>
                </c:pt>
                <c:pt idx="1018">
                  <c:v>-2.6196974064388972E-4</c:v>
                </c:pt>
                <c:pt idx="1019">
                  <c:v>-2.5501619695082994E-4</c:v>
                </c:pt>
                <c:pt idx="1020">
                  <c:v>-2.4804946031210063E-4</c:v>
                </c:pt>
                <c:pt idx="1021">
                  <c:v>-2.4107032496159173E-4</c:v>
                </c:pt>
                <c:pt idx="1022">
                  <c:v>-2.2006646897826602E-4</c:v>
                </c:pt>
                <c:pt idx="1023">
                  <c:v>-2.1304568111951965E-4</c:v>
                </c:pt>
                <c:pt idx="1024">
                  <c:v>-2.0601651750871974E-4</c:v>
                </c:pt>
                <c:pt idx="1025">
                  <c:v>-1.989800313311556E-4</c:v>
                </c:pt>
                <c:pt idx="1026">
                  <c:v>-1.9193732756240666E-4</c:v>
                </c:pt>
                <c:pt idx="1027">
                  <c:v>-1.707829604647842E-4</c:v>
                </c:pt>
                <c:pt idx="1028">
                  <c:v>-1.6372643608703603E-4</c:v>
                </c:pt>
                <c:pt idx="1029">
                  <c:v>-1.5666921899597298E-4</c:v>
                </c:pt>
                <c:pt idx="1030">
                  <c:v>-1.4961241416717452E-4</c:v>
                </c:pt>
                <c:pt idx="1031">
                  <c:v>-1.4255712657621332E-4</c:v>
                </c:pt>
                <c:pt idx="1032">
                  <c:v>-1.2141141698609735E-4</c:v>
                </c:pt>
                <c:pt idx="1033">
                  <c:v>-1.1437324810223397E-4</c:v>
                </c:pt>
                <c:pt idx="1034">
                  <c:v>-1.0734212133408231E-4</c:v>
                </c:pt>
                <c:pt idx="1035">
                  <c:v>-1.0031914165721493E-4</c:v>
                </c:pt>
                <c:pt idx="1036">
                  <c:v>-9.3305414047211341E-5</c:v>
                </c:pt>
                <c:pt idx="1037">
                  <c:v>-7.233079337411618E-5</c:v>
                </c:pt>
                <c:pt idx="1038">
                  <c:v>-6.5365123787307507E-5</c:v>
                </c:pt>
                <c:pt idx="1039">
                  <c:v>-5.8414231145232559E-5</c:v>
                </c:pt>
                <c:pt idx="1040">
                  <c:v>-5.1479220423470735E-5</c:v>
                </c:pt>
                <c:pt idx="1041">
                  <c:v>-4.4561196597592436E-5</c:v>
                </c:pt>
                <c:pt idx="1042">
                  <c:v>-2.392009625102557E-5</c:v>
                </c:pt>
                <c:pt idx="1043">
                  <c:v>-1.7081069764441533E-5</c:v>
                </c:pt>
                <c:pt idx="1044">
                  <c:v>-1.0264555051615525E-5</c:v>
                </c:pt>
                <c:pt idx="1045">
                  <c:v>-3.4716570881268753E-6</c:v>
                </c:pt>
                <c:pt idx="1046">
                  <c:v>3.2969222200337135E-6</c:v>
                </c:pt>
                <c:pt idx="1047">
                  <c:v>2.3467464214229184E-5</c:v>
                </c:pt>
                <c:pt idx="1048">
                  <c:v>3.015029104191918E-5</c:v>
                </c:pt>
                <c:pt idx="1049">
                  <c:v>3.6814963354283922E-5</c:v>
                </c:pt>
                <c:pt idx="1050">
                  <c:v>4.3462794593240365E-5</c:v>
                </c:pt>
                <c:pt idx="1051">
                  <c:v>5.009509820070763E-5</c:v>
                </c:pt>
                <c:pt idx="1052">
                  <c:v>6.9911977653326583E-5</c:v>
                </c:pt>
                <c:pt idx="1053">
                  <c:v>7.6495305153995895E-5</c:v>
                </c:pt>
                <c:pt idx="1054">
                  <c:v>8.3069672232760763E-5</c:v>
                </c:pt>
                <c:pt idx="1055">
                  <c:v>8.9636392331533885E-5</c:v>
                </c:pt>
                <c:pt idx="1056">
                  <c:v>9.6196778892236528E-5</c:v>
                </c:pt>
                <c:pt idx="1057">
                  <c:v>1.1585307176507164E-4</c:v>
                </c:pt>
                <c:pt idx="1058">
                  <c:v>1.2240125859265324E-4</c:v>
                </c:pt>
                <c:pt idx="1059">
                  <c:v>1.2894967909174483E-4</c:v>
                </c:pt>
                <c:pt idx="1060">
                  <c:v>1.3549964670426764E-4</c:v>
                </c:pt>
                <c:pt idx="1061">
                  <c:v>1.4205247487213439E-4</c:v>
                </c:pt>
                <c:pt idx="1062">
                  <c:v>1.617412571269826E-4</c:v>
                </c:pt>
                <c:pt idx="1063">
                  <c:v>1.6831866193540523E-4</c:v>
                </c:pt>
                <c:pt idx="1064">
                  <c:v>1.7490549450875658E-4</c:v>
                </c:pt>
                <c:pt idx="1065">
                  <c:v>1.8150306828895564E-4</c:v>
                </c:pt>
                <c:pt idx="1066">
                  <c:v>1.8811269671792165E-4</c:v>
                </c:pt>
                <c:pt idx="1067">
                  <c:v>2.0802704431657345E-4</c:v>
                </c:pt>
                <c:pt idx="1068">
                  <c:v>2.1469776562150689E-4</c:v>
                </c:pt>
                <c:pt idx="1069">
                  <c:v>2.21385547955236E-4</c:v>
                </c:pt>
                <c:pt idx="1070">
                  <c:v>2.2809014393012622E-4</c:v>
                </c:pt>
                <c:pt idx="1071">
                  <c:v>2.3481130615853616E-4</c:v>
                </c:pt>
                <c:pt idx="1072">
                  <c:v>2.5507171648853164E-4</c:v>
                </c:pt>
                <c:pt idx="1073">
                  <c:v>2.618566698546632E-4</c:v>
                </c:pt>
                <c:pt idx="1074">
                  <c:v>2.6865695253613025E-4</c:v>
                </c:pt>
                <c:pt idx="1075">
                  <c:v>2.7547231714530028E-4</c:v>
                </c:pt>
                <c:pt idx="1076">
                  <c:v>2.823025162945322E-4</c:v>
                </c:pt>
                <c:pt idx="1077">
                  <c:v>3.0287964710624515E-4</c:v>
                </c:pt>
                <c:pt idx="1078">
                  <c:v>3.0976671053936433E-4</c:v>
                </c:pt>
                <c:pt idx="1079">
                  <c:v>3.1666737157436537E-4</c:v>
                </c:pt>
                <c:pt idx="1080">
                  <c:v>3.2358138282360699E-4</c:v>
                </c:pt>
                <c:pt idx="1081">
                  <c:v>3.3050849689945461E-4</c:v>
                </c:pt>
                <c:pt idx="1082">
                  <c:v>3.5136598221026898E-4</c:v>
                </c:pt>
                <c:pt idx="1083">
                  <c:v>3.5834303371617179E-4</c:v>
                </c:pt>
                <c:pt idx="1084">
                  <c:v>3.6533195111049623E-4</c:v>
                </c:pt>
                <c:pt idx="1085">
                  <c:v>3.7233248700560773E-4</c:v>
                </c:pt>
                <c:pt idx="1086">
                  <c:v>3.7934439401386493E-4</c:v>
                </c:pt>
                <c:pt idx="1087">
                  <c:v>4.0044586784115786E-4</c:v>
                </c:pt>
                <c:pt idx="1088">
                  <c:v>4.0750078542563814E-4</c:v>
                </c:pt>
                <c:pt idx="1089">
                  <c:v>4.1456583718508443E-4</c:v>
                </c:pt>
                <c:pt idx="1090">
                  <c:v>4.216406430632714E-4</c:v>
                </c:pt>
                <c:pt idx="1091">
                  <c:v>4.287242923296477E-4</c:v>
                </c:pt>
                <c:pt idx="1092">
                  <c:v>4.5001786646649755E-4</c:v>
                </c:pt>
                <c:pt idx="1093">
                  <c:v>4.5712645529422292E-4</c:v>
                </c:pt>
                <c:pt idx="1094">
                  <c:v>4.6423867051443923E-4</c:v>
                </c:pt>
                <c:pt idx="1095">
                  <c:v>4.7135346872800198E-4</c:v>
                </c:pt>
                <c:pt idx="1096">
                  <c:v>4.7846980653577407E-4</c:v>
                </c:pt>
                <c:pt idx="1097">
                  <c:v>4.9981762353295276E-4</c:v>
                </c:pt>
                <c:pt idx="1098">
                  <c:v>5.0692968572616458E-4</c:v>
                </c:pt>
                <c:pt idx="1099">
                  <c:v>5.1403807051788708E-4</c:v>
                </c:pt>
                <c:pt idx="1100">
                  <c:v>5.2114173450898047E-4</c:v>
                </c:pt>
                <c:pt idx="1101">
                  <c:v>5.282396343003076E-4</c:v>
                </c:pt>
                <c:pt idx="1102">
                  <c:v>5.4948831448427488E-4</c:v>
                </c:pt>
                <c:pt idx="1103">
                  <c:v>5.5655272348512791E-4</c:v>
                </c:pt>
                <c:pt idx="1104">
                  <c:v>5.6360615129051584E-4</c:v>
                </c:pt>
                <c:pt idx="1105">
                  <c:v>5.7064755450129468E-4</c:v>
                </c:pt>
                <c:pt idx="1106">
                  <c:v>5.7767588971832922E-4</c:v>
                </c:pt>
                <c:pt idx="1107">
                  <c:v>5.986720534155494E-4</c:v>
                </c:pt>
                <c:pt idx="1108">
                  <c:v>6.0563768266620049E-4</c:v>
                </c:pt>
                <c:pt idx="1109">
                  <c:v>6.1258502692740423E-4</c:v>
                </c:pt>
                <c:pt idx="1110">
                  <c:v>6.1951304280002538E-4</c:v>
                </c:pt>
                <c:pt idx="1111">
                  <c:v>6.2642068688491996E-4</c:v>
                </c:pt>
                <c:pt idx="1112">
                  <c:v>6.4702490015915322E-4</c:v>
                </c:pt>
                <c:pt idx="1113">
                  <c:v>6.5385973392693248E-4</c:v>
                </c:pt>
                <c:pt idx="1114">
                  <c:v>6.6068137512221225E-4</c:v>
                </c:pt>
                <c:pt idx="1115">
                  <c:v>6.674918793985867E-4</c:v>
                </c:pt>
                <c:pt idx="1116">
                  <c:v>6.7429330240964991E-4</c:v>
                </c:pt>
                <c:pt idx="1117">
                  <c:v>6.946636403868709E-4</c:v>
                </c:pt>
                <c:pt idx="1118">
                  <c:v>7.0144929487259535E-4</c:v>
                </c:pt>
                <c:pt idx="1119">
                  <c:v>7.082361463609648E-4</c:v>
                </c:pt>
                <c:pt idx="1120">
                  <c:v>7.1502625050557365E-4</c:v>
                </c:pt>
                <c:pt idx="1121">
                  <c:v>7.2182166296000903E-4</c:v>
                </c:pt>
                <c:pt idx="1122">
                  <c:v>7.4226030671820803E-4</c:v>
                </c:pt>
                <c:pt idx="1123">
                  <c:v>7.4909750894787863E-4</c:v>
                </c:pt>
                <c:pt idx="1124">
                  <c:v>7.5595029775533463E-4</c:v>
                </c:pt>
                <c:pt idx="1125">
                  <c:v>7.6282072879417225E-4</c:v>
                </c:pt>
                <c:pt idx="1126">
                  <c:v>7.6971085771797884E-4</c:v>
                </c:pt>
                <c:pt idx="1127">
                  <c:v>7.9051998833514587E-4</c:v>
                </c:pt>
                <c:pt idx="1128">
                  <c:v>7.9750946533475484E-4</c:v>
                </c:pt>
                <c:pt idx="1129">
                  <c:v>8.045289184872963E-4</c:v>
                </c:pt>
                <c:pt idx="1130">
                  <c:v>8.1158040344635717E-4</c:v>
                </c:pt>
                <c:pt idx="1131">
                  <c:v>8.1866597586553182E-4</c:v>
                </c:pt>
                <c:pt idx="1132">
                  <c:v>8.4014777441965911E-4</c:v>
                </c:pt>
                <c:pt idx="1133">
                  <c:v>8.4738944621326571E-4</c:v>
                </c:pt>
                <c:pt idx="1134">
                  <c:v>8.5467064172330446E-4</c:v>
                </c:pt>
                <c:pt idx="1135">
                  <c:v>8.6198857459172994E-4</c:v>
                </c:pt>
                <c:pt idx="1136">
                  <c:v>8.6934045846048867E-4</c:v>
                </c:pt>
                <c:pt idx="1137">
                  <c:v>8.9157195248829979E-4</c:v>
                </c:pt>
                <c:pt idx="1138">
                  <c:v>8.9903177677791912E-4</c:v>
                </c:pt>
                <c:pt idx="1139">
                  <c:v>9.065116202776355E-4</c:v>
                </c:pt>
                <c:pt idx="1140">
                  <c:v>9.1400869662939534E-4</c:v>
                </c:pt>
                <c:pt idx="1141">
                  <c:v>9.2152021947515571E-4</c:v>
                </c:pt>
                <c:pt idx="1142">
                  <c:v>9.4411360339593641E-4</c:v>
                </c:pt>
                <c:pt idx="1143">
                  <c:v>9.5165504863720302E-4</c:v>
                </c:pt>
                <c:pt idx="1144">
                  <c:v>9.5919700858222864E-4</c:v>
                </c:pt>
                <c:pt idx="1145">
                  <c:v>9.667366968729601E-4</c:v>
                </c:pt>
                <c:pt idx="1146">
                  <c:v>9.7427132715135144E-4</c:v>
                </c:pt>
                <c:pt idx="1147">
                  <c:v>9.9681700633200772E-4</c:v>
                </c:pt>
                <c:pt idx="1148">
                  <c:v>1.0043035409805562E-3</c:v>
                </c:pt>
                <c:pt idx="1149">
                  <c:v>1.011771085826523E-3</c:v>
                </c:pt>
                <c:pt idx="1150">
                  <c:v>1.0192168545118604E-3</c:v>
                </c:pt>
                <c:pt idx="1151">
                  <c:v>1.0266380606785224E-3</c:v>
                </c:pt>
                <c:pt idx="1152">
                  <c:v>1.048726440485952E-3</c:v>
                </c:pt>
                <c:pt idx="1153">
                  <c:v>1.0560215329974169E-3</c:v>
                </c:pt>
                <c:pt idx="1154">
                  <c:v>1.0632781311999647E-3</c:v>
                </c:pt>
                <c:pt idx="1155">
                  <c:v>1.0704941415795512E-3</c:v>
                </c:pt>
                <c:pt idx="1156">
                  <c:v>1.0776702419981765E-3</c:v>
                </c:pt>
                <c:pt idx="1157">
                  <c:v>1.098972790548303E-3</c:v>
                </c:pt>
                <c:pt idx="1158">
                  <c:v>1.1060029581831136E-3</c:v>
                </c:pt>
                <c:pt idx="1159">
                  <c:v>1.1130000693869782E-3</c:v>
                </c:pt>
                <c:pt idx="1160">
                  <c:v>1.1199654948659055E-3</c:v>
                </c:pt>
                <c:pt idx="1161">
                  <c:v>1.126900605325895E-3</c:v>
                </c:pt>
                <c:pt idx="1162">
                  <c:v>1.1475377536522915E-3</c:v>
                </c:pt>
                <c:pt idx="1163">
                  <c:v>1.1543653110965804E-3</c:v>
                </c:pt>
                <c:pt idx="1164">
                  <c:v>1.1611694070519517E-3</c:v>
                </c:pt>
                <c:pt idx="1165">
                  <c:v>1.1679514122244113E-3</c:v>
                </c:pt>
                <c:pt idx="1166">
                  <c:v>1.1747126973199655E-3</c:v>
                </c:pt>
                <c:pt idx="1167">
                  <c:v>1.1948859392052174E-3</c:v>
                </c:pt>
                <c:pt idx="1168">
                  <c:v>1.2015780510531786E-3</c:v>
                </c:pt>
                <c:pt idx="1169">
                  <c:v>1.2082562963542526E-3</c:v>
                </c:pt>
                <c:pt idx="1170">
                  <c:v>1.2149220458144447E-3</c:v>
                </c:pt>
                <c:pt idx="1171">
                  <c:v>1.2414874993664506E-3</c:v>
                </c:pt>
                <c:pt idx="1172">
                  <c:v>1.2481113302122845E-3</c:v>
                </c:pt>
                <c:pt idx="1173">
                  <c:v>1.2547308894532566E-3</c:v>
                </c:pt>
                <c:pt idx="1174">
                  <c:v>1.2613475477953752E-3</c:v>
                </c:pt>
                <c:pt idx="1175">
                  <c:v>1.2878851400636626E-3</c:v>
                </c:pt>
                <c:pt idx="1176">
                  <c:v>1.2945263162845526E-3</c:v>
                </c:pt>
                <c:pt idx="1177">
                  <c:v>1.301174421554734E-3</c:v>
                </c:pt>
                <c:pt idx="1178">
                  <c:v>1.3078323955005545E-3</c:v>
                </c:pt>
                <c:pt idx="1179">
                  <c:v>1.314503177748361E-3</c:v>
                </c:pt>
                <c:pt idx="1180">
                  <c:v>1.3346217705671732E-3</c:v>
                </c:pt>
                <c:pt idx="1181">
                  <c:v>1.3413731822864011E-3</c:v>
                </c:pt>
                <c:pt idx="1182">
                  <c:v>1.3481521004393533E-3</c:v>
                </c:pt>
                <c:pt idx="1183">
                  <c:v>1.3549614646523769E-3</c:v>
                </c:pt>
                <c:pt idx="1184">
                  <c:v>1.36180421455182E-3</c:v>
                </c:pt>
                <c:pt idx="1185">
                  <c:v>1.3825621746321405E-3</c:v>
                </c:pt>
                <c:pt idx="1186">
                  <c:v>1.3895678635407341E-3</c:v>
                </c:pt>
                <c:pt idx="1187">
                  <c:v>1.3966216362674866E-3</c:v>
                </c:pt>
                <c:pt idx="1188">
                  <c:v>1.403726432438744E-3</c:v>
                </c:pt>
                <c:pt idx="1189">
                  <c:v>1.4108851916808532E-3</c:v>
                </c:pt>
                <c:pt idx="1190">
                  <c:v>1.4327146440957694E-3</c:v>
                </c:pt>
                <c:pt idx="1191">
                  <c:v>1.4401186518847627E-3</c:v>
                </c:pt>
                <c:pt idx="1192">
                  <c:v>1.4475913208763459E-3</c:v>
                </c:pt>
                <c:pt idx="1193">
                  <c:v>1.455135590696864E-3</c:v>
                </c:pt>
                <c:pt idx="1194">
                  <c:v>1.4627544009726695E-3</c:v>
                </c:pt>
                <c:pt idx="1195">
                  <c:v>1.4860874707952713E-3</c:v>
                </c:pt>
                <c:pt idx="1196">
                  <c:v>1.4940338391556921E-3</c:v>
                </c:pt>
                <c:pt idx="1197">
                  <c:v>1.502067641328528E-3</c:v>
                </c:pt>
                <c:pt idx="1198">
                  <c:v>1.5101827930670891E-3</c:v>
                </c:pt>
                <c:pt idx="1199">
                  <c:v>1.5183714053500785E-3</c:v>
                </c:pt>
                <c:pt idx="1200">
                  <c:v>1.5432991152526348E-3</c:v>
                </c:pt>
                <c:pt idx="1201">
                  <c:v>1.5517026795003606E-3</c:v>
                </c:pt>
                <c:pt idx="1202">
                  <c:v>1.5601402591860268E-3</c:v>
                </c:pt>
                <c:pt idx="1203">
                  <c:v>1.568603965288336E-3</c:v>
                </c:pt>
                <c:pt idx="1204">
                  <c:v>1.5770859087859913E-3</c:v>
                </c:pt>
                <c:pt idx="1205">
                  <c:v>1.6025622734380531E-3</c:v>
                </c:pt>
                <c:pt idx="1206">
                  <c:v>1.6110382763041163E-3</c:v>
                </c:pt>
                <c:pt idx="1207">
                  <c:v>1.6194930714590377E-3</c:v>
                </c:pt>
                <c:pt idx="1208">
                  <c:v>1.6279187698815204E-3</c:v>
                </c:pt>
                <c:pt idx="1209">
                  <c:v>1.6363074825502665E-3</c:v>
                </c:pt>
                <c:pt idx="1210">
                  <c:v>1.6611728158211112E-3</c:v>
                </c:pt>
                <c:pt idx="1211">
                  <c:v>1.669334695261937E-3</c:v>
                </c:pt>
                <c:pt idx="1212">
                  <c:v>1.6774201438425362E-3</c:v>
                </c:pt>
                <c:pt idx="1213">
                  <c:v>1.6854212725416168E-3</c:v>
                </c:pt>
                <c:pt idx="1214">
                  <c:v>1.693330192337879E-3</c:v>
                </c:pt>
                <c:pt idx="1215">
                  <c:v>1.716424808096779E-3</c:v>
                </c:pt>
                <c:pt idx="1216">
                  <c:v>1.7238860020687922E-3</c:v>
                </c:pt>
                <c:pt idx="1217">
                  <c:v>1.7312180182521533E-3</c:v>
                </c:pt>
                <c:pt idx="1218">
                  <c:v>1.7384253487288533E-3</c:v>
                </c:pt>
                <c:pt idx="1219">
                  <c:v>1.7455149618015229E-3</c:v>
                </c:pt>
                <c:pt idx="1220">
                  <c:v>1.7661471796217841E-3</c:v>
                </c:pt>
                <c:pt idx="1221">
                  <c:v>1.7728356061047531E-3</c:v>
                </c:pt>
                <c:pt idx="1222">
                  <c:v>1.7794411566968969E-3</c:v>
                </c:pt>
                <c:pt idx="1223">
                  <c:v>1.7859707997008548E-3</c:v>
                </c:pt>
                <c:pt idx="1224">
                  <c:v>1.7924315034192652E-3</c:v>
                </c:pt>
                <c:pt idx="1225">
                  <c:v>1.8114696618876298E-3</c:v>
                </c:pt>
                <c:pt idx="1226">
                  <c:v>1.8177242914902609E-3</c:v>
                </c:pt>
                <c:pt idx="1227">
                  <c:v>1.8239448233205466E-3</c:v>
                </c:pt>
                <c:pt idx="1228">
                  <c:v>1.8301382256811268E-3</c:v>
                </c:pt>
                <c:pt idx="1229">
                  <c:v>1.8363114668746418E-3</c:v>
                </c:pt>
                <c:pt idx="1230">
                  <c:v>1.854779906479194E-3</c:v>
                </c:pt>
                <c:pt idx="1231">
                  <c:v>1.8609421860308485E-3</c:v>
                </c:pt>
                <c:pt idx="1232">
                  <c:v>1.8671191459286379E-3</c:v>
                </c:pt>
                <c:pt idx="1233">
                  <c:v>1.8733177544752024E-3</c:v>
                </c:pt>
                <c:pt idx="1234">
                  <c:v>1.8795449799731817E-3</c:v>
                </c:pt>
                <c:pt idx="1235">
                  <c:v>1.8984680412020114E-3</c:v>
                </c:pt>
                <c:pt idx="1236">
                  <c:v>1.9048794175320495E-3</c:v>
                </c:pt>
                <c:pt idx="1237">
                  <c:v>1.9113542523267048E-3</c:v>
                </c:pt>
                <c:pt idx="1238">
                  <c:v>1.9178995138886155E-3</c:v>
                </c:pt>
                <c:pt idx="1239">
                  <c:v>1.9519261137993997E-3</c:v>
                </c:pt>
                <c:pt idx="1240">
                  <c:v>1.9590380947657844E-3</c:v>
                </c:pt>
                <c:pt idx="1241">
                  <c:v>1.9662562272909113E-3</c:v>
                </c:pt>
                <c:pt idx="1242">
                  <c:v>1.9735744263504346E-3</c:v>
                </c:pt>
                <c:pt idx="1243">
                  <c:v>1.9960685724918575E-3</c:v>
                </c:pt>
                <c:pt idx="1244">
                  <c:v>2.0037261874454471E-3</c:v>
                </c:pt>
                <c:pt idx="1245">
                  <c:v>2.0114534438116756E-3</c:v>
                </c:pt>
                <c:pt idx="1246">
                  <c:v>2.0192442565661922E-3</c:v>
                </c:pt>
                <c:pt idx="1247">
                  <c:v>2.0270925406846462E-3</c:v>
                </c:pt>
                <c:pt idx="1248">
                  <c:v>2.0509213709801223E-3</c:v>
                </c:pt>
                <c:pt idx="1249">
                  <c:v>2.0589386903108178E-3</c:v>
                </c:pt>
                <c:pt idx="1250">
                  <c:v>2.0669830558836962E-3</c:v>
                </c:pt>
                <c:pt idx="1251">
                  <c:v>2.075048382674406E-3</c:v>
                </c:pt>
                <c:pt idx="1252">
                  <c:v>2.0831285856585972E-3</c:v>
                </c:pt>
                <c:pt idx="1253">
                  <c:v>2.1073976015285475E-3</c:v>
                </c:pt>
                <c:pt idx="1254">
                  <c:v>2.1154764590431549E-3</c:v>
                </c:pt>
                <c:pt idx="1255">
                  <c:v>2.1235397676294884E-3</c:v>
                </c:pt>
                <c:pt idx="1256">
                  <c:v>2.1315814422631983E-3</c:v>
                </c:pt>
                <c:pt idx="1257">
                  <c:v>2.1395953979199329E-3</c:v>
                </c:pt>
                <c:pt idx="1258">
                  <c:v>2.1634101007847778E-3</c:v>
                </c:pt>
                <c:pt idx="1259">
                  <c:v>2.1712537730565239E-3</c:v>
                </c:pt>
                <c:pt idx="1260">
                  <c:v>2.179047957828062E-3</c:v>
                </c:pt>
                <c:pt idx="1261">
                  <c:v>2.1867952266735715E-3</c:v>
                </c:pt>
                <c:pt idx="1262">
                  <c:v>2.194498151167222E-3</c:v>
                </c:pt>
                <c:pt idx="1263">
                  <c:v>2.2173665742787566E-3</c:v>
                </c:pt>
                <c:pt idx="1264">
                  <c:v>2.2249178371067072E-3</c:v>
                </c:pt>
                <c:pt idx="1265">
                  <c:v>2.2324376134536662E-3</c:v>
                </c:pt>
                <c:pt idx="1266">
                  <c:v>2.239928474893807E-3</c:v>
                </c:pt>
                <c:pt idx="1267">
                  <c:v>2.2473929930013009E-3</c:v>
                </c:pt>
                <c:pt idx="1268">
                  <c:v>2.2696542030696551E-3</c:v>
                </c:pt>
                <c:pt idx="1269">
                  <c:v>2.2770390635883072E-3</c:v>
                </c:pt>
                <c:pt idx="1270">
                  <c:v>2.2844104386451802E-3</c:v>
                </c:pt>
                <c:pt idx="1271">
                  <c:v>2.2917708998144498E-3</c:v>
                </c:pt>
                <c:pt idx="1272">
                  <c:v>2.2991230186702881E-3</c:v>
                </c:pt>
                <c:pt idx="1273">
                  <c:v>2.321155037098949E-3</c:v>
                </c:pt>
                <c:pt idx="1274">
                  <c:v>2.3284995024427978E-3</c:v>
                </c:pt>
                <c:pt idx="1275">
                  <c:v>2.335848483344082E-3</c:v>
                </c:pt>
                <c:pt idx="1276">
                  <c:v>2.343204551376976E-3</c:v>
                </c:pt>
                <c:pt idx="1277">
                  <c:v>2.3505702781156526E-3</c:v>
                </c:pt>
                <c:pt idx="1278">
                  <c:v>2.3727511263081143E-3</c:v>
                </c:pt>
                <c:pt idx="1279">
                  <c:v>2.3801812036116543E-3</c:v>
                </c:pt>
                <c:pt idx="1280">
                  <c:v>2.3876337974918461E-3</c:v>
                </c:pt>
                <c:pt idx="1281">
                  <c:v>2.3951108231567222E-3</c:v>
                </c:pt>
                <c:pt idx="1282">
                  <c:v>2.4026115703497625E-3</c:v>
                </c:pt>
                <c:pt idx="1283">
                  <c:v>2.4252424748712775E-3</c:v>
                </c:pt>
                <c:pt idx="1284">
                  <c:v>2.4328244419503831E-3</c:v>
                </c:pt>
                <c:pt idx="1285">
                  <c:v>2.4404232974443566E-3</c:v>
                </c:pt>
                <c:pt idx="1286">
                  <c:v>2.4480376747305376E-3</c:v>
                </c:pt>
                <c:pt idx="1287">
                  <c:v>2.4556662071862712E-3</c:v>
                </c:pt>
                <c:pt idx="1288">
                  <c:v>2.4786230693441833E-3</c:v>
                </c:pt>
                <c:pt idx="1289">
                  <c:v>2.486294556251527E-3</c:v>
                </c:pt>
                <c:pt idx="1290">
                  <c:v>2.4939733652151251E-3</c:v>
                </c:pt>
                <c:pt idx="1291">
                  <c:v>2.5016581296123186E-3</c:v>
                </c:pt>
                <c:pt idx="1292">
                  <c:v>2.5093474828204497E-3</c:v>
                </c:pt>
                <c:pt idx="1293">
                  <c:v>2.5324294090838654E-3</c:v>
                </c:pt>
                <c:pt idx="1294">
                  <c:v>2.5401234513091507E-3</c:v>
                </c:pt>
                <c:pt idx="1295">
                  <c:v>2.5478152492320765E-3</c:v>
                </c:pt>
                <c:pt idx="1296">
                  <c:v>2.5555034362299838E-3</c:v>
                </c:pt>
                <c:pt idx="1297">
                  <c:v>2.5631866456802144E-3</c:v>
                </c:pt>
                <c:pt idx="1298">
                  <c:v>2.586192742518248E-3</c:v>
                </c:pt>
                <c:pt idx="1299">
                  <c:v>2.5938423755511772E-3</c:v>
                </c:pt>
                <c:pt idx="1300">
                  <c:v>2.6014801979231342E-3</c:v>
                </c:pt>
                <c:pt idx="1301">
                  <c:v>2.6091048430114589E-3</c:v>
                </c:pt>
                <c:pt idx="1302">
                  <c:v>2.6167149441934925E-3</c:v>
                </c:pt>
                <c:pt idx="1303">
                  <c:v>2.6394557097885029E-3</c:v>
                </c:pt>
                <c:pt idx="1304">
                  <c:v>2.6470095799850839E-3</c:v>
                </c:pt>
                <c:pt idx="1305">
                  <c:v>2.6545521991294067E-3</c:v>
                </c:pt>
                <c:pt idx="1306">
                  <c:v>2.6620847320906506E-3</c:v>
                </c:pt>
                <c:pt idx="1307">
                  <c:v>2.6696083437379873E-3</c:v>
                </c:pt>
                <c:pt idx="1308">
                  <c:v>2.6921372994882886E-3</c:v>
                </c:pt>
                <c:pt idx="1309">
                  <c:v>2.6996368745717328E-3</c:v>
                </c:pt>
                <c:pt idx="1310">
                  <c:v>2.7071333526871352E-3</c:v>
                </c:pt>
                <c:pt idx="1311">
                  <c:v>2.7146278987036777E-3</c:v>
                </c:pt>
                <c:pt idx="1312">
                  <c:v>2.7221216774905243E-3</c:v>
                </c:pt>
                <c:pt idx="1313">
                  <c:v>2.7446100591646621E-3</c:v>
                </c:pt>
                <c:pt idx="1314">
                  <c:v>2.7521124177244836E-3</c:v>
                </c:pt>
                <c:pt idx="1315">
                  <c:v>2.7596198334004841E-3</c:v>
                </c:pt>
                <c:pt idx="1316">
                  <c:v>2.7671334710618356E-3</c:v>
                </c:pt>
                <c:pt idx="1317">
                  <c:v>2.7746544955777096E-3</c:v>
                </c:pt>
                <c:pt idx="1318">
                  <c:v>2.7972735389442294E-3</c:v>
                </c:pt>
                <c:pt idx="1319">
                  <c:v>2.8048357595699454E-3</c:v>
                </c:pt>
                <c:pt idx="1320">
                  <c:v>2.8124111913960552E-3</c:v>
                </c:pt>
                <c:pt idx="1321">
                  <c:v>2.8200009992917336E-3</c:v>
                </c:pt>
                <c:pt idx="1322">
                  <c:v>2.8276063481261532E-3</c:v>
                </c:pt>
                <c:pt idx="1323">
                  <c:v>2.8505272889536005E-3</c:v>
                </c:pt>
                <c:pt idx="1324">
                  <c:v>2.8582059599280042E-3</c:v>
                </c:pt>
                <c:pt idx="1325">
                  <c:v>2.8659030543467098E-3</c:v>
                </c:pt>
                <c:pt idx="1326">
                  <c:v>2.8736167952385775E-3</c:v>
                </c:pt>
                <c:pt idx="1327">
                  <c:v>2.8813454056324708E-3</c:v>
                </c:pt>
                <c:pt idx="1328">
                  <c:v>2.9046026841149267E-3</c:v>
                </c:pt>
                <c:pt idx="1329">
                  <c:v>2.9123730028055446E-3</c:v>
                </c:pt>
                <c:pt idx="1330">
                  <c:v>2.9201493061425062E-3</c:v>
                </c:pt>
                <c:pt idx="1331">
                  <c:v>2.9279298171546639E-3</c:v>
                </c:pt>
                <c:pt idx="1332">
                  <c:v>2.9357127588708889E-3</c:v>
                </c:pt>
                <c:pt idx="1333">
                  <c:v>2.9590583985325747E-3</c:v>
                </c:pt>
                <c:pt idx="1334">
                  <c:v>2.9668332933536828E-3</c:v>
                </c:pt>
                <c:pt idx="1335">
                  <c:v>2.974601734023169E-3</c:v>
                </c:pt>
                <c:pt idx="1336">
                  <c:v>2.9823619435698921E-3</c:v>
                </c:pt>
                <c:pt idx="1337">
                  <c:v>2.9901121450227248E-3</c:v>
                </c:pt>
                <c:pt idx="1338">
                  <c:v>3.0132849311064573E-3</c:v>
                </c:pt>
                <c:pt idx="1339">
                  <c:v>3.0209773304723268E-3</c:v>
                </c:pt>
                <c:pt idx="1340">
                  <c:v>3.0286508368886139E-3</c:v>
                </c:pt>
                <c:pt idx="1341">
                  <c:v>3.0363036733841793E-3</c:v>
                </c:pt>
                <c:pt idx="1342">
                  <c:v>3.0439340629878882E-3</c:v>
                </c:pt>
                <c:pt idx="1343">
                  <c:v>3.0666727807364905E-3</c:v>
                </c:pt>
                <c:pt idx="1344">
                  <c:v>3.0741956130613951E-3</c:v>
                </c:pt>
                <c:pt idx="1345">
                  <c:v>3.0816871136387551E-3</c:v>
                </c:pt>
                <c:pt idx="1346">
                  <c:v>3.089145505497434E-3</c:v>
                </c:pt>
                <c:pt idx="1347">
                  <c:v>3.0965696647631364E-3</c:v>
                </c:pt>
                <c:pt idx="1348">
                  <c:v>3.1186542445205039E-3</c:v>
                </c:pt>
                <c:pt idx="1349">
                  <c:v>3.1259602771261073E-3</c:v>
                </c:pt>
                <c:pt idx="1350">
                  <c:v>3.133242132091475E-3</c:v>
                </c:pt>
                <c:pt idx="1351">
                  <c:v>3.1405019510265296E-3</c:v>
                </c:pt>
                <c:pt idx="1352">
                  <c:v>3.1477418755411885E-3</c:v>
                </c:pt>
                <c:pt idx="1353">
                  <c:v>3.1693636986619539E-3</c:v>
                </c:pt>
                <c:pt idx="1354">
                  <c:v>3.1765454615941976E-3</c:v>
                </c:pt>
                <c:pt idx="1355">
                  <c:v>3.1837180381556283E-3</c:v>
                </c:pt>
                <c:pt idx="1356">
                  <c:v>3.1908835699561706E-3</c:v>
                </c:pt>
                <c:pt idx="1357">
                  <c:v>3.1980441986057331E-3</c:v>
                </c:pt>
                <c:pt idx="1358">
                  <c:v>3.2195180817477481E-3</c:v>
                </c:pt>
                <c:pt idx="1359">
                  <c:v>3.2266805138925847E-3</c:v>
                </c:pt>
                <c:pt idx="1360">
                  <c:v>3.2338487509360331E-3</c:v>
                </c:pt>
                <c:pt idx="1361">
                  <c:v>3.241024934488009E-3</c:v>
                </c:pt>
                <c:pt idx="1362">
                  <c:v>3.2482112061584293E-3</c:v>
                </c:pt>
                <c:pt idx="1363">
                  <c:v>3.2698519659795466E-3</c:v>
                </c:pt>
                <c:pt idx="1364">
                  <c:v>3.2771000062229274E-3</c:v>
                </c:pt>
                <c:pt idx="1365">
                  <c:v>3.2843688426343405E-3</c:v>
                </c:pt>
                <c:pt idx="1366">
                  <c:v>3.2916606168237046E-3</c:v>
                </c:pt>
                <c:pt idx="1367">
                  <c:v>3.2989774704009355E-3</c:v>
                </c:pt>
                <c:pt idx="1368">
                  <c:v>3.3210999235590093E-3</c:v>
                </c:pt>
                <c:pt idx="1369">
                  <c:v>3.3285379882949202E-3</c:v>
                </c:pt>
                <c:pt idx="1370">
                  <c:v>3.336008705516516E-3</c:v>
                </c:pt>
                <c:pt idx="1371">
                  <c:v>3.3435110818819378E-3</c:v>
                </c:pt>
                <c:pt idx="1372">
                  <c:v>3.3510441240493312E-3</c:v>
                </c:pt>
                <c:pt idx="1373">
                  <c:v>3.3738173119447867E-3</c:v>
                </c:pt>
                <c:pt idx="1374">
                  <c:v>3.3814630839015098E-3</c:v>
                </c:pt>
                <c:pt idx="1375">
                  <c:v>3.3891345549509327E-3</c:v>
                </c:pt>
                <c:pt idx="1376">
                  <c:v>3.3968307317511913E-3</c:v>
                </c:pt>
                <c:pt idx="1377">
                  <c:v>3.404550620960436E-3</c:v>
                </c:pt>
                <c:pt idx="1378">
                  <c:v>3.4278426296235256E-3</c:v>
                </c:pt>
                <c:pt idx="1379">
                  <c:v>3.4356474350501552E-3</c:v>
                </c:pt>
                <c:pt idx="1380">
                  <c:v>3.443470986176493E-3</c:v>
                </c:pt>
                <c:pt idx="1381">
                  <c:v>3.4513122896606815E-3</c:v>
                </c:pt>
                <c:pt idx="1382">
                  <c:v>3.4591703521608726E-3</c:v>
                </c:pt>
                <c:pt idx="1383">
                  <c:v>3.4828351603388677E-3</c:v>
                </c:pt>
                <c:pt idx="1384">
                  <c:v>3.4907503254844939E-3</c:v>
                </c:pt>
                <c:pt idx="1385">
                  <c:v>3.498677282936841E-3</c:v>
                </c:pt>
                <c:pt idx="1386">
                  <c:v>3.5066150393540533E-3</c:v>
                </c:pt>
                <c:pt idx="1387">
                  <c:v>3.5145626013942774E-3</c:v>
                </c:pt>
                <c:pt idx="1388">
                  <c:v>3.5384541878344567E-3</c:v>
                </c:pt>
                <c:pt idx="1389">
                  <c:v>3.5464310389481703E-3</c:v>
                </c:pt>
                <c:pt idx="1390">
                  <c:v>3.5544127547133676E-3</c:v>
                </c:pt>
                <c:pt idx="1391">
                  <c:v>3.5623984704769417E-3</c:v>
                </c:pt>
                <c:pt idx="1392">
                  <c:v>3.5703873473235362E-3</c:v>
                </c:pt>
                <c:pt idx="1393">
                  <c:v>3.5943645552078589E-3</c:v>
                </c:pt>
                <c:pt idx="1394">
                  <c:v>3.6023576872329568E-3</c:v>
                </c:pt>
                <c:pt idx="1395">
                  <c:v>3.6103497857642879E-3</c:v>
                </c:pt>
                <c:pt idx="1396">
                  <c:v>3.6183400118864934E-3</c:v>
                </c:pt>
                <c:pt idx="1397">
                  <c:v>3.6263275266842174E-3</c:v>
                </c:pt>
                <c:pt idx="1398">
                  <c:v>3.6502654139769228E-3</c:v>
                </c:pt>
                <c:pt idx="1399">
                  <c:v>3.6582336943231449E-3</c:v>
                </c:pt>
                <c:pt idx="1400">
                  <c:v>3.6661950687680951E-3</c:v>
                </c:pt>
                <c:pt idx="1401">
                  <c:v>3.6741486983964209E-3</c:v>
                </c:pt>
                <c:pt idx="1402">
                  <c:v>3.6820937442927637E-3</c:v>
                </c:pt>
                <c:pt idx="1403">
                  <c:v>3.7058689904363143E-3</c:v>
                </c:pt>
                <c:pt idx="1404">
                  <c:v>3.7137713122511479E-3</c:v>
                </c:pt>
                <c:pt idx="1405">
                  <c:v>3.7216608557572111E-3</c:v>
                </c:pt>
                <c:pt idx="1406">
                  <c:v>3.7295367820391456E-3</c:v>
                </c:pt>
                <c:pt idx="1407">
                  <c:v>3.7373982521815927E-3</c:v>
                </c:pt>
                <c:pt idx="1408">
                  <c:v>3.7608875366184546E-3</c:v>
                </c:pt>
                <c:pt idx="1409">
                  <c:v>3.7686827930493881E-3</c:v>
                </c:pt>
                <c:pt idx="1410">
                  <c:v>3.7764593987640498E-3</c:v>
                </c:pt>
                <c:pt idx="1411">
                  <c:v>3.7842165148470816E-3</c:v>
                </c:pt>
                <c:pt idx="1412">
                  <c:v>3.7919534785547677E-3</c:v>
                </c:pt>
                <c:pt idx="1413">
                  <c:v>3.8150445795408112E-3</c:v>
                </c:pt>
                <c:pt idx="1414">
                  <c:v>3.8227024102054593E-3</c:v>
                </c:pt>
                <c:pt idx="1415">
                  <c:v>3.8303410028955763E-3</c:v>
                </c:pt>
                <c:pt idx="1416">
                  <c:v>3.8379605757256517E-3</c:v>
                </c:pt>
                <c:pt idx="1417">
                  <c:v>3.8455613468101769E-3</c:v>
                </c:pt>
                <c:pt idx="1418">
                  <c:v>3.8682530307353664E-3</c:v>
                </c:pt>
                <c:pt idx="1419">
                  <c:v>3.8757807759826012E-3</c:v>
                </c:pt>
                <c:pt idx="1420">
                  <c:v>3.8832908100567432E-3</c:v>
                </c:pt>
                <c:pt idx="1421">
                  <c:v>3.8907833510722829E-3</c:v>
                </c:pt>
                <c:pt idx="1422">
                  <c:v>3.8982586171437089E-3</c:v>
                </c:pt>
                <c:pt idx="1423">
                  <c:v>3.9205829468382239E-3</c:v>
                </c:pt>
                <c:pt idx="1424">
                  <c:v>3.9279912942781119E-3</c:v>
                </c:pt>
                <c:pt idx="1425">
                  <c:v>3.935383457346342E-3</c:v>
                </c:pt>
                <c:pt idx="1426">
                  <c:v>3.9427596541574024E-3</c:v>
                </c:pt>
                <c:pt idx="1427">
                  <c:v>3.950120102825791E-3</c:v>
                </c:pt>
                <c:pt idx="1428">
                  <c:v>3.9721091411198169E-3</c:v>
                </c:pt>
                <c:pt idx="1429">
                  <c:v>3.9794087783624156E-3</c:v>
                </c:pt>
                <c:pt idx="1430">
                  <c:v>3.986693758034795E-3</c:v>
                </c:pt>
                <c:pt idx="1431">
                  <c:v>3.9939642982514444E-3</c:v>
                </c:pt>
                <c:pt idx="1432">
                  <c:v>4.0012206171268555E-3</c:v>
                </c:pt>
                <c:pt idx="1433">
                  <c:v>4.0229064268505728E-3</c:v>
                </c:pt>
                <c:pt idx="1434">
                  <c:v>4.030108521360265E-3</c:v>
                </c:pt>
                <c:pt idx="1435">
                  <c:v>4.0373003642271031E-3</c:v>
                </c:pt>
                <c:pt idx="1436">
                  <c:v>4.0444850526915052E-3</c:v>
                </c:pt>
                <c:pt idx="1437">
                  <c:v>4.0516656839938913E-3</c:v>
                </c:pt>
                <c:pt idx="1438">
                  <c:v>4.0732142073331397E-3</c:v>
                </c:pt>
                <c:pt idx="1439">
                  <c:v>4.0804095823916515E-3</c:v>
                </c:pt>
                <c:pt idx="1440">
                  <c:v>4.0876163864902414E-3</c:v>
                </c:pt>
                <c:pt idx="1441">
                  <c:v>4.0948377168693291E-3</c:v>
                </c:pt>
                <c:pt idx="1442">
                  <c:v>4.1020766707693347E-3</c:v>
                </c:pt>
                <c:pt idx="1443">
                  <c:v>4.1239302459990445E-3</c:v>
                </c:pt>
                <c:pt idx="1444">
                  <c:v>4.1312706663869095E-3</c:v>
                </c:pt>
                <c:pt idx="1445">
                  <c:v>4.1386441964977845E-3</c:v>
                </c:pt>
                <c:pt idx="1446">
                  <c:v>4.1460539335720931E-3</c:v>
                </c:pt>
                <c:pt idx="1447">
                  <c:v>4.1535029748502534E-3</c:v>
                </c:pt>
                <c:pt idx="1448">
                  <c:v>4.1761168963120269E-3</c:v>
                </c:pt>
                <c:pt idx="1449">
                  <c:v>4.183754126809781E-3</c:v>
                </c:pt>
                <c:pt idx="1450">
                  <c:v>4.19144614771348E-3</c:v>
                </c:pt>
                <c:pt idx="1451">
                  <c:v>4.1991960562635447E-3</c:v>
                </c:pt>
                <c:pt idx="1452">
                  <c:v>4.2070069497003905E-3</c:v>
                </c:pt>
                <c:pt idx="1453">
                  <c:v>4.2308365117358342E-3</c:v>
                </c:pt>
                <c:pt idx="1454">
                  <c:v>4.2389223171240102E-3</c:v>
                </c:pt>
                <c:pt idx="1455">
                  <c:v>4.2470845936010667E-3</c:v>
                </c:pt>
                <c:pt idx="1456">
                  <c:v>4.2553248327180633E-3</c:v>
                </c:pt>
                <c:pt idx="1457">
                  <c:v>4.2636381032686238E-3</c:v>
                </c:pt>
                <c:pt idx="1458">
                  <c:v>4.2889507345643509E-3</c:v>
                </c:pt>
                <c:pt idx="1459">
                  <c:v>4.2974907618918293E-3</c:v>
                </c:pt>
                <c:pt idx="1460">
                  <c:v>4.3060711361742028E-3</c:v>
                </c:pt>
                <c:pt idx="1461">
                  <c:v>4.3146853205157367E-3</c:v>
                </c:pt>
                <c:pt idx="1462">
                  <c:v>4.3233267780206962E-3</c:v>
                </c:pt>
                <c:pt idx="1463">
                  <c:v>4.3493494205587907E-3</c:v>
                </c:pt>
                <c:pt idx="1464">
                  <c:v>4.3580346017601116E-3</c:v>
                </c:pt>
                <c:pt idx="1465">
                  <c:v>4.366714371646192E-3</c:v>
                </c:pt>
                <c:pt idx="1466">
                  <c:v>4.3753821933212936E-3</c:v>
                </c:pt>
                <c:pt idx="1467">
                  <c:v>4.3840315298896817E-3</c:v>
                </c:pt>
                <c:pt idx="1468">
                  <c:v>4.4098032599972341E-3</c:v>
                </c:pt>
                <c:pt idx="1469">
                  <c:v>4.4183132871814341E-3</c:v>
                </c:pt>
                <c:pt idx="1470">
                  <c:v>4.4267721447802501E-3</c:v>
                </c:pt>
                <c:pt idx="1471">
                  <c:v>4.4351732958979474E-3</c:v>
                </c:pt>
                <c:pt idx="1472">
                  <c:v>4.4435102036387963E-3</c:v>
                </c:pt>
                <c:pt idx="1473">
                  <c:v>4.4680700976428983E-3</c:v>
                </c:pt>
                <c:pt idx="1474">
                  <c:v>4.4760846629190035E-3</c:v>
                </c:pt>
                <c:pt idx="1475">
                  <c:v>4.4840023003395882E-3</c:v>
                </c:pt>
                <c:pt idx="1476">
                  <c:v>4.491818516958684E-3</c:v>
                </c:pt>
                <c:pt idx="1477">
                  <c:v>4.4995369956294115E-3</c:v>
                </c:pt>
                <c:pt idx="1478">
                  <c:v>4.5221632719801607E-3</c:v>
                </c:pt>
                <c:pt idx="1479">
                  <c:v>4.5295480668862097E-3</c:v>
                </c:pt>
                <c:pt idx="1480">
                  <c:v>4.536863757858293E-3</c:v>
                </c:pt>
                <c:pt idx="1481">
                  <c:v>4.544116071699294E-3</c:v>
                </c:pt>
                <c:pt idx="1482">
                  <c:v>4.5513107352120937E-3</c:v>
                </c:pt>
                <c:pt idx="1483">
                  <c:v>4.5726060918101002E-3</c:v>
                </c:pt>
                <c:pt idx="1484">
                  <c:v>4.5796274220389127E-3</c:v>
                </c:pt>
                <c:pt idx="1485">
                  <c:v>4.5866197359539325E-3</c:v>
                </c:pt>
                <c:pt idx="1486">
                  <c:v>4.5935887603580422E-3</c:v>
                </c:pt>
                <c:pt idx="1487">
                  <c:v>4.6005402220541218E-3</c:v>
                </c:pt>
                <c:pt idx="1488">
                  <c:v>4.6213464989230037E-3</c:v>
                </c:pt>
                <c:pt idx="1489">
                  <c:v>4.6282849778157857E-3</c:v>
                </c:pt>
                <c:pt idx="1490">
                  <c:v>4.6352345280149462E-3</c:v>
                </c:pt>
                <c:pt idx="1491">
                  <c:v>4.6422008763233697E-3</c:v>
                </c:pt>
                <c:pt idx="1492">
                  <c:v>4.6491897495439354E-3</c:v>
                </c:pt>
                <c:pt idx="1493">
                  <c:v>4.6703487867073099E-3</c:v>
                </c:pt>
                <c:pt idx="1494">
                  <c:v>4.6774850276052674E-3</c:v>
                </c:pt>
                <c:pt idx="1495">
                  <c:v>4.6846724274297721E-3</c:v>
                </c:pt>
                <c:pt idx="1496">
                  <c:v>4.6919167129837146E-3</c:v>
                </c:pt>
                <c:pt idx="1497">
                  <c:v>4.699223611069973E-3</c:v>
                </c:pt>
                <c:pt idx="1498">
                  <c:v>4.7215772485514548E-3</c:v>
                </c:pt>
                <c:pt idx="1499">
                  <c:v>4.7291902475161416E-3</c:v>
                </c:pt>
              </c:numCache>
            </c:numRef>
          </c:val>
          <c:smooth val="0"/>
        </c:ser>
        <c:ser>
          <c:idx val="2"/>
          <c:order val="2"/>
          <c:tx>
            <c:strRef>
              <c:f>'EUR Forwards'!$L$9</c:f>
              <c:strCache>
                <c:ptCount val="1"/>
                <c:pt idx="0">
                  <c:v>EUR3ML</c:v>
                </c:pt>
              </c:strCache>
            </c:strRef>
          </c:tx>
          <c:marker>
            <c:symbol val="none"/>
          </c:marker>
          <c:val>
            <c:numRef>
              <c:f>'EUR Forwards'!$M$20:$M$1519</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'EUR Forwards'!$P$9</c:f>
              <c:strCache>
                <c:ptCount val="1"/>
                <c:pt idx="0">
                  <c:v>EUR6ML</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Forwards'!$Q$20:$Q$1519</c:f>
              <c:numCache>
                <c:formatCode>0.00000%</c:formatCode>
                <c:ptCount val="1500"/>
                <c:pt idx="0">
                  <c:v>-1.5314612169087761E-3</c:v>
                </c:pt>
                <c:pt idx="1">
                  <c:v>-1.530730652701961E-3</c:v>
                </c:pt>
                <c:pt idx="2">
                  <c:v>-1.52999999790283E-3</c:v>
                </c:pt>
                <c:pt idx="3">
                  <c:v>-1.5292693431036991E-3</c:v>
                </c:pt>
                <c:pt idx="4">
                  <c:v>-1.5270782846294674E-3</c:v>
                </c:pt>
                <c:pt idx="5">
                  <c:v>-1.5263485357534974E-3</c:v>
                </c:pt>
                <c:pt idx="6">
                  <c:v>-1.5256192398391084E-3</c:v>
                </c:pt>
                <c:pt idx="7">
                  <c:v>-1.524890487478616E-3</c:v>
                </c:pt>
                <c:pt idx="8">
                  <c:v>-1.5241623692643365E-3</c:v>
                </c:pt>
                <c:pt idx="9">
                  <c:v>-1.5219827254219359E-3</c:v>
                </c:pt>
                <c:pt idx="10">
                  <c:v>-1.521258049715669E-3</c:v>
                </c:pt>
                <c:pt idx="11">
                  <c:v>-1.5205344611171957E-3</c:v>
                </c:pt>
                <c:pt idx="12">
                  <c:v>-1.5198120502188319E-3</c:v>
                </c:pt>
                <c:pt idx="13">
                  <c:v>-1.5190909076128938E-3</c:v>
                </c:pt>
                <c:pt idx="14">
                  <c:v>-1.5169359954727945E-3</c:v>
                </c:pt>
                <c:pt idx="15">
                  <c:v>-1.5162208319597207E-3</c:v>
                </c:pt>
                <c:pt idx="16">
                  <c:v>-1.515507389700653E-3</c:v>
                </c:pt>
                <c:pt idx="17">
                  <c:v>-1.5147957592879075E-3</c:v>
                </c:pt>
                <c:pt idx="18">
                  <c:v>-1.5140860313138009E-3</c:v>
                </c:pt>
                <c:pt idx="19">
                  <c:v>-1.5119691679464735E-3</c:v>
                </c:pt>
                <c:pt idx="20">
                  <c:v>-1.5112679556500822E-3</c:v>
                </c:pt>
                <c:pt idx="21">
                  <c:v>-1.51056909875391E-3</c:v>
                </c:pt>
                <c:pt idx="22">
                  <c:v>-1.5098726878502737E-3</c:v>
                </c:pt>
                <c:pt idx="23">
                  <c:v>-1.5091788135314884E-3</c:v>
                </c:pt>
                <c:pt idx="24">
                  <c:v>-1.5071133160074019E-3</c:v>
                </c:pt>
                <c:pt idx="25">
                  <c:v>-1.5064304939511836E-3</c:v>
                </c:pt>
                <c:pt idx="26">
                  <c:v>-1.5057506614413975E-3</c:v>
                </c:pt>
                <c:pt idx="27">
                  <c:v>-1.5050739090703591E-3</c:v>
                </c:pt>
                <c:pt idx="28">
                  <c:v>-1.5044003274303855E-3</c:v>
                </c:pt>
                <c:pt idx="29">
                  <c:v>-1.5023995128200108E-3</c:v>
                </c:pt>
                <c:pt idx="30">
                  <c:v>-1.5017395200274553E-3</c:v>
                </c:pt>
                <c:pt idx="31">
                  <c:v>-1.5010831509275444E-3</c:v>
                </c:pt>
                <c:pt idx="32">
                  <c:v>-1.5004304961125949E-3</c:v>
                </c:pt>
                <c:pt idx="33">
                  <c:v>-1.4997816461749223E-3</c:v>
                </c:pt>
                <c:pt idx="34">
                  <c:v>-1.4978588315487291E-3</c:v>
                </c:pt>
                <c:pt idx="35">
                  <c:v>-1.4972261070433264E-3</c:v>
                </c:pt>
                <c:pt idx="36">
                  <c:v>-1.4965976403767815E-3</c:v>
                </c:pt>
                <c:pt idx="37">
                  <c:v>-1.4959735221414105E-3</c:v>
                </c:pt>
                <c:pt idx="38">
                  <c:v>-1.4953538429295296E-3</c:v>
                </c:pt>
                <c:pt idx="39">
                  <c:v>-1.4935223453579876E-3</c:v>
                </c:pt>
                <c:pt idx="40">
                  <c:v>-1.4929213281632278E-3</c:v>
                </c:pt>
                <c:pt idx="41">
                  <c:v>-1.4923252029535384E-3</c:v>
                </c:pt>
                <c:pt idx="42">
                  <c:v>-1.4917340603212361E-3</c:v>
                </c:pt>
                <c:pt idx="43">
                  <c:v>-1.4911479908586362E-3</c:v>
                </c:pt>
                <c:pt idx="44">
                  <c:v>-1.4894211274122156E-3</c:v>
                </c:pt>
                <c:pt idx="45">
                  <c:v>-1.4888562565515888E-3</c:v>
                </c:pt>
                <c:pt idx="46">
                  <c:v>-1.4882969118222454E-3</c:v>
                </c:pt>
                <c:pt idx="47">
                  <c:v>-1.4877431838165014E-3</c:v>
                </c:pt>
                <c:pt idx="48">
                  <c:v>-1.4871951631266732E-3</c:v>
                </c:pt>
                <c:pt idx="49">
                  <c:v>-1.4855862508758439E-3</c:v>
                </c:pt>
                <c:pt idx="50">
                  <c:v>-1.4850619653728398E-3</c:v>
                </c:pt>
                <c:pt idx="51">
                  <c:v>-1.4845438401473318E-3</c:v>
                </c:pt>
                <c:pt idx="52">
                  <c:v>-1.4840319657916366E-3</c:v>
                </c:pt>
                <c:pt idx="53">
                  <c:v>-1.4835264328980696E-3</c:v>
                </c:pt>
                <c:pt idx="54">
                  <c:v>-1.4820487889133018E-3</c:v>
                </c:pt>
                <c:pt idx="55">
                  <c:v>-1.4815695277914107E-3</c:v>
                </c:pt>
                <c:pt idx="56">
                  <c:v>-1.4810970610932286E-3</c:v>
                </c:pt>
                <c:pt idx="57">
                  <c:v>-1.4806314794110717E-3</c:v>
                </c:pt>
                <c:pt idx="58">
                  <c:v>-1.4801728733372563E-3</c:v>
                </c:pt>
                <c:pt idx="59">
                  <c:v>-1.4788398146890196E-3</c:v>
                </c:pt>
                <c:pt idx="60">
                  <c:v>-1.478410016971731E-3</c:v>
                </c:pt>
                <c:pt idx="61">
                  <c:v>-1.4779876478243645E-3</c:v>
                </c:pt>
                <c:pt idx="62">
                  <c:v>-1.4775727978392364E-3</c:v>
                </c:pt>
                <c:pt idx="63">
                  <c:v>-1.4771655576086623E-3</c:v>
                </c:pt>
                <c:pt idx="64">
                  <c:v>-1.4759904013674273E-3</c:v>
                </c:pt>
                <c:pt idx="65">
                  <c:v>-1.4756145060782317E-3</c:v>
                </c:pt>
                <c:pt idx="66">
                  <c:v>-1.4752466735051708E-3</c:v>
                </c:pt>
                <c:pt idx="67">
                  <c:v>-1.4748869942405611E-3</c:v>
                </c:pt>
                <c:pt idx="68">
                  <c:v>-1.4745355588767185E-3</c:v>
                </c:pt>
                <c:pt idx="69">
                  <c:v>-1.4735316221129546E-3</c:v>
                </c:pt>
                <c:pt idx="70">
                  <c:v>-1.4732140682753418E-3</c:v>
                </c:pt>
                <c:pt idx="71">
                  <c:v>-1.4729052113000767E-3</c:v>
                </c:pt>
                <c:pt idx="72">
                  <c:v>-1.4726051417794754E-3</c:v>
                </c:pt>
                <c:pt idx="73">
                  <c:v>-1.4723139503058542E-3</c:v>
                </c:pt>
                <c:pt idx="74">
                  <c:v>-1.4714945500900317E-3</c:v>
                </c:pt>
                <c:pt idx="75">
                  <c:v>-1.4712397767274921E-3</c:v>
                </c:pt>
                <c:pt idx="76">
                  <c:v>-1.4709943343735124E-3</c:v>
                </c:pt>
                <c:pt idx="77">
                  <c:v>-1.4707583136204096E-3</c:v>
                </c:pt>
                <c:pt idx="78">
                  <c:v>-1.4705318050604998E-3</c:v>
                </c:pt>
                <c:pt idx="79">
                  <c:v>-1.4699102584630887E-3</c:v>
                </c:pt>
                <c:pt idx="80">
                  <c:v>-1.4697227045991116E-3</c:v>
                </c:pt>
                <c:pt idx="81">
                  <c:v>-1.469545115889908E-3</c:v>
                </c:pt>
                <c:pt idx="82">
                  <c:v>-1.4693775829277937E-3</c:v>
                </c:pt>
                <c:pt idx="83">
                  <c:v>-1.4692201963050851E-3</c:v>
                </c:pt>
                <c:pt idx="84">
                  <c:v>-1.4688098203965553E-3</c:v>
                </c:pt>
                <c:pt idx="85">
                  <c:v>-1.4686939250546311E-3</c:v>
                </c:pt>
                <c:pt idx="86">
                  <c:v>-1.4685886290136927E-3</c:v>
                </c:pt>
                <c:pt idx="87">
                  <c:v>-1.4684940228660572E-3</c:v>
                </c:pt>
                <c:pt idx="88">
                  <c:v>-1.4684101972040403E-3</c:v>
                </c:pt>
                <c:pt idx="89">
                  <c:v>-1.468224309054862E-3</c:v>
                </c:pt>
                <c:pt idx="90">
                  <c:v>-1.4681845112584804E-3</c:v>
                </c:pt>
                <c:pt idx="91">
                  <c:v>-1.468155946909298E-3</c:v>
                </c:pt>
                <c:pt idx="92">
                  <c:v>-1.4681387065996309E-3</c:v>
                </c:pt>
                <c:pt idx="93">
                  <c:v>-1.4681328809217952E-3</c:v>
                </c:pt>
                <c:pt idx="94">
                  <c:v>-1.4681847976024381E-3</c:v>
                </c:pt>
                <c:pt idx="95">
                  <c:v>-1.4682255363750894E-3</c:v>
                </c:pt>
                <c:pt idx="96">
                  <c:v>-1.4682781427411524E-3</c:v>
                </c:pt>
                <c:pt idx="97">
                  <c:v>-1.4683427072929439E-3</c:v>
                </c:pt>
                <c:pt idx="98">
                  <c:v>-1.4684193206227797E-3</c:v>
                </c:pt>
                <c:pt idx="99">
                  <c:v>-1.4687223592037139E-3</c:v>
                </c:pt>
                <c:pt idx="100">
                  <c:v>-1.4688480735688878E-3</c:v>
                </c:pt>
                <c:pt idx="101">
                  <c:v>-1.4689862896736868E-3</c:v>
                </c:pt>
                <c:pt idx="102">
                  <c:v>-1.469137098110427E-3</c:v>
                </c:pt>
                <c:pt idx="103">
                  <c:v>-1.4693005894714239E-3</c:v>
                </c:pt>
                <c:pt idx="104">
                  <c:v>-1.4698680670231193E-3</c:v>
                </c:pt>
                <c:pt idx="105">
                  <c:v>-1.4700831960043062E-3</c:v>
                </c:pt>
                <c:pt idx="106">
                  <c:v>-1.4703114608713309E-3</c:v>
                </c:pt>
                <c:pt idx="107">
                  <c:v>-1.4705529522165094E-3</c:v>
                </c:pt>
                <c:pt idx="108">
                  <c:v>-1.4708077606321579E-3</c:v>
                </c:pt>
                <c:pt idx="109">
                  <c:v>-1.4716529942250846E-3</c:v>
                </c:pt>
                <c:pt idx="110">
                  <c:v>-1.4719619768457741E-3</c:v>
                </c:pt>
                <c:pt idx="111">
                  <c:v>-1.4722847294985145E-3</c:v>
                </c:pt>
                <c:pt idx="112">
                  <c:v>-1.4726213427756214E-3</c:v>
                </c:pt>
                <c:pt idx="113">
                  <c:v>-1.4729719072694113E-3</c:v>
                </c:pt>
                <c:pt idx="114">
                  <c:v>-1.4741082139740395E-3</c:v>
                </c:pt>
                <c:pt idx="115">
                  <c:v>-1.4745154892577218E-3</c:v>
                </c:pt>
                <c:pt idx="116">
                  <c:v>-1.4749371687196677E-3</c:v>
                </c:pt>
                <c:pt idx="117">
                  <c:v>-1.4753733429521934E-3</c:v>
                </c:pt>
                <c:pt idx="118">
                  <c:v>-1.4758241025476149E-3</c:v>
                </c:pt>
                <c:pt idx="119">
                  <c:v>-1.4772647994344137E-3</c:v>
                </c:pt>
                <c:pt idx="120">
                  <c:v>-1.4777748064045792E-3</c:v>
                </c:pt>
                <c:pt idx="121">
                  <c:v>-1.4782998516992209E-3</c:v>
                </c:pt>
                <c:pt idx="122">
                  <c:v>-1.4788400259106548E-3</c:v>
                </c:pt>
                <c:pt idx="123">
                  <c:v>-1.4793954196311973E-3</c:v>
                </c:pt>
                <c:pt idx="124">
                  <c:v>-1.4811538237706381E-3</c:v>
                </c:pt>
                <c:pt idx="125">
                  <c:v>-1.4817710014507761E-3</c:v>
                </c:pt>
                <c:pt idx="126">
                  <c:v>-1.4824038516016032E-3</c:v>
                </c:pt>
                <c:pt idx="127">
                  <c:v>-1.4830524648154358E-3</c:v>
                </c:pt>
                <c:pt idx="128">
                  <c:v>-1.4837169316845899E-3</c:v>
                </c:pt>
                <c:pt idx="129">
                  <c:v>-1.4858063601471414E-3</c:v>
                </c:pt>
                <c:pt idx="130">
                  <c:v>-1.4865351475607425E-3</c:v>
                </c:pt>
                <c:pt idx="131">
                  <c:v>-1.4872802415912456E-3</c:v>
                </c:pt>
                <c:pt idx="132">
                  <c:v>-1.4880417328309665E-3</c:v>
                </c:pt>
                <c:pt idx="133">
                  <c:v>-1.4888197118722219E-3</c:v>
                </c:pt>
                <c:pt idx="134">
                  <c:v>-1.4912523095543433E-3</c:v>
                </c:pt>
                <c:pt idx="135">
                  <c:v>-1.4920955394123628E-3</c:v>
                </c:pt>
                <c:pt idx="136">
                  <c:v>-1.4929546681010423E-3</c:v>
                </c:pt>
                <c:pt idx="137">
                  <c:v>-1.4938295257295843E-3</c:v>
                </c:pt>
                <c:pt idx="138">
                  <c:v>-1.4947199424071916E-3</c:v>
                </c:pt>
                <c:pt idx="139">
                  <c:v>-1.4974828478264283E-3</c:v>
                </c:pt>
                <c:pt idx="140">
                  <c:v>-1.4984338017923204E-3</c:v>
                </c:pt>
                <c:pt idx="141">
                  <c:v>-1.4993994653532898E-3</c:v>
                </c:pt>
                <c:pt idx="142">
                  <c:v>-1.5003796686185386E-3</c:v>
                </c:pt>
                <c:pt idx="143">
                  <c:v>-1.5013742416972698E-3</c:v>
                </c:pt>
                <c:pt idx="144">
                  <c:v>-1.5044424809063813E-3</c:v>
                </c:pt>
                <c:pt idx="145">
                  <c:v>-1.5054928343310658E-3</c:v>
                </c:pt>
                <c:pt idx="146">
                  <c:v>-1.5065567081152447E-3</c:v>
                </c:pt>
                <c:pt idx="147">
                  <c:v>-1.5076339323681204E-3</c:v>
                </c:pt>
                <c:pt idx="148">
                  <c:v>-1.5087243371988957E-3</c:v>
                </c:pt>
                <c:pt idx="149">
                  <c:v>-1.5132143644850382E-3</c:v>
                </c:pt>
                <c:pt idx="150">
                  <c:v>-1.5143681238433467E-3</c:v>
                </c:pt>
                <c:pt idx="151">
                  <c:v>-1.5155340444347688E-3</c:v>
                </c:pt>
                <c:pt idx="152">
                  <c:v>-1.5167119563685078E-3</c:v>
                </c:pt>
                <c:pt idx="153">
                  <c:v>-1.520322618476255E-3</c:v>
                </c:pt>
                <c:pt idx="154">
                  <c:v>-1.5215502278485473E-3</c:v>
                </c:pt>
                <c:pt idx="155">
                  <c:v>-1.5227890388402189E-3</c:v>
                </c:pt>
                <c:pt idx="156">
                  <c:v>-1.5240388801602803E-3</c:v>
                </c:pt>
                <c:pt idx="157">
                  <c:v>-1.5252995805177419E-3</c:v>
                </c:pt>
                <c:pt idx="158">
                  <c:v>-1.5291451229046348E-3</c:v>
                </c:pt>
                <c:pt idx="159">
                  <c:v>-1.5304475465018035E-3</c:v>
                </c:pt>
                <c:pt idx="160">
                  <c:v>-1.5317599726814254E-3</c:v>
                </c:pt>
                <c:pt idx="161">
                  <c:v>-1.5330822301525113E-3</c:v>
                </c:pt>
                <c:pt idx="162">
                  <c:v>-1.5344141476240718E-3</c:v>
                </c:pt>
                <c:pt idx="163">
                  <c:v>-1.5384661471317047E-3</c:v>
                </c:pt>
                <c:pt idx="164">
                  <c:v>-1.5398349916952686E-3</c:v>
                </c:pt>
                <c:pt idx="165">
                  <c:v>-1.5412126398043596E-3</c:v>
                </c:pt>
                <c:pt idx="166">
                  <c:v>-1.5425989201679885E-3</c:v>
                </c:pt>
                <c:pt idx="167">
                  <c:v>-1.5439936614951662E-3</c:v>
                </c:pt>
                <c:pt idx="168">
                  <c:v>-1.5482269383480947E-3</c:v>
                </c:pt>
                <c:pt idx="169">
                  <c:v>-1.5496538106195719E-3</c:v>
                </c:pt>
                <c:pt idx="170">
                  <c:v>-1.5510882873996502E-3</c:v>
                </c:pt>
                <c:pt idx="171">
                  <c:v>-1.5525301973973408E-3</c:v>
                </c:pt>
                <c:pt idx="172">
                  <c:v>-1.5539793693216534E-3</c:v>
                </c:pt>
                <c:pt idx="173">
                  <c:v>-1.5583687437444335E-3</c:v>
                </c:pt>
                <c:pt idx="174">
                  <c:v>-1.5598452504653425E-3</c:v>
                </c:pt>
                <c:pt idx="175">
                  <c:v>-1.5613281626579269E-3</c:v>
                </c:pt>
                <c:pt idx="176">
                  <c:v>-1.5628173090311971E-3</c:v>
                </c:pt>
                <c:pt idx="177">
                  <c:v>-1.5643125182941643E-3</c:v>
                </c:pt>
                <c:pt idx="178">
                  <c:v>-1.5688328105113508E-3</c:v>
                </c:pt>
                <c:pt idx="179">
                  <c:v>-1.5703505584232101E-3</c:v>
                </c:pt>
                <c:pt idx="180">
                  <c:v>-1.5718735127698187E-3</c:v>
                </c:pt>
                <c:pt idx="181">
                  <c:v>-1.5734015022601875E-3</c:v>
                </c:pt>
                <c:pt idx="182">
                  <c:v>-1.5749343556033272E-3</c:v>
                </c:pt>
                <c:pt idx="183">
                  <c:v>-1.5795603858394759E-3</c:v>
                </c:pt>
                <c:pt idx="184">
                  <c:v>-1.5811109816838036E-3</c:v>
                </c:pt>
                <c:pt idx="185">
                  <c:v>-1.5826655849259554E-3</c:v>
                </c:pt>
                <c:pt idx="186">
                  <c:v>-1.5842240242749412E-3</c:v>
                </c:pt>
                <c:pt idx="187">
                  <c:v>-1.5857861284397719E-3</c:v>
                </c:pt>
                <c:pt idx="188">
                  <c:v>-1.5904927169194379E-3</c:v>
                </c:pt>
                <c:pt idx="189">
                  <c:v>-1.5920677674377531E-3</c:v>
                </c:pt>
                <c:pt idx="190">
                  <c:v>-1.5936456263169663E-3</c:v>
                </c:pt>
                <c:pt idx="191">
                  <c:v>-1.5952261222660876E-3</c:v>
                </c:pt>
                <c:pt idx="192">
                  <c:v>-1.5968090839941274E-3</c:v>
                </c:pt>
                <c:pt idx="193">
                  <c:v>-1.6015710509418664E-3</c:v>
                </c:pt>
                <c:pt idx="194">
                  <c:v>-1.6031621628756873E-3</c:v>
                </c:pt>
                <c:pt idx="195">
                  <c:v>-1.6047548841334801E-3</c:v>
                </c:pt>
                <c:pt idx="196">
                  <c:v>-1.6063490434242553E-3</c:v>
                </c:pt>
                <c:pt idx="197">
                  <c:v>-1.6079444694570232E-3</c:v>
                </c:pt>
                <c:pt idx="198">
                  <c:v>-1.6127366350973905E-3</c:v>
                </c:pt>
                <c:pt idx="199">
                  <c:v>-1.614335415188236E-3</c:v>
                </c:pt>
                <c:pt idx="200">
                  <c:v>-1.6159346055661271E-3</c:v>
                </c:pt>
                <c:pt idx="201">
                  <c:v>-1.6175340349400744E-3</c:v>
                </c:pt>
                <c:pt idx="202">
                  <c:v>-1.619133532019089E-3</c:v>
                </c:pt>
                <c:pt idx="203">
                  <c:v>-1.6239307165766398E-3</c:v>
                </c:pt>
                <c:pt idx="204">
                  <c:v>-1.6255287715660281E-3</c:v>
                </c:pt>
                <c:pt idx="205">
                  <c:v>-1.6271260378055356E-3</c:v>
                </c:pt>
                <c:pt idx="206">
                  <c:v>-1.6287223440041743E-3</c:v>
                </c:pt>
                <c:pt idx="207">
                  <c:v>-1.6303175188709536E-3</c:v>
                </c:pt>
                <c:pt idx="208">
                  <c:v>-1.6350945425702434E-3</c:v>
                </c:pt>
                <c:pt idx="209">
                  <c:v>-1.6366834791996928E-3</c:v>
                </c:pt>
                <c:pt idx="210">
                  <c:v>-1.638270428042336E-3</c:v>
                </c:pt>
                <c:pt idx="211">
                  <c:v>-1.6398552178071835E-3</c:v>
                </c:pt>
                <c:pt idx="212">
                  <c:v>-1.6414376772032463E-3</c:v>
                </c:pt>
                <c:pt idx="213">
                  <c:v>-1.6461693602688313E-3</c:v>
                </c:pt>
                <c:pt idx="214">
                  <c:v>-1.6477407852798602E-3</c:v>
                </c:pt>
                <c:pt idx="215">
                  <c:v>-1.6493090234671571E-3</c:v>
                </c:pt>
                <c:pt idx="216">
                  <c:v>-1.6508739035397324E-3</c:v>
                </c:pt>
                <c:pt idx="217">
                  <c:v>-1.6524352542065972E-3</c:v>
                </c:pt>
                <c:pt idx="218">
                  <c:v>-1.6570964168630318E-3</c:v>
                </c:pt>
                <c:pt idx="219">
                  <c:v>-1.6586419369971591E-3</c:v>
                </c:pt>
                <c:pt idx="220">
                  <c:v>-1.660183071270628E-3</c:v>
                </c:pt>
                <c:pt idx="221">
                  <c:v>-1.6617196483924498E-3</c:v>
                </c:pt>
                <c:pt idx="222">
                  <c:v>-1.6632514970716351E-3</c:v>
                </c:pt>
                <c:pt idx="223">
                  <c:v>-1.667816959543475E-3</c:v>
                </c:pt>
                <c:pt idx="224">
                  <c:v>-1.6693281815422188E-3</c:v>
                </c:pt>
                <c:pt idx="225">
                  <c:v>-1.6708338186433788E-3</c:v>
                </c:pt>
                <c:pt idx="226">
                  <c:v>-1.6723336995559653E-3</c:v>
                </c:pt>
                <c:pt idx="227">
                  <c:v>-1.679740766105669E-3</c:v>
                </c:pt>
                <c:pt idx="228">
                  <c:v>-1.6812025127760377E-3</c:v>
                </c:pt>
                <c:pt idx="229">
                  <c:v>-1.6826573042209075E-3</c:v>
                </c:pt>
                <c:pt idx="230">
                  <c:v>-1.6841049691492887E-3</c:v>
                </c:pt>
                <c:pt idx="231">
                  <c:v>-1.6884034919256064E-3</c:v>
                </c:pt>
                <c:pt idx="232">
                  <c:v>-1.6898209378781387E-3</c:v>
                </c:pt>
                <c:pt idx="233">
                  <c:v>-1.6912304008592353E-3</c:v>
                </c:pt>
                <c:pt idx="234">
                  <c:v>-1.6926317095779068E-3</c:v>
                </c:pt>
                <c:pt idx="235">
                  <c:v>-1.6940246927431638E-3</c:v>
                </c:pt>
                <c:pt idx="236">
                  <c:v>-1.6995099440502573E-3</c:v>
                </c:pt>
                <c:pt idx="237">
                  <c:v>-1.7008587300836005E-3</c:v>
                </c:pt>
                <c:pt idx="238">
                  <c:v>-1.7021981628175921E-3</c:v>
                </c:pt>
                <c:pt idx="239">
                  <c:v>-1.7035280709612433E-3</c:v>
                </c:pt>
                <c:pt idx="240">
                  <c:v>-1.7074589349402598E-3</c:v>
                </c:pt>
                <c:pt idx="241">
                  <c:v>-1.7087490318126548E-3</c:v>
                </c:pt>
                <c:pt idx="242">
                  <c:v>-1.7100287476397621E-3</c:v>
                </c:pt>
                <c:pt idx="243">
                  <c:v>-1.7112979111305925E-3</c:v>
                </c:pt>
                <c:pt idx="244">
                  <c:v>-1.7125563509941563E-3</c:v>
                </c:pt>
                <c:pt idx="245">
                  <c:v>-1.7162656159113556E-3</c:v>
                </c:pt>
                <c:pt idx="246">
                  <c:v>-1.7174794483559596E-3</c:v>
                </c:pt>
                <c:pt idx="247">
                  <c:v>-1.71868170071835E-3</c:v>
                </c:pt>
                <c:pt idx="248">
                  <c:v>-1.7198722017075375E-3</c:v>
                </c:pt>
                <c:pt idx="249">
                  <c:v>-1.7210507800325325E-3</c:v>
                </c:pt>
                <c:pt idx="250">
                  <c:v>-1.7245132661124695E-3</c:v>
                </c:pt>
                <c:pt idx="251">
                  <c:v>-1.7256424408708013E-3</c:v>
                </c:pt>
                <c:pt idx="252">
                  <c:v>-1.7267588365099935E-3</c:v>
                </c:pt>
                <c:pt idx="253">
                  <c:v>-1.7278622817390565E-3</c:v>
                </c:pt>
                <c:pt idx="254">
                  <c:v>-1.7289526052670014E-3</c:v>
                </c:pt>
                <c:pt idx="255">
                  <c:v>-1.732143132734232E-3</c:v>
                </c:pt>
                <c:pt idx="256">
                  <c:v>-1.7331792565478095E-3</c:v>
                </c:pt>
                <c:pt idx="257">
                  <c:v>-1.7342014022053217E-3</c:v>
                </c:pt>
                <c:pt idx="258">
                  <c:v>-1.7352093984157788E-3</c:v>
                </c:pt>
                <c:pt idx="259">
                  <c:v>-1.7362030738881918E-3</c:v>
                </c:pt>
                <c:pt idx="260">
                  <c:v>-1.7390972261747348E-3</c:v>
                </c:pt>
                <c:pt idx="261">
                  <c:v>-1.7400329516619713E-3</c:v>
                </c:pt>
                <c:pt idx="262">
                  <c:v>-1.7409541783628502E-3</c:v>
                </c:pt>
                <c:pt idx="263">
                  <c:v>-1.741860904588041E-3</c:v>
                </c:pt>
                <c:pt idx="264">
                  <c:v>-1.7427531286482131E-3</c:v>
                </c:pt>
                <c:pt idx="265">
                  <c:v>-1.7453427709453063E-3</c:v>
                </c:pt>
                <c:pt idx="266">
                  <c:v>-1.7461769694520934E-3</c:v>
                </c:pt>
                <c:pt idx="267">
                  <c:v>-1.7469966573472073E-3</c:v>
                </c:pt>
                <c:pt idx="268">
                  <c:v>-1.7478018329413168E-3</c:v>
                </c:pt>
                <c:pt idx="269">
                  <c:v>-1.7485924945450913E-3</c:v>
                </c:pt>
                <c:pt idx="270">
                  <c:v>-1.7508773785210943E-3</c:v>
                </c:pt>
                <c:pt idx="271">
                  <c:v>-1.7516099672702191E-3</c:v>
                </c:pt>
                <c:pt idx="272">
                  <c:v>-1.7523280335823544E-3</c:v>
                </c:pt>
                <c:pt idx="273">
                  <c:v>-1.753031575768169E-3</c:v>
                </c:pt>
                <c:pt idx="274">
                  <c:v>-1.7537205921383321E-3</c:v>
                </c:pt>
                <c:pt idx="275">
                  <c:v>-1.755700469461605E-3</c:v>
                </c:pt>
                <c:pt idx="276">
                  <c:v>-1.7563313656758538E-3</c:v>
                </c:pt>
                <c:pt idx="277">
                  <c:v>-1.756947727627797E-3</c:v>
                </c:pt>
                <c:pt idx="278">
                  <c:v>-1.7575495536281032E-3</c:v>
                </c:pt>
                <c:pt idx="279">
                  <c:v>-1.758136841987442E-3</c:v>
                </c:pt>
                <c:pt idx="280">
                  <c:v>-1.7598114643263441E-3</c:v>
                </c:pt>
                <c:pt idx="281">
                  <c:v>-1.7603405852285037E-3</c:v>
                </c:pt>
                <c:pt idx="282">
                  <c:v>-1.7608551600430413E-3</c:v>
                </c:pt>
                <c:pt idx="283">
                  <c:v>-1.7613551870806258E-3</c:v>
                </c:pt>
                <c:pt idx="284">
                  <c:v>-1.7618406646519266E-3</c:v>
                </c:pt>
                <c:pt idx="285">
                  <c:v>-1.7632097836748173E-3</c:v>
                </c:pt>
                <c:pt idx="286">
                  <c:v>-1.7636370464876741E-3</c:v>
                </c:pt>
                <c:pt idx="287">
                  <c:v>-1.7640497513875927E-3</c:v>
                </c:pt>
                <c:pt idx="288">
                  <c:v>-1.7644478966852423E-3</c:v>
                </c:pt>
                <c:pt idx="289">
                  <c:v>-1.7648314806912916E-3</c:v>
                </c:pt>
                <c:pt idx="290">
                  <c:v>-1.7658948480665311E-3</c:v>
                </c:pt>
                <c:pt idx="291">
                  <c:v>-1.7662201700128718E-3</c:v>
                </c:pt>
                <c:pt idx="292">
                  <c:v>-1.7665309222209579E-3</c:v>
                </c:pt>
                <c:pt idx="293">
                  <c:v>-1.7668271030014586E-3</c:v>
                </c:pt>
                <c:pt idx="294">
                  <c:v>-1.7671087106650432E-3</c:v>
                </c:pt>
                <c:pt idx="295">
                  <c:v>-1.7678660780609909E-3</c:v>
                </c:pt>
                <c:pt idx="296">
                  <c:v>-1.7680893763636016E-3</c:v>
                </c:pt>
                <c:pt idx="297">
                  <c:v>-1.7682980931026419E-3</c:v>
                </c:pt>
                <c:pt idx="298">
                  <c:v>-1.7684922265887807E-3</c:v>
                </c:pt>
                <c:pt idx="299">
                  <c:v>-1.7686717751326869E-3</c:v>
                </c:pt>
                <c:pt idx="300">
                  <c:v>-1.7691228942177024E-3</c:v>
                </c:pt>
                <c:pt idx="301">
                  <c:v>-1.7692440860993704E-3</c:v>
                </c:pt>
                <c:pt idx="302">
                  <c:v>-1.7693506845921512E-3</c:v>
                </c:pt>
                <c:pt idx="303">
                  <c:v>-1.7694426880067145E-3</c:v>
                </c:pt>
                <c:pt idx="304">
                  <c:v>-1.769520094653729E-3</c:v>
                </c:pt>
                <c:pt idx="305">
                  <c:v>-1.7696647170961719E-3</c:v>
                </c:pt>
                <c:pt idx="306">
                  <c:v>-1.7696837197796833E-3</c:v>
                </c:pt>
                <c:pt idx="307">
                  <c:v>-1.7696881172489915E-3</c:v>
                </c:pt>
                <c:pt idx="308">
                  <c:v>-1.7696779078147657E-3</c:v>
                </c:pt>
                <c:pt idx="309">
                  <c:v>-1.7696530897876751E-3</c:v>
                </c:pt>
                <c:pt idx="310">
                  <c:v>-1.7694909672559054E-3</c:v>
                </c:pt>
                <c:pt idx="311">
                  <c:v>-1.7694076979640468E-3</c:v>
                </c:pt>
                <c:pt idx="312">
                  <c:v>-1.7693098116326686E-3</c:v>
                </c:pt>
                <c:pt idx="313">
                  <c:v>-1.7691973065724403E-3</c:v>
                </c:pt>
                <c:pt idx="314">
                  <c:v>-1.769070181094031E-3</c:v>
                </c:pt>
                <c:pt idx="315">
                  <c:v>-1.7686010652564084E-3</c:v>
                </c:pt>
                <c:pt idx="316">
                  <c:v>-1.7684154412119662E-3</c:v>
                </c:pt>
                <c:pt idx="317">
                  <c:v>-1.7682151883026884E-3</c:v>
                </c:pt>
                <c:pt idx="318">
                  <c:v>-1.7680003048392444E-3</c:v>
                </c:pt>
                <c:pt idx="319">
                  <c:v>-1.767770789132303E-3</c:v>
                </c:pt>
                <c:pt idx="320">
                  <c:v>-1.7669944316571866E-3</c:v>
                </c:pt>
                <c:pt idx="321">
                  <c:v>-1.7667063700829476E-3</c:v>
                </c:pt>
                <c:pt idx="322">
                  <c:v>-1.7664036678185569E-3</c:v>
                </c:pt>
                <c:pt idx="323">
                  <c:v>-1.7660863231746835E-3</c:v>
                </c:pt>
                <c:pt idx="324">
                  <c:v>-1.7657543344619967E-3</c:v>
                </c:pt>
                <c:pt idx="325">
                  <c:v>-1.7646704870177465E-3</c:v>
                </c:pt>
                <c:pt idx="326">
                  <c:v>-1.7642799051364971E-3</c:v>
                </c:pt>
                <c:pt idx="327">
                  <c:v>-1.7638746707397798E-3</c:v>
                </c:pt>
                <c:pt idx="328">
                  <c:v>-1.7634547821382635E-3</c:v>
                </c:pt>
                <c:pt idx="329">
                  <c:v>-1.7630202376426179E-3</c:v>
                </c:pt>
                <c:pt idx="330">
                  <c:v>-1.7616286518975937E-3</c:v>
                </c:pt>
                <c:pt idx="331">
                  <c:v>-1.7611354669321204E-3</c:v>
                </c:pt>
                <c:pt idx="332">
                  <c:v>-1.7606276176258631E-3</c:v>
                </c:pt>
                <c:pt idx="333">
                  <c:v>-1.7601051022894908E-3</c:v>
                </c:pt>
                <c:pt idx="334">
                  <c:v>-1.7595679192336725E-3</c:v>
                </c:pt>
                <c:pt idx="335">
                  <c:v>-1.7578683468562339E-3</c:v>
                </c:pt>
                <c:pt idx="336">
                  <c:v>-1.7572724760293232E-3</c:v>
                </c:pt>
                <c:pt idx="337">
                  <c:v>-1.7566619290363124E-3</c:v>
                </c:pt>
                <c:pt idx="338">
                  <c:v>-1.7560367041878704E-3</c:v>
                </c:pt>
                <c:pt idx="339">
                  <c:v>-1.7553967997946665E-3</c:v>
                </c:pt>
                <c:pt idx="340">
                  <c:v>-1.7533889924531733E-3</c:v>
                </c:pt>
                <c:pt idx="341">
                  <c:v>-1.7526903529876119E-3</c:v>
                </c:pt>
                <c:pt idx="342">
                  <c:v>-1.7519770255306343E-3</c:v>
                </c:pt>
                <c:pt idx="343">
                  <c:v>-1.7512490083929091E-3</c:v>
                </c:pt>
                <c:pt idx="344">
                  <c:v>-1.7505062998851057E-3</c:v>
                </c:pt>
                <c:pt idx="345">
                  <c:v>-1.7481900092479175E-3</c:v>
                </c:pt>
                <c:pt idx="346">
                  <c:v>-1.7473885183664922E-3</c:v>
                </c:pt>
                <c:pt idx="347">
                  <c:v>-1.7465723276683341E-3</c:v>
                </c:pt>
                <c:pt idx="348">
                  <c:v>-1.7457414354641123E-3</c:v>
                </c:pt>
                <c:pt idx="349">
                  <c:v>-1.744895840064496E-3</c:v>
                </c:pt>
                <c:pt idx="350">
                  <c:v>-1.7422708177999722E-3</c:v>
                </c:pt>
                <c:pt idx="351">
                  <c:v>-1.7413663927254694E-3</c:v>
                </c:pt>
                <c:pt idx="352">
                  <c:v>-1.7404472560089178E-3</c:v>
                </c:pt>
                <c:pt idx="353">
                  <c:v>-1.7395134059609858E-3</c:v>
                </c:pt>
                <c:pt idx="354">
                  <c:v>-1.7385648408923438E-3</c:v>
                </c:pt>
                <c:pt idx="355">
                  <c:v>-1.7356308386688439E-3</c:v>
                </c:pt>
                <c:pt idx="356">
                  <c:v>-1.7346233966240498E-3</c:v>
                </c:pt>
                <c:pt idx="357">
                  <c:v>-1.7336012311118907E-3</c:v>
                </c:pt>
                <c:pt idx="358">
                  <c:v>-1.732564340443036E-3</c:v>
                </c:pt>
                <c:pt idx="359">
                  <c:v>-1.7315127229281541E-3</c:v>
                </c:pt>
                <c:pt idx="360">
                  <c:v>-1.7282694924140381E-3</c:v>
                </c:pt>
                <c:pt idx="361">
                  <c:v>-1.7271589506217397E-3</c:v>
                </c:pt>
                <c:pt idx="362">
                  <c:v>-1.7260336735367599E-3</c:v>
                </c:pt>
                <c:pt idx="363">
                  <c:v>-1.7248936594697682E-3</c:v>
                </c:pt>
                <c:pt idx="364">
                  <c:v>-1.723738906731433E-3</c:v>
                </c:pt>
                <c:pt idx="365">
                  <c:v>-1.7201861995950606E-3</c:v>
                </c:pt>
                <c:pt idx="366">
                  <c:v>-1.7189724752780444E-3</c:v>
                </c:pt>
                <c:pt idx="367">
                  <c:v>-1.7177440038430305E-3</c:v>
                </c:pt>
                <c:pt idx="368">
                  <c:v>-1.7165007836006882E-3</c:v>
                </c:pt>
                <c:pt idx="369">
                  <c:v>-1.7152428128616867E-3</c:v>
                </c:pt>
                <c:pt idx="370">
                  <c:v>-1.7113803807714172E-3</c:v>
                </c:pt>
                <c:pt idx="371">
                  <c:v>-1.71006339115247E-3</c:v>
                </c:pt>
                <c:pt idx="372">
                  <c:v>-1.7087316425902085E-3</c:v>
                </c:pt>
                <c:pt idx="373">
                  <c:v>-1.7073851333953025E-3</c:v>
                </c:pt>
                <c:pt idx="374">
                  <c:v>-1.7060238618784209E-3</c:v>
                </c:pt>
                <c:pt idx="375">
                  <c:v>-1.7018514565026145E-3</c:v>
                </c:pt>
                <c:pt idx="376">
                  <c:v>-1.7004311188045223E-3</c:v>
                </c:pt>
                <c:pt idx="377">
                  <c:v>-1.6989960103377996E-3</c:v>
                </c:pt>
                <c:pt idx="378">
                  <c:v>-1.6975461294131166E-3</c:v>
                </c:pt>
                <c:pt idx="379">
                  <c:v>-1.6960814743411416E-3</c:v>
                </c:pt>
                <c:pt idx="380">
                  <c:v>-1.6915988473481577E-3</c:v>
                </c:pt>
                <c:pt idx="381">
                  <c:v>-1.6900750787937069E-3</c:v>
                </c:pt>
                <c:pt idx="382">
                  <c:v>-1.6885365276453101E-3</c:v>
                </c:pt>
                <c:pt idx="383">
                  <c:v>-1.6869831922136363E-3</c:v>
                </c:pt>
                <c:pt idx="384">
                  <c:v>-1.6854150708093545E-3</c:v>
                </c:pt>
                <c:pt idx="385">
                  <c:v>-1.680621973867553E-3</c:v>
                </c:pt>
                <c:pt idx="386">
                  <c:v>-1.6789946916795303E-3</c:v>
                </c:pt>
                <c:pt idx="387">
                  <c:v>-1.6773526150722457E-3</c:v>
                </c:pt>
                <c:pt idx="388">
                  <c:v>-1.6756957423563678E-3</c:v>
                </c:pt>
                <c:pt idx="389">
                  <c:v>-1.6740240718425656E-3</c:v>
                </c:pt>
                <c:pt idx="390">
                  <c:v>-1.6689202566203057E-3</c:v>
                </c:pt>
                <c:pt idx="391">
                  <c:v>-1.667189384643254E-3</c:v>
                </c:pt>
                <c:pt idx="392">
                  <c:v>-1.665443746152158E-3</c:v>
                </c:pt>
                <c:pt idx="393">
                  <c:v>-1.663683379188221E-3</c:v>
                </c:pt>
                <c:pt idx="394">
                  <c:v>-1.6619083217926467E-3</c:v>
                </c:pt>
                <c:pt idx="395">
                  <c:v>-1.6564953874281341E-3</c:v>
                </c:pt>
                <c:pt idx="396">
                  <c:v>-1.6546619487180446E-3</c:v>
                </c:pt>
                <c:pt idx="397">
                  <c:v>-1.6528140097823352E-3</c:v>
                </c:pt>
                <c:pt idx="398">
                  <c:v>-1.6509516086622089E-3</c:v>
                </c:pt>
                <c:pt idx="399">
                  <c:v>-1.6490747833988692E-3</c:v>
                </c:pt>
                <c:pt idx="400">
                  <c:v>-1.643358143161604E-3</c:v>
                </c:pt>
                <c:pt idx="401">
                  <c:v>-1.6414240017374451E-3</c:v>
                </c:pt>
                <c:pt idx="402">
                  <c:v>-1.6394756263760901E-3</c:v>
                </c:pt>
                <c:pt idx="403">
                  <c:v>-1.637513055118742E-3</c:v>
                </c:pt>
                <c:pt idx="404">
                  <c:v>-1.6355363260066051E-3</c:v>
                </c:pt>
                <c:pt idx="405">
                  <c:v>-1.6254416440661999E-3</c:v>
                </c:pt>
                <c:pt idx="406">
                  <c:v>-1.623380766690599E-3</c:v>
                </c:pt>
                <c:pt idx="407">
                  <c:v>-1.6213059977486328E-3</c:v>
                </c:pt>
                <c:pt idx="408">
                  <c:v>-1.6128687671411834E-3</c:v>
                </c:pt>
                <c:pt idx="409">
                  <c:v>-1.6107251109854423E-3</c:v>
                </c:pt>
                <c:pt idx="410">
                  <c:v>-1.6085677915105561E-3</c:v>
                </c:pt>
                <c:pt idx="411">
                  <c:v>-1.606396846757729E-3</c:v>
                </c:pt>
                <c:pt idx="412">
                  <c:v>-1.5998026412436344E-3</c:v>
                </c:pt>
                <c:pt idx="413">
                  <c:v>-1.597577575791076E-3</c:v>
                </c:pt>
                <c:pt idx="414">
                  <c:v>-1.5953390752665943E-3</c:v>
                </c:pt>
                <c:pt idx="415">
                  <c:v>-1.5930871777113916E-3</c:v>
                </c:pt>
                <c:pt idx="416">
                  <c:v>-1.5908219211666719E-3</c:v>
                </c:pt>
                <c:pt idx="417">
                  <c:v>-1.5839463780074428E-3</c:v>
                </c:pt>
                <c:pt idx="418">
                  <c:v>-1.5816280659166882E-3</c:v>
                </c:pt>
                <c:pt idx="419">
                  <c:v>-1.5792965850424336E-3</c:v>
                </c:pt>
                <c:pt idx="420">
                  <c:v>-1.5769519734258823E-3</c:v>
                </c:pt>
                <c:pt idx="421">
                  <c:v>-1.5745942691082378E-3</c:v>
                </c:pt>
                <c:pt idx="422">
                  <c:v>-1.5674429803607796E-3</c:v>
                </c:pt>
                <c:pt idx="423">
                  <c:v>-1.5650332856507964E-3</c:v>
                </c:pt>
                <c:pt idx="424">
                  <c:v>-1.5626106884457376E-3</c:v>
                </c:pt>
                <c:pt idx="425">
                  <c:v>-1.5601752267868059E-3</c:v>
                </c:pt>
                <c:pt idx="426">
                  <c:v>-1.5577269387152051E-3</c:v>
                </c:pt>
                <c:pt idx="427">
                  <c:v>-1.550305496436422E-3</c:v>
                </c:pt>
                <c:pt idx="428">
                  <c:v>-1.5478062831261788E-3</c:v>
                </c:pt>
                <c:pt idx="429">
                  <c:v>-1.5452944336092837E-3</c:v>
                </c:pt>
                <c:pt idx="430">
                  <c:v>-1.5427699859269397E-3</c:v>
                </c:pt>
                <c:pt idx="431">
                  <c:v>-1.5402329781203511E-3</c:v>
                </c:pt>
                <c:pt idx="432">
                  <c:v>-1.5325469743671478E-3</c:v>
                </c:pt>
                <c:pt idx="433">
                  <c:v>-1.5299601064756123E-3</c:v>
                </c:pt>
                <c:pt idx="434">
                  <c:v>-1.5273608686658493E-3</c:v>
                </c:pt>
                <c:pt idx="435">
                  <c:v>-1.5247492989790617E-3</c:v>
                </c:pt>
                <c:pt idx="436">
                  <c:v>-1.5221254354564528E-3</c:v>
                </c:pt>
                <c:pt idx="437">
                  <c:v>-1.5141804622857342E-3</c:v>
                </c:pt>
                <c:pt idx="438">
                  <c:v>-1.5115078038318752E-3</c:v>
                </c:pt>
                <c:pt idx="439">
                  <c:v>-1.5088230417482124E-3</c:v>
                </c:pt>
                <c:pt idx="440">
                  <c:v>-1.5061262140759486E-3</c:v>
                </c:pt>
                <c:pt idx="441">
                  <c:v>-1.5034173588562882E-3</c:v>
                </c:pt>
                <c:pt idx="442">
                  <c:v>-1.4952190083249582E-3</c:v>
                </c:pt>
                <c:pt idx="443">
                  <c:v>-1.4924624233277437E-3</c:v>
                </c:pt>
                <c:pt idx="444">
                  <c:v>-1.4896940009891495E-3</c:v>
                </c:pt>
                <c:pt idx="445">
                  <c:v>-1.4869137793503784E-3</c:v>
                </c:pt>
                <c:pt idx="446">
                  <c:v>-1.4841217964526342E-3</c:v>
                </c:pt>
                <c:pt idx="447">
                  <c:v>-1.475675660617598E-3</c:v>
                </c:pt>
                <c:pt idx="448">
                  <c:v>-1.4728370130959961E-3</c:v>
                </c:pt>
                <c:pt idx="449">
                  <c:v>-1.4699867945214382E-3</c:v>
                </c:pt>
                <c:pt idx="450">
                  <c:v>-1.4671250429351278E-3</c:v>
                </c:pt>
                <c:pt idx="451">
                  <c:v>-1.4642517963782686E-3</c:v>
                </c:pt>
                <c:pt idx="452">
                  <c:v>-1.4555634672964305E-3</c:v>
                </c:pt>
                <c:pt idx="453">
                  <c:v>-1.4526446212694091E-3</c:v>
                </c:pt>
                <c:pt idx="454">
                  <c:v>-1.4497144704778565E-3</c:v>
                </c:pt>
                <c:pt idx="455">
                  <c:v>-1.4467730529629749E-3</c:v>
                </c:pt>
                <c:pt idx="456">
                  <c:v>-1.4438204067659683E-3</c:v>
                </c:pt>
                <c:pt idx="457">
                  <c:v>-1.4348954764942334E-3</c:v>
                </c:pt>
                <c:pt idx="458">
                  <c:v>-1.4318982959807612E-3</c:v>
                </c:pt>
                <c:pt idx="459">
                  <c:v>-1.4288900769911809E-3</c:v>
                </c:pt>
                <c:pt idx="460">
                  <c:v>-1.4258708575666968E-3</c:v>
                </c:pt>
                <c:pt idx="461">
                  <c:v>-1.4228406757485117E-3</c:v>
                </c:pt>
                <c:pt idx="462">
                  <c:v>-1.413684736343784E-3</c:v>
                </c:pt>
                <c:pt idx="463">
                  <c:v>-1.4106110853628292E-3</c:v>
                </c:pt>
                <c:pt idx="464">
                  <c:v>-1.4075266621941906E-3</c:v>
                </c:pt>
                <c:pt idx="465">
                  <c:v>-1.4044315048790713E-3</c:v>
                </c:pt>
                <c:pt idx="466">
                  <c:v>-1.4013256514586753E-3</c:v>
                </c:pt>
                <c:pt idx="467">
                  <c:v>-1.3919442949778596E-3</c:v>
                </c:pt>
                <c:pt idx="468">
                  <c:v>-1.3887960375483903E-3</c:v>
                </c:pt>
                <c:pt idx="469">
                  <c:v>-1.3856372742196608E-3</c:v>
                </c:pt>
                <c:pt idx="470">
                  <c:v>-1.3824680430328754E-3</c:v>
                </c:pt>
                <c:pt idx="471">
                  <c:v>-1.3664662006702222E-3</c:v>
                </c:pt>
                <c:pt idx="472">
                  <c:v>-1.3632349612003704E-3</c:v>
                </c:pt>
                <c:pt idx="473">
                  <c:v>-1.3599935201608862E-3</c:v>
                </c:pt>
                <c:pt idx="474">
                  <c:v>-1.3567419155929735E-3</c:v>
                </c:pt>
                <c:pt idx="475">
                  <c:v>-1.3469265011306962E-3</c:v>
                </c:pt>
                <c:pt idx="476">
                  <c:v>-1.3436346228611023E-3</c:v>
                </c:pt>
                <c:pt idx="477">
                  <c:v>-1.3403327712690966E-3</c:v>
                </c:pt>
                <c:pt idx="478">
                  <c:v>-1.3370209843958823E-3</c:v>
                </c:pt>
                <c:pt idx="479">
                  <c:v>-1.3336993002826634E-3</c:v>
                </c:pt>
                <c:pt idx="480">
                  <c:v>-1.3236752449150122E-3</c:v>
                </c:pt>
                <c:pt idx="481">
                  <c:v>-1.3203143522538079E-3</c:v>
                </c:pt>
                <c:pt idx="482">
                  <c:v>-1.316943752558616E-3</c:v>
                </c:pt>
                <c:pt idx="483">
                  <c:v>-1.3135634838706404E-3</c:v>
                </c:pt>
                <c:pt idx="484">
                  <c:v>-1.3101735842310838E-3</c:v>
                </c:pt>
                <c:pt idx="485">
                  <c:v>-1.2999464800149622E-3</c:v>
                </c:pt>
                <c:pt idx="486">
                  <c:v>-1.2965184369811168E-3</c:v>
                </c:pt>
                <c:pt idx="487">
                  <c:v>-1.2930809532017075E-3</c:v>
                </c:pt>
                <c:pt idx="488">
                  <c:v>-1.2896340667179378E-3</c:v>
                </c:pt>
                <c:pt idx="489">
                  <c:v>-1.2861778155710112E-3</c:v>
                </c:pt>
                <c:pt idx="490">
                  <c:v>-1.2757532545633254E-3</c:v>
                </c:pt>
                <c:pt idx="491">
                  <c:v>-1.268757421331147E-3</c:v>
                </c:pt>
                <c:pt idx="492">
                  <c:v>-1.2652457810705519E-3</c:v>
                </c:pt>
                <c:pt idx="493">
                  <c:v>-1.2617250424352242E-3</c:v>
                </c:pt>
                <c:pt idx="494">
                  <c:v>-1.2511086166928781E-3</c:v>
                </c:pt>
                <c:pt idx="495">
                  <c:v>-1.2475518649706537E-3</c:v>
                </c:pt>
                <c:pt idx="496">
                  <c:v>-1.2439862050797131E-3</c:v>
                </c:pt>
                <c:pt idx="497">
                  <c:v>-1.2404116750612604E-3</c:v>
                </c:pt>
                <c:pt idx="498">
                  <c:v>-1.2368283129564996E-3</c:v>
                </c:pt>
                <c:pt idx="499">
                  <c:v>-1.2260256145363978E-3</c:v>
                </c:pt>
                <c:pt idx="500">
                  <c:v>-1.2224073044984356E-3</c:v>
                </c:pt>
                <c:pt idx="501">
                  <c:v>-1.2187803525801825E-3</c:v>
                </c:pt>
                <c:pt idx="502">
                  <c:v>-1.215144796822841E-3</c:v>
                </c:pt>
                <c:pt idx="503">
                  <c:v>-1.2115006752676147E-3</c:v>
                </c:pt>
                <c:pt idx="504">
                  <c:v>-1.2005172962266622E-3</c:v>
                </c:pt>
                <c:pt idx="505">
                  <c:v>-1.1968392918919313E-3</c:v>
                </c:pt>
                <c:pt idx="506">
                  <c:v>-1.193152911965333E-3</c:v>
                </c:pt>
                <c:pt idx="507">
                  <c:v>-1.1894581944880704E-3</c:v>
                </c:pt>
                <c:pt idx="508">
                  <c:v>-1.1857551775013475E-3</c:v>
                </c:pt>
                <c:pt idx="509">
                  <c:v>-1.1745967098964482E-3</c:v>
                </c:pt>
                <c:pt idx="510">
                  <c:v>-1.1708608752839169E-3</c:v>
                </c:pt>
                <c:pt idx="511">
                  <c:v>-1.1671169313679419E-3</c:v>
                </c:pt>
                <c:pt idx="512">
                  <c:v>-1.163364916189727E-3</c:v>
                </c:pt>
                <c:pt idx="513">
                  <c:v>-1.159604867790475E-3</c:v>
                </c:pt>
                <c:pt idx="514">
                  <c:v>-1.1482769036785343E-3</c:v>
                </c:pt>
                <c:pt idx="515">
                  <c:v>-1.1444850964219655E-3</c:v>
                </c:pt>
                <c:pt idx="516">
                  <c:v>-1.1406854078391494E-3</c:v>
                </c:pt>
                <c:pt idx="517">
                  <c:v>-1.1368778376600617E-3</c:v>
                </c:pt>
                <c:pt idx="518">
                  <c:v>-1.1330623856146776E-3</c:v>
                </c:pt>
                <c:pt idx="519">
                  <c:v>-1.1215687355805072E-3</c:v>
                </c:pt>
                <c:pt idx="520">
                  <c:v>-1.1177217533696955E-3</c:v>
                </c:pt>
                <c:pt idx="521">
                  <c:v>-1.1138668879424659E-3</c:v>
                </c:pt>
                <c:pt idx="522">
                  <c:v>-1.1100041390287936E-3</c:v>
                </c:pt>
                <c:pt idx="523">
                  <c:v>-1.1061335063586547E-3</c:v>
                </c:pt>
                <c:pt idx="524">
                  <c:v>-1.0944743031091953E-3</c:v>
                </c:pt>
                <c:pt idx="525">
                  <c:v>-1.0905721327129456E-3</c:v>
                </c:pt>
                <c:pt idx="526">
                  <c:v>-1.0866620772101083E-3</c:v>
                </c:pt>
                <c:pt idx="527">
                  <c:v>-1.0827441363306573E-3</c:v>
                </c:pt>
                <c:pt idx="528">
                  <c:v>-1.0788183098045694E-3</c:v>
                </c:pt>
                <c:pt idx="529">
                  <c:v>-1.0669935136462367E-3</c:v>
                </c:pt>
                <c:pt idx="530">
                  <c:v>-1.0630361418333552E-3</c:v>
                </c:pt>
                <c:pt idx="531">
                  <c:v>-1.0590708830237152E-3</c:v>
                </c:pt>
                <c:pt idx="532">
                  <c:v>-1.0550977369472912E-3</c:v>
                </c:pt>
                <c:pt idx="533">
                  <c:v>-1.0511167033340596E-3</c:v>
                </c:pt>
                <c:pt idx="534">
                  <c:v>-1.039126274573271E-3</c:v>
                </c:pt>
                <c:pt idx="535">
                  <c:v>-1.0351136881125633E-3</c:v>
                </c:pt>
                <c:pt idx="536">
                  <c:v>-1.0310932127649255E-3</c:v>
                </c:pt>
                <c:pt idx="537">
                  <c:v>-1.0270648482603333E-3</c:v>
                </c:pt>
                <c:pt idx="538">
                  <c:v>-1.0230285943287633E-3</c:v>
                </c:pt>
                <c:pt idx="539">
                  <c:v>-1.0108724932719364E-3</c:v>
                </c:pt>
                <c:pt idx="540">
                  <c:v>-1.0068046789322074E-3</c:v>
                </c:pt>
                <c:pt idx="541">
                  <c:v>-1.0027289738153778E-3</c:v>
                </c:pt>
                <c:pt idx="542">
                  <c:v>-9.9864537765142342E-4</c:v>
                </c:pt>
                <c:pt idx="543">
                  <c:v>-9.9455389017031985E-4</c:v>
                </c:pt>
                <c:pt idx="544">
                  <c:v>-9.8223207712386999E-4</c:v>
                </c:pt>
                <c:pt idx="545">
                  <c:v>-9.7810902167392634E-4</c:v>
                </c:pt>
                <c:pt idx="546">
                  <c:v>-9.7397807355671055E-4</c:v>
                </c:pt>
                <c:pt idx="547">
                  <c:v>-9.6983923250219925E-4</c:v>
                </c:pt>
                <c:pt idx="548">
                  <c:v>-9.6569249824036811E-4</c:v>
                </c:pt>
                <c:pt idx="549">
                  <c:v>-9.5320493351071212E-4</c:v>
                </c:pt>
                <c:pt idx="550">
                  <c:v>-9.4902662371935758E-4</c:v>
                </c:pt>
                <c:pt idx="551">
                  <c:v>-9.4484041937056113E-4</c:v>
                </c:pt>
                <c:pt idx="552">
                  <c:v>-9.4064632019429909E-4</c:v>
                </c:pt>
                <c:pt idx="553">
                  <c:v>-9.3644432592054612E-4</c:v>
                </c:pt>
                <c:pt idx="554">
                  <c:v>-9.2379096981409965E-4</c:v>
                </c:pt>
                <c:pt idx="555">
                  <c:v>-9.1955739245014052E-4</c:v>
                </c:pt>
                <c:pt idx="556">
                  <c:v>-9.153159186385695E-4</c:v>
                </c:pt>
                <c:pt idx="557">
                  <c:v>-9.1106654810936116E-4</c:v>
                </c:pt>
                <c:pt idx="558">
                  <c:v>-9.0680928059249223E-4</c:v>
                </c:pt>
                <c:pt idx="559">
                  <c:v>-8.9399009341567233E-4</c:v>
                </c:pt>
                <c:pt idx="560">
                  <c:v>-8.8970123524791404E-4</c:v>
                </c:pt>
                <c:pt idx="561">
                  <c:v>-8.8540447874237279E-4</c:v>
                </c:pt>
                <c:pt idx="562">
                  <c:v>-8.8109982362902391E-4</c:v>
                </c:pt>
                <c:pt idx="563">
                  <c:v>-8.7678726963784414E-4</c:v>
                </c:pt>
                <c:pt idx="564">
                  <c:v>-8.6380221169706818E-4</c:v>
                </c:pt>
                <c:pt idx="565">
                  <c:v>-8.5945805949431649E-4</c:v>
                </c:pt>
                <c:pt idx="566">
                  <c:v>-8.5510600706361099E-4</c:v>
                </c:pt>
                <c:pt idx="567">
                  <c:v>-8.5074605413492732E-4</c:v>
                </c:pt>
                <c:pt idx="568">
                  <c:v>-8.4637820043824115E-4</c:v>
                </c:pt>
                <c:pt idx="569">
                  <c:v>-8.3322723203992468E-4</c:v>
                </c:pt>
                <c:pt idx="570">
                  <c:v>-8.2882777257098567E-4</c:v>
                </c:pt>
                <c:pt idx="571">
                  <c:v>-8.2442041098392145E-4</c:v>
                </c:pt>
                <c:pt idx="572">
                  <c:v>-8.2000514700870844E-4</c:v>
                </c:pt>
                <c:pt idx="573">
                  <c:v>-8.1558198037532227E-4</c:v>
                </c:pt>
                <c:pt idx="574">
                  <c:v>-8.0226506182588147E-4</c:v>
                </c:pt>
                <c:pt idx="575">
                  <c:v>-7.9781028185955981E-4</c:v>
                </c:pt>
                <c:pt idx="576">
                  <c:v>-7.9334759788494231E-4</c:v>
                </c:pt>
                <c:pt idx="577">
                  <c:v>-7.8887700963200624E-4</c:v>
                </c:pt>
                <c:pt idx="578">
                  <c:v>-7.8439851683072541E-4</c:v>
                </c:pt>
                <c:pt idx="579">
                  <c:v>-7.7091560843657722E-4</c:v>
                </c:pt>
                <c:pt idx="580">
                  <c:v>-7.664054947416777E-4</c:v>
                </c:pt>
                <c:pt idx="581">
                  <c:v>-7.6188747514831245E-4</c:v>
                </c:pt>
                <c:pt idx="582">
                  <c:v>-7.57361549386458E-4</c:v>
                </c:pt>
                <c:pt idx="583">
                  <c:v>-7.5282771718608837E-4</c:v>
                </c:pt>
                <c:pt idx="584">
                  <c:v>-7.3917877925364995E-4</c:v>
                </c:pt>
                <c:pt idx="585">
                  <c:v>-7.3461331859897875E-4</c:v>
                </c:pt>
                <c:pt idx="586">
                  <c:v>-7.3003995015567141E-4</c:v>
                </c:pt>
                <c:pt idx="587">
                  <c:v>-7.2545867365370314E-4</c:v>
                </c:pt>
                <c:pt idx="588">
                  <c:v>-7.2086948882305014E-4</c:v>
                </c:pt>
                <c:pt idx="589">
                  <c:v>-7.07054481658738E-4</c:v>
                </c:pt>
                <c:pt idx="590">
                  <c:v>-7.0243366081310077E-4</c:v>
                </c:pt>
                <c:pt idx="591">
                  <c:v>-6.9780493028865677E-4</c:v>
                </c:pt>
                <c:pt idx="592">
                  <c:v>-6.9316828981538119E-4</c:v>
                </c:pt>
                <c:pt idx="593">
                  <c:v>-6.8852373912325004E-4</c:v>
                </c:pt>
                <c:pt idx="594">
                  <c:v>-6.7454262303347917E-4</c:v>
                </c:pt>
                <c:pt idx="595">
                  <c:v>-6.6986642876568146E-4</c:v>
                </c:pt>
                <c:pt idx="596">
                  <c:v>-6.6518232292890676E-4</c:v>
                </c:pt>
                <c:pt idx="597">
                  <c:v>-6.6049030525312943E-4</c:v>
                </c:pt>
                <c:pt idx="598">
                  <c:v>-6.5579037546832555E-4</c:v>
                </c:pt>
                <c:pt idx="599">
                  <c:v>-6.4164311075951268E-4</c:v>
                </c:pt>
                <c:pt idx="600">
                  <c:v>-6.3691152983835981E-4</c:v>
                </c:pt>
                <c:pt idx="601">
                  <c:v>-6.321720354580593E-4</c:v>
                </c:pt>
                <c:pt idx="602">
                  <c:v>-6.2742462734858564E-4</c:v>
                </c:pt>
                <c:pt idx="603">
                  <c:v>-6.2266930523991555E-4</c:v>
                </c:pt>
                <c:pt idx="604">
                  <c:v>-6.0835585221847763E-4</c:v>
                </c:pt>
                <c:pt idx="605">
                  <c:v>-6.0356887141277524E-4</c:v>
                </c:pt>
                <c:pt idx="606">
                  <c:v>-5.9877397525775382E-4</c:v>
                </c:pt>
                <c:pt idx="607">
                  <c:v>-5.9397116348338991E-4</c:v>
                </c:pt>
                <c:pt idx="608">
                  <c:v>-5.8916043581965752E-4</c:v>
                </c:pt>
                <c:pt idx="609">
                  <c:v>-5.7468075479201193E-4</c:v>
                </c:pt>
                <c:pt idx="610">
                  <c:v>-5.6983836087056534E-4</c:v>
                </c:pt>
                <c:pt idx="611">
                  <c:v>-5.6498804970962909E-4</c:v>
                </c:pt>
                <c:pt idx="612">
                  <c:v>-5.6012982103917906E-4</c:v>
                </c:pt>
                <c:pt idx="613">
                  <c:v>-5.5526367458919078E-4</c:v>
                </c:pt>
                <c:pt idx="614">
                  <c:v>-5.4061772586175326E-4</c:v>
                </c:pt>
                <c:pt idx="615">
                  <c:v>-5.3571990559336867E-4</c:v>
                </c:pt>
                <c:pt idx="616">
                  <c:v>-5.3081416619532335E-4</c:v>
                </c:pt>
                <c:pt idx="617">
                  <c:v>-5.2590050739759328E-4</c:v>
                </c:pt>
                <c:pt idx="618">
                  <c:v>-5.2097892893015444E-4</c:v>
                </c:pt>
                <c:pt idx="619">
                  <c:v>-5.0616667280934129E-4</c:v>
                </c:pt>
                <c:pt idx="620">
                  <c:v>-5.0121341296282293E-4</c:v>
                </c:pt>
                <c:pt idx="621">
                  <c:v>-4.962522320964745E-4</c:v>
                </c:pt>
                <c:pt idx="622">
                  <c:v>-4.9128312994027015E-4</c:v>
                </c:pt>
                <c:pt idx="623">
                  <c:v>-4.8630610622418628E-4</c:v>
                </c:pt>
                <c:pt idx="624">
                  <c:v>-4.7132750301641325E-4</c:v>
                </c:pt>
                <c:pt idx="625">
                  <c:v>-4.6631879036056727E-4</c:v>
                </c:pt>
                <c:pt idx="626">
                  <c:v>-4.6130215479472058E-4</c:v>
                </c:pt>
                <c:pt idx="627">
                  <c:v>-4.5627759604884732E-4</c:v>
                </c:pt>
                <c:pt idx="628">
                  <c:v>-4.5124511385292472E-4</c:v>
                </c:pt>
                <c:pt idx="629">
                  <c:v>-4.3610012386460914E-4</c:v>
                </c:pt>
                <c:pt idx="630">
                  <c:v>-4.3103594516824101E-4</c:v>
                </c:pt>
                <c:pt idx="631">
                  <c:v>-4.2596384167170072E-4</c:v>
                </c:pt>
                <c:pt idx="632">
                  <c:v>-4.2088381310496404E-4</c:v>
                </c:pt>
                <c:pt idx="633">
                  <c:v>-4.1579585919800734E-4</c:v>
                </c:pt>
                <c:pt idx="634">
                  <c:v>-4.0048444273556663E-4</c:v>
                </c:pt>
                <c:pt idx="635">
                  <c:v>-3.9536478476748184E-4</c:v>
                </c:pt>
                <c:pt idx="636">
                  <c:v>-3.9023720010905431E-4</c:v>
                </c:pt>
                <c:pt idx="637">
                  <c:v>-3.8510168849025976E-4</c:v>
                </c:pt>
                <c:pt idx="638">
                  <c:v>-3.7995824964107361E-4</c:v>
                </c:pt>
                <c:pt idx="639">
                  <c:v>-3.6448036701092326E-4</c:v>
                </c:pt>
                <c:pt idx="640">
                  <c:v>-3.5930521653992816E-4</c:v>
                </c:pt>
                <c:pt idx="641">
                  <c:v>-3.5412213748841888E-4</c:v>
                </c:pt>
                <c:pt idx="642">
                  <c:v>-3.4893112958637188E-4</c:v>
                </c:pt>
                <c:pt idx="643">
                  <c:v>-3.4373219256376265E-4</c:v>
                </c:pt>
                <c:pt idx="644">
                  <c:v>-3.280878040723184E-4</c:v>
                </c:pt>
                <c:pt idx="645">
                  <c:v>-3.2285715537633448E-4</c:v>
                </c:pt>
                <c:pt idx="646">
                  <c:v>-3.1761862126436659E-4</c:v>
                </c:pt>
                <c:pt idx="647">
                  <c:v>-3.1237224652109287E-4</c:v>
                </c:pt>
                <c:pt idx="648">
                  <c:v>-3.0711807593118804E-4</c:v>
                </c:pt>
                <c:pt idx="649">
                  <c:v>-2.9130923692845728E-4</c:v>
                </c:pt>
                <c:pt idx="650">
                  <c:v>-2.8602433079879646E-4</c:v>
                </c:pt>
                <c:pt idx="651">
                  <c:v>-2.8073185274588784E-4</c:v>
                </c:pt>
                <c:pt idx="652">
                  <c:v>-2.754318475544089E-4</c:v>
                </c:pt>
                <c:pt idx="653">
                  <c:v>-2.7012436000903414E-4</c:v>
                </c:pt>
                <c:pt idx="654">
                  <c:v>-2.5415745109630682E-4</c:v>
                </c:pt>
                <c:pt idx="655">
                  <c:v>-2.4882048198211765E-4</c:v>
                </c:pt>
                <c:pt idx="656">
                  <c:v>-2.4347625443741608E-4</c:v>
                </c:pt>
                <c:pt idx="657">
                  <c:v>-2.381248132468786E-4</c:v>
                </c:pt>
                <c:pt idx="658">
                  <c:v>-2.3276620319518166E-4</c:v>
                </c:pt>
                <c:pt idx="659">
                  <c:v>-2.1664780771990083E-4</c:v>
                </c:pt>
                <c:pt idx="660">
                  <c:v>-2.0046650474253661E-4</c:v>
                </c:pt>
                <c:pt idx="661">
                  <c:v>-1.9505896663366516E-4</c:v>
                </c:pt>
                <c:pt idx="662">
                  <c:v>-1.7879566794327213E-4</c:v>
                </c:pt>
                <c:pt idx="663">
                  <c:v>-1.6792001302662563E-4</c:v>
                </c:pt>
                <c:pt idx="664">
                  <c:v>-1.6247228318541597E-4</c:v>
                </c:pt>
                <c:pt idx="665">
                  <c:v>-1.570180114685176E-4</c:v>
                </c:pt>
                <c:pt idx="666">
                  <c:v>-1.4061639291045538E-4</c:v>
                </c:pt>
                <c:pt idx="667">
                  <c:v>-1.3513640153756804E-4</c:v>
                </c:pt>
                <c:pt idx="668">
                  <c:v>-1.2965009221237357E-4</c:v>
                </c:pt>
                <c:pt idx="669">
                  <c:v>-1.2415750971954938E-4</c:v>
                </c:pt>
                <c:pt idx="670">
                  <c:v>-1.1865869884377271E-4</c:v>
                </c:pt>
                <c:pt idx="671">
                  <c:v>-1.0212534376548518E-4</c:v>
                </c:pt>
                <c:pt idx="672">
                  <c:v>-9.6602067204659312E-5</c:v>
                </c:pt>
                <c:pt idx="673">
                  <c:v>-9.1072786184262587E-5</c:v>
                </c:pt>
                <c:pt idx="674">
                  <c:v>-8.5537545488972356E-5</c:v>
                </c:pt>
                <c:pt idx="675">
                  <c:v>-7.9996389903463301E-5</c:v>
                </c:pt>
                <c:pt idx="676">
                  <c:v>-6.3337881652394409E-5</c:v>
                </c:pt>
                <c:pt idx="677">
                  <c:v>-5.7773514352778587E-5</c:v>
                </c:pt>
                <c:pt idx="678">
                  <c:v>-5.2203456086327242E-5</c:v>
                </c:pt>
                <c:pt idx="679">
                  <c:v>-4.662775163771689E-5</c:v>
                </c:pt>
                <c:pt idx="680">
                  <c:v>-4.1046445791624006E-5</c:v>
                </c:pt>
                <c:pt idx="681">
                  <c:v>-2.4269367715215933E-5</c:v>
                </c:pt>
                <c:pt idx="682">
                  <c:v>-1.8666104125958714E-5</c:v>
                </c:pt>
                <c:pt idx="683">
                  <c:v>-1.305746306260039E-5</c:v>
                </c:pt>
                <c:pt idx="684">
                  <c:v>-7.4434893098185202E-6</c:v>
                </c:pt>
                <c:pt idx="685">
                  <c:v>-1.8242276522894601E-6</c:v>
                </c:pt>
                <c:pt idx="686">
                  <c:v>1.5064836902014761E-5</c:v>
                </c:pt>
                <c:pt idx="687">
                  <c:v>2.0704802331767573E-5</c:v>
                </c:pt>
                <c:pt idx="688">
                  <c:v>2.6349831742885087E-5</c:v>
                </c:pt>
                <c:pt idx="689">
                  <c:v>3.1999880350689879E-5</c:v>
                </c:pt>
                <c:pt idx="690">
                  <c:v>3.7654903370507457E-5</c:v>
                </c:pt>
                <c:pt idx="691">
                  <c:v>5.4649371055265748E-5</c:v>
                </c:pt>
                <c:pt idx="692">
                  <c:v>6.0323843876365459E-5</c:v>
                </c:pt>
                <c:pt idx="693">
                  <c:v>6.6003067186093655E-5</c:v>
                </c:pt>
                <c:pt idx="694">
                  <c:v>7.1686996199775589E-5</c:v>
                </c:pt>
                <c:pt idx="695">
                  <c:v>7.7375586132733885E-5</c:v>
                </c:pt>
                <c:pt idx="696">
                  <c:v>9.4468873600501378E-5</c:v>
                </c:pt>
                <c:pt idx="697">
                  <c:v>1.0017565936380044E-4</c:v>
                </c:pt>
                <c:pt idx="698">
                  <c:v>1.0588688212299338E-4</c:v>
                </c:pt>
                <c:pt idx="699">
                  <c:v>1.1160249709340288E-4</c:v>
                </c:pt>
                <c:pt idx="700">
                  <c:v>1.1732245949035436E-4</c:v>
                </c:pt>
                <c:pt idx="701">
                  <c:v>1.3450798339368893E-4</c:v>
                </c:pt>
                <c:pt idx="702">
                  <c:v>1.4024488765003953E-4</c:v>
                </c:pt>
                <c:pt idx="703">
                  <c:v>1.4598591540954873E-4</c:v>
                </c:pt>
                <c:pt idx="704">
                  <c:v>1.5173102188754001E-4</c:v>
                </c:pt>
                <c:pt idx="705">
                  <c:v>1.5748016229933688E-4</c:v>
                </c:pt>
                <c:pt idx="706">
                  <c:v>1.747513392907955E-4</c:v>
                </c:pt>
                <c:pt idx="707">
                  <c:v>1.8051616759105001E-4</c:v>
                </c:pt>
                <c:pt idx="708">
                  <c:v>1.862848059017268E-4</c:v>
                </c:pt>
                <c:pt idx="709">
                  <c:v>1.9205720943815124E-4</c:v>
                </c:pt>
                <c:pt idx="710">
                  <c:v>1.9783333341564588E-4</c:v>
                </c:pt>
                <c:pt idx="711">
                  <c:v>2.151835801477855E-4</c:v>
                </c:pt>
                <c:pt idx="712">
                  <c:v>2.2097413804279627E-4</c:v>
                </c:pt>
                <c:pt idx="713">
                  <c:v>2.2676819245549487E-4</c:v>
                </c:pt>
                <c:pt idx="714">
                  <c:v>2.3256569860120478E-4</c:v>
                </c:pt>
                <c:pt idx="715">
                  <c:v>2.3836661169524852E-4</c:v>
                </c:pt>
                <c:pt idx="716">
                  <c:v>2.5578934482062716E-4</c:v>
                </c:pt>
                <c:pt idx="717">
                  <c:v>2.6160343786124646E-4</c:v>
                </c:pt>
                <c:pt idx="718">
                  <c:v>2.6742071392681728E-4</c:v>
                </c:pt>
                <c:pt idx="719">
                  <c:v>2.7324112823266496E-4</c:v>
                </c:pt>
                <c:pt idx="720">
                  <c:v>2.7906463599411212E-4</c:v>
                </c:pt>
                <c:pt idx="721">
                  <c:v>2.9655327216528469E-4</c:v>
                </c:pt>
                <c:pt idx="722">
                  <c:v>3.0238870590236483E-4</c:v>
                </c:pt>
                <c:pt idx="723">
                  <c:v>3.0822700917166218E-4</c:v>
                </c:pt>
                <c:pt idx="724">
                  <c:v>3.1406813718850006E-4</c:v>
                </c:pt>
                <c:pt idx="725">
                  <c:v>3.1991204516820099E-4</c:v>
                </c:pt>
                <c:pt idx="726">
                  <c:v>3.3746000103772545E-4</c:v>
                </c:pt>
                <c:pt idx="727">
                  <c:v>3.4331458102211887E-4</c:v>
                </c:pt>
                <c:pt idx="728">
                  <c:v>3.4917171704599393E-4</c:v>
                </c:pt>
                <c:pt idx="729">
                  <c:v>3.5503136432467423E-4</c:v>
                </c:pt>
                <c:pt idx="730">
                  <c:v>3.6089347807348313E-4</c:v>
                </c:pt>
                <c:pt idx="731">
                  <c:v>3.784941702939165E-4</c:v>
                </c:pt>
                <c:pt idx="732">
                  <c:v>3.8436570207647547E-4</c:v>
                </c:pt>
                <c:pt idx="733">
                  <c:v>3.902394764057798E-4</c:v>
                </c:pt>
                <c:pt idx="734">
                  <c:v>3.9611544849715472E-4</c:v>
                </c:pt>
                <c:pt idx="735">
                  <c:v>4.0199357356592312E-4</c:v>
                </c:pt>
                <c:pt idx="736">
                  <c:v>4.1964041878982328E-4</c:v>
                </c:pt>
                <c:pt idx="737">
                  <c:v>4.2552670792139904E-4</c:v>
                </c:pt>
                <c:pt idx="738">
                  <c:v>4.3141492610698681E-4</c:v>
                </c:pt>
                <c:pt idx="739">
                  <c:v>4.3730502856190894E-4</c:v>
                </c:pt>
                <c:pt idx="740">
                  <c:v>4.6678223741285793E-4</c:v>
                </c:pt>
                <c:pt idx="741">
                  <c:v>4.7268270500558038E-4</c:v>
                </c:pt>
                <c:pt idx="742">
                  <c:v>4.7858474337490102E-4</c:v>
                </c:pt>
                <c:pt idx="743">
                  <c:v>4.8448830773614509E-4</c:v>
                </c:pt>
                <c:pt idx="744">
                  <c:v>5.0220770892464692E-4</c:v>
                </c:pt>
                <c:pt idx="745">
                  <c:v>5.0811692940681634E-4</c:v>
                </c:pt>
                <c:pt idx="746">
                  <c:v>5.1993923179209926E-4</c:v>
                </c:pt>
                <c:pt idx="747">
                  <c:v>5.2585222412585963E-4</c:v>
                </c:pt>
                <c:pt idx="748">
                  <c:v>5.4359802827549811E-4</c:v>
                </c:pt>
                <c:pt idx="749">
                  <c:v>5.4951542275924145E-4</c:v>
                </c:pt>
                <c:pt idx="750">
                  <c:v>5.5543380581879063E-4</c:v>
                </c:pt>
                <c:pt idx="751">
                  <c:v>5.6135313266946786E-4</c:v>
                </c:pt>
                <c:pt idx="752">
                  <c:v>5.6727335852659695E-4</c:v>
                </c:pt>
                <c:pt idx="753">
                  <c:v>5.8503898228992927E-4</c:v>
                </c:pt>
                <c:pt idx="754">
                  <c:v>5.9096235632610068E-4</c:v>
                </c:pt>
                <c:pt idx="755">
                  <c:v>5.9688640544534161E-4</c:v>
                </c:pt>
                <c:pt idx="756">
                  <c:v>6.0281108486297415E-4</c:v>
                </c:pt>
                <c:pt idx="757">
                  <c:v>6.0873634979432428E-4</c:v>
                </c:pt>
                <c:pt idx="758">
                  <c:v>6.2651520982390826E-4</c:v>
                </c:pt>
                <c:pt idx="759">
                  <c:v>6.3244236896335812E-4</c:v>
                </c:pt>
                <c:pt idx="760">
                  <c:v>6.3836988969314301E-4</c:v>
                </c:pt>
                <c:pt idx="761">
                  <c:v>6.4429772722858546E-4</c:v>
                </c:pt>
                <c:pt idx="762">
                  <c:v>6.5022583678500884E-4</c:v>
                </c:pt>
                <c:pt idx="763">
                  <c:v>6.6801134973339929E-4</c:v>
                </c:pt>
                <c:pt idx="764">
                  <c:v>6.7394009952698218E-4</c:v>
                </c:pt>
                <c:pt idx="765">
                  <c:v>6.7986889741816347E-4</c:v>
                </c:pt>
                <c:pt idx="766">
                  <c:v>6.8579769862226576E-4</c:v>
                </c:pt>
                <c:pt idx="767">
                  <c:v>6.9172645835461483E-4</c:v>
                </c:pt>
                <c:pt idx="768">
                  <c:v>7.0951204087437011E-4</c:v>
                </c:pt>
                <c:pt idx="769">
                  <c:v>7.1544019427536925E-4</c:v>
                </c:pt>
                <c:pt idx="770">
                  <c:v>7.2136812669582626E-4</c:v>
                </c:pt>
                <c:pt idx="771">
                  <c:v>7.2729583776565891E-4</c:v>
                </c:pt>
                <c:pt idx="772">
                  <c:v>7.3322332711478553E-4</c:v>
                </c:pt>
                <c:pt idx="773">
                  <c:v>7.5100446113710723E-4</c:v>
                </c:pt>
                <c:pt idx="774">
                  <c:v>7.5693105990258839E-4</c:v>
                </c:pt>
                <c:pt idx="775">
                  <c:v>7.6285743509695427E-4</c:v>
                </c:pt>
                <c:pt idx="776">
                  <c:v>7.687835863501222E-4</c:v>
                </c:pt>
                <c:pt idx="777">
                  <c:v>7.7470951329201019E-4</c:v>
                </c:pt>
                <c:pt idx="778">
                  <c:v>7.9248594454917444E-4</c:v>
                </c:pt>
                <c:pt idx="779">
                  <c:v>7.9841097054512175E-4</c:v>
                </c:pt>
                <c:pt idx="780">
                  <c:v>8.0433577037938039E-4</c:v>
                </c:pt>
                <c:pt idx="781">
                  <c:v>8.1026034368186599E-4</c:v>
                </c:pt>
                <c:pt idx="782">
                  <c:v>8.1618469008249892E-4</c:v>
                </c:pt>
                <c:pt idx="783">
                  <c:v>8.3395636417245528E-4</c:v>
                </c:pt>
                <c:pt idx="784">
                  <c:v>8.3987979926485338E-4</c:v>
                </c:pt>
                <c:pt idx="785">
                  <c:v>8.4580300560498783E-4</c:v>
                </c:pt>
                <c:pt idx="786">
                  <c:v>8.5172598282277597E-4</c:v>
                </c:pt>
                <c:pt idx="787">
                  <c:v>8.576487305481372E-4</c:v>
                </c:pt>
                <c:pt idx="788">
                  <c:v>8.754155930688353E-4</c:v>
                </c:pt>
                <c:pt idx="789">
                  <c:v>8.8133741912366659E-4</c:v>
                </c:pt>
                <c:pt idx="790">
                  <c:v>8.8725901383566064E-4</c:v>
                </c:pt>
                <c:pt idx="791">
                  <c:v>8.9318037683473522E-4</c:v>
                </c:pt>
                <c:pt idx="792">
                  <c:v>8.9910150775080844E-4</c:v>
                </c:pt>
                <c:pt idx="793">
                  <c:v>9.1686350430019857E-4</c:v>
                </c:pt>
                <c:pt idx="794">
                  <c:v>9.2278370318344674E-4</c:v>
                </c:pt>
                <c:pt idx="795">
                  <c:v>9.2870366813328374E-4</c:v>
                </c:pt>
                <c:pt idx="796">
                  <c:v>9.3462339877962758E-4</c:v>
                </c:pt>
                <c:pt idx="797">
                  <c:v>9.4054289475239625E-4</c:v>
                </c:pt>
                <c:pt idx="798">
                  <c:v>9.5829997092843078E-4</c:v>
                </c:pt>
                <c:pt idx="799">
                  <c:v>9.6421852450607939E-4</c:v>
                </c:pt>
                <c:pt idx="800">
                  <c:v>9.7013684155974184E-4</c:v>
                </c:pt>
                <c:pt idx="801">
                  <c:v>9.7605492171933829E-4</c:v>
                </c:pt>
                <c:pt idx="802">
                  <c:v>9.8197276461478599E-4</c:v>
                </c:pt>
                <c:pt idx="803">
                  <c:v>9.9972486601541564E-4</c:v>
                </c:pt>
                <c:pt idx="804">
                  <c:v>1.0056417561534465E-3</c:v>
                </c:pt>
                <c:pt idx="805">
                  <c:v>1.0115584071769201E-3</c:v>
                </c:pt>
                <c:pt idx="806">
                  <c:v>1.0174748187157529E-3</c:v>
                </c:pt>
                <c:pt idx="807">
                  <c:v>1.0233909903998621E-3</c:v>
                </c:pt>
                <c:pt idx="808">
                  <c:v>1.0411380626230359E-3</c:v>
                </c:pt>
                <c:pt idx="809">
                  <c:v>1.0470532711874354E-3</c:v>
                </c:pt>
                <c:pt idx="810">
                  <c:v>1.0529682380467022E-3</c:v>
                </c:pt>
                <c:pt idx="811">
                  <c:v>1.0588829628307536E-3</c:v>
                </c:pt>
                <c:pt idx="812">
                  <c:v>1.0647974451695095E-3</c:v>
                </c:pt>
                <c:pt idx="813">
                  <c:v>1.0825394338131774E-3</c:v>
                </c:pt>
                <c:pt idx="814">
                  <c:v>1.088452942669928E-3</c:v>
                </c:pt>
                <c:pt idx="815">
                  <c:v>1.0943662072309716E-3</c:v>
                </c:pt>
                <c:pt idx="816">
                  <c:v>1.1002792271262271E-3</c:v>
                </c:pt>
                <c:pt idx="817">
                  <c:v>1.1061920019856124E-3</c:v>
                </c:pt>
                <c:pt idx="818">
                  <c:v>1.1239288526477247E-3</c:v>
                </c:pt>
                <c:pt idx="819">
                  <c:v>1.1298406436628095E-3</c:v>
                </c:pt>
                <c:pt idx="820">
                  <c:v>1.1357521877916137E-3</c:v>
                </c:pt>
                <c:pt idx="821">
                  <c:v>1.1416634846640559E-3</c:v>
                </c:pt>
                <c:pt idx="822">
                  <c:v>1.1475745339100539E-3</c:v>
                </c:pt>
                <c:pt idx="823">
                  <c:v>1.1653061921885631E-3</c:v>
                </c:pt>
                <c:pt idx="824">
                  <c:v>1.1712162472279654E-3</c:v>
                </c:pt>
                <c:pt idx="825">
                  <c:v>1.1771260527905125E-3</c:v>
                </c:pt>
                <c:pt idx="826">
                  <c:v>1.1830356085061251E-3</c:v>
                </c:pt>
                <c:pt idx="827">
                  <c:v>1.1889449140047195E-3</c:v>
                </c:pt>
                <c:pt idx="828">
                  <c:v>1.206671325497576E-3</c:v>
                </c:pt>
                <c:pt idx="829">
                  <c:v>1.2125796264272795E-3</c:v>
                </c:pt>
                <c:pt idx="830">
                  <c:v>1.2184876752895542E-3</c:v>
                </c:pt>
                <c:pt idx="831">
                  <c:v>1.22439547171432E-3</c:v>
                </c:pt>
                <c:pt idx="832">
                  <c:v>1.2303030153314935E-3</c:v>
                </c:pt>
                <c:pt idx="833">
                  <c:v>1.2480241256366468E-3</c:v>
                </c:pt>
                <c:pt idx="834">
                  <c:v>1.253930654322635E-3</c:v>
                </c:pt>
                <c:pt idx="835">
                  <c:v>1.2598369283506215E-3</c:v>
                </c:pt>
                <c:pt idx="836">
                  <c:v>1.2657429473505247E-3</c:v>
                </c:pt>
                <c:pt idx="837">
                  <c:v>1.2716487109522617E-3</c:v>
                </c:pt>
                <c:pt idx="838">
                  <c:v>1.2893644656676614E-3</c:v>
                </c:pt>
                <c:pt idx="839">
                  <c:v>1.2952692039759173E-3</c:v>
                </c:pt>
                <c:pt idx="840">
                  <c:v>1.3011736850355982E-3</c:v>
                </c:pt>
                <c:pt idx="841">
                  <c:v>1.3070779084766221E-3</c:v>
                </c:pt>
                <c:pt idx="842">
                  <c:v>1.3129818739289066E-3</c:v>
                </c:pt>
                <c:pt idx="843">
                  <c:v>1.3306922186525044E-3</c:v>
                </c:pt>
                <c:pt idx="844">
                  <c:v>1.3365951484490114E-3</c:v>
                </c:pt>
                <c:pt idx="845">
                  <c:v>1.3424978184063702E-3</c:v>
                </c:pt>
                <c:pt idx="846">
                  <c:v>1.3484002281544979E-3</c:v>
                </c:pt>
                <c:pt idx="847">
                  <c:v>1.3543023773233129E-3</c:v>
                </c:pt>
                <c:pt idx="848">
                  <c:v>1.3720072576530597E-3</c:v>
                </c:pt>
                <c:pt idx="849">
                  <c:v>1.3779083608038017E-3</c:v>
                </c:pt>
                <c:pt idx="850">
                  <c:v>1.3838092015248217E-3</c:v>
                </c:pt>
                <c:pt idx="851">
                  <c:v>1.3897097794460366E-3</c:v>
                </c:pt>
                <c:pt idx="852">
                  <c:v>1.395610094197365E-3</c:v>
                </c:pt>
                <c:pt idx="853">
                  <c:v>1.4133094557312108E-3</c:v>
                </c:pt>
                <c:pt idx="854">
                  <c:v>1.4192087141021725E-3</c:v>
                </c:pt>
                <c:pt idx="855">
                  <c:v>1.4251077074528375E-3</c:v>
                </c:pt>
                <c:pt idx="856">
                  <c:v>1.4310064354131232E-3</c:v>
                </c:pt>
                <c:pt idx="857">
                  <c:v>1.4369048976129494E-3</c:v>
                </c:pt>
                <c:pt idx="858">
                  <c:v>1.454598685948843E-3</c:v>
                </c:pt>
                <c:pt idx="859">
                  <c:v>1.4604960814060069E-3</c:v>
                </c:pt>
                <c:pt idx="860">
                  <c:v>1.4663932092523002E-3</c:v>
                </c:pt>
                <c:pt idx="861">
                  <c:v>1.4722900691176415E-3</c:v>
                </c:pt>
                <c:pt idx="862">
                  <c:v>1.478186660631947E-3</c:v>
                </c:pt>
                <c:pt idx="863">
                  <c:v>1.4958748213678406E-3</c:v>
                </c:pt>
                <c:pt idx="864">
                  <c:v>1.5017703357771901E-3</c:v>
                </c:pt>
                <c:pt idx="865">
                  <c:v>1.5076655799850956E-3</c:v>
                </c:pt>
                <c:pt idx="866">
                  <c:v>1.5135605536214748E-3</c:v>
                </c:pt>
                <c:pt idx="867">
                  <c:v>1.5194552563162459E-3</c:v>
                </c:pt>
                <c:pt idx="868">
                  <c:v>1.5371377350500892E-3</c:v>
                </c:pt>
                <c:pt idx="869">
                  <c:v>1.5430313502776082E-3</c:v>
                </c:pt>
                <c:pt idx="870">
                  <c:v>1.5489246927131079E-3</c:v>
                </c:pt>
                <c:pt idx="871">
                  <c:v>1.5548177619865086E-3</c:v>
                </c:pt>
                <c:pt idx="872">
                  <c:v>1.5607105577277274E-3</c:v>
                </c:pt>
                <c:pt idx="873">
                  <c:v>1.5783873000574725E-3</c:v>
                </c:pt>
                <c:pt idx="874">
                  <c:v>1.584278997969143E-3</c:v>
                </c:pt>
                <c:pt idx="875">
                  <c:v>1.5901704204982225E-3</c:v>
                </c:pt>
                <c:pt idx="876">
                  <c:v>1.5960615672746272E-3</c:v>
                </c:pt>
                <c:pt idx="877">
                  <c:v>1.6019524379282774E-3</c:v>
                </c:pt>
                <c:pt idx="878">
                  <c:v>1.6196233894518739E-3</c:v>
                </c:pt>
                <c:pt idx="879">
                  <c:v>1.6255131519136812E-3</c:v>
                </c:pt>
                <c:pt idx="880">
                  <c:v>1.6314026364023233E-3</c:v>
                </c:pt>
                <c:pt idx="881">
                  <c:v>1.6372918425477166E-3</c:v>
                </c:pt>
                <c:pt idx="882">
                  <c:v>1.6431807699797815E-3</c:v>
                </c:pt>
                <c:pt idx="883">
                  <c:v>1.6608458762951781E-3</c:v>
                </c:pt>
                <c:pt idx="884">
                  <c:v>1.6667336851731054E-3</c:v>
                </c:pt>
                <c:pt idx="885">
                  <c:v>1.672621213487293E-3</c:v>
                </c:pt>
                <c:pt idx="886">
                  <c:v>1.6785084608676594E-3</c:v>
                </c:pt>
                <c:pt idx="887">
                  <c:v>1.6843954269441224E-3</c:v>
                </c:pt>
                <c:pt idx="888">
                  <c:v>1.7020546336492706E-3</c:v>
                </c:pt>
                <c:pt idx="889">
                  <c:v>1.7079404708093006E-3</c:v>
                </c:pt>
                <c:pt idx="890">
                  <c:v>1.713826024815018E-3</c:v>
                </c:pt>
                <c:pt idx="891">
                  <c:v>1.7197112952963395E-3</c:v>
                </c:pt>
                <c:pt idx="892">
                  <c:v>1.7255962818831846E-3</c:v>
                </c:pt>
                <c:pt idx="893">
                  <c:v>1.7432495345760357E-3</c:v>
                </c:pt>
                <c:pt idx="894">
                  <c:v>1.7491333818841525E-3</c:v>
                </c:pt>
                <c:pt idx="895">
                  <c:v>1.7550169434473813E-3</c:v>
                </c:pt>
                <c:pt idx="896">
                  <c:v>1.7609002188956424E-3</c:v>
                </c:pt>
                <c:pt idx="897">
                  <c:v>1.7667832078588524E-3</c:v>
                </c:pt>
                <c:pt idx="898">
                  <c:v>1.7844304521373578E-3</c:v>
                </c:pt>
                <c:pt idx="899">
                  <c:v>1.7903122952133725E-3</c:v>
                </c:pt>
                <c:pt idx="900">
                  <c:v>1.7961938724768932E-3</c:v>
                </c:pt>
                <c:pt idx="901">
                  <c:v>1.8020752060808069E-3</c:v>
                </c:pt>
                <c:pt idx="902">
                  <c:v>1.8079563181779977E-3</c:v>
                </c:pt>
                <c:pt idx="903">
                  <c:v>1.8255985469580944E-3</c:v>
                </c:pt>
                <c:pt idx="904">
                  <c:v>1.8314789945572522E-3</c:v>
                </c:pt>
                <c:pt idx="905">
                  <c:v>1.8373593314141153E-3</c:v>
                </c:pt>
                <c:pt idx="906">
                  <c:v>1.8432395796815694E-3</c:v>
                </c:pt>
                <c:pt idx="907">
                  <c:v>1.8491197615124991E-3</c:v>
                </c:pt>
                <c:pt idx="908">
                  <c:v>1.8667601299150027E-3</c:v>
                </c:pt>
                <c:pt idx="909">
                  <c:v>1.8726402675286939E-3</c:v>
                </c:pt>
                <c:pt idx="910">
                  <c:v>1.878520449470289E-3</c:v>
                </c:pt>
                <c:pt idx="911">
                  <c:v>1.8844006978926732E-3</c:v>
                </c:pt>
                <c:pt idx="912">
                  <c:v>1.8902810349487329E-3</c:v>
                </c:pt>
                <c:pt idx="913">
                  <c:v>1.9079227994478151E-3</c:v>
                </c:pt>
                <c:pt idx="914">
                  <c:v>1.9138037125674284E-3</c:v>
                </c:pt>
                <c:pt idx="915">
                  <c:v>1.9314477369264291E-3</c:v>
                </c:pt>
                <c:pt idx="916">
                  <c:v>1.949094153996261E-3</c:v>
                </c:pt>
                <c:pt idx="917">
                  <c:v>1.9549769281131881E-3</c:v>
                </c:pt>
                <c:pt idx="918">
                  <c:v>1.9667114105397397E-3</c:v>
                </c:pt>
                <c:pt idx="919">
                  <c:v>1.9725792354834595E-3</c:v>
                </c:pt>
                <c:pt idx="920">
                  <c:v>1.9901853088979942E-3</c:v>
                </c:pt>
                <c:pt idx="921">
                  <c:v>1.9960549394699633E-3</c:v>
                </c:pt>
                <c:pt idx="922">
                  <c:v>2.0019250763784972E-3</c:v>
                </c:pt>
                <c:pt idx="923">
                  <c:v>2.0077957415953946E-3</c:v>
                </c:pt>
                <c:pt idx="924">
                  <c:v>2.0136669570924538E-3</c:v>
                </c:pt>
                <c:pt idx="925">
                  <c:v>2.0312841249826167E-3</c:v>
                </c:pt>
                <c:pt idx="926">
                  <c:v>2.037157761318333E-3</c:v>
                </c:pt>
                <c:pt idx="927">
                  <c:v>2.0430320577932114E-3</c:v>
                </c:pt>
                <c:pt idx="928">
                  <c:v>2.0489070363790551E-3</c:v>
                </c:pt>
                <c:pt idx="929">
                  <c:v>2.0547827190476636E-3</c:v>
                </c:pt>
                <c:pt idx="930">
                  <c:v>2.0724142112680775E-3</c:v>
                </c:pt>
                <c:pt idx="931">
                  <c:v>2.0782929299857462E-3</c:v>
                </c:pt>
                <c:pt idx="932">
                  <c:v>2.0841724626451791E-3</c:v>
                </c:pt>
                <c:pt idx="933">
                  <c:v>2.0900528312181779E-3</c:v>
                </c:pt>
                <c:pt idx="934">
                  <c:v>2.0959340576765422E-3</c:v>
                </c:pt>
                <c:pt idx="935">
                  <c:v>2.1135831040818296E-3</c:v>
                </c:pt>
                <c:pt idx="936">
                  <c:v>2.1194679817996579E-3</c:v>
                </c:pt>
                <c:pt idx="937">
                  <c:v>2.1253538272618519E-3</c:v>
                </c:pt>
                <c:pt idx="938">
                  <c:v>2.1312406624402133E-3</c:v>
                </c:pt>
                <c:pt idx="939">
                  <c:v>2.1371285093065412E-3</c:v>
                </c:pt>
                <c:pt idx="940">
                  <c:v>2.1547983397513259E-3</c:v>
                </c:pt>
                <c:pt idx="941">
                  <c:v>2.1606904530875222E-3</c:v>
                </c:pt>
                <c:pt idx="942">
                  <c:v>2.1665836879706862E-3</c:v>
                </c:pt>
                <c:pt idx="943">
                  <c:v>2.1724780663726169E-3</c:v>
                </c:pt>
                <c:pt idx="944">
                  <c:v>2.1783736102651153E-3</c:v>
                </c:pt>
                <c:pt idx="945">
                  <c:v>2.196067454604021E-3</c:v>
                </c:pt>
                <c:pt idx="946">
                  <c:v>2.2019678801767917E-3</c:v>
                </c:pt>
                <c:pt idx="947">
                  <c:v>2.2078695810991322E-3</c:v>
                </c:pt>
                <c:pt idx="948">
                  <c:v>2.2137725793428412E-3</c:v>
                </c:pt>
                <c:pt idx="949">
                  <c:v>2.2196768968797184E-3</c:v>
                </c:pt>
                <c:pt idx="950">
                  <c:v>2.2373979849673663E-3</c:v>
                </c:pt>
                <c:pt idx="951">
                  <c:v>2.2433077993949209E-3</c:v>
                </c:pt>
                <c:pt idx="952">
                  <c:v>2.2492190429746445E-3</c:v>
                </c:pt>
                <c:pt idx="953">
                  <c:v>2.2551317376783386E-3</c:v>
                </c:pt>
                <c:pt idx="954">
                  <c:v>2.2610459054778027E-3</c:v>
                </c:pt>
                <c:pt idx="955">
                  <c:v>2.2787974671688153E-3</c:v>
                </c:pt>
                <c:pt idx="956">
                  <c:v>2.2847177470693611E-3</c:v>
                </c:pt>
                <c:pt idx="957">
                  <c:v>2.2906396099246769E-3</c:v>
                </c:pt>
                <c:pt idx="958">
                  <c:v>2.2965630777065631E-3</c:v>
                </c:pt>
                <c:pt idx="959">
                  <c:v>2.3024881723868215E-3</c:v>
                </c:pt>
                <c:pt idx="960">
                  <c:v>2.3202734375358221E-3</c:v>
                </c:pt>
                <c:pt idx="961">
                  <c:v>2.3262052595275661E-3</c:v>
                </c:pt>
                <c:pt idx="962">
                  <c:v>2.3321388182766809E-3</c:v>
                </c:pt>
                <c:pt idx="963">
                  <c:v>2.3380741357549679E-3</c:v>
                </c:pt>
                <c:pt idx="964">
                  <c:v>2.3440112339342275E-3</c:v>
                </c:pt>
                <c:pt idx="965">
                  <c:v>2.3618334323958394E-3</c:v>
                </c:pt>
                <c:pt idx="966">
                  <c:v>2.367777873096989E-3</c:v>
                </c:pt>
                <c:pt idx="967">
                  <c:v>2.3737242043581114E-3</c:v>
                </c:pt>
                <c:pt idx="968">
                  <c:v>2.3796724481510057E-3</c:v>
                </c:pt>
                <c:pt idx="969">
                  <c:v>2.3856226264474751E-3</c:v>
                </c:pt>
                <c:pt idx="970">
                  <c:v>2.4034849880763213E-3</c:v>
                </c:pt>
                <c:pt idx="971">
                  <c:v>2.4094431241050837E-3</c:v>
                </c:pt>
                <c:pt idx="972">
                  <c:v>2.4154033044964207E-3</c:v>
                </c:pt>
                <c:pt idx="973">
                  <c:v>2.4213655512221322E-3</c:v>
                </c:pt>
                <c:pt idx="974">
                  <c:v>2.4273298862540161E-3</c:v>
                </c:pt>
                <c:pt idx="975">
                  <c:v>2.44523564090472E-3</c:v>
                </c:pt>
                <c:pt idx="976">
                  <c:v>2.4512085488793043E-3</c:v>
                </c:pt>
                <c:pt idx="977">
                  <c:v>2.4571836550190624E-3</c:v>
                </c:pt>
                <c:pt idx="978">
                  <c:v>2.4631609812957966E-3</c:v>
                </c:pt>
                <c:pt idx="979">
                  <c:v>2.4691405496813069E-3</c:v>
                </c:pt>
                <c:pt idx="980">
                  <c:v>2.4870929272084886E-3</c:v>
                </c:pt>
                <c:pt idx="981">
                  <c:v>2.4930816837471022E-3</c:v>
                </c:pt>
                <c:pt idx="982">
                  <c:v>2.4990727922534909E-3</c:v>
                </c:pt>
                <c:pt idx="983">
                  <c:v>2.5050662746994548E-3</c:v>
                </c:pt>
                <c:pt idx="984">
                  <c:v>2.5110621530567965E-3</c:v>
                </c:pt>
                <c:pt idx="985">
                  <c:v>2.5290643833150816E-3</c:v>
                </c:pt>
                <c:pt idx="986">
                  <c:v>2.5350700650359306E-3</c:v>
                </c:pt>
                <c:pt idx="987">
                  <c:v>2.5410782525271559E-3</c:v>
                </c:pt>
                <c:pt idx="988">
                  <c:v>2.5470889677605599E-3</c:v>
                </c:pt>
                <c:pt idx="989">
                  <c:v>2.5771812290732435E-3</c:v>
                </c:pt>
                <c:pt idx="990">
                  <c:v>2.5832075721675149E-3</c:v>
                </c:pt>
                <c:pt idx="991">
                  <c:v>2.5892365968065642E-3</c:v>
                </c:pt>
                <c:pt idx="992">
                  <c:v>2.5952683249621925E-3</c:v>
                </c:pt>
                <c:pt idx="993">
                  <c:v>2.613379950246551E-3</c:v>
                </c:pt>
                <c:pt idx="994">
                  <c:v>2.6194227121864944E-3</c:v>
                </c:pt>
                <c:pt idx="995">
                  <c:v>2.6254682875020189E-3</c:v>
                </c:pt>
                <c:pt idx="996">
                  <c:v>2.6315166981649221E-3</c:v>
                </c:pt>
                <c:pt idx="997">
                  <c:v>2.6375679661470048E-3</c:v>
                </c:pt>
                <c:pt idx="998">
                  <c:v>2.6557391337263345E-3</c:v>
                </c:pt>
                <c:pt idx="999">
                  <c:v>2.6618020507031383E-3</c:v>
                </c:pt>
                <c:pt idx="1000">
                  <c:v>2.6678679348581206E-3</c:v>
                </c:pt>
                <c:pt idx="1001">
                  <c:v>2.673936808163086E-3</c:v>
                </c:pt>
                <c:pt idx="1002">
                  <c:v>2.6982426323187542E-3</c:v>
                </c:pt>
                <c:pt idx="1003">
                  <c:v>2.7043267809506244E-3</c:v>
                </c:pt>
                <c:pt idx="1004">
                  <c:v>2.7104140505632766E-3</c:v>
                </c:pt>
                <c:pt idx="1005">
                  <c:v>2.7165044631285093E-3</c:v>
                </c:pt>
                <c:pt idx="1006">
                  <c:v>2.7225980406181244E-3</c:v>
                </c:pt>
                <c:pt idx="1007">
                  <c:v>2.7408979823512637E-3</c:v>
                </c:pt>
                <c:pt idx="1008">
                  <c:v>2.7470044392564081E-3</c:v>
                </c:pt>
                <c:pt idx="1009">
                  <c:v>2.7531141709449345E-3</c:v>
                </c:pt>
                <c:pt idx="1010">
                  <c:v>2.7592271993886449E-3</c:v>
                </c:pt>
                <c:pt idx="1011">
                  <c:v>2.7653435465593381E-3</c:v>
                </c:pt>
                <c:pt idx="1012">
                  <c:v>2.7837127201513164E-3</c:v>
                </c:pt>
                <c:pt idx="1013">
                  <c:v>2.7898425619479433E-3</c:v>
                </c:pt>
                <c:pt idx="1014">
                  <c:v>2.7959758323305535E-3</c:v>
                </c:pt>
                <c:pt idx="1015">
                  <c:v>2.8021125532709463E-3</c:v>
                </c:pt>
                <c:pt idx="1016">
                  <c:v>2.8082527467409254E-3</c:v>
                </c:pt>
                <c:pt idx="1017">
                  <c:v>2.8266943820463662E-3</c:v>
                </c:pt>
                <c:pt idx="1018">
                  <c:v>2.8328486853526819E-3</c:v>
                </c:pt>
                <c:pt idx="1019">
                  <c:v>2.8390065710475827E-3</c:v>
                </c:pt>
                <c:pt idx="1020">
                  <c:v>2.8451680611028692E-3</c:v>
                </c:pt>
                <c:pt idx="1021">
                  <c:v>2.8513331774903386E-3</c:v>
                </c:pt>
                <c:pt idx="1022">
                  <c:v>2.8698505043638642E-3</c:v>
                </c:pt>
                <c:pt idx="1023">
                  <c:v>2.8760303457980784E-3</c:v>
                </c:pt>
                <c:pt idx="1024">
                  <c:v>2.882213919572421E-3</c:v>
                </c:pt>
                <c:pt idx="1025">
                  <c:v>2.8884012284034169E-3</c:v>
                </c:pt>
                <c:pt idx="1026">
                  <c:v>2.8945922711565279E-3</c:v>
                </c:pt>
                <c:pt idx="1027">
                  <c:v>2.9131877916032181E-3</c:v>
                </c:pt>
                <c:pt idx="1028">
                  <c:v>2.9193937586994511E-3</c:v>
                </c:pt>
                <c:pt idx="1029">
                  <c:v>2.9256034540451306E-3</c:v>
                </c:pt>
                <c:pt idx="1030">
                  <c:v>2.9318168765057177E-3</c:v>
                </c:pt>
                <c:pt idx="1031">
                  <c:v>2.9380340249466797E-3</c:v>
                </c:pt>
                <c:pt idx="1032">
                  <c:v>2.9567078148064765E-3</c:v>
                </c:pt>
                <c:pt idx="1033">
                  <c:v>2.9629398558235942E-3</c:v>
                </c:pt>
                <c:pt idx="1034">
                  <c:v>2.969175617148415E-3</c:v>
                </c:pt>
                <c:pt idx="1035">
                  <c:v>2.9754150976464052E-3</c:v>
                </c:pt>
                <c:pt idx="1036">
                  <c:v>2.9816582961830276E-3</c:v>
                </c:pt>
                <c:pt idx="1037">
                  <c:v>3.000410188679351E-3</c:v>
                </c:pt>
                <c:pt idx="1038">
                  <c:v>3.0066682480251617E-3</c:v>
                </c:pt>
                <c:pt idx="1039">
                  <c:v>3.0129300197369361E-3</c:v>
                </c:pt>
                <c:pt idx="1040">
                  <c:v>3.0191955026801333E-3</c:v>
                </c:pt>
                <c:pt idx="1041">
                  <c:v>3.0254646957202256E-3</c:v>
                </c:pt>
                <c:pt idx="1042">
                  <c:v>3.044294524076503E-3</c:v>
                </c:pt>
                <c:pt idx="1043">
                  <c:v>3.0505785461588152E-3</c:v>
                </c:pt>
                <c:pt idx="1044">
                  <c:v>3.0568662726653483E-3</c:v>
                </c:pt>
                <c:pt idx="1045">
                  <c:v>3.0631577024615641E-3</c:v>
                </c:pt>
                <c:pt idx="1046">
                  <c:v>3.0694528344129305E-3</c:v>
                </c:pt>
                <c:pt idx="1047">
                  <c:v>3.0883604318525889E-3</c:v>
                </c:pt>
                <c:pt idx="1048">
                  <c:v>3.0946703610792107E-3</c:v>
                </c:pt>
                <c:pt idx="1049">
                  <c:v>3.1009839867883098E-3</c:v>
                </c:pt>
                <c:pt idx="1050">
                  <c:v>3.1073013078453519E-3</c:v>
                </c:pt>
                <c:pt idx="1051">
                  <c:v>3.1136223231158044E-3</c:v>
                </c:pt>
                <c:pt idx="1052">
                  <c:v>3.1326075228622638E-3</c:v>
                </c:pt>
                <c:pt idx="1053">
                  <c:v>3.1389433036410033E-3</c:v>
                </c:pt>
                <c:pt idx="1054">
                  <c:v>3.1452827729604805E-3</c:v>
                </c:pt>
                <c:pt idx="1055">
                  <c:v>3.151625929686157E-3</c:v>
                </c:pt>
                <c:pt idx="1056">
                  <c:v>3.1579727726835025E-3</c:v>
                </c:pt>
                <c:pt idx="1057">
                  <c:v>3.1770354079601881E-3</c:v>
                </c:pt>
                <c:pt idx="1058">
                  <c:v>3.1833969846988561E-3</c:v>
                </c:pt>
                <c:pt idx="1059">
                  <c:v>3.1897622420365155E-3</c:v>
                </c:pt>
                <c:pt idx="1060">
                  <c:v>3.1961311788386367E-3</c:v>
                </c:pt>
                <c:pt idx="1061">
                  <c:v>3.2025037939706815E-3</c:v>
                </c:pt>
                <c:pt idx="1062">
                  <c:v>3.2216436980010222E-3</c:v>
                </c:pt>
                <c:pt idx="1063">
                  <c:v>3.2280310151074241E-3</c:v>
                </c:pt>
                <c:pt idx="1064">
                  <c:v>3.2344220048710765E-3</c:v>
                </c:pt>
                <c:pt idx="1065">
                  <c:v>3.2408166661574466E-3</c:v>
                </c:pt>
                <c:pt idx="1066">
                  <c:v>3.2472149978320019E-3</c:v>
                </c:pt>
                <c:pt idx="1067">
                  <c:v>3.2664320038394206E-3</c:v>
                </c:pt>
                <c:pt idx="1068">
                  <c:v>3.272845005721363E-3</c:v>
                </c:pt>
                <c:pt idx="1069">
                  <c:v>3.2792616723188164E-3</c:v>
                </c:pt>
                <c:pt idx="1070">
                  <c:v>3.2856820024972475E-3</c:v>
                </c:pt>
                <c:pt idx="1071">
                  <c:v>3.2921059951221193E-3</c:v>
                </c:pt>
                <c:pt idx="1072">
                  <c:v>3.31139993633004E-3</c:v>
                </c:pt>
                <c:pt idx="1073">
                  <c:v>3.3178385673953356E-3</c:v>
                </c:pt>
                <c:pt idx="1074">
                  <c:v>3.3242808552343974E-3</c:v>
                </c:pt>
                <c:pt idx="1075">
                  <c:v>3.3307267987126967E-3</c:v>
                </c:pt>
                <c:pt idx="1076">
                  <c:v>3.3371763966956939E-3</c:v>
                </c:pt>
                <c:pt idx="1077">
                  <c:v>3.3565471063275419E-3</c:v>
                </c:pt>
                <c:pt idx="1078">
                  <c:v>3.3630113109839946E-3</c:v>
                </c:pt>
                <c:pt idx="1079">
                  <c:v>3.3694791644724759E-3</c:v>
                </c:pt>
                <c:pt idx="1080">
                  <c:v>3.3759506656584489E-3</c:v>
                </c:pt>
                <c:pt idx="1081">
                  <c:v>3.3824258134073797E-3</c:v>
                </c:pt>
                <c:pt idx="1082">
                  <c:v>3.4018731246865824E-3</c:v>
                </c:pt>
                <c:pt idx="1083">
                  <c:v>3.4083628473420024E-3</c:v>
                </c:pt>
                <c:pt idx="1084">
                  <c:v>3.4148562108877079E-3</c:v>
                </c:pt>
                <c:pt idx="1085">
                  <c:v>3.4213532141891666E-3</c:v>
                </c:pt>
                <c:pt idx="1086">
                  <c:v>3.4278538561118396E-3</c:v>
                </c:pt>
                <c:pt idx="1087">
                  <c:v>3.4473776022618174E-3</c:v>
                </c:pt>
                <c:pt idx="1088">
                  <c:v>3.4538927873240129E-3</c:v>
                </c:pt>
                <c:pt idx="1089">
                  <c:v>3.4604116053347542E-3</c:v>
                </c:pt>
                <c:pt idx="1090">
                  <c:v>3.4669340551595033E-3</c:v>
                </c:pt>
                <c:pt idx="1091">
                  <c:v>3.4734601356637296E-3</c:v>
                </c:pt>
                <c:pt idx="1092">
                  <c:v>3.4930601499079087E-3</c:v>
                </c:pt>
                <c:pt idx="1093">
                  <c:v>3.4996007417846878E-3</c:v>
                </c:pt>
                <c:pt idx="1094">
                  <c:v>3.5061449586682712E-3</c:v>
                </c:pt>
                <c:pt idx="1095">
                  <c:v>3.5126927994241206E-3</c:v>
                </c:pt>
                <c:pt idx="1096">
                  <c:v>3.519244262917704E-3</c:v>
                </c:pt>
                <c:pt idx="1097">
                  <c:v>3.5389203784795117E-3</c:v>
                </c:pt>
                <c:pt idx="1098">
                  <c:v>3.545486321578683E-3</c:v>
                </c:pt>
                <c:pt idx="1099">
                  <c:v>3.5520558817429154E-3</c:v>
                </c:pt>
                <c:pt idx="1100">
                  <c:v>3.5586290578376728E-3</c:v>
                </c:pt>
                <c:pt idx="1101">
                  <c:v>3.5652058487284249E-3</c:v>
                </c:pt>
                <c:pt idx="1102">
                  <c:v>3.5849578988312826E-3</c:v>
                </c:pt>
                <c:pt idx="1103">
                  <c:v>3.5915491375606541E-3</c:v>
                </c:pt>
                <c:pt idx="1104">
                  <c:v>3.5981439854133467E-3</c:v>
                </c:pt>
                <c:pt idx="1105">
                  <c:v>3.6047424412548224E-3</c:v>
                </c:pt>
                <c:pt idx="1106">
                  <c:v>3.61134450395055E-3</c:v>
                </c:pt>
                <c:pt idx="1107">
                  <c:v>3.6311723218178807E-3</c:v>
                </c:pt>
                <c:pt idx="1108">
                  <c:v>3.6377888005852638E-3</c:v>
                </c:pt>
                <c:pt idx="1109">
                  <c:v>3.6444088805342211E-3</c:v>
                </c:pt>
                <c:pt idx="1110">
                  <c:v>3.651032560530224E-3</c:v>
                </c:pt>
                <c:pt idx="1111">
                  <c:v>3.6576598394387331E-3</c:v>
                </c:pt>
                <c:pt idx="1112">
                  <c:v>3.6775632582939674E-3</c:v>
                </c:pt>
                <c:pt idx="1113">
                  <c:v>3.684204921507167E-3</c:v>
                </c:pt>
                <c:pt idx="1114">
                  <c:v>3.6908501779601998E-3</c:v>
                </c:pt>
                <c:pt idx="1115">
                  <c:v>3.6974990265185338E-3</c:v>
                </c:pt>
                <c:pt idx="1116">
                  <c:v>3.7041514660476368E-3</c:v>
                </c:pt>
                <c:pt idx="1117">
                  <c:v>3.7241303191141968E-3</c:v>
                </c:pt>
                <c:pt idx="1118">
                  <c:v>3.7307971111810194E-3</c:v>
                </c:pt>
                <c:pt idx="1119">
                  <c:v>3.7374674885459363E-3</c:v>
                </c:pt>
                <c:pt idx="1120">
                  <c:v>3.7441414500744142E-3</c:v>
                </c:pt>
                <c:pt idx="1121">
                  <c:v>3.7508189946319154E-3</c:v>
                </c:pt>
                <c:pt idx="1122">
                  <c:v>3.7708731151332251E-3</c:v>
                </c:pt>
                <c:pt idx="1123">
                  <c:v>3.7775649804614839E-3</c:v>
                </c:pt>
                <c:pt idx="1124">
                  <c:v>3.7842604231460917E-3</c:v>
                </c:pt>
                <c:pt idx="1125">
                  <c:v>3.79095944205252E-3</c:v>
                </c:pt>
                <c:pt idx="1126">
                  <c:v>3.7976620360462296E-3</c:v>
                </c:pt>
                <c:pt idx="1127">
                  <c:v>3.8177912572057156E-3</c:v>
                </c:pt>
                <c:pt idx="1128">
                  <c:v>3.8245081402032131E-3</c:v>
                </c:pt>
                <c:pt idx="1129">
                  <c:v>3.8312285926153239E-3</c:v>
                </c:pt>
                <c:pt idx="1130">
                  <c:v>3.837952613307508E-3</c:v>
                </c:pt>
                <c:pt idx="1131">
                  <c:v>3.8446802011452346E-3</c:v>
                </c:pt>
                <c:pt idx="1132">
                  <c:v>3.864884356186322E-3</c:v>
                </c:pt>
                <c:pt idx="1133">
                  <c:v>3.8716262012608699E-3</c:v>
                </c:pt>
                <c:pt idx="1134">
                  <c:v>3.8783716078082866E-3</c:v>
                </c:pt>
                <c:pt idx="1135">
                  <c:v>3.8851205746940403E-3</c:v>
                </c:pt>
                <c:pt idx="1136">
                  <c:v>3.8918731007835912E-3</c:v>
                </c:pt>
                <c:pt idx="1137">
                  <c:v>3.912152022929701E-3</c:v>
                </c:pt>
                <c:pt idx="1138">
                  <c:v>3.9189187744891078E-3</c:v>
                </c:pt>
                <c:pt idx="1139">
                  <c:v>3.9256890795796428E-3</c:v>
                </c:pt>
                <c:pt idx="1140">
                  <c:v>3.9324629370667691E-3</c:v>
                </c:pt>
                <c:pt idx="1141">
                  <c:v>3.9392403458159558E-3</c:v>
                </c:pt>
                <c:pt idx="1142">
                  <c:v>3.9595938682905158E-3</c:v>
                </c:pt>
                <c:pt idx="1143">
                  <c:v>3.9663854707425884E-3</c:v>
                </c:pt>
                <c:pt idx="1144">
                  <c:v>3.9731806187840481E-3</c:v>
                </c:pt>
                <c:pt idx="1145">
                  <c:v>3.9799793112803581E-3</c:v>
                </c:pt>
                <c:pt idx="1146">
                  <c:v>3.986781547096984E-3</c:v>
                </c:pt>
                <c:pt idx="1147">
                  <c:v>4.00720950312342E-3</c:v>
                </c:pt>
                <c:pt idx="1148">
                  <c:v>4.0140259008759676E-3</c:v>
                </c:pt>
                <c:pt idx="1149">
                  <c:v>4.0208458362761589E-3</c:v>
                </c:pt>
                <c:pt idx="1150">
                  <c:v>4.0276693081894585E-3</c:v>
                </c:pt>
                <c:pt idx="1151">
                  <c:v>4.0344963154813375E-3</c:v>
                </c:pt>
                <c:pt idx="1152">
                  <c:v>4.0549985382830707E-3</c:v>
                </c:pt>
                <c:pt idx="1153">
                  <c:v>4.0618396757439003E-3</c:v>
                </c:pt>
                <c:pt idx="1154">
                  <c:v>4.068684342910636E-3</c:v>
                </c:pt>
                <c:pt idx="1155">
                  <c:v>4.0755325378799574E-3</c:v>
                </c:pt>
                <c:pt idx="1156">
                  <c:v>4.0823842556734404E-3</c:v>
                </c:pt>
                <c:pt idx="1157">
                  <c:v>4.1029604885267539E-3</c:v>
                </c:pt>
                <c:pt idx="1158">
                  <c:v>4.1098262401447899E-3</c:v>
                </c:pt>
                <c:pt idx="1159">
                  <c:v>4.1166954858509403E-3</c:v>
                </c:pt>
                <c:pt idx="1160">
                  <c:v>4.123568219898001E-3</c:v>
                </c:pt>
                <c:pt idx="1161">
                  <c:v>4.1304444365387605E-3</c:v>
                </c:pt>
                <c:pt idx="1162">
                  <c:v>4.1510939245511559E-3</c:v>
                </c:pt>
                <c:pt idx="1163">
                  <c:v>4.1579840140946326E-3</c:v>
                </c:pt>
                <c:pt idx="1164">
                  <c:v>4.1648775574957657E-3</c:v>
                </c:pt>
                <c:pt idx="1165">
                  <c:v>4.171774549007347E-3</c:v>
                </c:pt>
                <c:pt idx="1166">
                  <c:v>4.1786749828821718E-3</c:v>
                </c:pt>
                <c:pt idx="1167">
                  <c:v>4.1993968812140021E-3</c:v>
                </c:pt>
                <c:pt idx="1168">
                  <c:v>4.206311027069704E-3</c:v>
                </c:pt>
                <c:pt idx="1169">
                  <c:v>4.2132285865526036E-3</c:v>
                </c:pt>
                <c:pt idx="1170">
                  <c:v>4.2201495539154954E-3</c:v>
                </c:pt>
                <c:pt idx="1171">
                  <c:v>4.2478673872227883E-3</c:v>
                </c:pt>
                <c:pt idx="1172">
                  <c:v>4.2548053077775035E-3</c:v>
                </c:pt>
                <c:pt idx="1173">
                  <c:v>4.2617466017289569E-3</c:v>
                </c:pt>
                <c:pt idx="1174">
                  <c:v>4.268691263329941E-3</c:v>
                </c:pt>
                <c:pt idx="1175">
                  <c:v>4.2965797426651456E-3</c:v>
                </c:pt>
                <c:pt idx="1176">
                  <c:v>4.3035602699119813E-3</c:v>
                </c:pt>
                <c:pt idx="1177">
                  <c:v>4.3105441485348792E-3</c:v>
                </c:pt>
                <c:pt idx="1178">
                  <c:v>4.317531372739266E-3</c:v>
                </c:pt>
                <c:pt idx="1179">
                  <c:v>4.3245219367305642E-3</c:v>
                </c:pt>
                <c:pt idx="1180">
                  <c:v>4.3455136094801786E-3</c:v>
                </c:pt>
                <c:pt idx="1181">
                  <c:v>4.3525174746733737E-3</c:v>
                </c:pt>
                <c:pt idx="1182">
                  <c:v>4.3595246506806041E-3</c:v>
                </c:pt>
                <c:pt idx="1183">
                  <c:v>4.3665351317072948E-3</c:v>
                </c:pt>
                <c:pt idx="1184">
                  <c:v>4.3735489119588701E-3</c:v>
                </c:pt>
                <c:pt idx="1185">
                  <c:v>4.3946099901171548E-3</c:v>
                </c:pt>
                <c:pt idx="1186">
                  <c:v>4.4016369093225153E-3</c:v>
                </c:pt>
                <c:pt idx="1187">
                  <c:v>4.4086670987798868E-3</c:v>
                </c:pt>
                <c:pt idx="1188">
                  <c:v>4.4157005526946911E-3</c:v>
                </c:pt>
                <c:pt idx="1189">
                  <c:v>4.4227372652723531E-3</c:v>
                </c:pt>
                <c:pt idx="1190">
                  <c:v>4.4438668970367308E-3</c:v>
                </c:pt>
                <c:pt idx="1191">
                  <c:v>4.4509165863200707E-3</c:v>
                </c:pt>
                <c:pt idx="1192">
                  <c:v>4.4579695052933913E-3</c:v>
                </c:pt>
                <c:pt idx="1193">
                  <c:v>4.4650256481621152E-3</c:v>
                </c:pt>
                <c:pt idx="1194">
                  <c:v>4.4720850091316718E-3</c:v>
                </c:pt>
                <c:pt idx="1195">
                  <c:v>4.4932823426995705E-3</c:v>
                </c:pt>
                <c:pt idx="1196">
                  <c:v>4.5003545181266959E-3</c:v>
                </c:pt>
                <c:pt idx="1197">
                  <c:v>4.5074298826817743E-3</c:v>
                </c:pt>
                <c:pt idx="1198">
                  <c:v>4.5145084305702309E-3</c:v>
                </c:pt>
                <c:pt idx="1199">
                  <c:v>4.5215901559974908E-3</c:v>
                </c:pt>
                <c:pt idx="1200">
                  <c:v>4.5428543395663358E-3</c:v>
                </c:pt>
                <c:pt idx="1201">
                  <c:v>4.5499487172030546E-3</c:v>
                </c:pt>
                <c:pt idx="1202">
                  <c:v>4.5570462434056996E-3</c:v>
                </c:pt>
                <c:pt idx="1203">
                  <c:v>4.5641469123796968E-3</c:v>
                </c:pt>
                <c:pt idx="1204">
                  <c:v>4.5712507183304696E-3</c:v>
                </c:pt>
                <c:pt idx="1205">
                  <c:v>4.5925809000976862E-3</c:v>
                </c:pt>
                <c:pt idx="1206">
                  <c:v>4.5996971960098089E-3</c:v>
                </c:pt>
                <c:pt idx="1207">
                  <c:v>4.6068165999258301E-3</c:v>
                </c:pt>
                <c:pt idx="1208">
                  <c:v>4.6139391060511748E-3</c:v>
                </c:pt>
                <c:pt idx="1209">
                  <c:v>4.6210647085912684E-3</c:v>
                </c:pt>
                <c:pt idx="1210">
                  <c:v>4.6424600367542864E-3</c:v>
                </c:pt>
                <c:pt idx="1211">
                  <c:v>4.6495979670076208E-3</c:v>
                </c:pt>
                <c:pt idx="1212">
                  <c:v>4.6567389647028251E-3</c:v>
                </c:pt>
                <c:pt idx="1213">
                  <c:v>4.6638830240453271E-3</c:v>
                </c:pt>
                <c:pt idx="1214">
                  <c:v>4.6710301392405501E-3</c:v>
                </c:pt>
                <c:pt idx="1215">
                  <c:v>4.6924897619967949E-3</c:v>
                </c:pt>
                <c:pt idx="1216">
                  <c:v>4.6996490426571497E-3</c:v>
                </c:pt>
                <c:pt idx="1217">
                  <c:v>4.7068113501973459E-3</c:v>
                </c:pt>
                <c:pt idx="1218">
                  <c:v>4.7139766788228182E-3</c:v>
                </c:pt>
                <c:pt idx="1219">
                  <c:v>4.7211450227389777E-3</c:v>
                </c:pt>
                <c:pt idx="1220">
                  <c:v>4.7426680882858736E-3</c:v>
                </c:pt>
                <c:pt idx="1221">
                  <c:v>4.7498484354190585E-3</c:v>
                </c:pt>
                <c:pt idx="1222">
                  <c:v>4.7570317688700597E-3</c:v>
                </c:pt>
                <c:pt idx="1223">
                  <c:v>4.7642180828443032E-3</c:v>
                </c:pt>
                <c:pt idx="1224">
                  <c:v>4.7714073715472106E-3</c:v>
                </c:pt>
                <c:pt idx="1225">
                  <c:v>4.7929930280821847E-3</c:v>
                </c:pt>
                <c:pt idx="1226">
                  <c:v>4.8001941577540076E-3</c:v>
                </c:pt>
                <c:pt idx="1227">
                  <c:v>4.8073982331816199E-3</c:v>
                </c:pt>
                <c:pt idx="1228">
                  <c:v>4.8146052485704468E-3</c:v>
                </c:pt>
                <c:pt idx="1229">
                  <c:v>4.8218151981259125E-3</c:v>
                </c:pt>
                <c:pt idx="1230">
                  <c:v>4.8434625938463902E-3</c:v>
                </c:pt>
                <c:pt idx="1231">
                  <c:v>4.8506842221226597E-3</c:v>
                </c:pt>
                <c:pt idx="1232">
                  <c:v>4.8579087555926919E-3</c:v>
                </c:pt>
                <c:pt idx="1233">
                  <c:v>4.8651361884619118E-3</c:v>
                </c:pt>
                <c:pt idx="1234">
                  <c:v>4.8723665149357429E-3</c:v>
                </c:pt>
                <c:pt idx="1235">
                  <c:v>4.8940747980391539E-3</c:v>
                </c:pt>
                <c:pt idx="1236">
                  <c:v>4.901316640985677E-3</c:v>
                </c:pt>
                <c:pt idx="1237">
                  <c:v>4.9085613485639369E-3</c:v>
                </c:pt>
                <c:pt idx="1238">
                  <c:v>4.9158089149793568E-3</c:v>
                </c:pt>
                <c:pt idx="1239">
                  <c:v>4.9520894268037215E-3</c:v>
                </c:pt>
                <c:pt idx="1240">
                  <c:v>4.9593540245560187E-3</c:v>
                </c:pt>
                <c:pt idx="1241">
                  <c:v>4.9666214405834474E-3</c:v>
                </c:pt>
                <c:pt idx="1242">
                  <c:v>4.9738916690914344E-3</c:v>
                </c:pt>
                <c:pt idx="1243">
                  <c:v>4.995719171552988E-3</c:v>
                </c:pt>
                <c:pt idx="1244">
                  <c:v>5.0030005920374508E-3</c:v>
                </c:pt>
                <c:pt idx="1245">
                  <c:v>5.0102847960295949E-3</c:v>
                </c:pt>
                <c:pt idx="1246">
                  <c:v>5.0175717777348437E-3</c:v>
                </c:pt>
                <c:pt idx="1247">
                  <c:v>5.0248615313586223E-3</c:v>
                </c:pt>
                <c:pt idx="1248">
                  <c:v>5.0467473657953834E-3</c:v>
                </c:pt>
                <c:pt idx="1249">
                  <c:v>5.0540481491475287E-3</c:v>
                </c:pt>
                <c:pt idx="1250">
                  <c:v>5.0613516754453277E-3</c:v>
                </c:pt>
                <c:pt idx="1251">
                  <c:v>5.0686579388942036E-3</c:v>
                </c:pt>
                <c:pt idx="1252">
                  <c:v>5.0759669336995824E-3</c:v>
                </c:pt>
                <c:pt idx="1253">
                  <c:v>5.0979102483089817E-3</c:v>
                </c:pt>
                <c:pt idx="1254">
                  <c:v>5.1052301105946173E-3</c:v>
                </c:pt>
                <c:pt idx="1255">
                  <c:v>5.1125526752638798E-3</c:v>
                </c:pt>
                <c:pt idx="1256">
                  <c:v>5.1198779365221924E-3</c:v>
                </c:pt>
                <c:pt idx="1257">
                  <c:v>5.1272058885749802E-3</c:v>
                </c:pt>
                <c:pt idx="1258">
                  <c:v>5.1492058315544438E-3</c:v>
                </c:pt>
                <c:pt idx="1259">
                  <c:v>5.1565444888393803E-3</c:v>
                </c:pt>
                <c:pt idx="1260">
                  <c:v>5.1638858079459124E-3</c:v>
                </c:pt>
                <c:pt idx="1261">
                  <c:v>5.1712297830794696E-3</c:v>
                </c:pt>
                <c:pt idx="1262">
                  <c:v>5.1785764084454761E-3</c:v>
                </c:pt>
                <c:pt idx="1263">
                  <c:v>5.2006321279924285E-3</c:v>
                </c:pt>
                <c:pt idx="1264">
                  <c:v>5.2079892963424728E-3</c:v>
                </c:pt>
                <c:pt idx="1265">
                  <c:v>5.2153490859520894E-3</c:v>
                </c:pt>
                <c:pt idx="1266">
                  <c:v>5.2227114910267016E-3</c:v>
                </c:pt>
                <c:pt idx="1267">
                  <c:v>5.230076505771732E-3</c:v>
                </c:pt>
                <c:pt idx="1268">
                  <c:v>5.2521871500836002E-3</c:v>
                </c:pt>
                <c:pt idx="1269">
                  <c:v>5.259562545564562E-3</c:v>
                </c:pt>
                <c:pt idx="1270">
                  <c:v>5.2669405217430675E-3</c:v>
                </c:pt>
                <c:pt idx="1271">
                  <c:v>5.2743210728245418E-3</c:v>
                </c:pt>
                <c:pt idx="1272">
                  <c:v>5.2817041930144099E-3</c:v>
                </c:pt>
                <c:pt idx="1273">
                  <c:v>5.3038689102886177E-3</c:v>
                </c:pt>
                <c:pt idx="1274">
                  <c:v>5.3112622489663057E-3</c:v>
                </c:pt>
                <c:pt idx="1275">
                  <c:v>5.3186581277795105E-3</c:v>
                </c:pt>
                <c:pt idx="1276">
                  <c:v>5.3260565409336564E-3</c:v>
                </c:pt>
                <c:pt idx="1277">
                  <c:v>5.3334574826341677E-3</c:v>
                </c:pt>
                <c:pt idx="1278">
                  <c:v>5.3556754210681481E-3</c:v>
                </c:pt>
                <c:pt idx="1279">
                  <c:v>5.3630864190083683E-3</c:v>
                </c:pt>
                <c:pt idx="1280">
                  <c:v>5.3704999165220804E-3</c:v>
                </c:pt>
                <c:pt idx="1281">
                  <c:v>5.3779159100912823E-3</c:v>
                </c:pt>
                <c:pt idx="1282">
                  <c:v>5.3853344053042774E-3</c:v>
                </c:pt>
                <c:pt idx="1283">
                  <c:v>5.4076049794548288E-3</c:v>
                </c:pt>
                <c:pt idx="1284">
                  <c:v>5.4150335598917984E-3</c:v>
                </c:pt>
                <c:pt idx="1285">
                  <c:v>5.4224646812969608E-3</c:v>
                </c:pt>
                <c:pt idx="1286">
                  <c:v>5.429898351535194E-3</c:v>
                </c:pt>
                <c:pt idx="1287">
                  <c:v>5.4373345784713822E-3</c:v>
                </c:pt>
                <c:pt idx="1288">
                  <c:v>5.4596586781164615E-3</c:v>
                </c:pt>
                <c:pt idx="1289">
                  <c:v>5.4671052104932581E-3</c:v>
                </c:pt>
                <c:pt idx="1290">
                  <c:v>5.4745543388924067E-3</c:v>
                </c:pt>
                <c:pt idx="1291">
                  <c:v>5.4820060711787879E-3</c:v>
                </c:pt>
                <c:pt idx="1292">
                  <c:v>5.4894604152172788E-3</c:v>
                </c:pt>
                <c:pt idx="1293">
                  <c:v>5.5118391964942203E-3</c:v>
                </c:pt>
                <c:pt idx="1294">
                  <c:v>5.5193040661899572E-3</c:v>
                </c:pt>
                <c:pt idx="1295">
                  <c:v>5.5267715869622034E-3</c:v>
                </c:pt>
                <c:pt idx="1296">
                  <c:v>5.5342417666758422E-3</c:v>
                </c:pt>
                <c:pt idx="1297">
                  <c:v>5.5417146131957491E-3</c:v>
                </c:pt>
                <c:pt idx="1298">
                  <c:v>5.5641492322418889E-3</c:v>
                </c:pt>
                <c:pt idx="1299">
                  <c:v>5.5716328246356766E-3</c:v>
                </c:pt>
                <c:pt idx="1300">
                  <c:v>5.5791191231601318E-3</c:v>
                </c:pt>
                <c:pt idx="1301">
                  <c:v>5.5866081356801371E-3</c:v>
                </c:pt>
                <c:pt idx="1302">
                  <c:v>5.5940998700605713E-3</c:v>
                </c:pt>
                <c:pt idx="1303">
                  <c:v>5.6165914830132464E-3</c:v>
                </c:pt>
                <c:pt idx="1304">
                  <c:v>5.6240941834841953E-3</c:v>
                </c:pt>
                <c:pt idx="1305">
                  <c:v>5.6315996451399711E-3</c:v>
                </c:pt>
                <c:pt idx="1306">
                  <c:v>5.639107875845456E-3</c:v>
                </c:pt>
                <c:pt idx="1307">
                  <c:v>5.6466188834655281E-3</c:v>
                </c:pt>
                <c:pt idx="1308">
                  <c:v>5.6691686464620736E-3</c:v>
                </c:pt>
                <c:pt idx="1309">
                  <c:v>5.6766908403892962E-3</c:v>
                </c:pt>
                <c:pt idx="1310">
                  <c:v>5.6842158505555022E-3</c:v>
                </c:pt>
                <c:pt idx="1311">
                  <c:v>5.6917436848255816E-3</c:v>
                </c:pt>
                <c:pt idx="1312">
                  <c:v>5.6992743510644022E-3</c:v>
                </c:pt>
                <c:pt idx="1313">
                  <c:v>5.7218834202421489E-3</c:v>
                </c:pt>
                <c:pt idx="1314">
                  <c:v>5.7294254930047575E-3</c:v>
                </c:pt>
                <c:pt idx="1315">
                  <c:v>5.7369704370605111E-3</c:v>
                </c:pt>
                <c:pt idx="1316">
                  <c:v>5.7445182602742896E-3</c:v>
                </c:pt>
                <c:pt idx="1317">
                  <c:v>5.7520689705109719E-3</c:v>
                </c:pt>
                <c:pt idx="1318">
                  <c:v>5.7747385020072567E-3</c:v>
                </c:pt>
                <c:pt idx="1319">
                  <c:v>5.7823008389843618E-3</c:v>
                </c:pt>
                <c:pt idx="1320">
                  <c:v>5.7898661023087702E-3</c:v>
                </c:pt>
                <c:pt idx="1321">
                  <c:v>5.7974342998453644E-3</c:v>
                </c:pt>
                <c:pt idx="1322">
                  <c:v>5.8050054394590232E-3</c:v>
                </c:pt>
                <c:pt idx="1323">
                  <c:v>5.8277365894111796E-3</c:v>
                </c:pt>
                <c:pt idx="1324">
                  <c:v>5.8353195759818909E-3</c:v>
                </c:pt>
                <c:pt idx="1325">
                  <c:v>5.8429055439540674E-3</c:v>
                </c:pt>
                <c:pt idx="1326">
                  <c:v>5.8504945011925861E-3</c:v>
                </c:pt>
                <c:pt idx="1327">
                  <c:v>5.8580864555623285E-3</c:v>
                </c:pt>
                <c:pt idx="1328">
                  <c:v>5.8808803801076934E-3</c:v>
                </c:pt>
                <c:pt idx="1329">
                  <c:v>5.8884844016511232E-3</c:v>
                </c:pt>
                <c:pt idx="1330">
                  <c:v>5.8960914596501808E-3</c:v>
                </c:pt>
                <c:pt idx="1331">
                  <c:v>5.9037015619697363E-3</c:v>
                </c:pt>
                <c:pt idx="1332">
                  <c:v>5.9113147164746747E-3</c:v>
                </c:pt>
                <c:pt idx="1333">
                  <c:v>5.9341725717505815E-3</c:v>
                </c:pt>
                <c:pt idx="1334">
                  <c:v>5.9417980136458456E-3</c:v>
                </c:pt>
                <c:pt idx="1335">
                  <c:v>5.9494265470508914E-3</c:v>
                </c:pt>
                <c:pt idx="1336">
                  <c:v>5.9570581798305943E-3</c:v>
                </c:pt>
                <c:pt idx="1337">
                  <c:v>5.9646929198498445E-3</c:v>
                </c:pt>
                <c:pt idx="1338">
                  <c:v>5.9876158619936231E-3</c:v>
                </c:pt>
                <c:pt idx="1339">
                  <c:v>5.9952631096198312E-3</c:v>
                </c:pt>
                <c:pt idx="1340">
                  <c:v>6.0029135038099785E-3</c:v>
                </c:pt>
                <c:pt idx="1341">
                  <c:v>6.0105670524289454E-3</c:v>
                </c:pt>
                <c:pt idx="1342">
                  <c:v>6.0182237633416118E-3</c:v>
                </c:pt>
                <c:pt idx="1343">
                  <c:v>6.0412129484906018E-3</c:v>
                </c:pt>
                <c:pt idx="1344">
                  <c:v>6.0488823872268654E-3</c:v>
                </c:pt>
                <c:pt idx="1345">
                  <c:v>6.0565550275812254E-3</c:v>
                </c:pt>
                <c:pt idx="1346">
                  <c:v>6.0642308774185652E-3</c:v>
                </c:pt>
                <c:pt idx="1347">
                  <c:v>6.0719099446037627E-3</c:v>
                </c:pt>
                <c:pt idx="1348">
                  <c:v>6.0949665288952994E-3</c:v>
                </c:pt>
                <c:pt idx="1349">
                  <c:v>6.1026585441207289E-3</c:v>
                </c:pt>
                <c:pt idx="1350">
                  <c:v>6.1103538160184132E-3</c:v>
                </c:pt>
                <c:pt idx="1351">
                  <c:v>6.1180523524532364E-3</c:v>
                </c:pt>
                <c:pt idx="1352">
                  <c:v>6.1257541612900765E-3</c:v>
                </c:pt>
                <c:pt idx="1353">
                  <c:v>6.1488793008614949E-3</c:v>
                </c:pt>
                <c:pt idx="1354">
                  <c:v>6.1565942779552019E-3</c:v>
                </c:pt>
                <c:pt idx="1355">
                  <c:v>6.164312566775321E-3</c:v>
                </c:pt>
                <c:pt idx="1356">
                  <c:v>6.1720341751867426E-3</c:v>
                </c:pt>
                <c:pt idx="1357">
                  <c:v>6.1797591110543332E-3</c:v>
                </c:pt>
                <c:pt idx="1358">
                  <c:v>6.2029539620429685E-3</c:v>
                </c:pt>
                <c:pt idx="1359">
                  <c:v>6.2106922863840643E-3</c:v>
                </c:pt>
                <c:pt idx="1360">
                  <c:v>6.2184339775057341E-3</c:v>
                </c:pt>
                <c:pt idx="1361">
                  <c:v>6.2261790432728593E-3</c:v>
                </c:pt>
                <c:pt idx="1362">
                  <c:v>6.2339274915503163E-3</c:v>
                </c:pt>
                <c:pt idx="1363">
                  <c:v>6.2571932100935011E-3</c:v>
                </c:pt>
                <c:pt idx="1364">
                  <c:v>6.2649552670610981E-3</c:v>
                </c:pt>
                <c:pt idx="1365">
                  <c:v>6.2727207458634282E-3</c:v>
                </c:pt>
                <c:pt idx="1366">
                  <c:v>6.2804896543653711E-3</c:v>
                </c:pt>
                <c:pt idx="1367">
                  <c:v>6.2882620004318093E-3</c:v>
                </c:pt>
                <c:pt idx="1368">
                  <c:v>6.3115997426668787E-3</c:v>
                </c:pt>
                <c:pt idx="1369">
                  <c:v>6.3193859176400849E-3</c:v>
                </c:pt>
                <c:pt idx="1370">
                  <c:v>6.3271755695021858E-3</c:v>
                </c:pt>
                <c:pt idx="1371">
                  <c:v>6.3349687061180588E-3</c:v>
                </c:pt>
                <c:pt idx="1372">
                  <c:v>6.3427653353525845E-3</c:v>
                </c:pt>
                <c:pt idx="1373">
                  <c:v>6.366176257416872E-3</c:v>
                </c:pt>
                <c:pt idx="1374">
                  <c:v>6.373986935774803E-3</c:v>
                </c:pt>
                <c:pt idx="1375">
                  <c:v>6.3818011460757898E-3</c:v>
                </c:pt>
                <c:pt idx="1376">
                  <c:v>6.3896188961847034E-3</c:v>
                </c:pt>
                <c:pt idx="1377">
                  <c:v>6.3974401939664296E-3</c:v>
                </c:pt>
                <c:pt idx="1378">
                  <c:v>6.4209254519972713E-3</c:v>
                </c:pt>
                <c:pt idx="1379">
                  <c:v>6.4287610191190395E-3</c:v>
                </c:pt>
                <c:pt idx="1380">
                  <c:v>6.4366001732380183E-3</c:v>
                </c:pt>
                <c:pt idx="1381">
                  <c:v>6.4444429222190831E-3</c:v>
                </c:pt>
                <c:pt idx="1382">
                  <c:v>6.4522892739271248E-3</c:v>
                </c:pt>
                <c:pt idx="1383">
                  <c:v>6.4758500240618532E-3</c:v>
                </c:pt>
                <c:pt idx="1384">
                  <c:v>6.4837108653265684E-3</c:v>
                </c:pt>
                <c:pt idx="1385">
                  <c:v>6.4915753486426524E-3</c:v>
                </c:pt>
                <c:pt idx="1386">
                  <c:v>6.4994434818749867E-3</c:v>
                </c:pt>
                <c:pt idx="1387">
                  <c:v>6.5073152728884476E-3</c:v>
                </c:pt>
                <c:pt idx="1388">
                  <c:v>6.5309526712643996E-3</c:v>
                </c:pt>
                <c:pt idx="1389">
                  <c:v>6.5388391720511739E-3</c:v>
                </c:pt>
                <c:pt idx="1390">
                  <c:v>6.5467293699434754E-3</c:v>
                </c:pt>
                <c:pt idx="1391">
                  <c:v>6.5546232728061846E-3</c:v>
                </c:pt>
                <c:pt idx="1392">
                  <c:v>6.5625208885041813E-3</c:v>
                </c:pt>
                <c:pt idx="1393">
                  <c:v>6.5862360912586912E-3</c:v>
                </c:pt>
                <c:pt idx="1394">
                  <c:v>6.5941486369466354E-3</c:v>
                </c:pt>
                <c:pt idx="1395">
                  <c:v>6.6020649347942667E-3</c:v>
                </c:pt>
                <c:pt idx="1396">
                  <c:v>6.609984992666464E-3</c:v>
                </c:pt>
                <c:pt idx="1397">
                  <c:v>6.617908818428107E-3</c:v>
                </c:pt>
                <c:pt idx="1398">
                  <c:v>6.6417029816985126E-3</c:v>
                </c:pt>
                <c:pt idx="1399">
                  <c:v>6.649641957666738E-3</c:v>
                </c:pt>
                <c:pt idx="1400">
                  <c:v>6.6575847408488062E-3</c:v>
                </c:pt>
                <c:pt idx="1401">
                  <c:v>6.6655313391096038E-3</c:v>
                </c:pt>
                <c:pt idx="1402">
                  <c:v>6.6734817603140055E-3</c:v>
                </c:pt>
                <c:pt idx="1403">
                  <c:v>6.6973560402376368E-3</c:v>
                </c:pt>
                <c:pt idx="1404">
                  <c:v>6.7053218318652574E-3</c:v>
                </c:pt>
                <c:pt idx="1405">
                  <c:v>6.7132914857608809E-3</c:v>
                </c:pt>
                <c:pt idx="1406">
                  <c:v>6.7212650097893878E-3</c:v>
                </c:pt>
                <c:pt idx="1407">
                  <c:v>6.729242411815657E-3</c:v>
                </c:pt>
                <c:pt idx="1408">
                  <c:v>6.7531979645298517E-3</c:v>
                </c:pt>
                <c:pt idx="1409">
                  <c:v>6.7611909571959746E-3</c:v>
                </c:pt>
                <c:pt idx="1410">
                  <c:v>6.7691878671842631E-3</c:v>
                </c:pt>
                <c:pt idx="1411">
                  <c:v>6.7771887023595932E-3</c:v>
                </c:pt>
                <c:pt idx="1412">
                  <c:v>6.7851934626027401E-3</c:v>
                </c:pt>
                <c:pt idx="1413">
                  <c:v>6.809230941246221E-3</c:v>
                </c:pt>
                <c:pt idx="1414">
                  <c:v>6.8172510332995644E-3</c:v>
                </c:pt>
                <c:pt idx="1415">
                  <c:v>6.8252748582060818E-3</c:v>
                </c:pt>
                <c:pt idx="1416">
                  <c:v>6.833302375926025E-3</c:v>
                </c:pt>
                <c:pt idx="1417">
                  <c:v>6.8413335464196454E-3</c:v>
                </c:pt>
                <c:pt idx="1418">
                  <c:v>6.8654485741450645E-3</c:v>
                </c:pt>
                <c:pt idx="1419">
                  <c:v>6.8734939553358907E-3</c:v>
                </c:pt>
                <c:pt idx="1420">
                  <c:v>6.8815427891016478E-3</c:v>
                </c:pt>
                <c:pt idx="1421">
                  <c:v>6.8895950354025837E-3</c:v>
                </c:pt>
                <c:pt idx="1422">
                  <c:v>6.8976506541989502E-3</c:v>
                </c:pt>
                <c:pt idx="1423">
                  <c:v>6.9218373451631291E-3</c:v>
                </c:pt>
                <c:pt idx="1424">
                  <c:v>6.9299060535437176E-3</c:v>
                </c:pt>
                <c:pt idx="1425">
                  <c:v>6.9379779342209893E-3</c:v>
                </c:pt>
                <c:pt idx="1426">
                  <c:v>6.9460529471551897E-3</c:v>
                </c:pt>
                <c:pt idx="1427">
                  <c:v>6.9541310523065763E-3</c:v>
                </c:pt>
                <c:pt idx="1428">
                  <c:v>6.978383520666342E-3</c:v>
                </c:pt>
                <c:pt idx="1429">
                  <c:v>6.9864735942889652E-3</c:v>
                </c:pt>
                <c:pt idx="1430">
                  <c:v>6.994566559930024E-3</c:v>
                </c:pt>
                <c:pt idx="1431">
                  <c:v>7.0026623775497707E-3</c:v>
                </c:pt>
                <c:pt idx="1432">
                  <c:v>7.0107610071084526E-3</c:v>
                </c:pt>
                <c:pt idx="1433">
                  <c:v>7.0350733670206207E-3</c:v>
                </c:pt>
                <c:pt idx="1434">
                  <c:v>7.0431828439375538E-3</c:v>
                </c:pt>
                <c:pt idx="1435">
                  <c:v>7.0512949325946764E-3</c:v>
                </c:pt>
                <c:pt idx="1436">
                  <c:v>7.0594095929522394E-3</c:v>
                </c:pt>
                <c:pt idx="1437">
                  <c:v>7.0675267849704907E-3</c:v>
                </c:pt>
                <c:pt idx="1438">
                  <c:v>7.0918931505918915E-3</c:v>
                </c:pt>
                <c:pt idx="1439">
                  <c:v>7.1000200688554086E-3</c:v>
                </c:pt>
                <c:pt idx="1440">
                  <c:v>7.1081493185808694E-3</c:v>
                </c:pt>
                <c:pt idx="1441">
                  <c:v>7.1162808597285227E-3</c:v>
                </c:pt>
                <c:pt idx="1442">
                  <c:v>7.1244146522586203E-3</c:v>
                </c:pt>
                <c:pt idx="1443">
                  <c:v>7.1488291377460782E-3</c:v>
                </c:pt>
                <c:pt idx="1444">
                  <c:v>7.1569715354084544E-3</c:v>
                </c:pt>
                <c:pt idx="1445">
                  <c:v>7.1651159842545248E-3</c:v>
                </c:pt>
                <c:pt idx="1446">
                  <c:v>7.1732624442445436E-3</c:v>
                </c:pt>
                <c:pt idx="1447">
                  <c:v>7.181410875338759E-3</c:v>
                </c:pt>
                <c:pt idx="1448">
                  <c:v>7.2058675948490965E-3</c:v>
                </c:pt>
                <c:pt idx="1449">
                  <c:v>7.2140235099626077E-3</c:v>
                </c:pt>
                <c:pt idx="1450">
                  <c:v>7.2221811959815663E-3</c:v>
                </c:pt>
                <c:pt idx="1451">
                  <c:v>7.2303406128662257E-3</c:v>
                </c:pt>
                <c:pt idx="1452">
                  <c:v>7.2385017205768322E-3</c:v>
                </c:pt>
                <c:pt idx="1453">
                  <c:v>7.2629947882668711E-3</c:v>
                </c:pt>
                <c:pt idx="1454">
                  <c:v>7.2711622588837897E-3</c:v>
                </c:pt>
                <c:pt idx="1455">
                  <c:v>7.2793312201279098E-3</c:v>
                </c:pt>
                <c:pt idx="1456">
                  <c:v>7.2875016319594848E-3</c:v>
                </c:pt>
                <c:pt idx="1457">
                  <c:v>7.2956734543387644E-3</c:v>
                </c:pt>
                <c:pt idx="1458">
                  <c:v>7.3201969843653273E-3</c:v>
                </c:pt>
                <c:pt idx="1459">
                  <c:v>7.3283740485379275E-3</c:v>
                </c:pt>
                <c:pt idx="1460">
                  <c:v>7.3365523230594842E-3</c:v>
                </c:pt>
                <c:pt idx="1461">
                  <c:v>7.3447317678902481E-3</c:v>
                </c:pt>
                <c:pt idx="1462">
                  <c:v>7.3529123429904707E-3</c:v>
                </c:pt>
                <c:pt idx="1463">
                  <c:v>7.3774604495103861E-3</c:v>
                </c:pt>
                <c:pt idx="1464">
                  <c:v>7.3856451452909404E-3</c:v>
                </c:pt>
                <c:pt idx="1465">
                  <c:v>7.3938307711422088E-3</c:v>
                </c:pt>
                <c:pt idx="1466">
                  <c:v>7.4020172870244375E-3</c:v>
                </c:pt>
                <c:pt idx="1467">
                  <c:v>7.4102046528978765E-3</c:v>
                </c:pt>
                <c:pt idx="1468">
                  <c:v>7.4347714500679661E-3</c:v>
                </c:pt>
                <c:pt idx="1469">
                  <c:v>7.4429618155087557E-3</c:v>
                </c:pt>
                <c:pt idx="1470">
                  <c:v>7.4511528307420073E-3</c:v>
                </c:pt>
                <c:pt idx="1471">
                  <c:v>7.4593444557279724E-3</c:v>
                </c:pt>
                <c:pt idx="1472">
                  <c:v>7.4675366504269036E-3</c:v>
                </c:pt>
                <c:pt idx="1473">
                  <c:v>7.4921162524039919E-3</c:v>
                </c:pt>
                <c:pt idx="1474">
                  <c:v>7.5003103255572865E-3</c:v>
                </c:pt>
                <c:pt idx="1475">
                  <c:v>7.5085047682248007E-3</c:v>
                </c:pt>
                <c:pt idx="1476">
                  <c:v>7.5166995403667764E-3</c:v>
                </c:pt>
                <c:pt idx="1477">
                  <c:v>7.5248946019434784E-3</c:v>
                </c:pt>
                <c:pt idx="1478">
                  <c:v>7.5494811228843861E-3</c:v>
                </c:pt>
                <c:pt idx="1479">
                  <c:v>7.5576769418024626E-3</c:v>
                </c:pt>
                <c:pt idx="1480">
                  <c:v>7.5658728499565083E-3</c:v>
                </c:pt>
                <c:pt idx="1481">
                  <c:v>7.5740688073067768E-3</c:v>
                </c:pt>
                <c:pt idx="1482">
                  <c:v>7.5822647738135159E-3</c:v>
                </c:pt>
                <c:pt idx="1483">
                  <c:v>7.606852327875069E-3</c:v>
                </c:pt>
                <c:pt idx="1484">
                  <c:v>7.6150479306102007E-3</c:v>
                </c:pt>
                <c:pt idx="1485">
                  <c:v>7.6232433423030557E-3</c:v>
                </c:pt>
                <c:pt idx="1486">
                  <c:v>7.6314385229138866E-3</c:v>
                </c:pt>
                <c:pt idx="1487">
                  <c:v>7.6396334324029423E-3</c:v>
                </c:pt>
                <c:pt idx="1488">
                  <c:v>7.6642161337419643E-3</c:v>
                </c:pt>
                <c:pt idx="1489">
                  <c:v>7.6724095583464262E-3</c:v>
                </c:pt>
                <c:pt idx="1490">
                  <c:v>7.6806025116303656E-3</c:v>
                </c:pt>
                <c:pt idx="1491">
                  <c:v>7.6887949535540331E-3</c:v>
                </c:pt>
                <c:pt idx="1492">
                  <c:v>7.6969868440776796E-3</c:v>
                </c:pt>
                <c:pt idx="1493">
                  <c:v>7.7215588068509948E-3</c:v>
                </c:pt>
                <c:pt idx="1494">
                  <c:v>7.7297480913770629E-3</c:v>
                </c:pt>
                <c:pt idx="1495">
                  <c:v>7.7379366243043573E-3</c:v>
                </c:pt>
                <c:pt idx="1496">
                  <c:v>7.7461243655931366E-3</c:v>
                </c:pt>
                <c:pt idx="1497">
                  <c:v>7.7543112752036479E-3</c:v>
                </c:pt>
                <c:pt idx="1498">
                  <c:v>7.7788666135680824E-3</c:v>
                </c:pt>
                <c:pt idx="1499">
                  <c:v>7.7870497960680274E-3</c:v>
                </c:pt>
              </c:numCache>
            </c:numRef>
          </c:val>
          <c:smooth val="0"/>
        </c:ser>
        <c:ser>
          <c:idx val="4"/>
          <c:order val="4"/>
          <c:tx>
            <c:strRef>
              <c:f>'EUR Forwards'!$S$7</c:f>
              <c:strCache>
                <c:ptCount val="1"/>
                <c:pt idx="0">
                  <c:v>EUR12ML</c:v>
                </c:pt>
              </c:strCache>
            </c:strRef>
          </c:tx>
          <c:marker>
            <c:symbol val="none"/>
          </c:marker>
          <c:val>
            <c:numRef>
              <c:f>'EUR Forwards'!$U$20:$U$1519</c:f>
              <c:numCache>
                <c:formatCode>0.00000%</c:formatCode>
                <c:ptCount val="1500"/>
                <c:pt idx="0">
                  <c:v>-1.4967073406528192E-4</c:v>
                </c:pt>
                <c:pt idx="1">
                  <c:v>-1.4983534095695724E-4</c:v>
                </c:pt>
                <c:pt idx="2">
                  <c:v>-1.4999996589658434E-4</c:v>
                </c:pt>
                <c:pt idx="3">
                  <c:v>-1.5016459083621141E-4</c:v>
                </c:pt>
                <c:pt idx="4">
                  <c:v>-1.5065828517557542E-4</c:v>
                </c:pt>
                <c:pt idx="5">
                  <c:v>-1.5082272963568531E-4</c:v>
                </c:pt>
                <c:pt idx="6">
                  <c:v>-1.5098708385603664E-4</c:v>
                </c:pt>
                <c:pt idx="7">
                  <c:v>-1.511513297886776E-4</c:v>
                </c:pt>
                <c:pt idx="8">
                  <c:v>-1.5131544938565657E-4</c:v>
                </c:pt>
                <c:pt idx="9">
                  <c:v>-1.5180686968310406E-4</c:v>
                </c:pt>
                <c:pt idx="10">
                  <c:v>-1.5197030345791775E-4</c:v>
                </c:pt>
                <c:pt idx="11">
                  <c:v>-1.5213352065731076E-4</c:v>
                </c:pt>
                <c:pt idx="12">
                  <c:v>-1.5229650323333148E-4</c:v>
                </c:pt>
                <c:pt idx="13">
                  <c:v>-1.5245923313802811E-4</c:v>
                </c:pt>
                <c:pt idx="14">
                  <c:v>-1.5294572634465652E-4</c:v>
                </c:pt>
                <c:pt idx="15">
                  <c:v>-1.5310726508453972E-4</c:v>
                </c:pt>
                <c:pt idx="16">
                  <c:v>-1.5326846091334034E-4</c:v>
                </c:pt>
                <c:pt idx="17">
                  <c:v>-1.5342929578310651E-4</c:v>
                </c:pt>
                <c:pt idx="18">
                  <c:v>-1.5358975164588665E-4</c:v>
                </c:pt>
                <c:pt idx="19">
                  <c:v>-1.5406866471279334E-4</c:v>
                </c:pt>
                <c:pt idx="20">
                  <c:v>-1.5422742406811195E-4</c:v>
                </c:pt>
                <c:pt idx="21">
                  <c:v>-1.5438571417668585E-4</c:v>
                </c:pt>
                <c:pt idx="22">
                  <c:v>-1.5454351699056336E-4</c:v>
                </c:pt>
                <c:pt idx="23">
                  <c:v>-1.5470081446179279E-4</c:v>
                </c:pt>
                <c:pt idx="24">
                  <c:v>-1.5516949434007515E-4</c:v>
                </c:pt>
                <c:pt idx="25">
                  <c:v>-1.5532458996119492E-4</c:v>
                </c:pt>
                <c:pt idx="26">
                  <c:v>-1.5547908999990798E-4</c:v>
                </c:pt>
                <c:pt idx="27">
                  <c:v>-1.5563297640826257E-4</c:v>
                </c:pt>
                <c:pt idx="28">
                  <c:v>-1.5578623113830708E-4</c:v>
                </c:pt>
                <c:pt idx="29">
                  <c:v>-1.5624202477906252E-4</c:v>
                </c:pt>
                <c:pt idx="30">
                  <c:v>-1.5639257231634922E-4</c:v>
                </c:pt>
                <c:pt idx="31">
                  <c:v>-1.5654239793556725E-4</c:v>
                </c:pt>
                <c:pt idx="32">
                  <c:v>-1.566914835887648E-4</c:v>
                </c:pt>
                <c:pt idx="33">
                  <c:v>-1.5683981122799014E-4</c:v>
                </c:pt>
                <c:pt idx="34">
                  <c:v>-1.5728006558231607E-4</c:v>
                </c:pt>
                <c:pt idx="35">
                  <c:v>-1.5742518068613556E-4</c:v>
                </c:pt>
                <c:pt idx="36">
                  <c:v>-1.5756944753622432E-4</c:v>
                </c:pt>
                <c:pt idx="37">
                  <c:v>-1.5771284808463056E-4</c:v>
                </c:pt>
                <c:pt idx="38">
                  <c:v>-1.5785536428340258E-4</c:v>
                </c:pt>
                <c:pt idx="39">
                  <c:v>-1.5827742630239637E-4</c:v>
                </c:pt>
                <c:pt idx="40">
                  <c:v>-1.5841622462311444E-4</c:v>
                </c:pt>
                <c:pt idx="41">
                  <c:v>-1.5855404835443972E-4</c:v>
                </c:pt>
                <c:pt idx="42">
                  <c:v>-1.5869087944842049E-4</c:v>
                </c:pt>
                <c:pt idx="43">
                  <c:v>-1.5882669985710501E-4</c:v>
                </c:pt>
                <c:pt idx="44">
                  <c:v>-1.5922791649186405E-4</c:v>
                </c:pt>
                <c:pt idx="45">
                  <c:v>-1.5935951367984649E-4</c:v>
                </c:pt>
                <c:pt idx="46">
                  <c:v>-1.5949000994277409E-4</c:v>
                </c:pt>
                <c:pt idx="47">
                  <c:v>-1.5961938723269516E-4</c:v>
                </c:pt>
                <c:pt idx="48">
                  <c:v>-1.5974762750165796E-4</c:v>
                </c:pt>
                <c:pt idx="49">
                  <c:v>-1.601253457032797E-4</c:v>
                </c:pt>
                <c:pt idx="50">
                  <c:v>-1.6024885740889227E-4</c:v>
                </c:pt>
                <c:pt idx="51">
                  <c:v>-1.6037114185378802E-4</c:v>
                </c:pt>
                <c:pt idx="52">
                  <c:v>-1.6049218099001519E-4</c:v>
                </c:pt>
                <c:pt idx="53">
                  <c:v>-1.6061195676962209E-4</c:v>
                </c:pt>
                <c:pt idx="54">
                  <c:v>-1.6096352348920383E-4</c:v>
                </c:pt>
                <c:pt idx="55">
                  <c:v>-1.610780653628124E-4</c:v>
                </c:pt>
                <c:pt idx="56">
                  <c:v>-1.6119125364004208E-4</c:v>
                </c:pt>
                <c:pt idx="57">
                  <c:v>-1.6130307027294118E-4</c:v>
                </c:pt>
                <c:pt idx="58">
                  <c:v>-1.6141349721355793E-4</c:v>
                </c:pt>
                <c:pt idx="59">
                  <c:v>-1.6173625940219715E-4</c:v>
                </c:pt>
                <c:pt idx="60">
                  <c:v>-1.6184094709416748E-4</c:v>
                </c:pt>
                <c:pt idx="61">
                  <c:v>-1.6194415485409693E-4</c:v>
                </c:pt>
                <c:pt idx="62">
                  <c:v>-1.6204586463403368E-4</c:v>
                </c:pt>
                <c:pt idx="63">
                  <c:v>-1.6214605838602613E-4</c:v>
                </c:pt>
                <c:pt idx="64">
                  <c:v>-1.6243736299482021E-4</c:v>
                </c:pt>
                <c:pt idx="65">
                  <c:v>-1.6253131215551812E-4</c:v>
                </c:pt>
                <c:pt idx="66">
                  <c:v>-1.6262365504851308E-4</c:v>
                </c:pt>
                <c:pt idx="67">
                  <c:v>-1.6271437362585335E-4</c:v>
                </c:pt>
                <c:pt idx="68">
                  <c:v>-1.6280344983958728E-4</c:v>
                </c:pt>
                <c:pt idx="69">
                  <c:v>-1.6306064381963362E-4</c:v>
                </c:pt>
                <c:pt idx="70">
                  <c:v>-1.6314297009942488E-4</c:v>
                </c:pt>
                <c:pt idx="71">
                  <c:v>-1.6322356377585116E-4</c:v>
                </c:pt>
                <c:pt idx="72">
                  <c:v>-1.6330240680096074E-4</c:v>
                </c:pt>
                <c:pt idx="73">
                  <c:v>-1.6337948112680198E-4</c:v>
                </c:pt>
                <c:pt idx="74">
                  <c:v>-1.6359991142919796E-4</c:v>
                </c:pt>
                <c:pt idx="75">
                  <c:v>-1.6366973047844837E-4</c:v>
                </c:pt>
                <c:pt idx="76">
                  <c:v>-1.6373769058867176E-4</c:v>
                </c:pt>
                <c:pt idx="77">
                  <c:v>-1.6380377371191644E-4</c:v>
                </c:pt>
                <c:pt idx="78">
                  <c:v>-1.6386796180023076E-4</c:v>
                </c:pt>
                <c:pt idx="79">
                  <c:v>-1.640489753760738E-4</c:v>
                </c:pt>
                <c:pt idx="80">
                  <c:v>-1.6410540284514917E-4</c:v>
                </c:pt>
                <c:pt idx="81">
                  <c:v>-1.6415984503953551E-4</c:v>
                </c:pt>
                <c:pt idx="82">
                  <c:v>-1.6421228391128107E-4</c:v>
                </c:pt>
                <c:pt idx="83">
                  <c:v>-1.6426270141243424E-4</c:v>
                </c:pt>
                <c:pt idx="84">
                  <c:v>-1.6440164521282173E-4</c:v>
                </c:pt>
                <c:pt idx="85">
                  <c:v>-1.6444379675208787E-4</c:v>
                </c:pt>
                <c:pt idx="86">
                  <c:v>-1.6448383668100295E-4</c:v>
                </c:pt>
                <c:pt idx="87">
                  <c:v>-1.6452174695161527E-4</c:v>
                </c:pt>
                <c:pt idx="88">
                  <c:v>-1.6455750951597305E-4</c:v>
                </c:pt>
                <c:pt idx="89">
                  <c:v>-1.6465173049200242E-4</c:v>
                </c:pt>
                <c:pt idx="90">
                  <c:v>-1.6467872175182511E-4</c:v>
                </c:pt>
                <c:pt idx="91">
                  <c:v>-1.6470347506563471E-4</c:v>
                </c:pt>
                <c:pt idx="92">
                  <c:v>-1.6472597238547952E-4</c:v>
                </c:pt>
                <c:pt idx="93">
                  <c:v>-1.647461956634078E-4</c:v>
                </c:pt>
                <c:pt idx="94">
                  <c:v>-1.647930407661764E-4</c:v>
                </c:pt>
                <c:pt idx="95">
                  <c:v>-1.6480398739692146E-4</c:v>
                </c:pt>
                <c:pt idx="96">
                  <c:v>-1.6481256974599137E-4</c:v>
                </c:pt>
                <c:pt idx="97">
                  <c:v>-1.6481876976543448E-4</c:v>
                </c:pt>
                <c:pt idx="98">
                  <c:v>-1.6482256940729905E-4</c:v>
                </c:pt>
                <c:pt idx="99">
                  <c:v>-1.6481938558790427E-4</c:v>
                </c:pt>
                <c:pt idx="100">
                  <c:v>-1.6481340323993749E-4</c:v>
                </c:pt>
                <c:pt idx="101">
                  <c:v>-1.6480493027463353E-4</c:v>
                </c:pt>
                <c:pt idx="102">
                  <c:v>-1.6479394864404076E-4</c:v>
                </c:pt>
                <c:pt idx="103">
                  <c:v>-1.6478044030020738E-4</c:v>
                </c:pt>
                <c:pt idx="104">
                  <c:v>-1.6472457450974668E-4</c:v>
                </c:pt>
                <c:pt idx="105">
                  <c:v>-1.647007788334338E-4</c:v>
                </c:pt>
                <c:pt idx="106">
                  <c:v>-1.6467436620412178E-4</c:v>
                </c:pt>
                <c:pt idx="107">
                  <c:v>-1.6464531857385891E-4</c:v>
                </c:pt>
                <c:pt idx="108">
                  <c:v>-1.6461361789469345E-4</c:v>
                </c:pt>
                <c:pt idx="109">
                  <c:v>-1.6450241708426412E-4</c:v>
                </c:pt>
                <c:pt idx="110">
                  <c:v>-1.6445992372997103E-4</c:v>
                </c:pt>
                <c:pt idx="111">
                  <c:v>-1.6441468708701675E-4</c:v>
                </c:pt>
                <c:pt idx="112">
                  <c:v>-1.6436668910744956E-4</c:v>
                </c:pt>
                <c:pt idx="113">
                  <c:v>-1.6431591174331773E-4</c:v>
                </c:pt>
                <c:pt idx="114">
                  <c:v>-1.6414672286401728E-4</c:v>
                </c:pt>
                <c:pt idx="115">
                  <c:v>-1.6408464748210975E-4</c:v>
                </c:pt>
                <c:pt idx="116">
                  <c:v>-1.6401970247587901E-4</c:v>
                </c:pt>
                <c:pt idx="117">
                  <c:v>-1.6395186979737328E-4</c:v>
                </c:pt>
                <c:pt idx="118">
                  <c:v>-1.6388113139864094E-4</c:v>
                </c:pt>
                <c:pt idx="119">
                  <c:v>-1.6365130140156672E-4</c:v>
                </c:pt>
                <c:pt idx="120">
                  <c:v>-1.6356875964241056E-4</c:v>
                </c:pt>
                <c:pt idx="121">
                  <c:v>-1.6348322192326912E-4</c:v>
                </c:pt>
                <c:pt idx="122">
                  <c:v>-1.633946701961907E-4</c:v>
                </c:pt>
                <c:pt idx="123">
                  <c:v>-1.6330308641322361E-4</c:v>
                </c:pt>
                <c:pt idx="124">
                  <c:v>-1.6300996224947304E-4</c:v>
                </c:pt>
                <c:pt idx="125">
                  <c:v>-1.62906069763434E-4</c:v>
                </c:pt>
                <c:pt idx="126">
                  <c:v>-1.6279905498174771E-4</c:v>
                </c:pt>
                <c:pt idx="127">
                  <c:v>-1.626888998564624E-4</c:v>
                </c:pt>
                <c:pt idx="128">
                  <c:v>-1.6257558633962638E-4</c:v>
                </c:pt>
                <c:pt idx="129">
                  <c:v>-1.6221651496029681E-4</c:v>
                </c:pt>
                <c:pt idx="130">
                  <c:v>-1.6209038739774072E-4</c:v>
                </c:pt>
                <c:pt idx="131">
                  <c:v>-1.6196101120387536E-4</c:v>
                </c:pt>
                <c:pt idx="132">
                  <c:v>-1.6182836833074894E-4</c:v>
                </c:pt>
                <c:pt idx="133">
                  <c:v>-1.6169244073040978E-4</c:v>
                </c:pt>
                <c:pt idx="134">
                  <c:v>-1.6126476908659865E-4</c:v>
                </c:pt>
                <c:pt idx="135">
                  <c:v>-1.6111552209789132E-4</c:v>
                </c:pt>
                <c:pt idx="136">
                  <c:v>-1.6096290014221267E-4</c:v>
                </c:pt>
                <c:pt idx="137">
                  <c:v>-1.6080688517161097E-4</c:v>
                </c:pt>
                <c:pt idx="138">
                  <c:v>-1.6064745913813448E-4</c:v>
                </c:pt>
                <c:pt idx="139">
                  <c:v>-1.6014853418093916E-4</c:v>
                </c:pt>
                <c:pt idx="140">
                  <c:v>-1.599752834164464E-4</c:v>
                </c:pt>
                <c:pt idx="141">
                  <c:v>-1.5979853134932023E-4</c:v>
                </c:pt>
                <c:pt idx="142">
                  <c:v>-1.5961825993160902E-4</c:v>
                </c:pt>
                <c:pt idx="143">
                  <c:v>-1.5943445111536099E-4</c:v>
                </c:pt>
                <c:pt idx="144">
                  <c:v>-1.5886161979587892E-4</c:v>
                </c:pt>
                <c:pt idx="145">
                  <c:v>-1.5866348090596649E-4</c:v>
                </c:pt>
                <c:pt idx="146">
                  <c:v>-1.5846171437775868E-4</c:v>
                </c:pt>
                <c:pt idx="147">
                  <c:v>-1.5825630216330375E-4</c:v>
                </c:pt>
                <c:pt idx="148">
                  <c:v>-1.5804722621464998E-4</c:v>
                </c:pt>
                <c:pt idx="149">
                  <c:v>-1.5717392411901222E-4</c:v>
                </c:pt>
                <c:pt idx="150">
                  <c:v>-1.5694625878008854E-4</c:v>
                </c:pt>
                <c:pt idx="151">
                  <c:v>-1.5671482141925571E-4</c:v>
                </c:pt>
                <c:pt idx="152">
                  <c:v>-1.5647959398856201E-4</c:v>
                </c:pt>
                <c:pt idx="153">
                  <c:v>-1.5574962836145635E-4</c:v>
                </c:pt>
                <c:pt idx="154">
                  <c:v>-1.5549834709074848E-4</c:v>
                </c:pt>
                <c:pt idx="155">
                  <c:v>-1.5524316407017138E-4</c:v>
                </c:pt>
                <c:pt idx="156">
                  <c:v>-1.5498406110302725E-4</c:v>
                </c:pt>
                <c:pt idx="157">
                  <c:v>-1.5472101999261824E-4</c:v>
                </c:pt>
                <c:pt idx="158">
                  <c:v>-1.539080858348237E-4</c:v>
                </c:pt>
                <c:pt idx="159">
                  <c:v>-1.5362911018437691E-4</c:v>
                </c:pt>
                <c:pt idx="160">
                  <c:v>-1.5334610540717613E-4</c:v>
                </c:pt>
                <c:pt idx="161">
                  <c:v>-1.5305905330652351E-4</c:v>
                </c:pt>
                <c:pt idx="162">
                  <c:v>-1.527679356857212E-4</c:v>
                </c:pt>
                <c:pt idx="163">
                  <c:v>-1.5187000773543799E-4</c:v>
                </c:pt>
                <c:pt idx="164">
                  <c:v>-1.5156244606705875E-4</c:v>
                </c:pt>
                <c:pt idx="165">
                  <c:v>-1.512507278950407E-4</c:v>
                </c:pt>
                <c:pt idx="166">
                  <c:v>-1.5093483502268601E-4</c:v>
                </c:pt>
                <c:pt idx="167">
                  <c:v>-1.5061474925329683E-4</c:v>
                </c:pt>
                <c:pt idx="168">
                  <c:v>-1.4962915259594429E-4</c:v>
                </c:pt>
                <c:pt idx="169">
                  <c:v>-1.49292113271439E-4</c:v>
                </c:pt>
                <c:pt idx="170">
                  <c:v>-1.489507900664101E-4</c:v>
                </c:pt>
                <c:pt idx="171">
                  <c:v>-1.4860516478415979E-4</c:v>
                </c:pt>
                <c:pt idx="172">
                  <c:v>-1.482552192279902E-4</c:v>
                </c:pt>
                <c:pt idx="173">
                  <c:v>-1.4717927894898766E-4</c:v>
                </c:pt>
                <c:pt idx="174">
                  <c:v>-1.4681187033016276E-4</c:v>
                </c:pt>
                <c:pt idx="175">
                  <c:v>-1.4644005045392946E-4</c:v>
                </c:pt>
                <c:pt idx="176">
                  <c:v>-1.4606380112358995E-4</c:v>
                </c:pt>
                <c:pt idx="177">
                  <c:v>-1.4568310414244637E-4</c:v>
                </c:pt>
                <c:pt idx="178">
                  <c:v>-1.4451414532721307E-4</c:v>
                </c:pt>
                <c:pt idx="179">
                  <c:v>-1.4411547577587502E-4</c:v>
                </c:pt>
                <c:pt idx="180">
                  <c:v>-1.4371226759024374E-4</c:v>
                </c:pt>
                <c:pt idx="181">
                  <c:v>-1.4330450257362149E-4</c:v>
                </c:pt>
                <c:pt idx="182">
                  <c:v>-1.4289216252931036E-4</c:v>
                </c:pt>
                <c:pt idx="183">
                  <c:v>-1.4162751026326563E-4</c:v>
                </c:pt>
                <c:pt idx="184">
                  <c:v>-1.4119668814122083E-4</c:v>
                </c:pt>
                <c:pt idx="185">
                  <c:v>-1.4076120000799808E-4</c:v>
                </c:pt>
                <c:pt idx="186">
                  <c:v>-1.4032102766689948E-4</c:v>
                </c:pt>
                <c:pt idx="187">
                  <c:v>-1.3987615292122724E-4</c:v>
                </c:pt>
                <c:pt idx="188">
                  <c:v>-1.3851313228979039E-4</c:v>
                </c:pt>
                <c:pt idx="189">
                  <c:v>-1.3804926595884531E-4</c:v>
                </c:pt>
                <c:pt idx="190">
                  <c:v>-1.3758060623983743E-4</c:v>
                </c:pt>
                <c:pt idx="191">
                  <c:v>-1.3710713493606896E-4</c:v>
                </c:pt>
                <c:pt idx="192">
                  <c:v>-1.3662883385084205E-4</c:v>
                </c:pt>
                <c:pt idx="193">
                  <c:v>-1.3516476993943237E-4</c:v>
                </c:pt>
                <c:pt idx="194">
                  <c:v>-1.3466696776139343E-4</c:v>
                </c:pt>
                <c:pt idx="195">
                  <c:v>-1.3416424481840691E-4</c:v>
                </c:pt>
                <c:pt idx="196">
                  <c:v>-1.3365658291377498E-4</c:v>
                </c:pt>
                <c:pt idx="197">
                  <c:v>-1.3314396385079986E-4</c:v>
                </c:pt>
                <c:pt idx="198">
                  <c:v>-1.3157618174483666E-4</c:v>
                </c:pt>
                <c:pt idx="199">
                  <c:v>-1.3104355208151029E-4</c:v>
                </c:pt>
                <c:pt idx="200">
                  <c:v>-1.3050587427635156E-4</c:v>
                </c:pt>
                <c:pt idx="201">
                  <c:v>-1.2996313013266262E-4</c:v>
                </c:pt>
                <c:pt idx="202">
                  <c:v>-1.2941530145374564E-4</c:v>
                </c:pt>
                <c:pt idx="203">
                  <c:v>-1.2774112623864829E-4</c:v>
                </c:pt>
                <c:pt idx="204">
                  <c:v>-1.2717277745184091E-4</c:v>
                </c:pt>
                <c:pt idx="205">
                  <c:v>-1.2659925314631638E-4</c:v>
                </c:pt>
                <c:pt idx="206">
                  <c:v>-1.2602053512537686E-4</c:v>
                </c:pt>
                <c:pt idx="207">
                  <c:v>-1.2543660519232451E-4</c:v>
                </c:pt>
                <c:pt idx="208">
                  <c:v>-1.2365336195351226E-4</c:v>
                </c:pt>
                <c:pt idx="209">
                  <c:v>-1.2304840240503036E-4</c:v>
                </c:pt>
                <c:pt idx="210">
                  <c:v>-1.2243813996094647E-4</c:v>
                </c:pt>
                <c:pt idx="211">
                  <c:v>-1.2182255642456284E-4</c:v>
                </c:pt>
                <c:pt idx="212">
                  <c:v>-1.2120163359918152E-4</c:v>
                </c:pt>
                <c:pt idx="213">
                  <c:v>-1.193066474220737E-4</c:v>
                </c:pt>
                <c:pt idx="214">
                  <c:v>-1.1866418547372369E-4</c:v>
                </c:pt>
                <c:pt idx="215">
                  <c:v>-1.180162932528869E-4</c:v>
                </c:pt>
                <c:pt idx="216">
                  <c:v>-1.1736295256286551E-4</c:v>
                </c:pt>
                <c:pt idx="217">
                  <c:v>-1.1670414520696174E-4</c:v>
                </c:pt>
                <c:pt idx="218">
                  <c:v>-1.146947411769776E-4</c:v>
                </c:pt>
                <c:pt idx="219">
                  <c:v>-1.140138851905659E-4</c:v>
                </c:pt>
                <c:pt idx="220">
                  <c:v>-1.1332747155478264E-4</c:v>
                </c:pt>
                <c:pt idx="221">
                  <c:v>-1.1263548207293E-4</c:v>
                </c:pt>
                <c:pt idx="222">
                  <c:v>-1.1193789854831015E-4</c:v>
                </c:pt>
                <c:pt idx="223">
                  <c:v>-1.0981140175086909E-4</c:v>
                </c:pt>
                <c:pt idx="224">
                  <c:v>-1.0909126008820212E-4</c:v>
                </c:pt>
                <c:pt idx="225">
                  <c:v>-1.0836543339927881E-4</c:v>
                </c:pt>
                <c:pt idx="226">
                  <c:v>-1.0763390348740131E-4</c:v>
                </c:pt>
                <c:pt idx="227">
                  <c:v>-1.0389006869927733E-4</c:v>
                </c:pt>
                <c:pt idx="228">
                  <c:v>-1.031239373190204E-4</c:v>
                </c:pt>
                <c:pt idx="229">
                  <c:v>-1.0235197533892453E-4</c:v>
                </c:pt>
                <c:pt idx="230">
                  <c:v>-1.0157416456229185E-4</c:v>
                </c:pt>
                <c:pt idx="231">
                  <c:v>-9.920545748619473E-5</c:v>
                </c:pt>
                <c:pt idx="232">
                  <c:v>-9.8404069556436594E-5</c:v>
                </c:pt>
                <c:pt idx="233">
                  <c:v>-9.7596741846652486E-5</c:v>
                </c:pt>
                <c:pt idx="234">
                  <c:v>-9.6783456160144635E-5</c:v>
                </c:pt>
                <c:pt idx="235">
                  <c:v>-9.5964194300215231E-5</c:v>
                </c:pt>
                <c:pt idx="236">
                  <c:v>-9.2627021192324946E-5</c:v>
                </c:pt>
                <c:pt idx="237">
                  <c:v>-9.1777605514820141E-5</c:v>
                </c:pt>
                <c:pt idx="238">
                  <c:v>-9.0922104483706742E-5</c:v>
                </c:pt>
                <c:pt idx="239">
                  <c:v>-9.0060499902286994E-5</c:v>
                </c:pt>
                <c:pt idx="240">
                  <c:v>-8.743888288921112E-5</c:v>
                </c:pt>
                <c:pt idx="241">
                  <c:v>-8.655268213958754E-5</c:v>
                </c:pt>
                <c:pt idx="242">
                  <c:v>-8.566028685616842E-5</c:v>
                </c:pt>
                <c:pt idx="243">
                  <c:v>-8.4761678842255937E-5</c:v>
                </c:pt>
                <c:pt idx="244">
                  <c:v>-8.3856839901152254E-5</c:v>
                </c:pt>
                <c:pt idx="245">
                  <c:v>-8.1104755547715919E-5</c:v>
                </c:pt>
                <c:pt idx="246">
                  <c:v>-8.0174810930869271E-5</c:v>
                </c:pt>
                <c:pt idx="247">
                  <c:v>-7.9238544403342301E-5</c:v>
                </c:pt>
                <c:pt idx="248">
                  <c:v>-7.8295937768437144E-5</c:v>
                </c:pt>
                <c:pt idx="249">
                  <c:v>-7.7346972829456072E-5</c:v>
                </c:pt>
                <c:pt idx="250">
                  <c:v>-7.4461746221078586E-5</c:v>
                </c:pt>
                <c:pt idx="251">
                  <c:v>-7.3487166098815254E-5</c:v>
                </c:pt>
                <c:pt idx="252">
                  <c:v>-7.2506136688986871E-5</c:v>
                </c:pt>
                <c:pt idx="253">
                  <c:v>-7.1518639794895505E-5</c:v>
                </c:pt>
                <c:pt idx="254">
                  <c:v>-7.0524657219843385E-5</c:v>
                </c:pt>
                <c:pt idx="255">
                  <c:v>-6.7503613441944113E-5</c:v>
                </c:pt>
                <c:pt idx="256">
                  <c:v>-6.6483506176070629E-5</c:v>
                </c:pt>
                <c:pt idx="257">
                  <c:v>-6.545682224574723E-5</c:v>
                </c:pt>
                <c:pt idx="258">
                  <c:v>-6.4423543454276023E-5</c:v>
                </c:pt>
                <c:pt idx="259">
                  <c:v>-6.3383651604959374E-5</c:v>
                </c:pt>
                <c:pt idx="260">
                  <c:v>-6.0224150995982758E-5</c:v>
                </c:pt>
                <c:pt idx="261">
                  <c:v>-5.915767325800668E-5</c:v>
                </c:pt>
                <c:pt idx="262">
                  <c:v>-5.8084522814718379E-5</c:v>
                </c:pt>
                <c:pt idx="263">
                  <c:v>-5.7004689303425494E-5</c:v>
                </c:pt>
                <c:pt idx="264">
                  <c:v>-5.5918162361435978E-5</c:v>
                </c:pt>
                <c:pt idx="265">
                  <c:v>-5.2618317324364407E-5</c:v>
                </c:pt>
                <c:pt idx="266">
                  <c:v>-5.1504913032665634E-5</c:v>
                </c:pt>
                <c:pt idx="267">
                  <c:v>-5.0384763496808918E-5</c:v>
                </c:pt>
                <c:pt idx="268">
                  <c:v>-4.9257858354102164E-5</c:v>
                </c:pt>
                <c:pt idx="269">
                  <c:v>-4.8124187241853013E-5</c:v>
                </c:pt>
                <c:pt idx="270">
                  <c:v>-4.4682474460929472E-5</c:v>
                </c:pt>
                <c:pt idx="271">
                  <c:v>-4.3521635843588887E-5</c:v>
                </c:pt>
                <c:pt idx="272">
                  <c:v>-4.2353979443244749E-5</c:v>
                </c:pt>
                <c:pt idx="273">
                  <c:v>-4.1179494897205051E-5</c:v>
                </c:pt>
                <c:pt idx="274">
                  <c:v>-3.9998171842777359E-5</c:v>
                </c:pt>
                <c:pt idx="275">
                  <c:v>-3.6413068002244764E-5</c:v>
                </c:pt>
                <c:pt idx="276">
                  <c:v>-3.5204287287343353E-5</c:v>
                </c:pt>
                <c:pt idx="277">
                  <c:v>-3.3988616250592806E-5</c:v>
                </c:pt>
                <c:pt idx="278">
                  <c:v>-3.2766044529301129E-5</c:v>
                </c:pt>
                <c:pt idx="279">
                  <c:v>-3.1536561760775847E-5</c:v>
                </c:pt>
                <c:pt idx="280">
                  <c:v>-2.7806543544877216E-5</c:v>
                </c:pt>
                <c:pt idx="281">
                  <c:v>-2.6549312960495815E-5</c:v>
                </c:pt>
                <c:pt idx="282">
                  <c:v>-2.5285119515419845E-5</c:v>
                </c:pt>
                <c:pt idx="283">
                  <c:v>-2.4013952846957141E-5</c:v>
                </c:pt>
                <c:pt idx="284">
                  <c:v>-2.2735802592415283E-5</c:v>
                </c:pt>
                <c:pt idx="285">
                  <c:v>-1.8859346685393423E-5</c:v>
                </c:pt>
                <c:pt idx="286">
                  <c:v>-1.7553158459613133E-5</c:v>
                </c:pt>
                <c:pt idx="287">
                  <c:v>-1.6239934834292813E-5</c:v>
                </c:pt>
                <c:pt idx="288">
                  <c:v>-1.4919665446739965E-5</c:v>
                </c:pt>
                <c:pt idx="289">
                  <c:v>-1.3592339934262598E-5</c:v>
                </c:pt>
                <c:pt idx="290">
                  <c:v>-9.5679230203603443E-6</c:v>
                </c:pt>
                <c:pt idx="291">
                  <c:v>-8.2122693812621448E-6</c:v>
                </c:pt>
                <c:pt idx="292">
                  <c:v>-6.8495078037782969E-6</c:v>
                </c:pt>
                <c:pt idx="293">
                  <c:v>-5.4796279252164072E-6</c:v>
                </c:pt>
                <c:pt idx="294">
                  <c:v>-4.1026193828844139E-6</c:v>
                </c:pt>
                <c:pt idx="295">
                  <c:v>7.1281853655235663E-8</c:v>
                </c:pt>
                <c:pt idx="296">
                  <c:v>1.47690867799038E-6</c:v>
                </c:pt>
                <c:pt idx="297">
                  <c:v>2.8897159795567354E-6</c:v>
                </c:pt>
                <c:pt idx="298">
                  <c:v>4.3097141210467226E-6</c:v>
                </c:pt>
                <c:pt idx="299">
                  <c:v>5.7369134651523966E-6</c:v>
                </c:pt>
                <c:pt idx="300">
                  <c:v>1.0061822340086472E-5</c:v>
                </c:pt>
                <c:pt idx="301">
                  <c:v>1.151793012157746E-5</c:v>
                </c:pt>
                <c:pt idx="302">
                  <c:v>1.298129091914548E-5</c:v>
                </c:pt>
                <c:pt idx="303">
                  <c:v>1.4451915095482491E-5</c:v>
                </c:pt>
                <c:pt idx="304">
                  <c:v>1.5929813013280955E-5</c:v>
                </c:pt>
                <c:pt idx="305">
                  <c:v>2.0407252842366533E-5</c:v>
                </c:pt>
                <c:pt idx="306">
                  <c:v>2.1914349352932522E-5</c:v>
                </c:pt>
                <c:pt idx="307">
                  <c:v>2.3428771418421119E-5</c:v>
                </c:pt>
                <c:pt idx="308">
                  <c:v>2.495052940152427E-5</c:v>
                </c:pt>
                <c:pt idx="309">
                  <c:v>2.6479633664934477E-5</c:v>
                </c:pt>
                <c:pt idx="310">
                  <c:v>3.1111127763928663E-5</c:v>
                </c:pt>
                <c:pt idx="311">
                  <c:v>3.266972077548866E-5</c:v>
                </c:pt>
                <c:pt idx="312">
                  <c:v>3.4235711880816841E-5</c:v>
                </c:pt>
                <c:pt idx="313">
                  <c:v>3.5809111442605167E-5</c:v>
                </c:pt>
                <c:pt idx="314">
                  <c:v>3.7389929823546111E-5</c:v>
                </c:pt>
                <c:pt idx="315">
                  <c:v>4.2177001508205859E-5</c:v>
                </c:pt>
                <c:pt idx="316">
                  <c:v>4.3787598792679008E-5</c:v>
                </c:pt>
                <c:pt idx="317">
                  <c:v>4.5405666709765686E-5</c:v>
                </c:pt>
                <c:pt idx="318">
                  <c:v>4.7031215622158303E-5</c:v>
                </c:pt>
                <c:pt idx="319">
                  <c:v>4.8664255892549019E-5</c:v>
                </c:pt>
                <c:pt idx="320">
                  <c:v>5.3608428478631569E-5</c:v>
                </c:pt>
                <c:pt idx="321">
                  <c:v>5.5271537807936782E-5</c:v>
                </c:pt>
                <c:pt idx="322">
                  <c:v>5.6942190308701074E-5</c:v>
                </c:pt>
                <c:pt idx="323">
                  <c:v>5.8620396343616894E-5</c:v>
                </c:pt>
                <c:pt idx="324">
                  <c:v>6.0306166275376282E-5</c:v>
                </c:pt>
                <c:pt idx="325">
                  <c:v>6.5408963078638792E-5</c:v>
                </c:pt>
                <c:pt idx="326">
                  <c:v>6.7125092224695117E-5</c:v>
                </c:pt>
                <c:pt idx="327">
                  <c:v>6.8848837081056098E-5</c:v>
                </c:pt>
                <c:pt idx="328">
                  <c:v>7.0580208010414196E-5</c:v>
                </c:pt>
                <c:pt idx="329">
                  <c:v>7.2319215375461372E-5</c:v>
                </c:pt>
                <c:pt idx="330">
                  <c:v>7.7582159711660797E-5</c:v>
                </c:pt>
                <c:pt idx="331">
                  <c:v>7.9351816446387256E-5</c:v>
                </c:pt>
                <c:pt idx="332">
                  <c:v>8.1129161430263907E-5</c:v>
                </c:pt>
                <c:pt idx="333">
                  <c:v>8.2914205025983251E-5</c:v>
                </c:pt>
                <c:pt idx="334">
                  <c:v>8.4706957596237276E-5</c:v>
                </c:pt>
                <c:pt idx="335">
                  <c:v>9.0131572781130653E-5</c:v>
                </c:pt>
                <c:pt idx="336">
                  <c:v>9.1955264876446144E-5</c:v>
                </c:pt>
                <c:pt idx="337">
                  <c:v>9.3786717759757621E-5</c:v>
                </c:pt>
                <c:pt idx="338">
                  <c:v>9.5625941793757178E-5</c:v>
                </c:pt>
                <c:pt idx="339">
                  <c:v>9.7472947341137236E-5</c:v>
                </c:pt>
                <c:pt idx="340">
                  <c:v>1.0306075669048164E-4</c:v>
                </c:pt>
                <c:pt idx="341">
                  <c:v>1.0493899191830532E-4</c:v>
                </c:pt>
                <c:pt idx="342">
                  <c:v>1.0682506047297058E-4</c:v>
                </c:pt>
                <c:pt idx="343">
                  <c:v>1.0871897271716941E-4</c:v>
                </c:pt>
                <c:pt idx="344">
                  <c:v>1.1062073901359435E-4</c:v>
                </c:pt>
                <c:pt idx="345">
                  <c:v>1.1637326584314691E-4</c:v>
                </c:pt>
                <c:pt idx="346">
                  <c:v>1.1830655197539775E-4</c:v>
                </c:pt>
                <c:pt idx="347">
                  <c:v>1.2024774397333579E-4</c:v>
                </c:pt>
                <c:pt idx="348">
                  <c:v>1.2219685219965297E-4</c:v>
                </c:pt>
                <c:pt idx="349">
                  <c:v>1.2415388701704188E-4</c:v>
                </c:pt>
                <c:pt idx="350">
                  <c:v>1.3007265464255949E-4</c:v>
                </c:pt>
                <c:pt idx="351">
                  <c:v>1.3206149945115672E-4</c:v>
                </c:pt>
                <c:pt idx="352">
                  <c:v>1.3405832266428632E-4</c:v>
                </c:pt>
                <c:pt idx="353">
                  <c:v>1.3606313464464107E-4</c:v>
                </c:pt>
                <c:pt idx="354">
                  <c:v>1.3807594575491287E-4</c:v>
                </c:pt>
                <c:pt idx="355">
                  <c:v>1.4416247749215287E-4</c:v>
                </c:pt>
                <c:pt idx="356">
                  <c:v>1.4620738874901535E-4</c:v>
                </c:pt>
                <c:pt idx="357">
                  <c:v>1.4826035094925581E-4</c:v>
                </c:pt>
                <c:pt idx="358">
                  <c:v>1.503213744555669E-4</c:v>
                </c:pt>
                <c:pt idx="359">
                  <c:v>1.5239046963064058E-4</c:v>
                </c:pt>
                <c:pt idx="360">
                  <c:v>1.5864628879535997E-4</c:v>
                </c:pt>
                <c:pt idx="361">
                  <c:v>1.6074777427240678E-4</c:v>
                </c:pt>
                <c:pt idx="362">
                  <c:v>1.6285738323167708E-4</c:v>
                </c:pt>
                <c:pt idx="363">
                  <c:v>1.6497512603586359E-4</c:v>
                </c:pt>
                <c:pt idx="364">
                  <c:v>1.6710101304765821E-4</c:v>
                </c:pt>
                <c:pt idx="365">
                  <c:v>1.7352764295561416E-4</c:v>
                </c:pt>
                <c:pt idx="366">
                  <c:v>1.7568621042476402E-4</c:v>
                </c:pt>
                <c:pt idx="367">
                  <c:v>1.7785297391498337E-4</c:v>
                </c:pt>
                <c:pt idx="368">
                  <c:v>1.8002794378896441E-4</c:v>
                </c:pt>
                <c:pt idx="369">
                  <c:v>1.8221113040939907E-4</c:v>
                </c:pt>
                <c:pt idx="370">
                  <c:v>1.888100943763484E-4</c:v>
                </c:pt>
                <c:pt idx="371">
                  <c:v>1.9102625160952066E-4</c:v>
                </c:pt>
                <c:pt idx="372">
                  <c:v>1.9325067740260789E-4</c:v>
                </c:pt>
                <c:pt idx="373">
                  <c:v>1.9548338211830224E-4</c:v>
                </c:pt>
                <c:pt idx="374">
                  <c:v>1.9772437611929611E-4</c:v>
                </c:pt>
                <c:pt idx="375">
                  <c:v>2.0449719746099609E-4</c:v>
                </c:pt>
                <c:pt idx="376">
                  <c:v>2.0677145223010963E-4</c:v>
                </c:pt>
                <c:pt idx="377">
                  <c:v>2.0905404809798387E-4</c:v>
                </c:pt>
                <c:pt idx="378">
                  <c:v>2.1134499542731065E-4</c:v>
                </c:pt>
                <c:pt idx="379">
                  <c:v>2.1364430458078264E-4</c:v>
                </c:pt>
                <c:pt idx="380">
                  <c:v>2.2059250661299012E-4</c:v>
                </c:pt>
                <c:pt idx="381">
                  <c:v>2.2292536668996418E-4</c:v>
                </c:pt>
                <c:pt idx="382">
                  <c:v>2.2526664040454442E-4</c:v>
                </c:pt>
                <c:pt idx="383">
                  <c:v>2.2761633811942266E-4</c:v>
                </c:pt>
                <c:pt idx="384">
                  <c:v>2.299744701972917E-4</c:v>
                </c:pt>
                <c:pt idx="385">
                  <c:v>2.3709957623576402E-4</c:v>
                </c:pt>
                <c:pt idx="386">
                  <c:v>2.3949154939251747E-4</c:v>
                </c:pt>
                <c:pt idx="387">
                  <c:v>2.4189200872572238E-4</c:v>
                </c:pt>
                <c:pt idx="388">
                  <c:v>2.4430096459807148E-4</c:v>
                </c:pt>
                <c:pt idx="389">
                  <c:v>2.4671842737225661E-4</c:v>
                </c:pt>
                <c:pt idx="390">
                  <c:v>2.5402196073275073E-4</c:v>
                </c:pt>
                <c:pt idx="391">
                  <c:v>2.5647355474120274E-4</c:v>
                </c:pt>
                <c:pt idx="392">
                  <c:v>2.5893370746495157E-4</c:v>
                </c:pt>
                <c:pt idx="393">
                  <c:v>2.6140242926669022E-4</c:v>
                </c:pt>
                <c:pt idx="394">
                  <c:v>2.638797305091103E-4</c:v>
                </c:pt>
                <c:pt idx="395">
                  <c:v>2.7136321450738359E-4</c:v>
                </c:pt>
                <c:pt idx="396">
                  <c:v>2.7387493713945297E-4</c:v>
                </c:pt>
                <c:pt idx="397">
                  <c:v>2.7639529102566486E-4</c:v>
                </c:pt>
                <c:pt idx="398">
                  <c:v>2.7892428652871216E-4</c:v>
                </c:pt>
                <c:pt idx="399">
                  <c:v>2.8146193401128649E-4</c:v>
                </c:pt>
                <c:pt idx="400">
                  <c:v>2.8912689196309562E-4</c:v>
                </c:pt>
                <c:pt idx="401">
                  <c:v>2.9169925099070123E-4</c:v>
                </c:pt>
                <c:pt idx="402">
                  <c:v>2.9428031381129548E-4</c:v>
                </c:pt>
                <c:pt idx="403">
                  <c:v>2.9687009078757046E-4</c:v>
                </c:pt>
                <c:pt idx="404">
                  <c:v>2.9946859228221785E-4</c:v>
                </c:pt>
                <c:pt idx="405">
                  <c:v>3.1259233022527659E-4</c:v>
                </c:pt>
                <c:pt idx="406">
                  <c:v>3.1524339644669789E-4</c:v>
                </c:pt>
                <c:pt idx="407">
                  <c:v>3.1790325972533783E-4</c:v>
                </c:pt>
                <c:pt idx="408">
                  <c:v>3.2863089066592589E-4</c:v>
                </c:pt>
                <c:pt idx="409">
                  <c:v>3.3133489467104111E-4</c:v>
                </c:pt>
                <c:pt idx="410">
                  <c:v>3.3404775790952818E-4</c:v>
                </c:pt>
                <c:pt idx="411">
                  <c:v>3.3676949074407943E-4</c:v>
                </c:pt>
                <c:pt idx="412">
                  <c:v>3.4498801045103886E-4</c:v>
                </c:pt>
                <c:pt idx="413">
                  <c:v>3.4774532529676825E-4</c:v>
                </c:pt>
                <c:pt idx="414">
                  <c:v>3.5051156155202273E-4</c:v>
                </c:pt>
                <c:pt idx="415">
                  <c:v>3.5328672957949444E-4</c:v>
                </c:pt>
                <c:pt idx="416">
                  <c:v>3.560708397418757E-4</c:v>
                </c:pt>
                <c:pt idx="417">
                  <c:v>3.6447692666539988E-4</c:v>
                </c:pt>
                <c:pt idx="418">
                  <c:v>3.6729690899434174E-4</c:v>
                </c:pt>
                <c:pt idx="419">
                  <c:v>3.7012588527165406E-4</c:v>
                </c:pt>
                <c:pt idx="420">
                  <c:v>3.7296386586002975E-4</c:v>
                </c:pt>
                <c:pt idx="421">
                  <c:v>3.7581086112216042E-4</c:v>
                </c:pt>
                <c:pt idx="422">
                  <c:v>3.8440603857800565E-4</c:v>
                </c:pt>
                <c:pt idx="423">
                  <c:v>3.8728919616207917E-4</c:v>
                </c:pt>
                <c:pt idx="424">
                  <c:v>3.9018142023336912E-4</c:v>
                </c:pt>
                <c:pt idx="425">
                  <c:v>3.9308272115456727E-4</c:v>
                </c:pt>
                <c:pt idx="426">
                  <c:v>3.9599310928836609E-4</c:v>
                </c:pt>
                <c:pt idx="427">
                  <c:v>4.0477890059228982E-4</c:v>
                </c:pt>
                <c:pt idx="428">
                  <c:v>4.0772574120341375E-4</c:v>
                </c:pt>
                <c:pt idx="429">
                  <c:v>4.1068172084059997E-4</c:v>
                </c:pt>
                <c:pt idx="430">
                  <c:v>4.1364684986654009E-4</c:v>
                </c:pt>
                <c:pt idx="431">
                  <c:v>4.1662113864392636E-4</c:v>
                </c:pt>
                <c:pt idx="432">
                  <c:v>4.2559906711168549E-4</c:v>
                </c:pt>
                <c:pt idx="433">
                  <c:v>4.2861009852177944E-4</c:v>
                </c:pt>
                <c:pt idx="434">
                  <c:v>4.3163034149678052E-4</c:v>
                </c:pt>
                <c:pt idx="435">
                  <c:v>4.3465980639938119E-4</c:v>
                </c:pt>
                <c:pt idx="436">
                  <c:v>4.3769850359227415E-4</c:v>
                </c:pt>
                <c:pt idx="437">
                  <c:v>4.4687009253962596E-4</c:v>
                </c:pt>
                <c:pt idx="438">
                  <c:v>4.4994582252060836E-4</c:v>
                </c:pt>
                <c:pt idx="439">
                  <c:v>4.530308366053438E-4</c:v>
                </c:pt>
                <c:pt idx="440">
                  <c:v>4.5612514515652465E-4</c:v>
                </c:pt>
                <c:pt idx="441">
                  <c:v>4.5922875853684261E-4</c:v>
                </c:pt>
                <c:pt idx="442">
                  <c:v>4.6859553127954427E-4</c:v>
                </c:pt>
                <c:pt idx="443">
                  <c:v>4.7173646760333436E-4</c:v>
                </c:pt>
                <c:pt idx="444">
                  <c:v>4.7488676056972286E-4</c:v>
                </c:pt>
                <c:pt idx="445">
                  <c:v>4.7804642054140257E-4</c:v>
                </c:pt>
                <c:pt idx="446">
                  <c:v>4.8121545788106516E-4</c:v>
                </c:pt>
                <c:pt idx="447">
                  <c:v>4.9077893773487324E-4</c:v>
                </c:pt>
                <c:pt idx="448">
                  <c:v>4.9398558817339015E-4</c:v>
                </c:pt>
                <c:pt idx="449">
                  <c:v>4.972016677933515E-4</c:v>
                </c:pt>
                <c:pt idx="450">
                  <c:v>5.0042718695744867E-4</c:v>
                </c:pt>
                <c:pt idx="451">
                  <c:v>5.0366215602837467E-4</c:v>
                </c:pt>
                <c:pt idx="452">
                  <c:v>5.1342386630904701E-4</c:v>
                </c:pt>
                <c:pt idx="453">
                  <c:v>5.1669673863420943E-4</c:v>
                </c:pt>
                <c:pt idx="454">
                  <c:v>5.1997911267966167E-4</c:v>
                </c:pt>
                <c:pt idx="455">
                  <c:v>5.2327099880809607E-4</c:v>
                </c:pt>
                <c:pt idx="456">
                  <c:v>5.265724073822049E-4</c:v>
                </c:pt>
                <c:pt idx="457">
                  <c:v>5.3653387140549752E-4</c:v>
                </c:pt>
                <c:pt idx="458">
                  <c:v>5.3987347338922513E-4</c:v>
                </c:pt>
                <c:pt idx="459">
                  <c:v>5.4322264963208803E-4</c:v>
                </c:pt>
                <c:pt idx="460">
                  <c:v>5.4658141049677804E-4</c:v>
                </c:pt>
                <c:pt idx="461">
                  <c:v>5.4994976634598796E-4</c:v>
                </c:pt>
                <c:pt idx="462">
                  <c:v>5.6011250742765901E-4</c:v>
                </c:pt>
                <c:pt idx="463">
                  <c:v>5.6351934684187018E-4</c:v>
                </c:pt>
                <c:pt idx="464">
                  <c:v>5.6693583305406233E-4</c:v>
                </c:pt>
                <c:pt idx="465">
                  <c:v>5.7036197642692773E-4</c:v>
                </c:pt>
                <c:pt idx="466">
                  <c:v>5.7379778732315819E-4</c:v>
                </c:pt>
                <c:pt idx="467">
                  <c:v>5.8416332877896408E-4</c:v>
                </c:pt>
                <c:pt idx="468">
                  <c:v>5.8763791339557848E-4</c:v>
                </c:pt>
                <c:pt idx="469">
                  <c:v>5.911222173490188E-4</c:v>
                </c:pt>
                <c:pt idx="470">
                  <c:v>5.9461625100197784E-4</c:v>
                </c:pt>
                <c:pt idx="471">
                  <c:v>6.1223272745378199E-4</c:v>
                </c:pt>
                <c:pt idx="472">
                  <c:v>6.1578535692039015E-4</c:v>
                </c:pt>
                <c:pt idx="473">
                  <c:v>6.1934778862536251E-4</c:v>
                </c:pt>
                <c:pt idx="474">
                  <c:v>6.2292003293139102E-4</c:v>
                </c:pt>
                <c:pt idx="475">
                  <c:v>6.3369574508273844E-4</c:v>
                </c:pt>
                <c:pt idx="476">
                  <c:v>6.3730734341991505E-4</c:v>
                </c:pt>
                <c:pt idx="477">
                  <c:v>6.4092880617160942E-4</c:v>
                </c:pt>
                <c:pt idx="478">
                  <c:v>6.445601437005137E-4</c:v>
                </c:pt>
                <c:pt idx="479">
                  <c:v>6.4820136636932024E-4</c:v>
                </c:pt>
                <c:pt idx="480">
                  <c:v>6.5918444884207358E-4</c:v>
                </c:pt>
                <c:pt idx="481">
                  <c:v>6.6286531569741049E-4</c:v>
                </c:pt>
                <c:pt idx="482">
                  <c:v>6.6655611950611063E-4</c:v>
                </c:pt>
                <c:pt idx="483">
                  <c:v>6.7025687063086562E-4</c:v>
                </c:pt>
                <c:pt idx="484">
                  <c:v>6.7396757943436858E-4</c:v>
                </c:pt>
                <c:pt idx="485">
                  <c:v>6.8515955554428588E-4</c:v>
                </c:pt>
                <c:pt idx="486">
                  <c:v>6.8891019868970135E-4</c:v>
                </c:pt>
                <c:pt idx="487">
                  <c:v>6.9267085132732552E-4</c:v>
                </c:pt>
                <c:pt idx="488">
                  <c:v>6.9644152381985122E-4</c:v>
                </c:pt>
                <c:pt idx="489">
                  <c:v>7.0022222652996982E-4</c:v>
                </c:pt>
                <c:pt idx="490">
                  <c:v>7.1162461959280697E-4</c:v>
                </c:pt>
                <c:pt idx="491">
                  <c:v>7.1927655603868897E-4</c:v>
                </c:pt>
                <c:pt idx="492">
                  <c:v>7.2311765767090342E-4</c:v>
                </c:pt>
                <c:pt idx="493">
                  <c:v>7.2696886205955648E-4</c:v>
                </c:pt>
                <c:pt idx="494">
                  <c:v>7.3858319539107139E-4</c:v>
                </c:pt>
                <c:pt idx="495">
                  <c:v>7.4247491443240178E-4</c:v>
                </c:pt>
                <c:pt idx="496">
                  <c:v>7.463767880436325E-4</c:v>
                </c:pt>
                <c:pt idx="497">
                  <c:v>7.5028882658745516E-4</c:v>
                </c:pt>
                <c:pt idx="498">
                  <c:v>7.5421104042656213E-4</c:v>
                </c:pt>
                <c:pt idx="499">
                  <c:v>7.6603883734251176E-4</c:v>
                </c:pt>
                <c:pt idx="500">
                  <c:v>7.7000185598967853E-4</c:v>
                </c:pt>
                <c:pt idx="501">
                  <c:v>7.7397510174559046E-4</c:v>
                </c:pt>
                <c:pt idx="502">
                  <c:v>7.7795858497294002E-4</c:v>
                </c:pt>
                <c:pt idx="503">
                  <c:v>7.8195231603442003E-4</c:v>
                </c:pt>
                <c:pt idx="504">
                  <c:v>7.9399509985056079E-4</c:v>
                </c:pt>
                <c:pt idx="505">
                  <c:v>7.9802992587548274E-4</c:v>
                </c:pt>
                <c:pt idx="506">
                  <c:v>8.0207505154799555E-4</c:v>
                </c:pt>
                <c:pt idx="507">
                  <c:v>8.061304872307918E-4</c:v>
                </c:pt>
                <c:pt idx="508">
                  <c:v>8.1019624328656321E-4</c:v>
                </c:pt>
                <c:pt idx="509">
                  <c:v>8.2245553731865304E-4</c:v>
                </c:pt>
                <c:pt idx="510">
                  <c:v>8.2656267849324865E-4</c:v>
                </c:pt>
                <c:pt idx="511">
                  <c:v>8.3068019185428082E-4</c:v>
                </c:pt>
                <c:pt idx="512">
                  <c:v>8.3480808776444223E-4</c:v>
                </c:pt>
                <c:pt idx="513">
                  <c:v>8.3894637658642462E-4</c:v>
                </c:pt>
                <c:pt idx="514">
                  <c:v>8.5142370415022014E-4</c:v>
                </c:pt>
                <c:pt idx="515">
                  <c:v>8.5560366061318463E-4</c:v>
                </c:pt>
                <c:pt idx="516">
                  <c:v>8.5979401600208441E-4</c:v>
                </c:pt>
                <c:pt idx="517">
                  <c:v>8.6399473488026448E-4</c:v>
                </c:pt>
                <c:pt idx="518">
                  <c:v>8.6820578181107013E-4</c:v>
                </c:pt>
                <c:pt idx="519">
                  <c:v>8.809005365526916E-4</c:v>
                </c:pt>
                <c:pt idx="520">
                  <c:v>8.8515254132745199E-4</c:v>
                </c:pt>
                <c:pt idx="521">
                  <c:v>8.8941469697156395E-4</c:v>
                </c:pt>
                <c:pt idx="522">
                  <c:v>8.9368696804837278E-4</c:v>
                </c:pt>
                <c:pt idx="523">
                  <c:v>8.9796931912122368E-4</c:v>
                </c:pt>
                <c:pt idx="524">
                  <c:v>9.1087649794948072E-4</c:v>
                </c:pt>
                <c:pt idx="525">
                  <c:v>9.1519881463995216E-4</c:v>
                </c:pt>
                <c:pt idx="526">
                  <c:v>9.1953103414319122E-4</c:v>
                </c:pt>
                <c:pt idx="527">
                  <c:v>9.2387312102254417E-4</c:v>
                </c:pt>
                <c:pt idx="528">
                  <c:v>9.2822503984135577E-4</c:v>
                </c:pt>
                <c:pt idx="529">
                  <c:v>9.4133943356799446E-4</c:v>
                </c:pt>
                <c:pt idx="530">
                  <c:v>9.4573032577809275E-4</c:v>
                </c:pt>
                <c:pt idx="531">
                  <c:v>9.501308727443748E-4</c:v>
                </c:pt>
                <c:pt idx="532">
                  <c:v>9.5454103903018755E-4</c:v>
                </c:pt>
                <c:pt idx="533">
                  <c:v>9.5896078919887446E-4</c:v>
                </c:pt>
                <c:pt idx="534">
                  <c:v>9.7227718863564054E-4</c:v>
                </c:pt>
                <c:pt idx="535">
                  <c:v>9.7673491996928081E-4</c:v>
                </c:pt>
                <c:pt idx="536">
                  <c:v>9.8120205800252209E-4</c:v>
                </c:pt>
                <c:pt idx="537">
                  <c:v>9.8567856729870978E-4</c:v>
                </c:pt>
                <c:pt idx="538">
                  <c:v>9.9016441242118854E-4</c:v>
                </c:pt>
                <c:pt idx="539">
                  <c:v>1.0036776083798273E-3</c:v>
                </c:pt>
                <c:pt idx="540">
                  <c:v>1.0082004424409252E-3</c:v>
                </c:pt>
                <c:pt idx="541">
                  <c:v>1.0127324351450406E-3</c:v>
                </c:pt>
                <c:pt idx="542">
                  <c:v>1.0172735510555189E-3</c:v>
                </c:pt>
                <c:pt idx="543">
                  <c:v>1.0218237547357054E-3</c:v>
                </c:pt>
                <c:pt idx="544">
                  <c:v>1.0355285380279639E-3</c:v>
                </c:pt>
                <c:pt idx="545">
                  <c:v>1.0401147384204341E-3</c:v>
                </c:pt>
                <c:pt idx="546">
                  <c:v>1.0447098493993388E-3</c:v>
                </c:pt>
                <c:pt idx="547">
                  <c:v>1.0493138355280231E-3</c:v>
                </c:pt>
                <c:pt idx="548">
                  <c:v>1.0539266613698319E-3</c:v>
                </c:pt>
                <c:pt idx="549">
                  <c:v>1.0678178228074569E-3</c:v>
                </c:pt>
                <c:pt idx="550">
                  <c:v>1.0724656531352164E-3</c:v>
                </c:pt>
                <c:pt idx="551">
                  <c:v>1.0771221459928259E-3</c:v>
                </c:pt>
                <c:pt idx="552">
                  <c:v>1.0817872659436307E-3</c:v>
                </c:pt>
                <c:pt idx="553">
                  <c:v>1.0864609775509775E-3</c:v>
                </c:pt>
                <c:pt idx="554">
                  <c:v>1.1005333079457157E-3</c:v>
                </c:pt>
                <c:pt idx="555">
                  <c:v>1.1052410318126789E-3</c:v>
                </c:pt>
                <c:pt idx="556">
                  <c:v>1.1099571701529082E-3</c:v>
                </c:pt>
                <c:pt idx="557">
                  <c:v>1.1146816875297505E-3</c:v>
                </c:pt>
                <c:pt idx="558">
                  <c:v>1.1194145485065496E-3</c:v>
                </c:pt>
                <c:pt idx="559">
                  <c:v>1.1336628386701469E-3</c:v>
                </c:pt>
                <c:pt idx="560">
                  <c:v>1.1384287196802292E-3</c:v>
                </c:pt>
                <c:pt idx="561">
                  <c:v>1.143202767106995E-3</c:v>
                </c:pt>
                <c:pt idx="562">
                  <c:v>1.1479849455137898E-3</c:v>
                </c:pt>
                <c:pt idx="563">
                  <c:v>1.1527752194639576E-3</c:v>
                </c:pt>
                <c:pt idx="564">
                  <c:v>1.1671942602081594E-3</c:v>
                </c:pt>
                <c:pt idx="565">
                  <c:v>1.1720165619652763E-3</c:v>
                </c:pt>
                <c:pt idx="566">
                  <c:v>1.1768467820824932E-3</c:v>
                </c:pt>
                <c:pt idx="567">
                  <c:v>1.1816848851231554E-3</c:v>
                </c:pt>
                <c:pt idx="568">
                  <c:v>1.1865308356506085E-3</c:v>
                </c:pt>
                <c:pt idx="569">
                  <c:v>1.2011154177871616E-3</c:v>
                </c:pt>
                <c:pt idx="570">
                  <c:v>1.2059924038952279E-3</c:v>
                </c:pt>
                <c:pt idx="571">
                  <c:v>1.2108770603068116E-3</c:v>
                </c:pt>
                <c:pt idx="572">
                  <c:v>1.215769351585257E-3</c:v>
                </c:pt>
                <c:pt idx="573">
                  <c:v>1.2206692422939095E-3</c:v>
                </c:pt>
                <c:pt idx="574">
                  <c:v>1.2354141566345612E-3</c:v>
                </c:pt>
                <c:pt idx="575">
                  <c:v>1.2403440906974931E-3</c:v>
                </c:pt>
                <c:pt idx="576">
                  <c:v>1.2452814470073589E-3</c:v>
                </c:pt>
                <c:pt idx="577">
                  <c:v>1.2502261901275022E-3</c:v>
                </c:pt>
                <c:pt idx="578">
                  <c:v>1.2551782846212697E-3</c:v>
                </c:pt>
                <c:pt idx="579">
                  <c:v>1.2700783219777654E-3</c:v>
                </c:pt>
                <c:pt idx="580">
                  <c:v>1.2750594675994791E-3</c:v>
                </c:pt>
                <c:pt idx="581">
                  <c:v>1.2800477874115423E-3</c:v>
                </c:pt>
                <c:pt idx="582">
                  <c:v>1.2850432459772995E-3</c:v>
                </c:pt>
                <c:pt idx="583">
                  <c:v>1.2900458078600977E-3</c:v>
                </c:pt>
                <c:pt idx="584">
                  <c:v>1.3050957590441832E-3</c:v>
                </c:pt>
                <c:pt idx="585">
                  <c:v>1.3101263798285933E-3</c:v>
                </c:pt>
                <c:pt idx="586">
                  <c:v>1.3151639267467694E-3</c:v>
                </c:pt>
                <c:pt idx="587">
                  <c:v>1.320208364362057E-3</c:v>
                </c:pt>
                <c:pt idx="588">
                  <c:v>1.3252596572378007E-3</c:v>
                </c:pt>
                <c:pt idx="589">
                  <c:v>1.3404543130612222E-3</c:v>
                </c:pt>
                <c:pt idx="590">
                  <c:v>1.3455326726122443E-3</c:v>
                </c:pt>
                <c:pt idx="591">
                  <c:v>1.3506177102404486E-3</c:v>
                </c:pt>
                <c:pt idx="592">
                  <c:v>1.3557093905091811E-3</c:v>
                </c:pt>
                <c:pt idx="593">
                  <c:v>1.3608076779817867E-3</c:v>
                </c:pt>
                <c:pt idx="594">
                  <c:v>1.3761418292562917E-3</c:v>
                </c:pt>
                <c:pt idx="595">
                  <c:v>1.3812661911778411E-3</c:v>
                </c:pt>
                <c:pt idx="596">
                  <c:v>1.3863969831199887E-3</c:v>
                </c:pt>
                <c:pt idx="597">
                  <c:v>1.3915341696460811E-3</c:v>
                </c:pt>
                <c:pt idx="598">
                  <c:v>1.3966777153194634E-3</c:v>
                </c:pt>
                <c:pt idx="599">
                  <c:v>1.4121461528567988E-3</c:v>
                </c:pt>
                <c:pt idx="600">
                  <c:v>1.4173147807527906E-3</c:v>
                </c:pt>
                <c:pt idx="601">
                  <c:v>1.4224895906127977E-3</c:v>
                </c:pt>
                <c:pt idx="602">
                  <c:v>1.4276705470001659E-3</c:v>
                </c:pt>
                <c:pt idx="603">
                  <c:v>1.4328576144782394E-3</c:v>
                </c:pt>
                <c:pt idx="604">
                  <c:v>1.4484551290901504E-3</c:v>
                </c:pt>
                <c:pt idx="605">
                  <c:v>1.4536662865645006E-3</c:v>
                </c:pt>
                <c:pt idx="606">
                  <c:v>1.458883377946283E-3</c:v>
                </c:pt>
                <c:pt idx="607">
                  <c:v>1.4641063677988419E-3</c:v>
                </c:pt>
                <c:pt idx="608">
                  <c:v>1.4693352206855241E-3</c:v>
                </c:pt>
                <c:pt idx="609">
                  <c:v>1.485056603183756E-3</c:v>
                </c:pt>
                <c:pt idx="610">
                  <c:v>1.4903085538403799E-3</c:v>
                </c:pt>
                <c:pt idx="611">
                  <c:v>1.4955661903478525E-3</c:v>
                </c:pt>
                <c:pt idx="612">
                  <c:v>1.5008294772695186E-3</c:v>
                </c:pt>
                <c:pt idx="613">
                  <c:v>1.5060983791687237E-3</c:v>
                </c:pt>
                <c:pt idx="614">
                  <c:v>1.5219384203650241E-3</c:v>
                </c:pt>
                <c:pt idx="615">
                  <c:v>1.5272294278078362E-3</c:v>
                </c:pt>
                <c:pt idx="616">
                  <c:v>1.5325258730449144E-3</c:v>
                </c:pt>
                <c:pt idx="617">
                  <c:v>1.5378277206396028E-3</c:v>
                </c:pt>
                <c:pt idx="618">
                  <c:v>1.5431349351552463E-3</c:v>
                </c:pt>
                <c:pt idx="619">
                  <c:v>1.5590884258613613E-3</c:v>
                </c:pt>
                <c:pt idx="620">
                  <c:v>1.5644167536942788E-3</c:v>
                </c:pt>
                <c:pt idx="621">
                  <c:v>1.5697502712648771E-3</c:v>
                </c:pt>
                <c:pt idx="622">
                  <c:v>1.5750889431365026E-3</c:v>
                </c:pt>
                <c:pt idx="623">
                  <c:v>1.5804327338725004E-3</c:v>
                </c:pt>
                <c:pt idx="624">
                  <c:v>1.5964944649001771E-3</c:v>
                </c:pt>
                <c:pt idx="625">
                  <c:v>1.6018583767271146E-3</c:v>
                </c:pt>
                <c:pt idx="626">
                  <c:v>1.607227230235149E-3</c:v>
                </c:pt>
                <c:pt idx="627">
                  <c:v>1.612600989987628E-3</c:v>
                </c:pt>
                <c:pt idx="628">
                  <c:v>1.617979620547894E-3</c:v>
                </c:pt>
                <c:pt idx="629">
                  <c:v>1.6341443827088777E-3</c:v>
                </c:pt>
                <c:pt idx="630">
                  <c:v>1.6395421421337504E-3</c:v>
                </c:pt>
                <c:pt idx="631">
                  <c:v>1.6449445951831378E-3</c:v>
                </c:pt>
                <c:pt idx="632">
                  <c:v>1.6503517064203851E-3</c:v>
                </c:pt>
                <c:pt idx="633">
                  <c:v>1.6557634404088361E-3</c:v>
                </c:pt>
                <c:pt idx="634">
                  <c:v>1.6720260245148724E-3</c:v>
                </c:pt>
                <c:pt idx="635">
                  <c:v>1.6774558951415961E-3</c:v>
                </c:pt>
                <c:pt idx="636">
                  <c:v>1.6828902113362508E-3</c:v>
                </c:pt>
                <c:pt idx="637">
                  <c:v>1.6883289376621814E-3</c:v>
                </c:pt>
                <c:pt idx="638">
                  <c:v>1.693772038682734E-3</c:v>
                </c:pt>
                <c:pt idx="639">
                  <c:v>1.7101272355455701E-3</c:v>
                </c:pt>
                <c:pt idx="640">
                  <c:v>1.7155874809780592E-3</c:v>
                </c:pt>
                <c:pt idx="641">
                  <c:v>1.7210519239218966E-3</c:v>
                </c:pt>
                <c:pt idx="642">
                  <c:v>1.7265205289404264E-3</c:v>
                </c:pt>
                <c:pt idx="643">
                  <c:v>1.7319932605969948E-3</c:v>
                </c:pt>
                <c:pt idx="644">
                  <c:v>1.7484358610283779E-3</c:v>
                </c:pt>
                <c:pt idx="645">
                  <c:v>1.7539247448705487E-3</c:v>
                </c:pt>
                <c:pt idx="646">
                  <c:v>1.7594175781674843E-3</c:v>
                </c:pt>
                <c:pt idx="647">
                  <c:v>1.7649143254825279E-3</c:v>
                </c:pt>
                <c:pt idx="648">
                  <c:v>1.7704149513790273E-3</c:v>
                </c:pt>
                <c:pt idx="649">
                  <c:v>1.786939746190703E-3</c:v>
                </c:pt>
                <c:pt idx="650">
                  <c:v>1.7924555320464714E-3</c:v>
                </c:pt>
                <c:pt idx="651">
                  <c:v>1.7979750193004209E-3</c:v>
                </c:pt>
                <c:pt idx="652">
                  <c:v>1.803498172515895E-3</c:v>
                </c:pt>
                <c:pt idx="653">
                  <c:v>1.8090249562562404E-3</c:v>
                </c:pt>
                <c:pt idx="654">
                  <c:v>1.8256267362599539E-3</c:v>
                </c:pt>
                <c:pt idx="655">
                  <c:v>1.8311676877332355E-3</c:v>
                </c:pt>
                <c:pt idx="656">
                  <c:v>1.8367120925481136E-3</c:v>
                </c:pt>
                <c:pt idx="657">
                  <c:v>1.8422599152679339E-3</c:v>
                </c:pt>
                <c:pt idx="658">
                  <c:v>1.8478111204560418E-3</c:v>
                </c:pt>
                <c:pt idx="659">
                  <c:v>1.8644846764635395E-3</c:v>
                </c:pt>
                <c:pt idx="660">
                  <c:v>1.8811873989660528E-3</c:v>
                </c:pt>
                <c:pt idx="661">
                  <c:v>1.8867612892058384E-3</c:v>
                </c:pt>
                <c:pt idx="662">
                  <c:v>1.903501412028868E-3</c:v>
                </c:pt>
                <c:pt idx="663">
                  <c:v>1.9146765162974023E-3</c:v>
                </c:pt>
                <c:pt idx="664">
                  <c:v>1.9202684688376602E-3</c:v>
                </c:pt>
                <c:pt idx="665">
                  <c:v>1.9258633077330382E-3</c:v>
                </c:pt>
                <c:pt idx="666">
                  <c:v>1.9426647881833467E-3</c:v>
                </c:pt>
                <c:pt idx="667">
                  <c:v>1.9482708181326575E-3</c:v>
                </c:pt>
                <c:pt idx="668">
                  <c:v>1.953879557253816E-3</c:v>
                </c:pt>
                <c:pt idx="669">
                  <c:v>1.9594909701101653E-3</c:v>
                </c:pt>
                <c:pt idx="670">
                  <c:v>1.9651050212650509E-3</c:v>
                </c:pt>
                <c:pt idx="671">
                  <c:v>1.9819626501543833E-3</c:v>
                </c:pt>
                <c:pt idx="672">
                  <c:v>1.9875869001368695E-3</c:v>
                </c:pt>
                <c:pt idx="673">
                  <c:v>1.9932136112346182E-3</c:v>
                </c:pt>
                <c:pt idx="674">
                  <c:v>1.9988427480109741E-3</c:v>
                </c:pt>
                <c:pt idx="675">
                  <c:v>2.0044742750292841E-3</c:v>
                </c:pt>
                <c:pt idx="676">
                  <c:v>2.0213828431693858E-3</c:v>
                </c:pt>
                <c:pt idx="677">
                  <c:v>2.0270235767889614E-3</c:v>
                </c:pt>
                <c:pt idx="678">
                  <c:v>2.0326665234672169E-3</c:v>
                </c:pt>
                <c:pt idx="679">
                  <c:v>2.038311647767496E-3</c:v>
                </c:pt>
                <c:pt idx="680">
                  <c:v>2.0439589142531456E-3</c:v>
                </c:pt>
                <c:pt idx="681">
                  <c:v>2.0609132124557641E-3</c:v>
                </c:pt>
                <c:pt idx="682">
                  <c:v>2.0665686933163444E-3</c:v>
                </c:pt>
                <c:pt idx="683">
                  <c:v>2.0722261391790207E-3</c:v>
                </c:pt>
                <c:pt idx="684">
                  <c:v>2.0778855146071388E-3</c:v>
                </c:pt>
                <c:pt idx="685">
                  <c:v>2.0835467841640431E-3</c:v>
                </c:pt>
                <c:pt idx="686">
                  <c:v>2.1005416032409243E-3</c:v>
                </c:pt>
                <c:pt idx="687">
                  <c:v>2.1062100949464256E-3</c:v>
                </c:pt>
                <c:pt idx="688">
                  <c:v>2.1118803035974397E-3</c:v>
                </c:pt>
                <c:pt idx="689">
                  <c:v>2.1175521937573097E-3</c:v>
                </c:pt>
                <c:pt idx="690">
                  <c:v>2.1232257299893843E-3</c:v>
                </c:pt>
                <c:pt idx="691">
                  <c:v>2.1402558607522756E-3</c:v>
                </c:pt>
                <c:pt idx="692">
                  <c:v>2.1459356269066133E-3</c:v>
                </c:pt>
                <c:pt idx="693">
                  <c:v>2.1516168619498785E-3</c:v>
                </c:pt>
                <c:pt idx="694">
                  <c:v>2.157299530445419E-3</c:v>
                </c:pt>
                <c:pt idx="695">
                  <c:v>2.1629835969565786E-3</c:v>
                </c:pt>
                <c:pt idx="696">
                  <c:v>2.1800438302172253E-3</c:v>
                </c:pt>
                <c:pt idx="697">
                  <c:v>2.1857331344243137E-3</c:v>
                </c:pt>
                <c:pt idx="698">
                  <c:v>2.191423659463748E-3</c:v>
                </c:pt>
                <c:pt idx="699">
                  <c:v>2.1971153698988723E-3</c:v>
                </c:pt>
                <c:pt idx="700">
                  <c:v>2.202808230293033E-3</c:v>
                </c:pt>
                <c:pt idx="701">
                  <c:v>2.2198933568631811E-3</c:v>
                </c:pt>
                <c:pt idx="702">
                  <c:v>2.2255904627269366E-3</c:v>
                </c:pt>
                <c:pt idx="703">
                  <c:v>2.2312885413664544E-3</c:v>
                </c:pt>
                <c:pt idx="704">
                  <c:v>2.2369875573450796E-3</c:v>
                </c:pt>
                <c:pt idx="705">
                  <c:v>2.2426874752261563E-3</c:v>
                </c:pt>
                <c:pt idx="706">
                  <c:v>2.2597922859175523E-3</c:v>
                </c:pt>
                <c:pt idx="707">
                  <c:v>2.2654954570418902E-3</c:v>
                </c:pt>
                <c:pt idx="708">
                  <c:v>2.271199352885406E-3</c:v>
                </c:pt>
                <c:pt idx="709">
                  <c:v>2.2769039380114466E-3</c:v>
                </c:pt>
                <c:pt idx="710">
                  <c:v>2.2826091769833556E-3</c:v>
                </c:pt>
                <c:pt idx="711">
                  <c:v>2.299728462607746E-3</c:v>
                </c:pt>
                <c:pt idx="712">
                  <c:v>2.3054359625965821E-3</c:v>
                </c:pt>
                <c:pt idx="713">
                  <c:v>2.311143939248013E-3</c:v>
                </c:pt>
                <c:pt idx="714">
                  <c:v>2.3168523571253838E-3</c:v>
                </c:pt>
                <c:pt idx="715">
                  <c:v>2.3225611807920392E-3</c:v>
                </c:pt>
                <c:pt idx="716">
                  <c:v>2.3396897321611714E-3</c:v>
                </c:pt>
                <c:pt idx="717">
                  <c:v>2.3453998246184206E-3</c:v>
                </c:pt>
                <c:pt idx="718">
                  <c:v>2.3511101456816807E-3</c:v>
                </c:pt>
                <c:pt idx="719">
                  <c:v>2.3568206599142976E-3</c:v>
                </c:pt>
                <c:pt idx="720">
                  <c:v>2.362531331879616E-3</c:v>
                </c:pt>
                <c:pt idx="721">
                  <c:v>2.3796639398052347E-3</c:v>
                </c:pt>
                <c:pt idx="722">
                  <c:v>2.3853748883348133E-3</c:v>
                </c:pt>
                <c:pt idx="723">
                  <c:v>2.3910858174138187E-3</c:v>
                </c:pt>
                <c:pt idx="724">
                  <c:v>2.3967966916055971E-3</c:v>
                </c:pt>
                <c:pt idx="725">
                  <c:v>2.4025074754734934E-3</c:v>
                </c:pt>
                <c:pt idx="726">
                  <c:v>2.4196389307673451E-3</c:v>
                </c:pt>
                <c:pt idx="727">
                  <c:v>2.4253489989731671E-3</c:v>
                </c:pt>
                <c:pt idx="728">
                  <c:v>2.4310587996718334E-3</c:v>
                </c:pt>
                <c:pt idx="729">
                  <c:v>2.4367682974266894E-3</c:v>
                </c:pt>
                <c:pt idx="730">
                  <c:v>2.4424774568010802E-3</c:v>
                </c:pt>
                <c:pt idx="731">
                  <c:v>2.4596025502749111E-3</c:v>
                </c:pt>
                <c:pt idx="732">
                  <c:v>2.4653100017608932E-3</c:v>
                </c:pt>
                <c:pt idx="733">
                  <c:v>2.4710169376831346E-3</c:v>
                </c:pt>
                <c:pt idx="734">
                  <c:v>2.4767233226049828E-3</c:v>
                </c:pt>
                <c:pt idx="735">
                  <c:v>2.4824291210897827E-3</c:v>
                </c:pt>
                <c:pt idx="736">
                  <c:v>2.499542643555341E-3</c:v>
                </c:pt>
                <c:pt idx="737">
                  <c:v>2.5052457419253967E-3</c:v>
                </c:pt>
                <c:pt idx="738">
                  <c:v>2.5109480766751305E-3</c:v>
                </c:pt>
                <c:pt idx="739">
                  <c:v>2.5166496123678866E-3</c:v>
                </c:pt>
                <c:pt idx="740">
                  <c:v>2.5451440646940874E-3</c:v>
                </c:pt>
                <c:pt idx="741">
                  <c:v>2.550840061875228E-3</c:v>
                </c:pt>
                <c:pt idx="742">
                  <c:v>2.556535011942807E-3</c:v>
                </c:pt>
                <c:pt idx="743">
                  <c:v>2.5622288794601711E-3</c:v>
                </c:pt>
                <c:pt idx="744">
                  <c:v>2.5793036323444193E-3</c:v>
                </c:pt>
                <c:pt idx="745">
                  <c:v>2.5849928152943723E-3</c:v>
                </c:pt>
                <c:pt idx="746">
                  <c:v>2.596367366557154E-3</c:v>
                </c:pt>
                <c:pt idx="747">
                  <c:v>2.6020526639966728E-3</c:v>
                </c:pt>
                <c:pt idx="748">
                  <c:v>2.6191002183078866E-3</c:v>
                </c:pt>
                <c:pt idx="749">
                  <c:v>2.6247798389536594E-3</c:v>
                </c:pt>
                <c:pt idx="750">
                  <c:v>2.6304579518093602E-3</c:v>
                </c:pt>
                <c:pt idx="751">
                  <c:v>2.6361345214383335E-3</c:v>
                </c:pt>
                <c:pt idx="752">
                  <c:v>2.6418095124039233E-3</c:v>
                </c:pt>
                <c:pt idx="753">
                  <c:v>2.6588246589538478E-3</c:v>
                </c:pt>
                <c:pt idx="754">
                  <c:v>2.6644929808993583E-3</c:v>
                </c:pt>
                <c:pt idx="755">
                  <c:v>2.6701595469982129E-3</c:v>
                </c:pt>
                <c:pt idx="756">
                  <c:v>2.6758243218137547E-3</c:v>
                </c:pt>
                <c:pt idx="757">
                  <c:v>2.6814872699093308E-3</c:v>
                </c:pt>
                <c:pt idx="758">
                  <c:v>2.6984647995097135E-3</c:v>
                </c:pt>
                <c:pt idx="759">
                  <c:v>2.7041200863588757E-3</c:v>
                </c:pt>
                <c:pt idx="760">
                  <c:v>2.7097733693047985E-3</c:v>
                </c:pt>
                <c:pt idx="761">
                  <c:v>2.7154246129108264E-3</c:v>
                </c:pt>
                <c:pt idx="762">
                  <c:v>2.7210737817403045E-3</c:v>
                </c:pt>
                <c:pt idx="763">
                  <c:v>2.7380084852028901E-3</c:v>
                </c:pt>
                <c:pt idx="764">
                  <c:v>2.7436490005596204E-3</c:v>
                </c:pt>
                <c:pt idx="765">
                  <c:v>2.7492872639565276E-3</c:v>
                </c:pt>
                <c:pt idx="766">
                  <c:v>2.7549232399569552E-3</c:v>
                </c:pt>
                <c:pt idx="767">
                  <c:v>2.7605568931242499E-3</c:v>
                </c:pt>
                <c:pt idx="768">
                  <c:v>2.7774435612607858E-3</c:v>
                </c:pt>
                <c:pt idx="769">
                  <c:v>2.7830675785066616E-3</c:v>
                </c:pt>
                <c:pt idx="770">
                  <c:v>2.7886891544021027E-3</c:v>
                </c:pt>
                <c:pt idx="771">
                  <c:v>2.7943083121764268E-3</c:v>
                </c:pt>
                <c:pt idx="772">
                  <c:v>2.7999250750589508E-3</c:v>
                </c:pt>
                <c:pt idx="773">
                  <c:v>2.816761226648905E-3</c:v>
                </c:pt>
                <c:pt idx="774">
                  <c:v>2.8223686422574087E-3</c:v>
                </c:pt>
                <c:pt idx="775">
                  <c:v>2.8279737791207025E-3</c:v>
                </c:pt>
                <c:pt idx="776">
                  <c:v>2.8335766604681038E-3</c:v>
                </c:pt>
                <c:pt idx="777">
                  <c:v>2.839177309528929E-3</c:v>
                </c:pt>
                <c:pt idx="778">
                  <c:v>2.8559660952851311E-3</c:v>
                </c:pt>
                <c:pt idx="779">
                  <c:v>2.8615580474928314E-3</c:v>
                </c:pt>
                <c:pt idx="780">
                  <c:v>2.8671478835605464E-3</c:v>
                </c:pt>
                <c:pt idx="781">
                  <c:v>2.8727356267175914E-3</c:v>
                </c:pt>
                <c:pt idx="782">
                  <c:v>2.8783213001932866E-3</c:v>
                </c:pt>
                <c:pt idx="783">
                  <c:v>2.8950661348254403E-3</c:v>
                </c:pt>
                <c:pt idx="784">
                  <c:v>2.9006437618689079E-3</c:v>
                </c:pt>
                <c:pt idx="785">
                  <c:v>2.9062194353776123E-3</c:v>
                </c:pt>
                <c:pt idx="786">
                  <c:v>2.9117931785808708E-3</c:v>
                </c:pt>
                <c:pt idx="787">
                  <c:v>2.9173650147080034E-3</c:v>
                </c:pt>
                <c:pt idx="788">
                  <c:v>2.9340693129258138E-3</c:v>
                </c:pt>
                <c:pt idx="789">
                  <c:v>2.9396337530416148E-3</c:v>
                </c:pt>
                <c:pt idx="790">
                  <c:v>2.9451964022278775E-3</c:v>
                </c:pt>
                <c:pt idx="791">
                  <c:v>2.9507572837139191E-3</c:v>
                </c:pt>
                <c:pt idx="792">
                  <c:v>2.9563164207290576E-3</c:v>
                </c:pt>
                <c:pt idx="793">
                  <c:v>2.9729835972422299E-3</c:v>
                </c:pt>
                <c:pt idx="794">
                  <c:v>2.9785359886669326E-3</c:v>
                </c:pt>
                <c:pt idx="795">
                  <c:v>2.9840867517673215E-3</c:v>
                </c:pt>
                <c:pt idx="796">
                  <c:v>2.9896359097727138E-3</c:v>
                </c:pt>
                <c:pt idx="797">
                  <c:v>2.9951834859124268E-3</c:v>
                </c:pt>
                <c:pt idx="798">
                  <c:v>3.0118169554306674E-3</c:v>
                </c:pt>
                <c:pt idx="799">
                  <c:v>3.0173584364008416E-3</c:v>
                </c:pt>
                <c:pt idx="800">
                  <c:v>3.0228984516519242E-3</c:v>
                </c:pt>
                <c:pt idx="801">
                  <c:v>3.0284370244132346E-3</c:v>
                </c:pt>
                <c:pt idx="802">
                  <c:v>3.0339741779140911E-3</c:v>
                </c:pt>
                <c:pt idx="803">
                  <c:v>3.0505773551471049E-3</c:v>
                </c:pt>
                <c:pt idx="804">
                  <c:v>3.0561090638993173E-3</c:v>
                </c:pt>
                <c:pt idx="805">
                  <c:v>3.0616394695376641E-3</c:v>
                </c:pt>
                <c:pt idx="806">
                  <c:v>3.0671685952914618E-3</c:v>
                </c:pt>
                <c:pt idx="807">
                  <c:v>3.0726964643900279E-3</c:v>
                </c:pt>
                <c:pt idx="808">
                  <c:v>3.0892727640475202E-3</c:v>
                </c:pt>
                <c:pt idx="809">
                  <c:v>3.0947958388183408E-3</c:v>
                </c:pt>
                <c:pt idx="810">
                  <c:v>3.1003177730805193E-3</c:v>
                </c:pt>
                <c:pt idx="811">
                  <c:v>3.1058385900633719E-3</c:v>
                </c:pt>
                <c:pt idx="812">
                  <c:v>3.1113583129962186E-3</c:v>
                </c:pt>
                <c:pt idx="813">
                  <c:v>3.1279111497878932E-3</c:v>
                </c:pt>
                <c:pt idx="814">
                  <c:v>3.1334267288138894E-3</c:v>
                </c:pt>
                <c:pt idx="815">
                  <c:v>3.1389413299364672E-3</c:v>
                </c:pt>
                <c:pt idx="816">
                  <c:v>3.1444549763849452E-3</c:v>
                </c:pt>
                <c:pt idx="817">
                  <c:v>3.1499676913886395E-3</c:v>
                </c:pt>
                <c:pt idx="818">
                  <c:v>3.1665004800242023E-3</c:v>
                </c:pt>
                <c:pt idx="819">
                  <c:v>3.1720097015419425E-3</c:v>
                </c:pt>
                <c:pt idx="820">
                  <c:v>3.1775181077614888E-3</c:v>
                </c:pt>
                <c:pt idx="821">
                  <c:v>3.1830257219121584E-3</c:v>
                </c:pt>
                <c:pt idx="822">
                  <c:v>3.1885325672232697E-3</c:v>
                </c:pt>
                <c:pt idx="823">
                  <c:v>3.2050487224124257E-3</c:v>
                </c:pt>
                <c:pt idx="824">
                  <c:v>3.2105527246584793E-3</c:v>
                </c:pt>
                <c:pt idx="825">
                  <c:v>3.2160560742115619E-3</c:v>
                </c:pt>
                <c:pt idx="826">
                  <c:v>3.221558794300992E-3</c:v>
                </c:pt>
                <c:pt idx="827">
                  <c:v>3.2270609081560876E-3</c:v>
                </c:pt>
                <c:pt idx="828">
                  <c:v>3.2435638446085447E-3</c:v>
                </c:pt>
                <c:pt idx="829">
                  <c:v>3.2490637658194781E-3</c:v>
                </c:pt>
                <c:pt idx="830">
                  <c:v>3.254563196942666E-3</c:v>
                </c:pt>
                <c:pt idx="831">
                  <c:v>3.2600621612074248E-3</c:v>
                </c:pt>
                <c:pt idx="832">
                  <c:v>3.2655606818430731E-3</c:v>
                </c:pt>
                <c:pt idx="833">
                  <c:v>3.2820538142685329E-3</c:v>
                </c:pt>
                <c:pt idx="834">
                  <c:v>3.2875507926809168E-3</c:v>
                </c:pt>
                <c:pt idx="835">
                  <c:v>3.2930474436107787E-3</c:v>
                </c:pt>
                <c:pt idx="836">
                  <c:v>3.2985437902874355E-3</c:v>
                </c:pt>
                <c:pt idx="837">
                  <c:v>3.3040398559402049E-3</c:v>
                </c:pt>
                <c:pt idx="838">
                  <c:v>3.3205265990483728E-3</c:v>
                </c:pt>
                <c:pt idx="839">
                  <c:v>3.3260217728987747E-3</c:v>
                </c:pt>
                <c:pt idx="840">
                  <c:v>3.3315167818718772E-3</c:v>
                </c:pt>
                <c:pt idx="841">
                  <c:v>3.3370116491970008E-3</c:v>
                </c:pt>
                <c:pt idx="842">
                  <c:v>3.3425063981034611E-3</c:v>
                </c:pt>
                <c:pt idx="843">
                  <c:v>3.3589901666040436E-3</c:v>
                </c:pt>
                <c:pt idx="844">
                  <c:v>3.3644846741290296E-3</c:v>
                </c:pt>
                <c:pt idx="845">
                  <c:v>3.3699791793819433E-3</c:v>
                </c:pt>
                <c:pt idx="846">
                  <c:v>3.3754737055921007E-3</c:v>
                </c:pt>
                <c:pt idx="847">
                  <c:v>3.3809682759888193E-3</c:v>
                </c:pt>
                <c:pt idx="848">
                  <c:v>3.3974524845915223E-3</c:v>
                </c:pt>
                <c:pt idx="849">
                  <c:v>3.4029474640276634E-3</c:v>
                </c:pt>
                <c:pt idx="850">
                  <c:v>3.4084426037969554E-3</c:v>
                </c:pt>
                <c:pt idx="851">
                  <c:v>3.4139379271287151E-3</c:v>
                </c:pt>
                <c:pt idx="852">
                  <c:v>3.4194334572522599E-3</c:v>
                </c:pt>
                <c:pt idx="853">
                  <c:v>3.4359215206667872E-3</c:v>
                </c:pt>
                <c:pt idx="854">
                  <c:v>3.4414181102506518E-3</c:v>
                </c:pt>
                <c:pt idx="855">
                  <c:v>3.4469150227728913E-3</c:v>
                </c:pt>
                <c:pt idx="856">
                  <c:v>3.4524122814628211E-3</c:v>
                </c:pt>
                <c:pt idx="857">
                  <c:v>3.4579099095497618E-3</c:v>
                </c:pt>
                <c:pt idx="858">
                  <c:v>3.4744052424858177E-3</c:v>
                </c:pt>
                <c:pt idx="859">
                  <c:v>3.4799045804539738E-3</c:v>
                </c:pt>
                <c:pt idx="860">
                  <c:v>3.4854044039657286E-3</c:v>
                </c:pt>
                <c:pt idx="861">
                  <c:v>3.4909047362503992E-3</c:v>
                </c:pt>
                <c:pt idx="862">
                  <c:v>3.4964056005373024E-3</c:v>
                </c:pt>
                <c:pt idx="863">
                  <c:v>3.5129116177045928E-3</c:v>
                </c:pt>
                <c:pt idx="864">
                  <c:v>3.5184148422936091E-3</c:v>
                </c:pt>
                <c:pt idx="865">
                  <c:v>3.5239187150314477E-3</c:v>
                </c:pt>
                <c:pt idx="866">
                  <c:v>3.5294232591474256E-3</c:v>
                </c:pt>
                <c:pt idx="867">
                  <c:v>3.5349284978708618E-3</c:v>
                </c:pt>
                <c:pt idx="868">
                  <c:v>3.5514486139790928E-3</c:v>
                </c:pt>
                <c:pt idx="869">
                  <c:v>3.5569568634255368E-3</c:v>
                </c:pt>
                <c:pt idx="870">
                  <c:v>3.5624659236260263E-3</c:v>
                </c:pt>
                <c:pt idx="871">
                  <c:v>3.5679758178098812E-3</c:v>
                </c:pt>
                <c:pt idx="872">
                  <c:v>3.5734865692064171E-3</c:v>
                </c:pt>
                <c:pt idx="873">
                  <c:v>3.5900241989652941E-3</c:v>
                </c:pt>
                <c:pt idx="874">
                  <c:v>3.5955386115057333E-3</c:v>
                </c:pt>
                <c:pt idx="875">
                  <c:v>3.6010539974054446E-3</c:v>
                </c:pt>
                <c:pt idx="876">
                  <c:v>3.6065703798937422E-3</c:v>
                </c:pt>
                <c:pt idx="877">
                  <c:v>3.6120877821999475E-3</c:v>
                </c:pt>
                <c:pt idx="878">
                  <c:v>3.6286463403191744E-3</c:v>
                </c:pt>
                <c:pt idx="879">
                  <c:v>3.6341680541901798E-3</c:v>
                </c:pt>
                <c:pt idx="880">
                  <c:v>3.6396909040256804E-3</c:v>
                </c:pt>
                <c:pt idx="881">
                  <c:v>3.6452149130549913E-3</c:v>
                </c:pt>
                <c:pt idx="882">
                  <c:v>3.6507401045074335E-3</c:v>
                </c:pt>
                <c:pt idx="883">
                  <c:v>3.6673230056967149E-3</c:v>
                </c:pt>
                <c:pt idx="884">
                  <c:v>3.6728531591348535E-3</c:v>
                </c:pt>
                <c:pt idx="885">
                  <c:v>3.6783846111427113E-3</c:v>
                </c:pt>
                <c:pt idx="886">
                  <c:v>3.6839173849496044E-3</c:v>
                </c:pt>
                <c:pt idx="887">
                  <c:v>3.6894515037848522E-3</c:v>
                </c:pt>
                <c:pt idx="888">
                  <c:v>3.7060621627538928E-3</c:v>
                </c:pt>
                <c:pt idx="889">
                  <c:v>3.7116018939957339E-3</c:v>
                </c:pt>
                <c:pt idx="890">
                  <c:v>3.7171430864125169E-3</c:v>
                </c:pt>
                <c:pt idx="891">
                  <c:v>3.72268576323356E-3</c:v>
                </c:pt>
                <c:pt idx="892">
                  <c:v>3.7282299476881814E-3</c:v>
                </c:pt>
                <c:pt idx="893">
                  <c:v>3.7448717791466893E-3</c:v>
                </c:pt>
                <c:pt idx="894">
                  <c:v>3.7504222264288E-3</c:v>
                </c:pt>
                <c:pt idx="895">
                  <c:v>3.7559742974910761E-3</c:v>
                </c:pt>
                <c:pt idx="896">
                  <c:v>3.7615280155628376E-3</c:v>
                </c:pt>
                <c:pt idx="897">
                  <c:v>3.7670834038734009E-3</c:v>
                </c:pt>
                <c:pt idx="898">
                  <c:v>3.7837598225310808E-3</c:v>
                </c:pt>
                <c:pt idx="899">
                  <c:v>3.7893221240900303E-3</c:v>
                </c:pt>
                <c:pt idx="900">
                  <c:v>3.7948862120343683E-3</c:v>
                </c:pt>
                <c:pt idx="901">
                  <c:v>3.8004521095934165E-3</c:v>
                </c:pt>
                <c:pt idx="902">
                  <c:v>3.8060198399964898E-3</c:v>
                </c:pt>
                <c:pt idx="903">
                  <c:v>3.8227342605630459E-3</c:v>
                </c:pt>
                <c:pt idx="904">
                  <c:v>3.8283095546354016E-3</c:v>
                </c:pt>
                <c:pt idx="905">
                  <c:v>3.833886797698373E-3</c:v>
                </c:pt>
                <c:pt idx="906">
                  <c:v>3.8394660129812751E-3</c:v>
                </c:pt>
                <c:pt idx="907">
                  <c:v>3.845047223713427E-3</c:v>
                </c:pt>
                <c:pt idx="908">
                  <c:v>3.861803060898564E-3</c:v>
                </c:pt>
                <c:pt idx="909">
                  <c:v>3.8673924857208952E-3</c:v>
                </c:pt>
                <c:pt idx="910">
                  <c:v>3.8729840221390643E-3</c:v>
                </c:pt>
                <c:pt idx="911">
                  <c:v>3.8785776933823908E-3</c:v>
                </c:pt>
                <c:pt idx="912">
                  <c:v>3.8841735226801911E-3</c:v>
                </c:pt>
                <c:pt idx="913">
                  <c:v>3.9009741911936145E-3</c:v>
                </c:pt>
                <c:pt idx="914">
                  <c:v>3.9065788850024879E-3</c:v>
                </c:pt>
                <c:pt idx="915">
                  <c:v>3.923406704552759E-3</c:v>
                </c:pt>
                <c:pt idx="916">
                  <c:v>3.9402556191041752E-3</c:v>
                </c:pt>
                <c:pt idx="917">
                  <c:v>3.9458767201361617E-3</c:v>
                </c:pt>
                <c:pt idx="918">
                  <c:v>3.9570955059638853E-3</c:v>
                </c:pt>
                <c:pt idx="919">
                  <c:v>3.9627085917392259E-3</c:v>
                </c:pt>
                <c:pt idx="920">
                  <c:v>3.9795628969843582E-3</c:v>
                </c:pt>
                <c:pt idx="921">
                  <c:v>3.9851860915038834E-3</c:v>
                </c:pt>
                <c:pt idx="922">
                  <c:v>3.9908118708080371E-3</c:v>
                </c:pt>
                <c:pt idx="923">
                  <c:v>3.9964402579362552E-3</c:v>
                </c:pt>
                <c:pt idx="924">
                  <c:v>4.0020712759279674E-3</c:v>
                </c:pt>
                <c:pt idx="925">
                  <c:v>4.0189803454784125E-3</c:v>
                </c:pt>
                <c:pt idx="926">
                  <c:v>4.0246221173184417E-3</c:v>
                </c:pt>
                <c:pt idx="927">
                  <c:v>4.0302666352191301E-3</c:v>
                </c:pt>
                <c:pt idx="928">
                  <c:v>4.0359139222199154E-3</c:v>
                </c:pt>
                <c:pt idx="929">
                  <c:v>4.0415640013602289E-3</c:v>
                </c:pt>
                <c:pt idx="930">
                  <c:v>4.0585312220126719E-3</c:v>
                </c:pt>
                <c:pt idx="931">
                  <c:v>4.0641927001054323E-3</c:v>
                </c:pt>
                <c:pt idx="932">
                  <c:v>4.0698570855348861E-3</c:v>
                </c:pt>
                <c:pt idx="933">
                  <c:v>4.0755244013404674E-3</c:v>
                </c:pt>
                <c:pt idx="934">
                  <c:v>4.0811946705616104E-3</c:v>
                </c:pt>
                <c:pt idx="935">
                  <c:v>4.0982234291127382E-3</c:v>
                </c:pt>
                <c:pt idx="936">
                  <c:v>4.1039057423904561E-3</c:v>
                </c:pt>
                <c:pt idx="937">
                  <c:v>4.1095911242809034E-3</c:v>
                </c:pt>
                <c:pt idx="938">
                  <c:v>4.1152795978235098E-3</c:v>
                </c:pt>
                <c:pt idx="939">
                  <c:v>4.1209711860577111E-3</c:v>
                </c:pt>
                <c:pt idx="940">
                  <c:v>4.1380648693042071E-3</c:v>
                </c:pt>
                <c:pt idx="941">
                  <c:v>4.1437691466991149E-3</c:v>
                </c:pt>
                <c:pt idx="942">
                  <c:v>4.1494766539827829E-3</c:v>
                </c:pt>
                <c:pt idx="943">
                  <c:v>4.1551874141946433E-3</c:v>
                </c:pt>
                <c:pt idx="944">
                  <c:v>4.1609014503741311E-3</c:v>
                </c:pt>
                <c:pt idx="945">
                  <c:v>4.1780634451126829E-3</c:v>
                </c:pt>
                <c:pt idx="946">
                  <c:v>4.1837908155570062E-3</c:v>
                </c:pt>
                <c:pt idx="947">
                  <c:v>4.1895215771661247E-3</c:v>
                </c:pt>
                <c:pt idx="948">
                  <c:v>4.195255752979468E-3</c:v>
                </c:pt>
                <c:pt idx="949">
                  <c:v>4.2009933660364695E-3</c:v>
                </c:pt>
                <c:pt idx="950">
                  <c:v>4.2182270590637614E-3</c:v>
                </c:pt>
                <c:pt idx="951">
                  <c:v>4.2239786514897317E-3</c:v>
                </c:pt>
                <c:pt idx="952">
                  <c:v>4.2297337963565261E-3</c:v>
                </c:pt>
                <c:pt idx="953">
                  <c:v>4.2354925167035805E-3</c:v>
                </c:pt>
                <c:pt idx="954">
                  <c:v>4.2412548355703263E-3</c:v>
                </c:pt>
                <c:pt idx="955">
                  <c:v>4.2585636136830435E-3</c:v>
                </c:pt>
                <c:pt idx="956">
                  <c:v>4.264340557022888E-3</c:v>
                </c:pt>
                <c:pt idx="957">
                  <c:v>4.27012121407959E-3</c:v>
                </c:pt>
                <c:pt idx="958">
                  <c:v>4.2759056078925826E-3</c:v>
                </c:pt>
                <c:pt idx="959">
                  <c:v>4.2816937615013E-3</c:v>
                </c:pt>
                <c:pt idx="960">
                  <c:v>4.2990810114961284E-3</c:v>
                </c:pt>
                <c:pt idx="961">
                  <c:v>4.3048844346820761E-3</c:v>
                </c:pt>
                <c:pt idx="962">
                  <c:v>4.3106917328609128E-3</c:v>
                </c:pt>
                <c:pt idx="963">
                  <c:v>4.3165029290720726E-3</c:v>
                </c:pt>
                <c:pt idx="964">
                  <c:v>4.3223180463549905E-3</c:v>
                </c:pt>
                <c:pt idx="965">
                  <c:v>4.339787155028617E-3</c:v>
                </c:pt>
                <c:pt idx="966">
                  <c:v>4.345618186992895E-3</c:v>
                </c:pt>
                <c:pt idx="967">
                  <c:v>4.3514532552260954E-3</c:v>
                </c:pt>
                <c:pt idx="968">
                  <c:v>4.3572923827676522E-3</c:v>
                </c:pt>
                <c:pt idx="969">
                  <c:v>4.3631355926569996E-3</c:v>
                </c:pt>
                <c:pt idx="970">
                  <c:v>4.3806899468061093E-3</c:v>
                </c:pt>
                <c:pt idx="971">
                  <c:v>4.3865497164809449E-3</c:v>
                </c:pt>
                <c:pt idx="972">
                  <c:v>4.3924136837007379E-3</c:v>
                </c:pt>
                <c:pt idx="973">
                  <c:v>4.3982818715049199E-3</c:v>
                </c:pt>
                <c:pt idx="974">
                  <c:v>4.4041543029329239E-3</c:v>
                </c:pt>
                <c:pt idx="975">
                  <c:v>4.4217972893542028E-3</c:v>
                </c:pt>
                <c:pt idx="976">
                  <c:v>4.4276869256718266E-3</c:v>
                </c:pt>
                <c:pt idx="977">
                  <c:v>4.4335809208104395E-3</c:v>
                </c:pt>
                <c:pt idx="978">
                  <c:v>4.4394792978094755E-3</c:v>
                </c:pt>
                <c:pt idx="979">
                  <c:v>4.4453820797083652E-3</c:v>
                </c:pt>
                <c:pt idx="980">
                  <c:v>4.4631170851984966E-3</c:v>
                </c:pt>
                <c:pt idx="981">
                  <c:v>4.4690377170911377E-3</c:v>
                </c:pt>
                <c:pt idx="982">
                  <c:v>4.4749628690808011E-3</c:v>
                </c:pt>
                <c:pt idx="983">
                  <c:v>4.4808925642069175E-3</c:v>
                </c:pt>
                <c:pt idx="984">
                  <c:v>4.4868268255089218E-3</c:v>
                </c:pt>
                <c:pt idx="985">
                  <c:v>4.5046572368645926E-3</c:v>
                </c:pt>
                <c:pt idx="986">
                  <c:v>4.510609993264479E-3</c:v>
                </c:pt>
                <c:pt idx="987">
                  <c:v>4.5165674310374193E-3</c:v>
                </c:pt>
                <c:pt idx="988">
                  <c:v>4.5225295732228459E-3</c:v>
                </c:pt>
                <c:pt idx="989">
                  <c:v>4.5524116567174488E-3</c:v>
                </c:pt>
                <c:pt idx="990">
                  <c:v>4.5584025092058958E-3</c:v>
                </c:pt>
                <c:pt idx="991">
                  <c:v>4.5643982273828616E-3</c:v>
                </c:pt>
                <c:pt idx="992">
                  <c:v>4.5703988342877802E-3</c:v>
                </c:pt>
                <c:pt idx="993">
                  <c:v>4.588430217764586E-3</c:v>
                </c:pt>
                <c:pt idx="994">
                  <c:v>4.594450609975648E-3</c:v>
                </c:pt>
                <c:pt idx="995">
                  <c:v>4.6004760061118298E-3</c:v>
                </c:pt>
                <c:pt idx="996">
                  <c:v>4.6065064292125629E-3</c:v>
                </c:pt>
                <c:pt idx="997">
                  <c:v>4.612541902317282E-3</c:v>
                </c:pt>
                <c:pt idx="998">
                  <c:v>4.6306788520496835E-3</c:v>
                </c:pt>
                <c:pt idx="999">
                  <c:v>4.6367347555646759E-3</c:v>
                </c:pt>
                <c:pt idx="1000">
                  <c:v>4.6427958242808206E-3</c:v>
                </c:pt>
                <c:pt idx="1001">
                  <c:v>4.6488620812375498E-3</c:v>
                </c:pt>
                <c:pt idx="1002">
                  <c:v>4.6731794522589789E-3</c:v>
                </c:pt>
                <c:pt idx="1003">
                  <c:v>4.6792719960101325E-3</c:v>
                </c:pt>
                <c:pt idx="1004">
                  <c:v>4.685369866238469E-3</c:v>
                </c:pt>
                <c:pt idx="1005">
                  <c:v>4.6914730859834216E-3</c:v>
                </c:pt>
                <c:pt idx="1006">
                  <c:v>4.6975816782844253E-3</c:v>
                </c:pt>
                <c:pt idx="1007">
                  <c:v>4.715939920918075E-3</c:v>
                </c:pt>
                <c:pt idx="1008">
                  <c:v>4.7220702338376152E-3</c:v>
                </c:pt>
                <c:pt idx="1009">
                  <c:v>4.7282060345103707E-3</c:v>
                </c:pt>
                <c:pt idx="1010">
                  <c:v>4.7343473459757774E-3</c:v>
                </c:pt>
                <c:pt idx="1011">
                  <c:v>4.7404941912732677E-3</c:v>
                </c:pt>
                <c:pt idx="1012">
                  <c:v>4.7589681605525701E-3</c:v>
                </c:pt>
                <c:pt idx="1013">
                  <c:v>4.7651373715727257E-3</c:v>
                </c:pt>
                <c:pt idx="1014">
                  <c:v>4.771312231622131E-3</c:v>
                </c:pt>
                <c:pt idx="1015">
                  <c:v>4.777492763740219E-3</c:v>
                </c:pt>
                <c:pt idx="1016">
                  <c:v>4.7836789909664222E-3</c:v>
                </c:pt>
                <c:pt idx="1017">
                  <c:v>4.8022720736880633E-3</c:v>
                </c:pt>
                <c:pt idx="1018">
                  <c:v>4.8084813117410634E-3</c:v>
                </c:pt>
                <c:pt idx="1019">
                  <c:v>4.8146963600993456E-3</c:v>
                </c:pt>
                <c:pt idx="1020">
                  <c:v>4.8209172418023439E-3</c:v>
                </c:pt>
                <c:pt idx="1021">
                  <c:v>4.8271439798894897E-3</c:v>
                </c:pt>
                <c:pt idx="1022">
                  <c:v>4.8458595628501537E-3</c:v>
                </c:pt>
                <c:pt idx="1023">
                  <c:v>4.8521099568682282E-3</c:v>
                </c:pt>
                <c:pt idx="1024">
                  <c:v>4.8583663158122802E-3</c:v>
                </c:pt>
                <c:pt idx="1025">
                  <c:v>4.8646286294450674E-3</c:v>
                </c:pt>
                <c:pt idx="1026">
                  <c:v>4.8708968808740078E-3</c:v>
                </c:pt>
                <c:pt idx="1027">
                  <c:v>4.8897370930119453E-3</c:v>
                </c:pt>
                <c:pt idx="1028">
                  <c:v>4.8960289266996937E-3</c:v>
                </c:pt>
                <c:pt idx="1029">
                  <c:v>4.9023266137206943E-3</c:v>
                </c:pt>
                <c:pt idx="1030">
                  <c:v>4.9086301371823633E-3</c:v>
                </c:pt>
                <c:pt idx="1031">
                  <c:v>4.9149394801921223E-3</c:v>
                </c:pt>
                <c:pt idx="1032">
                  <c:v>4.9339022575841341E-3</c:v>
                </c:pt>
                <c:pt idx="1033">
                  <c:v>4.9402347098604447E-3</c:v>
                </c:pt>
                <c:pt idx="1034">
                  <c:v>4.9465728972219415E-3</c:v>
                </c:pt>
                <c:pt idx="1035">
                  <c:v>4.9529168027760461E-3</c:v>
                </c:pt>
                <c:pt idx="1036">
                  <c:v>4.9592664096301748E-3</c:v>
                </c:pt>
                <c:pt idx="1037">
                  <c:v>4.9783492690669102E-3</c:v>
                </c:pt>
                <c:pt idx="1038">
                  <c:v>4.9847215121953349E-3</c:v>
                </c:pt>
                <c:pt idx="1039">
                  <c:v>4.9910993721608825E-3</c:v>
                </c:pt>
                <c:pt idx="1040">
                  <c:v>4.9974828320709713E-3</c:v>
                </c:pt>
                <c:pt idx="1041">
                  <c:v>5.0038718750330235E-3</c:v>
                </c:pt>
                <c:pt idx="1042">
                  <c:v>5.023072333305136E-3</c:v>
                </c:pt>
                <c:pt idx="1043">
                  <c:v>5.0294835395492243E-3</c:v>
                </c:pt>
                <c:pt idx="1044">
                  <c:v>5.0359002443823731E-3</c:v>
                </c:pt>
                <c:pt idx="1045">
                  <c:v>5.042322430911998E-3</c:v>
                </c:pt>
                <c:pt idx="1046">
                  <c:v>5.0487500822455197E-3</c:v>
                </c:pt>
                <c:pt idx="1047">
                  <c:v>5.0680656561436664E-3</c:v>
                </c:pt>
                <c:pt idx="1048">
                  <c:v>5.0745149977669702E-3</c:v>
                </c:pt>
                <c:pt idx="1049">
                  <c:v>5.0809697197312688E-3</c:v>
                </c:pt>
                <c:pt idx="1050">
                  <c:v>5.0874298051439811E-3</c:v>
                </c:pt>
                <c:pt idx="1051">
                  <c:v>5.0938952371125286E-3</c:v>
                </c:pt>
                <c:pt idx="1052">
                  <c:v>5.1133234434273568E-3</c:v>
                </c:pt>
                <c:pt idx="1053">
                  <c:v>5.1198100926934283E-3</c:v>
                </c:pt>
                <c:pt idx="1054">
                  <c:v>5.1263020040524304E-3</c:v>
                </c:pt>
                <c:pt idx="1055">
                  <c:v>5.1327991606117812E-3</c:v>
                </c:pt>
                <c:pt idx="1056">
                  <c:v>5.1393015454789023E-3</c:v>
                </c:pt>
                <c:pt idx="1057">
                  <c:v>5.1588399010010673E-3</c:v>
                </c:pt>
                <c:pt idx="1058">
                  <c:v>5.1653630301734584E-3</c:v>
                </c:pt>
                <c:pt idx="1059">
                  <c:v>5.1718913031907126E-3</c:v>
                </c:pt>
                <c:pt idx="1060">
                  <c:v>5.178424703160254E-3</c:v>
                </c:pt>
                <c:pt idx="1061">
                  <c:v>5.1849632131894981E-3</c:v>
                </c:pt>
                <c:pt idx="1062">
                  <c:v>5.204609234709656E-3</c:v>
                </c:pt>
                <c:pt idx="1063">
                  <c:v>5.2111680160519154E-3</c:v>
                </c:pt>
                <c:pt idx="1064">
                  <c:v>5.2177318229909755E-3</c:v>
                </c:pt>
                <c:pt idx="1065">
                  <c:v>5.2243006386342552E-3</c:v>
                </c:pt>
                <c:pt idx="1066">
                  <c:v>5.2308744460891786E-3</c:v>
                </c:pt>
                <c:pt idx="1067">
                  <c:v>5.2506256503979812E-3</c:v>
                </c:pt>
                <c:pt idx="1068">
                  <c:v>5.2572192561736574E-3</c:v>
                </c:pt>
                <c:pt idx="1069">
                  <c:v>5.2638177692980728E-3</c:v>
                </c:pt>
                <c:pt idx="1070">
                  <c:v>5.2704211728786463E-3</c:v>
                </c:pt>
                <c:pt idx="1071">
                  <c:v>5.277029450022795E-3</c:v>
                </c:pt>
                <c:pt idx="1072">
                  <c:v>5.296883353910895E-3</c:v>
                </c:pt>
                <c:pt idx="1073">
                  <c:v>5.3035109563835444E-3</c:v>
                </c:pt>
                <c:pt idx="1074">
                  <c:v>5.3101433479568671E-3</c:v>
                </c:pt>
                <c:pt idx="1075">
                  <c:v>5.3167805117382829E-3</c:v>
                </c:pt>
                <c:pt idx="1076">
                  <c:v>5.3234224308352099E-3</c:v>
                </c:pt>
                <c:pt idx="1077">
                  <c:v>5.3433765510932599E-3</c:v>
                </c:pt>
                <c:pt idx="1078">
                  <c:v>5.3500373225264302E-3</c:v>
                </c:pt>
                <c:pt idx="1079">
                  <c:v>5.3567027648122123E-3</c:v>
                </c:pt>
                <c:pt idx="1080">
                  <c:v>5.36337286105802E-3</c:v>
                </c:pt>
                <c:pt idx="1081">
                  <c:v>5.3700475943712763E-3</c:v>
                </c:pt>
                <c:pt idx="1082">
                  <c:v>5.3900994477899325E-3</c:v>
                </c:pt>
                <c:pt idx="1083">
                  <c:v>5.3967925604471766E-3</c:v>
                </c:pt>
                <c:pt idx="1084">
                  <c:v>5.4034902257089649E-3</c:v>
                </c:pt>
                <c:pt idx="1085">
                  <c:v>5.410192426682719E-3</c:v>
                </c:pt>
                <c:pt idx="1086">
                  <c:v>5.4168991464758559E-3</c:v>
                </c:pt>
                <c:pt idx="1087">
                  <c:v>5.4370462498457674E-3</c:v>
                </c:pt>
                <c:pt idx="1088">
                  <c:v>5.4437708759906347E-3</c:v>
                </c:pt>
                <c:pt idx="1089">
                  <c:v>5.4504999364919839E-3</c:v>
                </c:pt>
                <c:pt idx="1090">
                  <c:v>5.4572334144572339E-3</c:v>
                </c:pt>
                <c:pt idx="1091">
                  <c:v>5.4639712929938043E-3</c:v>
                </c:pt>
                <c:pt idx="1092">
                  <c:v>5.4842111631056255E-3</c:v>
                </c:pt>
                <c:pt idx="1093">
                  <c:v>5.4909664750016681E-3</c:v>
                </c:pt>
                <c:pt idx="1094">
                  <c:v>5.4977261030061302E-3</c:v>
                </c:pt>
                <c:pt idx="1095">
                  <c:v>5.5044900302264254E-3</c:v>
                </c:pt>
                <c:pt idx="1096">
                  <c:v>5.5112582397699771E-3</c:v>
                </c:pt>
                <c:pt idx="1097">
                  <c:v>5.5315883934143632E-3</c:v>
                </c:pt>
                <c:pt idx="1098">
                  <c:v>5.5383735633251331E-3</c:v>
                </c:pt>
                <c:pt idx="1099">
                  <c:v>5.5451629310962541E-3</c:v>
                </c:pt>
                <c:pt idx="1100">
                  <c:v>5.5519564798351476E-3</c:v>
                </c:pt>
                <c:pt idx="1101">
                  <c:v>5.5587541926492351E-3</c:v>
                </c:pt>
                <c:pt idx="1102">
                  <c:v>5.5791721466168362E-3</c:v>
                </c:pt>
                <c:pt idx="1103">
                  <c:v>5.585986346805882E-3</c:v>
                </c:pt>
                <c:pt idx="1104">
                  <c:v>5.5928046266072191E-3</c:v>
                </c:pt>
                <c:pt idx="1105">
                  <c:v>5.5996269691282602E-3</c:v>
                </c:pt>
                <c:pt idx="1106">
                  <c:v>5.606453357476433E-3</c:v>
                </c:pt>
                <c:pt idx="1107">
                  <c:v>5.6269566285579026E-3</c:v>
                </c:pt>
                <c:pt idx="1108">
                  <c:v>5.6337990312887798E-3</c:v>
                </c:pt>
                <c:pt idx="1109">
                  <c:v>5.6406453953838772E-3</c:v>
                </c:pt>
                <c:pt idx="1110">
                  <c:v>5.6474957039506224E-3</c:v>
                </c:pt>
                <c:pt idx="1111">
                  <c:v>5.6543499400964281E-3</c:v>
                </c:pt>
                <c:pt idx="1112">
                  <c:v>5.6749360450824233E-3</c:v>
                </c:pt>
                <c:pt idx="1113">
                  <c:v>5.6818058226186779E-3</c:v>
                </c:pt>
                <c:pt idx="1114">
                  <c:v>5.6886794432710929E-3</c:v>
                </c:pt>
                <c:pt idx="1115">
                  <c:v>5.6955568901470863E-3</c:v>
                </c:pt>
                <c:pt idx="1116">
                  <c:v>5.7024381463540814E-3</c:v>
                </c:pt>
                <c:pt idx="1117">
                  <c:v>5.7231046020352521E-3</c:v>
                </c:pt>
                <c:pt idx="1118">
                  <c:v>5.7300009266404361E-3</c:v>
                </c:pt>
                <c:pt idx="1119">
                  <c:v>5.7369009761137164E-3</c:v>
                </c:pt>
                <c:pt idx="1120">
                  <c:v>5.7438047335625145E-3</c:v>
                </c:pt>
                <c:pt idx="1121">
                  <c:v>5.7507121820942449E-3</c:v>
                </c:pt>
                <c:pt idx="1122">
                  <c:v>5.7714565052612446E-3</c:v>
                </c:pt>
                <c:pt idx="1123">
                  <c:v>5.7783785491989127E-3</c:v>
                </c:pt>
                <c:pt idx="1124">
                  <c:v>5.7853041997566112E-3</c:v>
                </c:pt>
                <c:pt idx="1125">
                  <c:v>5.7922334400417616E-3</c:v>
                </c:pt>
                <c:pt idx="1126">
                  <c:v>5.799166253161782E-3</c:v>
                </c:pt>
                <c:pt idx="1127">
                  <c:v>5.8199859606052652E-3</c:v>
                </c:pt>
                <c:pt idx="1128">
                  <c:v>5.8269328961389633E-3</c:v>
                </c:pt>
                <c:pt idx="1129">
                  <c:v>5.8338833200446312E-3</c:v>
                </c:pt>
                <c:pt idx="1130">
                  <c:v>5.8408372154296851E-3</c:v>
                </c:pt>
                <c:pt idx="1131">
                  <c:v>5.8477945654015458E-3</c:v>
                </c:pt>
                <c:pt idx="1132">
                  <c:v>5.8686871739121651E-3</c:v>
                </c:pt>
                <c:pt idx="1133">
                  <c:v>5.8756581733054479E-3</c:v>
                </c:pt>
                <c:pt idx="1134">
                  <c:v>5.8826325428226328E-3</c:v>
                </c:pt>
                <c:pt idx="1135">
                  <c:v>5.8896102655711449E-3</c:v>
                </c:pt>
                <c:pt idx="1136">
                  <c:v>5.8965913246583962E-3</c:v>
                </c:pt>
                <c:pt idx="1137">
                  <c:v>5.9175543510268025E-3</c:v>
                </c:pt>
                <c:pt idx="1138">
                  <c:v>5.9245485865432193E-3</c:v>
                </c:pt>
                <c:pt idx="1139">
                  <c:v>5.9315460739354777E-3</c:v>
                </c:pt>
                <c:pt idx="1140">
                  <c:v>5.9385467963109931E-3</c:v>
                </c:pt>
                <c:pt idx="1141">
                  <c:v>5.9455507367771896E-3</c:v>
                </c:pt>
                <c:pt idx="1142">
                  <c:v>5.9665816977940399E-3</c:v>
                </c:pt>
                <c:pt idx="1143">
                  <c:v>5.973598341697142E-3</c:v>
                </c:pt>
                <c:pt idx="1144">
                  <c:v>5.9806181192280225E-3</c:v>
                </c:pt>
                <c:pt idx="1145">
                  <c:v>5.987641013494094E-3</c:v>
                </c:pt>
                <c:pt idx="1146">
                  <c:v>5.9946670076027825E-3</c:v>
                </c:pt>
                <c:pt idx="1147">
                  <c:v>6.0157634200587286E-3</c:v>
                </c:pt>
                <c:pt idx="1148">
                  <c:v>6.0228016446120681E-3</c:v>
                </c:pt>
                <c:pt idx="1149">
                  <c:v>6.0298428845451182E-3</c:v>
                </c:pt>
                <c:pt idx="1150">
                  <c:v>6.0368871229652997E-3</c:v>
                </c:pt>
                <c:pt idx="1151">
                  <c:v>6.0439343429800341E-3</c:v>
                </c:pt>
                <c:pt idx="1152">
                  <c:v>6.0650937236657269E-3</c:v>
                </c:pt>
                <c:pt idx="1153">
                  <c:v>6.072152701132854E-3</c:v>
                </c:pt>
                <c:pt idx="1154">
                  <c:v>6.0792145757316311E-3</c:v>
                </c:pt>
                <c:pt idx="1155">
                  <c:v>6.086279330569472E-3</c:v>
                </c:pt>
                <c:pt idx="1156">
                  <c:v>6.0933469487538016E-3</c:v>
                </c:pt>
                <c:pt idx="1157">
                  <c:v>6.1145668144598946E-3</c:v>
                </c:pt>
                <c:pt idx="1158">
                  <c:v>6.1216457171043622E-3</c:v>
                </c:pt>
                <c:pt idx="1159">
                  <c:v>6.1287273986324123E-3</c:v>
                </c:pt>
                <c:pt idx="1160">
                  <c:v>6.1358118421514654E-3</c:v>
                </c:pt>
                <c:pt idx="1161">
                  <c:v>6.1428990307689398E-3</c:v>
                </c:pt>
                <c:pt idx="1162">
                  <c:v>6.1641768982860891E-3</c:v>
                </c:pt>
                <c:pt idx="1163">
                  <c:v>6.1712748983714467E-3</c:v>
                </c:pt>
                <c:pt idx="1164">
                  <c:v>6.1783755590923235E-3</c:v>
                </c:pt>
                <c:pt idx="1165">
                  <c:v>6.1854788635561367E-3</c:v>
                </c:pt>
                <c:pt idx="1166">
                  <c:v>6.1925847948703103E-3</c:v>
                </c:pt>
                <c:pt idx="1167">
                  <c:v>6.2139181809891687E-3</c:v>
                </c:pt>
                <c:pt idx="1168">
                  <c:v>6.2210344507789648E-3</c:v>
                </c:pt>
                <c:pt idx="1169">
                  <c:v>6.2281532629562177E-3</c:v>
                </c:pt>
                <c:pt idx="1170">
                  <c:v>6.2352746006283464E-3</c:v>
                </c:pt>
                <c:pt idx="1171">
                  <c:v>6.2637848684139854E-3</c:v>
                </c:pt>
                <c:pt idx="1172">
                  <c:v>6.2709185801717773E-3</c:v>
                </c:pt>
                <c:pt idx="1173">
                  <c:v>6.2780547160689567E-3</c:v>
                </c:pt>
                <c:pt idx="1174">
                  <c:v>6.2851932592129494E-3</c:v>
                </c:pt>
                <c:pt idx="1175">
                  <c:v>6.3138495135850207E-3</c:v>
                </c:pt>
                <c:pt idx="1176">
                  <c:v>6.3210194581145131E-3</c:v>
                </c:pt>
                <c:pt idx="1177">
                  <c:v>6.3281917209549871E-3</c:v>
                </c:pt>
                <c:pt idx="1178">
                  <c:v>6.3353662850746378E-3</c:v>
                </c:pt>
                <c:pt idx="1179">
                  <c:v>6.3425431334416605E-3</c:v>
                </c:pt>
                <c:pt idx="1180">
                  <c:v>6.3640872137089135E-3</c:v>
                </c:pt>
                <c:pt idx="1181">
                  <c:v>6.3712730287473797E-3</c:v>
                </c:pt>
                <c:pt idx="1182">
                  <c:v>6.3784610428741948E-3</c:v>
                </c:pt>
                <c:pt idx="1183">
                  <c:v>6.3856512390575567E-3</c:v>
                </c:pt>
                <c:pt idx="1184">
                  <c:v>6.3928436002656588E-3</c:v>
                </c:pt>
                <c:pt idx="1185">
                  <c:v>6.4144335037203638E-3</c:v>
                </c:pt>
                <c:pt idx="1186">
                  <c:v>6.4216343547093824E-3</c:v>
                </c:pt>
                <c:pt idx="1187">
                  <c:v>6.4288372855641216E-3</c:v>
                </c:pt>
                <c:pt idx="1188">
                  <c:v>6.4360422792527749E-3</c:v>
                </c:pt>
                <c:pt idx="1189">
                  <c:v>6.4432493187435384E-3</c:v>
                </c:pt>
                <c:pt idx="1190">
                  <c:v>6.4648825417104403E-3</c:v>
                </c:pt>
                <c:pt idx="1191">
                  <c:v>6.4720975940915975E-3</c:v>
                </c:pt>
                <c:pt idx="1192">
                  <c:v>6.479314607115841E-3</c:v>
                </c:pt>
                <c:pt idx="1193">
                  <c:v>6.486533563751366E-3</c:v>
                </c:pt>
                <c:pt idx="1194">
                  <c:v>6.4937544469663719E-3</c:v>
                </c:pt>
                <c:pt idx="1195">
                  <c:v>6.5154284857702142E-3</c:v>
                </c:pt>
                <c:pt idx="1196">
                  <c:v>6.5226569049850894E-3</c:v>
                </c:pt>
                <c:pt idx="1197">
                  <c:v>6.5298871656204191E-3</c:v>
                </c:pt>
                <c:pt idx="1198">
                  <c:v>6.5371192506444029E-3</c:v>
                </c:pt>
                <c:pt idx="1199">
                  <c:v>6.5443531430252316E-3</c:v>
                </c:pt>
                <c:pt idx="1200">
                  <c:v>6.5660654939907574E-3</c:v>
                </c:pt>
                <c:pt idx="1201">
                  <c:v>6.5733064454809326E-3</c:v>
                </c:pt>
                <c:pt idx="1202">
                  <c:v>6.5805491191689306E-3</c:v>
                </c:pt>
                <c:pt idx="1203">
                  <c:v>6.5877934980229499E-3</c:v>
                </c:pt>
                <c:pt idx="1204">
                  <c:v>6.5950395650111859E-3</c:v>
                </c:pt>
                <c:pt idx="1205">
                  <c:v>6.6167877244631395E-3</c:v>
                </c:pt>
                <c:pt idx="1206">
                  <c:v>6.6240403736701958E-3</c:v>
                </c:pt>
                <c:pt idx="1207">
                  <c:v>6.6312946258524439E-3</c:v>
                </c:pt>
                <c:pt idx="1208">
                  <c:v>6.6385504639780817E-3</c:v>
                </c:pt>
                <c:pt idx="1209">
                  <c:v>6.6458078710153043E-3</c:v>
                </c:pt>
                <c:pt idx="1210">
                  <c:v>6.6675893352784368E-3</c:v>
                </c:pt>
                <c:pt idx="1211">
                  <c:v>6.6748528476439535E-3</c:v>
                </c:pt>
                <c:pt idx="1212">
                  <c:v>6.6821178437620303E-3</c:v>
                </c:pt>
                <c:pt idx="1213">
                  <c:v>6.6893843066008684E-3</c:v>
                </c:pt>
                <c:pt idx="1214">
                  <c:v>6.6966522191286596E-3</c:v>
                </c:pt>
                <c:pt idx="1215">
                  <c:v>6.7184644845277109E-3</c:v>
                </c:pt>
                <c:pt idx="1216">
                  <c:v>6.7257380254932718E-3</c:v>
                </c:pt>
                <c:pt idx="1217">
                  <c:v>6.7330129309887627E-3</c:v>
                </c:pt>
                <c:pt idx="1218">
                  <c:v>6.740289183982384E-3</c:v>
                </c:pt>
                <c:pt idx="1219">
                  <c:v>6.7475667674423232E-3</c:v>
                </c:pt>
                <c:pt idx="1220">
                  <c:v>6.769407330302039E-3</c:v>
                </c:pt>
                <c:pt idx="1221">
                  <c:v>6.7766900653092243E-3</c:v>
                </c:pt>
                <c:pt idx="1222">
                  <c:v>6.7839740456237122E-3</c:v>
                </c:pt>
                <c:pt idx="1223">
                  <c:v>6.7912592542136944E-3</c:v>
                </c:pt>
                <c:pt idx="1224">
                  <c:v>6.7985456740473661E-3</c:v>
                </c:pt>
                <c:pt idx="1225">
                  <c:v>6.820412030692489E-3</c:v>
                </c:pt>
                <c:pt idx="1226">
                  <c:v>6.8277031251828815E-3</c:v>
                </c:pt>
                <c:pt idx="1227">
                  <c:v>6.8349953457579457E-3</c:v>
                </c:pt>
                <c:pt idx="1228">
                  <c:v>6.8422886753858716E-3</c:v>
                </c:pt>
                <c:pt idx="1229">
                  <c:v>6.8495830970348595E-3</c:v>
                </c:pt>
                <c:pt idx="1230">
                  <c:v>6.8714727437901336E-3</c:v>
                </c:pt>
                <c:pt idx="1231">
                  <c:v>6.8787713632053153E-3</c:v>
                </c:pt>
                <c:pt idx="1232">
                  <c:v>6.886070989482536E-3</c:v>
                </c:pt>
                <c:pt idx="1233">
                  <c:v>6.8933716055899884E-3</c:v>
                </c:pt>
                <c:pt idx="1234">
                  <c:v>6.9006731944958703E-3</c:v>
                </c:pt>
                <c:pt idx="1235">
                  <c:v>6.9225836276860441E-3</c:v>
                </c:pt>
                <c:pt idx="1236">
                  <c:v>6.9298889374675935E-3</c:v>
                </c:pt>
                <c:pt idx="1237">
                  <c:v>6.9371951348885528E-3</c:v>
                </c:pt>
                <c:pt idx="1238">
                  <c:v>6.9445022029171136E-3</c:v>
                </c:pt>
                <c:pt idx="1239">
                  <c:v>6.9810500060607933E-3</c:v>
                </c:pt>
                <c:pt idx="1240">
                  <c:v>6.988361940067073E-3</c:v>
                </c:pt>
                <c:pt idx="1241">
                  <c:v>6.9956746254583209E-3</c:v>
                </c:pt>
                <c:pt idx="1242">
                  <c:v>7.0029880452027373E-3</c:v>
                </c:pt>
                <c:pt idx="1243">
                  <c:v>7.0249325402369405E-3</c:v>
                </c:pt>
                <c:pt idx="1244">
                  <c:v>7.0322487270759772E-3</c:v>
                </c:pt>
                <c:pt idx="1245">
                  <c:v>7.0395655631091585E-3</c:v>
                </c:pt>
                <c:pt idx="1246">
                  <c:v>7.0468830313046805E-3</c:v>
                </c:pt>
                <c:pt idx="1247">
                  <c:v>7.0542011146307359E-3</c:v>
                </c:pt>
                <c:pt idx="1248">
                  <c:v>7.0761588850740686E-3</c:v>
                </c:pt>
                <c:pt idx="1249">
                  <c:v>7.0834792586042207E-3</c:v>
                </c:pt>
                <c:pt idx="1250">
                  <c:v>7.0908001621058855E-3</c:v>
                </c:pt>
                <c:pt idx="1251">
                  <c:v>7.0981215785472593E-3</c:v>
                </c:pt>
                <c:pt idx="1252">
                  <c:v>7.1054434908965364E-3</c:v>
                </c:pt>
                <c:pt idx="1253">
                  <c:v>7.1274120330737448E-3</c:v>
                </c:pt>
                <c:pt idx="1254">
                  <c:v>7.1347357587365923E-3</c:v>
                </c:pt>
                <c:pt idx="1255">
                  <c:v>7.1420598951483227E-3</c:v>
                </c:pt>
                <c:pt idx="1256">
                  <c:v>7.1493844252771303E-3</c:v>
                </c:pt>
                <c:pt idx="1257">
                  <c:v>7.1567093320912102E-3</c:v>
                </c:pt>
                <c:pt idx="1258">
                  <c:v>7.1786861423270426E-3</c:v>
                </c:pt>
                <c:pt idx="1259">
                  <c:v>7.1860123855641694E-3</c:v>
                </c:pt>
                <c:pt idx="1260">
                  <c:v>7.1933389203275439E-3</c:v>
                </c:pt>
                <c:pt idx="1261">
                  <c:v>7.2006657295853663E-3</c:v>
                </c:pt>
                <c:pt idx="1262">
                  <c:v>7.207992796305831E-3</c:v>
                </c:pt>
                <c:pt idx="1263">
                  <c:v>7.229975370925029E-3</c:v>
                </c:pt>
                <c:pt idx="1264">
                  <c:v>7.2373032971780145E-3</c:v>
                </c:pt>
                <c:pt idx="1265">
                  <c:v>7.2446313957346192E-3</c:v>
                </c:pt>
                <c:pt idx="1266">
                  <c:v>7.2519596495630384E-3</c:v>
                </c:pt>
                <c:pt idx="1267">
                  <c:v>7.2592880416314665E-3</c:v>
                </c:pt>
                <c:pt idx="1268">
                  <c:v>7.2812738769587734E-3</c:v>
                </c:pt>
                <c:pt idx="1269">
                  <c:v>7.2886026516692012E-3</c:v>
                </c:pt>
                <c:pt idx="1270">
                  <c:v>7.2959314794606147E-3</c:v>
                </c:pt>
                <c:pt idx="1271">
                  <c:v>7.3032603433012145E-3</c:v>
                </c:pt>
                <c:pt idx="1272">
                  <c:v>7.3105892261591914E-3</c:v>
                </c:pt>
                <c:pt idx="1273">
                  <c:v>7.3325758185193513E-3</c:v>
                </c:pt>
                <c:pt idx="1274">
                  <c:v>7.3399046071288016E-3</c:v>
                </c:pt>
                <c:pt idx="1275">
                  <c:v>7.347233329596606E-3</c:v>
                </c:pt>
                <c:pt idx="1276">
                  <c:v>7.3545619688909648E-3</c:v>
                </c:pt>
                <c:pt idx="1277">
                  <c:v>7.3618905079800706E-3</c:v>
                </c:pt>
                <c:pt idx="1278">
                  <c:v>7.383875353697833E-3</c:v>
                </c:pt>
                <c:pt idx="1279">
                  <c:v>7.3912033216478852E-3</c:v>
                </c:pt>
                <c:pt idx="1280">
                  <c:v>7.3985311042336632E-3</c:v>
                </c:pt>
                <c:pt idx="1281">
                  <c:v>7.4058586868065166E-3</c:v>
                </c:pt>
                <c:pt idx="1282">
                  <c:v>7.4131860642504101E-3</c:v>
                </c:pt>
                <c:pt idx="1283">
                  <c:v>7.4351669384794972E-3</c:v>
                </c:pt>
                <c:pt idx="1284">
                  <c:v>7.4424934680787222E-3</c:v>
                </c:pt>
                <c:pt idx="1285">
                  <c:v>7.4498197788845748E-3</c:v>
                </c:pt>
                <c:pt idx="1286">
                  <c:v>7.4571458681641691E-3</c:v>
                </c:pt>
                <c:pt idx="1287">
                  <c:v>7.4644717331846288E-3</c:v>
                </c:pt>
                <c:pt idx="1288">
                  <c:v>7.4864479553623606E-3</c:v>
                </c:pt>
                <c:pt idx="1289">
                  <c:v>7.493772896017447E-3</c:v>
                </c:pt>
                <c:pt idx="1290">
                  <c:v>7.5010975987489844E-3</c:v>
                </c:pt>
                <c:pt idx="1291">
                  <c:v>7.5084220608240921E-3</c:v>
                </c:pt>
                <c:pt idx="1292">
                  <c:v>7.5157462795098851E-3</c:v>
                </c:pt>
                <c:pt idx="1293">
                  <c:v>7.5377174479025581E-3</c:v>
                </c:pt>
                <c:pt idx="1294">
                  <c:v>7.5450406657022731E-3</c:v>
                </c:pt>
                <c:pt idx="1295">
                  <c:v>7.5523636264482634E-3</c:v>
                </c:pt>
                <c:pt idx="1296">
                  <c:v>7.5596863274076465E-3</c:v>
                </c:pt>
                <c:pt idx="1297">
                  <c:v>7.5670087658475391E-3</c:v>
                </c:pt>
                <c:pt idx="1298">
                  <c:v>7.5889744787214549E-3</c:v>
                </c:pt>
                <c:pt idx="1299">
                  <c:v>7.5962958397545657E-3</c:v>
                </c:pt>
                <c:pt idx="1300">
                  <c:v>7.6036169246037752E-3</c:v>
                </c:pt>
                <c:pt idx="1301">
                  <c:v>7.6109377305362009E-3</c:v>
                </c:pt>
                <c:pt idx="1302">
                  <c:v>7.6182582548189612E-3</c:v>
                </c:pt>
                <c:pt idx="1303">
                  <c:v>7.6402181104404197E-3</c:v>
                </c:pt>
                <c:pt idx="1304">
                  <c:v>7.6475374807956934E-3</c:v>
                </c:pt>
                <c:pt idx="1305">
                  <c:v>7.654856555836885E-3</c:v>
                </c:pt>
                <c:pt idx="1306">
                  <c:v>7.6621753328311205E-3</c:v>
                </c:pt>
                <c:pt idx="1307">
                  <c:v>7.6694938090455141E-3</c:v>
                </c:pt>
                <c:pt idx="1308">
                  <c:v>7.6914474056808159E-3</c:v>
                </c:pt>
                <c:pt idx="1309">
                  <c:v>7.6987646514470164E-3</c:v>
                </c:pt>
                <c:pt idx="1310">
                  <c:v>7.7060815827689607E-3</c:v>
                </c:pt>
                <c:pt idx="1311">
                  <c:v>7.7133981969137741E-3</c:v>
                </c:pt>
                <c:pt idx="1312">
                  <c:v>7.7207144911485646E-3</c:v>
                </c:pt>
                <c:pt idx="1313">
                  <c:v>7.7426614270640088E-3</c:v>
                </c:pt>
                <c:pt idx="1314">
                  <c:v>7.7499764143299033E-3</c:v>
                </c:pt>
                <c:pt idx="1315">
                  <c:v>7.7572910680213693E-3</c:v>
                </c:pt>
                <c:pt idx="1316">
                  <c:v>7.7646053854055234E-3</c:v>
                </c:pt>
                <c:pt idx="1317">
                  <c:v>7.7719193637494789E-3</c:v>
                </c:pt>
                <c:pt idx="1318">
                  <c:v>7.7938592372113636E-3</c:v>
                </c:pt>
                <c:pt idx="1319">
                  <c:v>7.801171832065721E-3</c:v>
                </c:pt>
                <c:pt idx="1320">
                  <c:v>7.8084840742154715E-3</c:v>
                </c:pt>
                <c:pt idx="1321">
                  <c:v>7.8157959609277336E-3</c:v>
                </c:pt>
                <c:pt idx="1322">
                  <c:v>7.8231074894696256E-3</c:v>
                </c:pt>
                <c:pt idx="1323">
                  <c:v>7.8450398987442507E-3</c:v>
                </c:pt>
                <c:pt idx="1324">
                  <c:v>7.8523499672758321E-3</c:v>
                </c:pt>
                <c:pt idx="1325">
                  <c:v>7.8596596639726353E-3</c:v>
                </c:pt>
                <c:pt idx="1326">
                  <c:v>7.8669689861017734E-3</c:v>
                </c:pt>
                <c:pt idx="1327">
                  <c:v>7.874277930930363E-3</c:v>
                </c:pt>
                <c:pt idx="1328">
                  <c:v>7.8962024742840285E-3</c:v>
                </c:pt>
                <c:pt idx="1329">
                  <c:v>7.9035098825816063E-3</c:v>
                </c:pt>
                <c:pt idx="1330">
                  <c:v>7.9108168999142293E-3</c:v>
                </c:pt>
                <c:pt idx="1331">
                  <c:v>7.9181235235490071E-3</c:v>
                </c:pt>
                <c:pt idx="1332">
                  <c:v>7.9254297507530633E-3</c:v>
                </c:pt>
                <c:pt idx="1333">
                  <c:v>7.9473460264520689E-3</c:v>
                </c:pt>
                <c:pt idx="1334">
                  <c:v>7.9546506406044104E-3</c:v>
                </c:pt>
                <c:pt idx="1335">
                  <c:v>7.9619548446616152E-3</c:v>
                </c:pt>
                <c:pt idx="1336">
                  <c:v>7.9692586358908E-3</c:v>
                </c:pt>
                <c:pt idx="1337">
                  <c:v>7.97656201155909E-3</c:v>
                </c:pt>
                <c:pt idx="1338">
                  <c:v>7.9984696178697339E-3</c:v>
                </c:pt>
                <c:pt idx="1339">
                  <c:v>8.0057713039656028E-3</c:v>
                </c:pt>
                <c:pt idx="1340">
                  <c:v>8.0130725608361583E-3</c:v>
                </c:pt>
                <c:pt idx="1341">
                  <c:v>8.0203733857485207E-3</c:v>
                </c:pt>
                <c:pt idx="1342">
                  <c:v>8.0276737759698083E-3</c:v>
                </c:pt>
                <c:pt idx="1343">
                  <c:v>8.0495723111583904E-3</c:v>
                </c:pt>
                <c:pt idx="1344">
                  <c:v>8.056870935286552E-3</c:v>
                </c:pt>
                <c:pt idx="1345">
                  <c:v>8.0641691110592273E-3</c:v>
                </c:pt>
                <c:pt idx="1346">
                  <c:v>8.0714668357435293E-3</c:v>
                </c:pt>
                <c:pt idx="1347">
                  <c:v>8.0787641066065834E-3</c:v>
                </c:pt>
                <c:pt idx="1348">
                  <c:v>8.1006531689394052E-3</c:v>
                </c:pt>
                <c:pt idx="1349">
                  <c:v>8.1079485971886304E-3</c:v>
                </c:pt>
                <c:pt idx="1350">
                  <c:v>8.1152435579521856E-3</c:v>
                </c:pt>
                <c:pt idx="1351">
                  <c:v>8.1225380484971979E-3</c:v>
                </c:pt>
                <c:pt idx="1352">
                  <c:v>8.1298320660907839E-3</c:v>
                </c:pt>
                <c:pt idx="1353">
                  <c:v>8.1517112538341437E-3</c:v>
                </c:pt>
                <c:pt idx="1354">
                  <c:v>8.1590033522931944E-3</c:v>
                </c:pt>
                <c:pt idx="1355">
                  <c:v>8.1662949641364002E-3</c:v>
                </c:pt>
                <c:pt idx="1356">
                  <c:v>8.17358608663089E-3</c:v>
                </c:pt>
                <c:pt idx="1357">
                  <c:v>8.1808767170437717E-3</c:v>
                </c:pt>
                <c:pt idx="1358">
                  <c:v>8.202745628463971E-3</c:v>
                </c:pt>
                <c:pt idx="1359">
                  <c:v>8.2100342632216126E-3</c:v>
                </c:pt>
                <c:pt idx="1360">
                  <c:v>8.2173223922332398E-3</c:v>
                </c:pt>
                <c:pt idx="1361">
                  <c:v>8.2246100127659691E-3</c:v>
                </c:pt>
                <c:pt idx="1362">
                  <c:v>8.2318971220869137E-3</c:v>
                </c:pt>
                <c:pt idx="1363">
                  <c:v>8.2537553554502506E-3</c:v>
                </c:pt>
                <c:pt idx="1364">
                  <c:v>8.2610403925952539E-3</c:v>
                </c:pt>
                <c:pt idx="1365">
                  <c:v>8.2683249048640644E-3</c:v>
                </c:pt>
                <c:pt idx="1366">
                  <c:v>8.2756088895238021E-3</c:v>
                </c:pt>
                <c:pt idx="1367">
                  <c:v>8.2828923438415802E-3</c:v>
                </c:pt>
                <c:pt idx="1368">
                  <c:v>8.304739497414353E-3</c:v>
                </c:pt>
                <c:pt idx="1369">
                  <c:v>8.3120208030354817E-3</c:v>
                </c:pt>
                <c:pt idx="1370">
                  <c:v>8.3193015646502427E-3</c:v>
                </c:pt>
                <c:pt idx="1371">
                  <c:v>8.3265817795257508E-3</c:v>
                </c:pt>
                <c:pt idx="1372">
                  <c:v>8.3338614449291297E-3</c:v>
                </c:pt>
                <c:pt idx="1373">
                  <c:v>8.3556971169776399E-3</c:v>
                </c:pt>
                <c:pt idx="1374">
                  <c:v>8.3629745571636611E-3</c:v>
                </c:pt>
                <c:pt idx="1375">
                  <c:v>8.3702514342131416E-3</c:v>
                </c:pt>
                <c:pt idx="1376">
                  <c:v>8.3775277453931891E-3</c:v>
                </c:pt>
                <c:pt idx="1377">
                  <c:v>8.3848034879709307E-3</c:v>
                </c:pt>
                <c:pt idx="1378">
                  <c:v>8.4066272767614782E-3</c:v>
                </c:pt>
                <c:pt idx="1379">
                  <c:v>8.413900717601161E-3</c:v>
                </c:pt>
                <c:pt idx="1380">
                  <c:v>8.4211735761741211E-3</c:v>
                </c:pt>
                <c:pt idx="1381">
                  <c:v>8.4284458497474769E-3</c:v>
                </c:pt>
                <c:pt idx="1382">
                  <c:v>8.435717535588352E-3</c:v>
                </c:pt>
                <c:pt idx="1383">
                  <c:v>8.4575290393872349E-3</c:v>
                </c:pt>
                <c:pt idx="1384">
                  <c:v>8.464798346969343E-3</c:v>
                </c:pt>
                <c:pt idx="1385">
                  <c:v>8.4720670531545535E-3</c:v>
                </c:pt>
                <c:pt idx="1386">
                  <c:v>8.4793351552099848E-3</c:v>
                </c:pt>
                <c:pt idx="1387">
                  <c:v>8.486602650402757E-3</c:v>
                </c:pt>
                <c:pt idx="1388">
                  <c:v>8.5084014674762735E-3</c:v>
                </c:pt>
                <c:pt idx="1389">
                  <c:v>8.515666507889574E-3</c:v>
                </c:pt>
                <c:pt idx="1390">
                  <c:v>8.5229309277758004E-3</c:v>
                </c:pt>
                <c:pt idx="1391">
                  <c:v>8.5301947244020744E-3</c:v>
                </c:pt>
                <c:pt idx="1392">
                  <c:v>8.5374578950355075E-3</c:v>
                </c:pt>
                <c:pt idx="1393">
                  <c:v>8.5592436236499592E-3</c:v>
                </c:pt>
                <c:pt idx="1394">
                  <c:v>8.5665042629832211E-3</c:v>
                </c:pt>
                <c:pt idx="1395">
                  <c:v>8.5737642626592305E-3</c:v>
                </c:pt>
                <c:pt idx="1396">
                  <c:v>8.5810236199451093E-3</c:v>
                </c:pt>
                <c:pt idx="1397">
                  <c:v>8.5882823321079757E-3</c:v>
                </c:pt>
                <c:pt idx="1398">
                  <c:v>8.6100545705296641E-3</c:v>
                </c:pt>
                <c:pt idx="1399">
                  <c:v>8.6173106748716494E-3</c:v>
                </c:pt>
                <c:pt idx="1400">
                  <c:v>8.6245661204262074E-3</c:v>
                </c:pt>
                <c:pt idx="1401">
                  <c:v>8.6318209044604598E-3</c:v>
                </c:pt>
                <c:pt idx="1402">
                  <c:v>8.6390750242415215E-3</c:v>
                </c:pt>
                <c:pt idx="1403">
                  <c:v>8.6608333707367448E-3</c:v>
                </c:pt>
                <c:pt idx="1404">
                  <c:v>8.6680848061762242E-3</c:v>
                </c:pt>
                <c:pt idx="1405">
                  <c:v>8.6753355636980996E-3</c:v>
                </c:pt>
                <c:pt idx="1406">
                  <c:v>8.6825856405694912E-3</c:v>
                </c:pt>
                <c:pt idx="1407">
                  <c:v>8.6898350340575154E-3</c:v>
                </c:pt>
                <c:pt idx="1408">
                  <c:v>8.7115790868925735E-3</c:v>
                </c:pt>
                <c:pt idx="1409">
                  <c:v>8.7188257195183107E-3</c:v>
                </c:pt>
                <c:pt idx="1410">
                  <c:v>8.7260716550962691E-3</c:v>
                </c:pt>
                <c:pt idx="1411">
                  <c:v>8.7333168908935669E-3</c:v>
                </c:pt>
                <c:pt idx="1412">
                  <c:v>8.7405614241773226E-3</c:v>
                </c:pt>
                <c:pt idx="1413">
                  <c:v>8.7622907816185119E-3</c:v>
                </c:pt>
                <c:pt idx="1414">
                  <c:v>8.7695324775192741E-3</c:v>
                </c:pt>
                <c:pt idx="1415">
                  <c:v>8.7767734572420826E-3</c:v>
                </c:pt>
                <c:pt idx="1416">
                  <c:v>8.784013718054054E-3</c:v>
                </c:pt>
                <c:pt idx="1417">
                  <c:v>8.7912532572223066E-3</c:v>
                </c:pt>
                <c:pt idx="1418">
                  <c:v>8.8129675175359305E-3</c:v>
                </c:pt>
                <c:pt idx="1419">
                  <c:v>8.8202041428004831E-3</c:v>
                </c:pt>
                <c:pt idx="1420">
                  <c:v>8.8274400327569055E-3</c:v>
                </c:pt>
                <c:pt idx="1421">
                  <c:v>8.8346751846723175E-3</c:v>
                </c:pt>
                <c:pt idx="1422">
                  <c:v>8.8419095958138343E-3</c:v>
                </c:pt>
                <c:pt idx="1423">
                  <c:v>8.8636083572661891E-3</c:v>
                </c:pt>
                <c:pt idx="1424">
                  <c:v>8.8708397779833029E-3</c:v>
                </c:pt>
                <c:pt idx="1425">
                  <c:v>8.8780704442621081E-3</c:v>
                </c:pt>
                <c:pt idx="1426">
                  <c:v>8.8853003533697229E-3</c:v>
                </c:pt>
                <c:pt idx="1427">
                  <c:v>8.8925295025732692E-3</c:v>
                </c:pt>
                <c:pt idx="1428">
                  <c:v>8.9142123634306583E-3</c:v>
                </c:pt>
                <c:pt idx="1429">
                  <c:v>8.9214384456890936E-3</c:v>
                </c:pt>
                <c:pt idx="1430">
                  <c:v>8.9286637543790504E-3</c:v>
                </c:pt>
                <c:pt idx="1431">
                  <c:v>8.9358882867676386E-3</c:v>
                </c:pt>
                <c:pt idx="1432">
                  <c:v>8.9431120401219817E-3</c:v>
                </c:pt>
                <c:pt idx="1433">
                  <c:v>8.9647785986506981E-3</c:v>
                </c:pt>
                <c:pt idx="1434">
                  <c:v>8.9719992085392289E-3</c:v>
                </c:pt>
                <c:pt idx="1435">
                  <c:v>8.9792190257290995E-3</c:v>
                </c:pt>
                <c:pt idx="1436">
                  <c:v>8.9864380474874283E-3</c:v>
                </c:pt>
                <c:pt idx="1437">
                  <c:v>8.9936562710813319E-3</c:v>
                </c:pt>
                <c:pt idx="1438">
                  <c:v>9.0153061255476806E-3</c:v>
                </c:pt>
                <c:pt idx="1439">
                  <c:v>9.0225211291550672E-3</c:v>
                </c:pt>
                <c:pt idx="1440">
                  <c:v>9.0297353209336205E-3</c:v>
                </c:pt>
                <c:pt idx="1441">
                  <c:v>9.0369486981504554E-3</c:v>
                </c:pt>
                <c:pt idx="1442">
                  <c:v>9.0441612580726902E-3</c:v>
                </c:pt>
                <c:pt idx="1443">
                  <c:v>9.0657940067429728E-3</c:v>
                </c:pt>
                <c:pt idx="1444">
                  <c:v>9.0730032701579841E-3</c:v>
                </c:pt>
                <c:pt idx="1445">
                  <c:v>9.0802117026139804E-3</c:v>
                </c:pt>
                <c:pt idx="1446">
                  <c:v>9.0874193013780885E-3</c:v>
                </c:pt>
                <c:pt idx="1447">
                  <c:v>9.0946260637174165E-3</c:v>
                </c:pt>
                <c:pt idx="1448">
                  <c:v>9.1162413048579295E-3</c:v>
                </c:pt>
                <c:pt idx="1449">
                  <c:v>9.1234446941693328E-3</c:v>
                </c:pt>
                <c:pt idx="1450">
                  <c:v>9.1306472333915496E-3</c:v>
                </c:pt>
                <c:pt idx="1451">
                  <c:v>9.1378489197916947E-3</c:v>
                </c:pt>
                <c:pt idx="1452">
                  <c:v>9.1450497506368848E-3</c:v>
                </c:pt>
                <c:pt idx="1453">
                  <c:v>9.1666470825139262E-3</c:v>
                </c:pt>
                <c:pt idx="1454">
                  <c:v>9.173844463810487E-3</c:v>
                </c:pt>
                <c:pt idx="1455">
                  <c:v>9.1810409758876846E-3</c:v>
                </c:pt>
                <c:pt idx="1456">
                  <c:v>9.1882366160126339E-3</c:v>
                </c:pt>
                <c:pt idx="1457">
                  <c:v>9.1954313814524569E-3</c:v>
                </c:pt>
                <c:pt idx="1458">
                  <c:v>9.2170104023323266E-3</c:v>
                </c:pt>
                <c:pt idx="1459">
                  <c:v>9.224201641702812E-3</c:v>
                </c:pt>
                <c:pt idx="1460">
                  <c:v>9.2313919927237541E-3</c:v>
                </c:pt>
                <c:pt idx="1461">
                  <c:v>9.2385814526622784E-3</c:v>
                </c:pt>
                <c:pt idx="1462">
                  <c:v>9.2457700187854961E-3</c:v>
                </c:pt>
                <c:pt idx="1463">
                  <c:v>9.2673303269344958E-3</c:v>
                </c:pt>
                <c:pt idx="1464">
                  <c:v>9.2745152904676696E-3</c:v>
                </c:pt>
                <c:pt idx="1465">
                  <c:v>9.2816993465211287E-3</c:v>
                </c:pt>
                <c:pt idx="1466">
                  <c:v>9.288882492361988E-3</c:v>
                </c:pt>
                <c:pt idx="1467">
                  <c:v>9.2960647252573695E-3</c:v>
                </c:pt>
                <c:pt idx="1468">
                  <c:v>9.3176059189418008E-3</c:v>
                </c:pt>
                <c:pt idx="1469">
                  <c:v>9.3247844727264301E-3</c:v>
                </c:pt>
                <c:pt idx="1470">
                  <c:v>9.3319620999011716E-3</c:v>
                </c:pt>
                <c:pt idx="1471">
                  <c:v>9.3391387977331333E-3</c:v>
                </c:pt>
                <c:pt idx="1472">
                  <c:v>9.3463145634894423E-3</c:v>
                </c:pt>
                <c:pt idx="1473">
                  <c:v>9.3678362409755998E-3</c:v>
                </c:pt>
                <c:pt idx="1474">
                  <c:v>9.375008251100457E-3</c:v>
                </c:pt>
                <c:pt idx="1475">
                  <c:v>9.3821793154852465E-3</c:v>
                </c:pt>
                <c:pt idx="1476">
                  <c:v>9.3893494313970777E-3</c:v>
                </c:pt>
                <c:pt idx="1477">
                  <c:v>9.3965185961030848E-3</c:v>
                </c:pt>
                <c:pt idx="1478">
                  <c:v>9.4180203556572684E-3</c:v>
                </c:pt>
                <c:pt idx="1479">
                  <c:v>9.4251856882111157E-3</c:v>
                </c:pt>
                <c:pt idx="1480">
                  <c:v>9.4323500558947167E-3</c:v>
                </c:pt>
                <c:pt idx="1481">
                  <c:v>9.43951345597519E-3</c:v>
                </c:pt>
                <c:pt idx="1482">
                  <c:v>9.4466758857196572E-3</c:v>
                </c:pt>
                <c:pt idx="1483">
                  <c:v>9.4681573256081685E-3</c:v>
                </c:pt>
                <c:pt idx="1484">
                  <c:v>9.4753158466797712E-3</c:v>
                </c:pt>
                <c:pt idx="1485">
                  <c:v>9.4824733837509546E-3</c:v>
                </c:pt>
                <c:pt idx="1486">
                  <c:v>9.4896299340888318E-3</c:v>
                </c:pt>
                <c:pt idx="1487">
                  <c:v>9.4967854949605246E-3</c:v>
                </c:pt>
                <c:pt idx="1488">
                  <c:v>9.5182462134496652E-3</c:v>
                </c:pt>
                <c:pt idx="1489">
                  <c:v>9.5253977891277888E-3</c:v>
                </c:pt>
                <c:pt idx="1490">
                  <c:v>9.53254836167532E-3</c:v>
                </c:pt>
                <c:pt idx="1491">
                  <c:v>9.53969792835937E-3</c:v>
                </c:pt>
                <c:pt idx="1492">
                  <c:v>9.5468464864470574E-3</c:v>
                </c:pt>
                <c:pt idx="1493">
                  <c:v>9.5682860818031255E-3</c:v>
                </c:pt>
                <c:pt idx="1494">
                  <c:v>9.5754305781765425E-3</c:v>
                </c:pt>
                <c:pt idx="1495">
                  <c:v>9.5825740522891834E-3</c:v>
                </c:pt>
                <c:pt idx="1496">
                  <c:v>9.5897165014081701E-3</c:v>
                </c:pt>
                <c:pt idx="1497">
                  <c:v>9.5968579228006192E-3</c:v>
                </c:pt>
                <c:pt idx="1498">
                  <c:v>9.6182759932899112E-3</c:v>
                </c:pt>
                <c:pt idx="1499">
                  <c:v>9.6254132764473869E-3</c:v>
                </c:pt>
              </c:numCache>
            </c:numRef>
          </c:val>
          <c:smooth val="0"/>
        </c:ser>
        <c:dLbls>
          <c:showLegendKey val="0"/>
          <c:showVal val="0"/>
          <c:showCatName val="0"/>
          <c:showSerName val="0"/>
          <c:showPercent val="0"/>
          <c:showBubbleSize val="0"/>
        </c:dLbls>
        <c:marker val="1"/>
        <c:smooth val="0"/>
        <c:axId val="113323392"/>
        <c:axId val="113414912"/>
      </c:lineChart>
      <c:dateAx>
        <c:axId val="113323392"/>
        <c:scaling>
          <c:orientation val="minMax"/>
        </c:scaling>
        <c:delete val="0"/>
        <c:axPos val="b"/>
        <c:numFmt formatCode="d\-mmm\-yy" sourceLinked="1"/>
        <c:majorTickMark val="out"/>
        <c:minorTickMark val="none"/>
        <c:tickLblPos val="nextTo"/>
        <c:crossAx val="113414912"/>
        <c:crosses val="autoZero"/>
        <c:auto val="1"/>
        <c:lblOffset val="100"/>
        <c:baseTimeUnit val="days"/>
      </c:dateAx>
      <c:valAx>
        <c:axId val="113414912"/>
        <c:scaling>
          <c:orientation val="minMax"/>
        </c:scaling>
        <c:delete val="0"/>
        <c:axPos val="l"/>
        <c:majorGridlines/>
        <c:numFmt formatCode="0.00000%" sourceLinked="1"/>
        <c:majorTickMark val="out"/>
        <c:minorTickMark val="none"/>
        <c:tickLblPos val="nextTo"/>
        <c:crossAx val="113323392"/>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400049</xdr:colOff>
      <xdr:row>6</xdr:row>
      <xdr:rowOff>47625</xdr:rowOff>
    </xdr:from>
    <xdr:to>
      <xdr:col>35</xdr:col>
      <xdr:colOff>409575</xdr:colOff>
      <xdr:row>41</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228600</xdr:colOff>
      <xdr:row>1</xdr:row>
      <xdr:rowOff>28575</xdr:rowOff>
    </xdr:from>
    <xdr:to>
      <xdr:col>0</xdr:col>
      <xdr:colOff>581193</xdr:colOff>
      <xdr:row>2</xdr:row>
      <xdr:rowOff>83116</xdr:rowOff>
    </xdr:to>
    <xdr:pic macro="[0]!ShowHideSwapDealInfo">
      <xdr:nvPicPr>
        <xdr:cNvPr id="3" name="Picture 2"/>
        <xdr:cNvPicPr>
          <a:picLocks noChangeAspect="1"/>
        </xdr:cNvPicPr>
      </xdr:nvPicPr>
      <xdr:blipFill>
        <a:blip xmlns:r="http://schemas.openxmlformats.org/officeDocument/2006/relationships" r:embed="rId1"/>
        <a:stretch>
          <a:fillRect/>
        </a:stretch>
      </xdr:blipFill>
      <xdr:spPr>
        <a:xfrm>
          <a:off x="228600" y="219075"/>
          <a:ext cx="352593" cy="349816"/>
        </a:xfrm>
        <a:prstGeom prst="rect">
          <a:avLst/>
        </a:prstGeom>
      </xdr:spPr>
    </xdr:pic>
    <xdr:clientData/>
  </xdr:twoCellAnchor>
  <xdr:twoCellAnchor editAs="oneCell">
    <xdr:from>
      <xdr:col>0</xdr:col>
      <xdr:colOff>245597</xdr:colOff>
      <xdr:row>3</xdr:row>
      <xdr:rowOff>76199</xdr:rowOff>
    </xdr:from>
    <xdr:to>
      <xdr:col>0</xdr:col>
      <xdr:colOff>552450</xdr:colOff>
      <xdr:row>5</xdr:row>
      <xdr:rowOff>9582</xdr:rowOff>
    </xdr:to>
    <xdr:pic macro="[0]!RefreshCurvesAndPricing">
      <xdr:nvPicPr>
        <xdr:cNvPr id="4" name="Picture 3"/>
        <xdr:cNvPicPr>
          <a:picLocks noChangeAspect="1"/>
        </xdr:cNvPicPr>
      </xdr:nvPicPr>
      <xdr:blipFill>
        <a:blip xmlns:r="http://schemas.openxmlformats.org/officeDocument/2006/relationships" r:embed="rId2"/>
        <a:stretch>
          <a:fillRect/>
        </a:stretch>
      </xdr:blipFill>
      <xdr:spPr>
        <a:xfrm>
          <a:off x="245597" y="752474"/>
          <a:ext cx="306853" cy="3143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152400</xdr:colOff>
      <xdr:row>4</xdr:row>
      <xdr:rowOff>123825</xdr:rowOff>
    </xdr:from>
    <xdr:to>
      <xdr:col>0</xdr:col>
      <xdr:colOff>459253</xdr:colOff>
      <xdr:row>6</xdr:row>
      <xdr:rowOff>57208</xdr:rowOff>
    </xdr:to>
    <xdr:pic macro="[0]!CalculateRisk">
      <xdr:nvPicPr>
        <xdr:cNvPr id="2" name="Picture 1"/>
        <xdr:cNvPicPr>
          <a:picLocks noChangeAspect="1"/>
        </xdr:cNvPicPr>
      </xdr:nvPicPr>
      <xdr:blipFill>
        <a:blip xmlns:r="http://schemas.openxmlformats.org/officeDocument/2006/relationships" r:embed="rId1"/>
        <a:stretch>
          <a:fillRect/>
        </a:stretch>
      </xdr:blipFill>
      <xdr:spPr>
        <a:xfrm>
          <a:off x="152400" y="1095375"/>
          <a:ext cx="306853" cy="3143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17"/>
  <sheetViews>
    <sheetView showGridLines="0" workbookViewId="0"/>
  </sheetViews>
  <sheetFormatPr defaultRowHeight="15" x14ac:dyDescent="0.25"/>
  <cols>
    <col min="3" max="3" width="9.140625" customWidth="1"/>
    <col min="4" max="4" width="9.140625" style="203" customWidth="1"/>
    <col min="5" max="5" width="13.85546875" bestFit="1" customWidth="1"/>
    <col min="6" max="6" width="20.42578125" customWidth="1"/>
    <col min="9" max="9" width="9.140625" style="203" customWidth="1"/>
    <col min="10" max="11" width="20.7109375" style="203" customWidth="1"/>
  </cols>
  <sheetData>
    <row r="2" spans="2:12" x14ac:dyDescent="0.25">
      <c r="B2" s="80"/>
      <c r="C2" s="81"/>
      <c r="D2" s="81"/>
      <c r="E2" s="81"/>
      <c r="F2" s="81"/>
      <c r="G2" s="81"/>
      <c r="H2" s="81"/>
      <c r="I2" s="81"/>
      <c r="J2" s="81"/>
      <c r="K2" s="81"/>
      <c r="L2" s="82"/>
    </row>
    <row r="3" spans="2:12" s="203" customFormat="1" x14ac:dyDescent="0.25">
      <c r="B3" s="83"/>
      <c r="C3" s="208"/>
      <c r="D3" s="208"/>
      <c r="E3" s="208"/>
      <c r="F3" s="208"/>
      <c r="G3" s="208"/>
      <c r="H3" s="208"/>
      <c r="I3" s="208"/>
      <c r="J3" s="208"/>
      <c r="K3" s="208"/>
      <c r="L3" s="84"/>
    </row>
    <row r="4" spans="2:12" x14ac:dyDescent="0.25">
      <c r="B4" s="83"/>
      <c r="C4" s="78" t="s">
        <v>198</v>
      </c>
      <c r="D4" s="78"/>
      <c r="E4" s="78" t="s">
        <v>410</v>
      </c>
      <c r="F4" s="5"/>
      <c r="G4" s="5"/>
      <c r="H4" s="5"/>
      <c r="I4" s="208"/>
      <c r="J4" s="78" t="s">
        <v>409</v>
      </c>
      <c r="K4" s="208"/>
      <c r="L4" s="84"/>
    </row>
    <row r="5" spans="2:12" x14ac:dyDescent="0.25">
      <c r="B5" s="83"/>
      <c r="C5" s="5"/>
      <c r="D5" s="208"/>
      <c r="E5" s="186" t="s">
        <v>197</v>
      </c>
      <c r="F5" s="407">
        <v>42521</v>
      </c>
      <c r="G5" s="5"/>
      <c r="H5" s="5"/>
      <c r="I5" s="208"/>
      <c r="J5" s="403" t="s">
        <v>407</v>
      </c>
      <c r="K5" s="404" t="s">
        <v>271</v>
      </c>
      <c r="L5" s="84"/>
    </row>
    <row r="6" spans="2:12" x14ac:dyDescent="0.25">
      <c r="B6" s="83"/>
      <c r="C6" s="5"/>
      <c r="D6" s="208"/>
      <c r="E6" s="187" t="s">
        <v>110</v>
      </c>
      <c r="F6" s="411" t="s">
        <v>219</v>
      </c>
      <c r="G6" s="159" t="str">
        <f>"fn_"&amp;Interpolation&amp;"Interpolation"</f>
        <v>fn_SplineInterpolation</v>
      </c>
      <c r="H6" s="5"/>
      <c r="I6" s="208"/>
      <c r="J6" s="399" t="s">
        <v>217</v>
      </c>
      <c r="K6" s="400" t="s">
        <v>9</v>
      </c>
      <c r="L6" s="84"/>
    </row>
    <row r="7" spans="2:12" x14ac:dyDescent="0.25">
      <c r="B7" s="83"/>
      <c r="C7" s="5"/>
      <c r="D7" s="208"/>
      <c r="E7" s="188" t="s">
        <v>97</v>
      </c>
      <c r="F7" s="408" t="b">
        <v>1</v>
      </c>
      <c r="G7" s="5"/>
      <c r="H7" s="5"/>
      <c r="I7" s="208"/>
      <c r="J7" s="399" t="s">
        <v>221</v>
      </c>
      <c r="K7" s="400" t="s">
        <v>405</v>
      </c>
      <c r="L7" s="84"/>
    </row>
    <row r="8" spans="2:12" x14ac:dyDescent="0.25">
      <c r="B8" s="83"/>
      <c r="C8" s="160"/>
      <c r="D8" s="160"/>
      <c r="E8" s="5"/>
      <c r="F8" s="5"/>
      <c r="G8" s="5"/>
      <c r="H8" s="5"/>
      <c r="I8" s="208"/>
      <c r="J8" s="399" t="s">
        <v>174</v>
      </c>
      <c r="K8" s="400" t="s">
        <v>82</v>
      </c>
      <c r="L8" s="84"/>
    </row>
    <row r="9" spans="2:12" s="203" customFormat="1" x14ac:dyDescent="0.25">
      <c r="B9" s="83"/>
      <c r="C9" s="160"/>
      <c r="D9" s="160"/>
      <c r="E9" s="208"/>
      <c r="F9" s="208"/>
      <c r="G9" s="208"/>
      <c r="H9" s="208"/>
      <c r="I9" s="208"/>
      <c r="J9" s="399" t="s">
        <v>162</v>
      </c>
      <c r="K9" s="400" t="s">
        <v>404</v>
      </c>
      <c r="L9" s="84"/>
    </row>
    <row r="10" spans="2:12" s="203" customFormat="1" x14ac:dyDescent="0.25">
      <c r="B10" s="83"/>
      <c r="C10" s="160"/>
      <c r="D10" s="160"/>
      <c r="E10" s="160"/>
      <c r="F10" s="160"/>
      <c r="G10" s="160"/>
      <c r="H10" s="208"/>
      <c r="I10" s="208"/>
      <c r="J10" s="401" t="s">
        <v>228</v>
      </c>
      <c r="K10" s="402" t="s">
        <v>406</v>
      </c>
      <c r="L10" s="84"/>
    </row>
    <row r="11" spans="2:12" s="203" customFormat="1" x14ac:dyDescent="0.25">
      <c r="B11" s="83"/>
      <c r="C11" s="160"/>
      <c r="D11" s="160"/>
      <c r="E11" s="160"/>
      <c r="F11" s="160"/>
      <c r="G11" s="160"/>
      <c r="H11" s="208"/>
      <c r="I11" s="208"/>
      <c r="J11" s="208"/>
      <c r="K11" s="208"/>
      <c r="L11" s="84"/>
    </row>
    <row r="12" spans="2:12" s="203" customFormat="1" x14ac:dyDescent="0.25">
      <c r="B12" s="83"/>
      <c r="C12" s="160"/>
      <c r="D12" s="160"/>
      <c r="E12" s="78" t="s">
        <v>411</v>
      </c>
      <c r="F12" s="208"/>
      <c r="G12" s="208"/>
      <c r="H12" s="208"/>
      <c r="I12" s="208"/>
      <c r="J12" s="208"/>
      <c r="K12" s="208"/>
      <c r="L12" s="84"/>
    </row>
    <row r="13" spans="2:12" s="203" customFormat="1" x14ac:dyDescent="0.25">
      <c r="B13" s="83"/>
      <c r="C13" s="160"/>
      <c r="D13" s="160"/>
      <c r="E13" s="186" t="s">
        <v>402</v>
      </c>
      <c r="F13" s="409">
        <v>1</v>
      </c>
      <c r="G13" s="159" t="str">
        <f>F13&amp;" Basis Point(s)"</f>
        <v>1 Basis Point(s)</v>
      </c>
      <c r="H13" s="208"/>
      <c r="I13" s="208"/>
      <c r="J13" s="403" t="s">
        <v>408</v>
      </c>
      <c r="K13" s="404" t="s">
        <v>272</v>
      </c>
      <c r="L13" s="84"/>
    </row>
    <row r="14" spans="2:12" s="203" customFormat="1" x14ac:dyDescent="0.25">
      <c r="B14" s="83"/>
      <c r="C14" s="160"/>
      <c r="D14" s="160"/>
      <c r="E14" s="188" t="s">
        <v>403</v>
      </c>
      <c r="F14" s="410" t="s">
        <v>412</v>
      </c>
      <c r="G14" s="208"/>
      <c r="H14" s="208"/>
      <c r="I14" s="208"/>
      <c r="J14" s="401" t="s">
        <v>373</v>
      </c>
      <c r="K14" s="402" t="s">
        <v>9</v>
      </c>
      <c r="L14" s="84"/>
    </row>
    <row r="15" spans="2:12" s="203" customFormat="1" x14ac:dyDescent="0.25">
      <c r="B15" s="83"/>
      <c r="C15" s="160"/>
      <c r="D15" s="160"/>
      <c r="E15" s="208"/>
      <c r="F15" s="208"/>
      <c r="G15" s="208"/>
      <c r="H15" s="208"/>
      <c r="I15" s="208"/>
      <c r="J15" s="208"/>
      <c r="K15" s="208"/>
      <c r="L15" s="84"/>
    </row>
    <row r="16" spans="2:12" x14ac:dyDescent="0.25">
      <c r="B16" s="83"/>
      <c r="C16" s="5"/>
      <c r="D16" s="208"/>
      <c r="E16" s="5"/>
      <c r="F16" s="5"/>
      <c r="G16" s="5"/>
      <c r="H16" s="5"/>
      <c r="I16" s="208"/>
      <c r="J16" s="208"/>
      <c r="K16" s="208"/>
      <c r="L16" s="84"/>
    </row>
    <row r="17" spans="2:12" x14ac:dyDescent="0.25">
      <c r="B17" s="103"/>
      <c r="C17" s="104"/>
      <c r="D17" s="104"/>
      <c r="E17" s="104"/>
      <c r="F17" s="104"/>
      <c r="G17" s="104"/>
      <c r="H17" s="104"/>
      <c r="I17" s="104"/>
      <c r="J17" s="104"/>
      <c r="K17" s="104"/>
      <c r="L17" s="105"/>
    </row>
  </sheetData>
  <dataValidations count="3">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sheetPr>
  <dimension ref="B2:P90"/>
  <sheetViews>
    <sheetView showGridLines="0" workbookViewId="0"/>
  </sheetViews>
  <sheetFormatPr defaultRowHeight="15" x14ac:dyDescent="0.25"/>
  <cols>
    <col min="1" max="1" width="10.7109375" customWidth="1"/>
    <col min="2" max="2" width="2.7109375" customWidth="1"/>
    <col min="3" max="3" width="110.7109375" style="203" hidden="1" customWidth="1"/>
    <col min="4" max="4" width="4.7109375" style="203" hidden="1" customWidth="1"/>
    <col min="5" max="5" width="25.140625" style="309" bestFit="1" customWidth="1"/>
    <col min="6" max="6" width="32.7109375" style="319" customWidth="1"/>
    <col min="7" max="7" width="4.7109375" style="203" customWidth="1"/>
    <col min="8" max="10" width="10.7109375" customWidth="1"/>
    <col min="11" max="11" width="13.7109375" customWidth="1"/>
    <col min="12" max="12" width="18.28515625" customWidth="1"/>
    <col min="13" max="13" width="4.7109375" style="203" customWidth="1"/>
    <col min="14" max="15" width="10.7109375" customWidth="1"/>
    <col min="16" max="16" width="2.7109375" customWidth="1"/>
  </cols>
  <sheetData>
    <row r="2" spans="2:16" ht="23.25" x14ac:dyDescent="0.35">
      <c r="B2" s="339" t="s">
        <v>368</v>
      </c>
      <c r="C2" s="229"/>
      <c r="D2" s="229"/>
    </row>
    <row r="3" spans="2:16" ht="23.25" x14ac:dyDescent="0.35">
      <c r="B3" s="340" t="s">
        <v>367</v>
      </c>
      <c r="C3" s="229"/>
      <c r="D3" s="229"/>
    </row>
    <row r="4" spans="2:16" x14ac:dyDescent="0.25">
      <c r="B4" s="44"/>
      <c r="C4" s="229"/>
      <c r="D4" s="229"/>
    </row>
    <row r="5" spans="2:16" x14ac:dyDescent="0.25">
      <c r="B5" s="44" t="s">
        <v>277</v>
      </c>
      <c r="C5" s="229"/>
      <c r="D5" s="229"/>
    </row>
    <row r="6" spans="2:16" x14ac:dyDescent="0.25">
      <c r="B6" s="1"/>
      <c r="C6" s="205"/>
      <c r="D6" s="205"/>
      <c r="E6" s="325"/>
      <c r="F6" s="219"/>
      <c r="G6" s="219"/>
      <c r="H6" s="2"/>
      <c r="I6" s="2"/>
      <c r="J6" s="2"/>
      <c r="K6" s="2"/>
      <c r="L6" s="2"/>
      <c r="M6" s="205"/>
      <c r="N6" s="2"/>
      <c r="O6" s="2"/>
      <c r="P6" s="3"/>
    </row>
    <row r="7" spans="2:16" x14ac:dyDescent="0.25">
      <c r="B7" s="4"/>
      <c r="C7" s="222"/>
      <c r="D7" s="208"/>
      <c r="E7" s="326" t="s">
        <v>277</v>
      </c>
      <c r="F7" s="227"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(0.03200 sec)</v>
      </c>
      <c r="G7" s="294"/>
      <c r="H7" s="43"/>
      <c r="I7" s="5"/>
      <c r="J7" s="5"/>
      <c r="K7" s="5"/>
      <c r="L7" s="5"/>
      <c r="M7" s="208"/>
      <c r="N7" s="5"/>
      <c r="O7" s="5"/>
      <c r="P7" s="6"/>
    </row>
    <row r="8" spans="2:16" x14ac:dyDescent="0.25">
      <c r="B8" s="4"/>
      <c r="C8" s="208"/>
      <c r="D8" s="208"/>
      <c r="E8" s="327" t="s">
        <v>167</v>
      </c>
      <c r="F8" s="249" t="b">
        <f ca="1">LEFT(F7,5)=Curve.CollectionName</f>
        <v>1</v>
      </c>
      <c r="G8" s="249"/>
      <c r="H8" s="5"/>
      <c r="I8" s="5"/>
      <c r="J8" s="5"/>
      <c r="K8" s="5"/>
      <c r="L8" s="5"/>
      <c r="M8" s="208"/>
      <c r="N8" s="5"/>
      <c r="O8" s="5"/>
      <c r="P8" s="6"/>
    </row>
    <row r="9" spans="2:16" x14ac:dyDescent="0.25">
      <c r="B9" s="4"/>
      <c r="C9" s="208"/>
      <c r="D9" s="208"/>
      <c r="E9" s="328"/>
      <c r="F9" s="226"/>
      <c r="G9" s="226"/>
      <c r="H9" s="5"/>
      <c r="I9" s="5"/>
      <c r="J9" s="5"/>
      <c r="K9" s="5"/>
      <c r="L9" s="5"/>
      <c r="M9" s="208"/>
      <c r="N9" s="5"/>
      <c r="O9" s="5"/>
      <c r="P9" s="6"/>
    </row>
    <row r="10" spans="2:16" x14ac:dyDescent="0.25">
      <c r="B10" s="4"/>
      <c r="C10" s="212"/>
      <c r="D10" s="208"/>
      <c r="E10" s="329" t="s">
        <v>0</v>
      </c>
      <c r="F10" s="225"/>
      <c r="G10" s="295"/>
      <c r="H10" s="5"/>
      <c r="I10" s="5"/>
      <c r="J10" s="5"/>
      <c r="K10" s="5"/>
      <c r="L10" s="5"/>
      <c r="M10" s="208"/>
      <c r="N10" s="5"/>
      <c r="O10" s="5"/>
      <c r="P10" s="6"/>
    </row>
    <row r="11" spans="2:16" ht="30" x14ac:dyDescent="0.25">
      <c r="B11" s="4"/>
      <c r="C11" s="287" t="s">
        <v>288</v>
      </c>
      <c r="D11" s="208"/>
      <c r="E11" s="330" t="s">
        <v>80</v>
      </c>
      <c r="F11" s="243" t="s">
        <v>78</v>
      </c>
      <c r="G11" s="295"/>
      <c r="H11" s="5"/>
      <c r="I11" s="5"/>
      <c r="J11" s="5"/>
      <c r="K11" s="5"/>
      <c r="L11" s="5"/>
      <c r="M11" s="208"/>
      <c r="N11" s="5"/>
      <c r="O11" s="5"/>
      <c r="P11" s="6"/>
    </row>
    <row r="12" spans="2:16" ht="30" x14ac:dyDescent="0.25">
      <c r="B12" s="4"/>
      <c r="C12" s="287" t="s">
        <v>364</v>
      </c>
      <c r="D12" s="208"/>
      <c r="E12" s="331" t="s">
        <v>79</v>
      </c>
      <c r="F12" s="244" t="s">
        <v>9</v>
      </c>
      <c r="G12" s="295"/>
      <c r="H12" s="5"/>
      <c r="I12" s="5"/>
      <c r="J12" s="5"/>
      <c r="K12" s="5"/>
      <c r="L12" s="5"/>
      <c r="M12" s="208"/>
      <c r="N12" s="5"/>
      <c r="O12" s="5"/>
      <c r="P12" s="6"/>
    </row>
    <row r="13" spans="2:16" ht="30" x14ac:dyDescent="0.25">
      <c r="B13" s="4"/>
      <c r="C13" s="287" t="s">
        <v>365</v>
      </c>
      <c r="D13" s="208"/>
      <c r="E13" s="333" t="s">
        <v>81</v>
      </c>
      <c r="F13" s="245" t="s">
        <v>163</v>
      </c>
      <c r="G13" s="295"/>
      <c r="H13" s="5"/>
      <c r="I13" s="5"/>
      <c r="J13" s="5" t="s">
        <v>4</v>
      </c>
      <c r="K13" s="5" t="s">
        <v>4</v>
      </c>
      <c r="L13" s="5" t="s">
        <v>4</v>
      </c>
      <c r="M13" s="208"/>
      <c r="N13" s="5" t="s">
        <v>4</v>
      </c>
      <c r="O13" s="5" t="s">
        <v>4</v>
      </c>
      <c r="P13" s="6" t="s">
        <v>4</v>
      </c>
    </row>
    <row r="14" spans="2:16" x14ac:dyDescent="0.25">
      <c r="B14" s="9"/>
      <c r="C14" s="212"/>
      <c r="D14" s="212"/>
      <c r="E14" s="312"/>
      <c r="F14" s="320"/>
      <c r="G14" s="212"/>
      <c r="H14" s="10"/>
      <c r="I14" s="10"/>
      <c r="J14" s="10"/>
      <c r="K14" s="10"/>
      <c r="L14" s="10"/>
      <c r="M14" s="212"/>
      <c r="N14" s="10"/>
      <c r="O14" s="10"/>
      <c r="P14" s="11"/>
    </row>
    <row r="17" spans="2:16" x14ac:dyDescent="0.25">
      <c r="B17" s="40" t="s">
        <v>68</v>
      </c>
      <c r="C17" s="224"/>
      <c r="D17" s="224"/>
    </row>
    <row r="18" spans="2:16" x14ac:dyDescent="0.25">
      <c r="B18" s="1"/>
      <c r="C18" s="205"/>
      <c r="D18" s="205"/>
      <c r="E18" s="325"/>
      <c r="F18" s="219"/>
      <c r="G18" s="219"/>
      <c r="H18" s="2"/>
      <c r="I18" s="2"/>
      <c r="J18" s="45"/>
      <c r="K18" s="2"/>
      <c r="L18" s="2"/>
      <c r="M18" s="205"/>
      <c r="N18" s="2"/>
      <c r="O18" s="2"/>
      <c r="P18" s="3"/>
    </row>
    <row r="19" spans="2:16" x14ac:dyDescent="0.25">
      <c r="B19" s="4"/>
      <c r="C19" s="208"/>
      <c r="D19" s="208"/>
      <c r="E19" s="329" t="s">
        <v>68</v>
      </c>
      <c r="F19" s="220"/>
      <c r="G19" s="296"/>
      <c r="H19" s="5"/>
      <c r="I19" s="5"/>
      <c r="J19" s="5"/>
      <c r="K19" s="5"/>
      <c r="L19" s="5"/>
      <c r="M19" s="208"/>
      <c r="N19" s="5"/>
      <c r="O19" s="5"/>
      <c r="P19" s="6"/>
    </row>
    <row r="20" spans="2:16" ht="30" x14ac:dyDescent="0.25">
      <c r="B20" s="4"/>
      <c r="C20" s="287" t="s">
        <v>289</v>
      </c>
      <c r="D20" s="207"/>
      <c r="E20" s="330" t="s">
        <v>10</v>
      </c>
      <c r="F20" s="243">
        <f>COB</f>
        <v>42521</v>
      </c>
      <c r="G20" s="296"/>
      <c r="H20" s="5"/>
      <c r="I20" s="5"/>
      <c r="J20" s="5"/>
      <c r="K20" s="5"/>
      <c r="L20" s="5"/>
      <c r="M20" s="208"/>
      <c r="N20" s="5"/>
      <c r="O20" s="5"/>
      <c r="P20" s="6"/>
    </row>
    <row r="21" spans="2:16" ht="30" x14ac:dyDescent="0.25">
      <c r="B21" s="4"/>
      <c r="C21" s="287" t="s">
        <v>290</v>
      </c>
      <c r="D21" s="207"/>
      <c r="E21" s="331" t="s">
        <v>16</v>
      </c>
      <c r="F21" s="244" t="s">
        <v>17</v>
      </c>
      <c r="G21" s="296"/>
      <c r="H21" s="5"/>
      <c r="I21" s="5"/>
      <c r="J21" s="5"/>
      <c r="K21" s="5"/>
      <c r="L21" s="5"/>
      <c r="M21" s="208"/>
      <c r="N21" s="5"/>
      <c r="O21" s="5"/>
      <c r="P21" s="6"/>
    </row>
    <row r="22" spans="2:16" ht="30" x14ac:dyDescent="0.25">
      <c r="B22" s="4"/>
      <c r="C22" s="287" t="s">
        <v>291</v>
      </c>
      <c r="D22" s="207"/>
      <c r="E22" s="331" t="s">
        <v>83</v>
      </c>
      <c r="F22" s="246" t="str">
        <f>interpolationFunction</f>
        <v>fn_SplineInterpolation</v>
      </c>
      <c r="G22" s="296"/>
      <c r="H22" s="5"/>
      <c r="I22" s="5"/>
      <c r="J22" s="5"/>
      <c r="K22" s="5"/>
      <c r="L22" s="5"/>
      <c r="M22" s="208"/>
      <c r="N22" s="5"/>
      <c r="O22" s="5"/>
      <c r="P22" s="6"/>
    </row>
    <row r="23" spans="2:16" ht="30" x14ac:dyDescent="0.25">
      <c r="B23" s="4"/>
      <c r="C23" s="292" t="s">
        <v>366</v>
      </c>
      <c r="D23" s="207"/>
      <c r="E23" s="331" t="s">
        <v>24</v>
      </c>
      <c r="F23" s="246" t="str">
        <f>interpolationFunction</f>
        <v>fn_SplineInterpolation</v>
      </c>
      <c r="G23" s="296"/>
      <c r="H23" s="5"/>
      <c r="I23" s="5"/>
      <c r="J23" s="5"/>
      <c r="K23" s="5"/>
      <c r="L23" s="5"/>
      <c r="M23" s="208"/>
      <c r="N23" s="5"/>
      <c r="O23" s="5"/>
      <c r="P23" s="6"/>
    </row>
    <row r="24" spans="2:16" x14ac:dyDescent="0.25">
      <c r="B24" s="4"/>
      <c r="C24" s="293"/>
      <c r="D24" s="208"/>
      <c r="E24" s="333"/>
      <c r="F24" s="245"/>
      <c r="G24" s="296"/>
      <c r="H24" s="5"/>
      <c r="I24" s="5"/>
      <c r="J24" s="5"/>
      <c r="K24" s="5"/>
      <c r="L24" s="5"/>
      <c r="M24" s="208"/>
      <c r="N24" s="5"/>
      <c r="O24" s="5"/>
      <c r="P24" s="6"/>
    </row>
    <row r="25" spans="2:16" x14ac:dyDescent="0.25">
      <c r="B25" s="9"/>
      <c r="C25" s="212"/>
      <c r="D25" s="212"/>
      <c r="E25" s="312"/>
      <c r="F25" s="320"/>
      <c r="G25" s="212"/>
      <c r="H25" s="10"/>
      <c r="I25" s="10"/>
      <c r="J25" s="10"/>
      <c r="K25" s="10"/>
      <c r="L25" s="10"/>
      <c r="M25" s="212"/>
      <c r="N25" s="10"/>
      <c r="O25" s="10"/>
      <c r="P25" s="11"/>
    </row>
    <row r="27" spans="2:16" x14ac:dyDescent="0.25">
      <c r="H27" s="46"/>
    </row>
    <row r="28" spans="2:16" x14ac:dyDescent="0.25">
      <c r="B28" s="40" t="s">
        <v>77</v>
      </c>
      <c r="C28" s="224"/>
      <c r="D28" s="224"/>
    </row>
    <row r="29" spans="2:16" x14ac:dyDescent="0.25">
      <c r="B29" s="1"/>
      <c r="C29" s="205"/>
      <c r="D29" s="205"/>
      <c r="E29" s="310"/>
      <c r="F29" s="321"/>
      <c r="G29" s="205"/>
      <c r="H29" s="2"/>
      <c r="I29" s="2"/>
      <c r="J29" s="2"/>
      <c r="K29" s="2"/>
      <c r="L29" s="2"/>
      <c r="M29" s="205"/>
      <c r="N29" s="2"/>
      <c r="O29" s="2"/>
      <c r="P29" s="3"/>
    </row>
    <row r="30" spans="2:16" x14ac:dyDescent="0.25">
      <c r="B30" s="4"/>
      <c r="C30" s="208"/>
      <c r="D30" s="208"/>
      <c r="E30" s="335" t="s">
        <v>5</v>
      </c>
      <c r="F30" s="322"/>
      <c r="G30" s="210"/>
      <c r="H30" s="34" t="s">
        <v>70</v>
      </c>
      <c r="I30" s="8"/>
      <c r="J30" s="8"/>
      <c r="K30" s="8"/>
      <c r="L30" s="8"/>
      <c r="M30" s="210"/>
      <c r="N30" s="34" t="s">
        <v>72</v>
      </c>
      <c r="O30" s="8"/>
      <c r="P30" s="39"/>
    </row>
    <row r="31" spans="2:16" ht="30" x14ac:dyDescent="0.25">
      <c r="B31" s="4"/>
      <c r="C31" s="288" t="s">
        <v>293</v>
      </c>
      <c r="D31" s="207"/>
      <c r="E31" s="330" t="s">
        <v>3</v>
      </c>
      <c r="F31" s="215" t="s">
        <v>2</v>
      </c>
      <c r="G31" s="210"/>
      <c r="H31" s="41" t="s">
        <v>11</v>
      </c>
      <c r="I31" s="41" t="s">
        <v>12</v>
      </c>
      <c r="J31" s="41" t="s">
        <v>13</v>
      </c>
      <c r="K31" s="41" t="s">
        <v>14</v>
      </c>
      <c r="L31" s="41" t="s">
        <v>8</v>
      </c>
      <c r="M31" s="210"/>
      <c r="N31" s="41" t="s">
        <v>73</v>
      </c>
      <c r="O31" s="41" t="s">
        <v>12</v>
      </c>
      <c r="P31" s="39"/>
    </row>
    <row r="32" spans="2:16" ht="30" x14ac:dyDescent="0.25">
      <c r="B32" s="4"/>
      <c r="C32" s="288" t="s">
        <v>292</v>
      </c>
      <c r="D32" s="207"/>
      <c r="E32" s="331" t="s">
        <v>7</v>
      </c>
      <c r="F32" s="216" t="s">
        <v>6</v>
      </c>
      <c r="G32" s="210"/>
      <c r="H32" s="14" t="s">
        <v>46</v>
      </c>
      <c r="I32" s="12">
        <v>-3.4499999999999999E-3</v>
      </c>
      <c r="J32" s="13" t="s">
        <v>37</v>
      </c>
      <c r="K32" s="13" t="s">
        <v>37</v>
      </c>
      <c r="L32" s="31" t="b">
        <v>1</v>
      </c>
      <c r="M32" s="210"/>
      <c r="N32" s="37"/>
      <c r="O32" s="35"/>
      <c r="P32" s="39"/>
    </row>
    <row r="33" spans="2:16" ht="30" x14ac:dyDescent="0.25">
      <c r="B33" s="4"/>
      <c r="C33" s="288" t="s">
        <v>294</v>
      </c>
      <c r="D33" s="207"/>
      <c r="E33" s="331" t="s">
        <v>25</v>
      </c>
      <c r="F33" s="216" t="s">
        <v>26</v>
      </c>
      <c r="G33" s="210"/>
      <c r="H33" s="341" t="s">
        <v>48</v>
      </c>
      <c r="I33" s="342">
        <v>-3.4000000000000002E-3</v>
      </c>
      <c r="J33" s="343">
        <v>42523</v>
      </c>
      <c r="K33" s="343">
        <v>42572</v>
      </c>
      <c r="L33" s="344" t="b">
        <v>1</v>
      </c>
      <c r="M33" s="210"/>
      <c r="N33" s="37"/>
      <c r="O33" s="35"/>
      <c r="P33" s="39"/>
    </row>
    <row r="34" spans="2:16" ht="30" x14ac:dyDescent="0.25">
      <c r="B34" s="4"/>
      <c r="C34" s="288" t="s">
        <v>295</v>
      </c>
      <c r="D34" s="207"/>
      <c r="E34" s="331" t="s">
        <v>15</v>
      </c>
      <c r="F34" s="216" t="s">
        <v>30</v>
      </c>
      <c r="G34" s="210"/>
      <c r="H34" s="341" t="s">
        <v>49</v>
      </c>
      <c r="I34" s="342">
        <v>-3.4999999999999996E-3</v>
      </c>
      <c r="J34" s="343">
        <v>42572</v>
      </c>
      <c r="K34" s="343">
        <v>42621</v>
      </c>
      <c r="L34" s="344" t="b">
        <v>1</v>
      </c>
      <c r="M34" s="210"/>
      <c r="N34" s="37"/>
      <c r="O34" s="35"/>
      <c r="P34" s="39"/>
    </row>
    <row r="35" spans="2:16" ht="30" x14ac:dyDescent="0.25">
      <c r="B35" s="4"/>
      <c r="C35" s="288" t="s">
        <v>318</v>
      </c>
      <c r="D35" s="207"/>
      <c r="E35" s="331" t="s">
        <v>23</v>
      </c>
      <c r="F35" s="216" t="s">
        <v>22</v>
      </c>
      <c r="G35" s="210"/>
      <c r="H35" s="341" t="s">
        <v>51</v>
      </c>
      <c r="I35" s="342">
        <v>-3.7099999999999998E-3</v>
      </c>
      <c r="J35" s="343">
        <v>42621</v>
      </c>
      <c r="K35" s="343">
        <v>42663</v>
      </c>
      <c r="L35" s="344" t="b">
        <v>1</v>
      </c>
      <c r="M35" s="210"/>
      <c r="N35" s="37"/>
      <c r="O35" s="35"/>
      <c r="P35" s="39"/>
    </row>
    <row r="36" spans="2:16" ht="30" x14ac:dyDescent="0.25">
      <c r="B36" s="4"/>
      <c r="C36" s="288" t="s">
        <v>296</v>
      </c>
      <c r="D36" s="207"/>
      <c r="E36" s="331" t="s">
        <v>31</v>
      </c>
      <c r="F36" s="216" t="b">
        <v>1</v>
      </c>
      <c r="G36" s="210"/>
      <c r="H36" s="341" t="s">
        <v>53</v>
      </c>
      <c r="I36" s="342">
        <v>-3.82E-3</v>
      </c>
      <c r="J36" s="343">
        <v>42663</v>
      </c>
      <c r="K36" s="343">
        <v>42712</v>
      </c>
      <c r="L36" s="344" t="b">
        <v>1</v>
      </c>
      <c r="M36" s="210"/>
      <c r="N36" s="37"/>
      <c r="O36" s="35"/>
      <c r="P36" s="39"/>
    </row>
    <row r="37" spans="2:16" ht="30" x14ac:dyDescent="0.25">
      <c r="B37" s="4"/>
      <c r="C37" s="288" t="s">
        <v>297</v>
      </c>
      <c r="D37" s="207"/>
      <c r="E37" s="331" t="s">
        <v>32</v>
      </c>
      <c r="F37" s="217">
        <v>31</v>
      </c>
      <c r="G37" s="210"/>
      <c r="H37" s="14" t="s">
        <v>56</v>
      </c>
      <c r="I37" s="12">
        <v>-3.82E-3</v>
      </c>
      <c r="J37" s="13" t="s">
        <v>37</v>
      </c>
      <c r="K37" s="13" t="s">
        <v>37</v>
      </c>
      <c r="L37" s="31" t="b">
        <v>1</v>
      </c>
      <c r="M37" s="210"/>
      <c r="N37" s="37"/>
      <c r="O37" s="35"/>
      <c r="P37" s="39"/>
    </row>
    <row r="38" spans="2:16" ht="30" x14ac:dyDescent="0.25">
      <c r="B38" s="4"/>
      <c r="C38" s="288" t="s">
        <v>298</v>
      </c>
      <c r="D38" s="207"/>
      <c r="E38" s="331" t="s">
        <v>33</v>
      </c>
      <c r="F38" s="216" t="s">
        <v>34</v>
      </c>
      <c r="G38" s="210"/>
      <c r="H38" s="14" t="s">
        <v>58</v>
      </c>
      <c r="I38" s="12">
        <v>-3.9500000000000004E-3</v>
      </c>
      <c r="J38" s="13" t="s">
        <v>37</v>
      </c>
      <c r="K38" s="13" t="s">
        <v>37</v>
      </c>
      <c r="L38" s="31" t="b">
        <v>1</v>
      </c>
      <c r="M38" s="210"/>
      <c r="N38" s="37"/>
      <c r="O38" s="35"/>
      <c r="P38" s="39"/>
    </row>
    <row r="39" spans="2:16" ht="45" x14ac:dyDescent="0.25">
      <c r="B39" s="4"/>
      <c r="C39" s="288" t="s">
        <v>323</v>
      </c>
      <c r="D39" s="207"/>
      <c r="E39" s="331" t="s">
        <v>35</v>
      </c>
      <c r="F39" s="216" t="s">
        <v>36</v>
      </c>
      <c r="G39" s="210"/>
      <c r="H39" s="14" t="s">
        <v>47</v>
      </c>
      <c r="I39" s="12">
        <v>-4.0100000000000005E-3</v>
      </c>
      <c r="J39" s="13" t="s">
        <v>37</v>
      </c>
      <c r="K39" s="13" t="s">
        <v>37</v>
      </c>
      <c r="L39" s="31" t="b">
        <v>1</v>
      </c>
      <c r="M39" s="210"/>
      <c r="N39" s="37"/>
      <c r="O39" s="35"/>
      <c r="P39" s="39"/>
    </row>
    <row r="40" spans="2:16" ht="45" x14ac:dyDescent="0.25">
      <c r="B40" s="4"/>
      <c r="C40" s="288" t="s">
        <v>299</v>
      </c>
      <c r="D40" s="207"/>
      <c r="E40" s="331" t="s">
        <v>38</v>
      </c>
      <c r="F40" s="216" t="s">
        <v>39</v>
      </c>
      <c r="G40" s="210"/>
      <c r="H40" s="14" t="s">
        <v>43</v>
      </c>
      <c r="I40" s="12">
        <v>-3.8500000000000001E-3</v>
      </c>
      <c r="J40" s="13" t="s">
        <v>37</v>
      </c>
      <c r="K40" s="13" t="s">
        <v>37</v>
      </c>
      <c r="L40" s="31" t="b">
        <v>1</v>
      </c>
      <c r="M40" s="210"/>
      <c r="N40" s="37"/>
      <c r="O40" s="35"/>
      <c r="P40" s="39"/>
    </row>
    <row r="41" spans="2:16" ht="45" x14ac:dyDescent="0.25">
      <c r="B41" s="4"/>
      <c r="C41" s="288" t="s">
        <v>301</v>
      </c>
      <c r="D41" s="207"/>
      <c r="E41" s="331" t="s">
        <v>40</v>
      </c>
      <c r="F41" s="216" t="s">
        <v>41</v>
      </c>
      <c r="G41" s="210"/>
      <c r="H41" s="14" t="s">
        <v>50</v>
      </c>
      <c r="I41" s="12">
        <v>-3.4200000000000003E-3</v>
      </c>
      <c r="J41" s="13" t="s">
        <v>37</v>
      </c>
      <c r="K41" s="13" t="s">
        <v>37</v>
      </c>
      <c r="L41" s="31" t="b">
        <v>1</v>
      </c>
      <c r="M41" s="210"/>
      <c r="N41" s="37"/>
      <c r="O41" s="35"/>
      <c r="P41" s="39"/>
    </row>
    <row r="42" spans="2:16" ht="30" x14ac:dyDescent="0.25">
      <c r="B42" s="4"/>
      <c r="C42" s="288" t="s">
        <v>300</v>
      </c>
      <c r="D42" s="207"/>
      <c r="E42" s="331" t="s">
        <v>42</v>
      </c>
      <c r="F42" s="216" t="s">
        <v>43</v>
      </c>
      <c r="G42" s="210"/>
      <c r="H42" s="14" t="s">
        <v>52</v>
      </c>
      <c r="I42" s="12">
        <v>-2.7100000000000002E-3</v>
      </c>
      <c r="J42" s="13" t="s">
        <v>37</v>
      </c>
      <c r="K42" s="13" t="s">
        <v>37</v>
      </c>
      <c r="L42" s="31" t="b">
        <v>1</v>
      </c>
      <c r="M42" s="210"/>
      <c r="N42" s="37"/>
      <c r="O42" s="35"/>
      <c r="P42" s="39"/>
    </row>
    <row r="43" spans="2:16" ht="45" x14ac:dyDescent="0.25">
      <c r="B43" s="4"/>
      <c r="C43" s="288" t="s">
        <v>302</v>
      </c>
      <c r="D43" s="207"/>
      <c r="E43" s="331" t="s">
        <v>44</v>
      </c>
      <c r="F43" s="216" t="s">
        <v>45</v>
      </c>
      <c r="G43" s="210"/>
      <c r="H43" s="14" t="s">
        <v>54</v>
      </c>
      <c r="I43" s="12">
        <v>-1.7599999999999998E-3</v>
      </c>
      <c r="J43" s="13" t="s">
        <v>37</v>
      </c>
      <c r="K43" s="13" t="s">
        <v>37</v>
      </c>
      <c r="L43" s="31" t="b">
        <v>1</v>
      </c>
      <c r="M43" s="210"/>
      <c r="N43" s="37"/>
      <c r="O43" s="35"/>
      <c r="P43" s="39"/>
    </row>
    <row r="44" spans="2:16" ht="30" x14ac:dyDescent="0.25">
      <c r="B44" s="4"/>
      <c r="C44" s="288" t="s">
        <v>303</v>
      </c>
      <c r="D44" s="207"/>
      <c r="E44" s="331" t="s">
        <v>113</v>
      </c>
      <c r="F44" s="218">
        <v>1E-10</v>
      </c>
      <c r="G44" s="210"/>
      <c r="H44" s="14" t="s">
        <v>55</v>
      </c>
      <c r="I44" s="12">
        <v>-6.6E-4</v>
      </c>
      <c r="J44" s="13" t="s">
        <v>37</v>
      </c>
      <c r="K44" s="13" t="s">
        <v>37</v>
      </c>
      <c r="L44" s="31" t="b">
        <v>1</v>
      </c>
      <c r="M44" s="210"/>
      <c r="N44" s="37"/>
      <c r="O44" s="35"/>
      <c r="P44" s="39"/>
    </row>
    <row r="45" spans="2:16" ht="30" x14ac:dyDescent="0.25">
      <c r="B45" s="4"/>
      <c r="C45" s="288" t="s">
        <v>304</v>
      </c>
      <c r="D45" s="207"/>
      <c r="E45" s="331" t="s">
        <v>114</v>
      </c>
      <c r="F45" s="242">
        <v>1000</v>
      </c>
      <c r="G45" s="210"/>
      <c r="H45" s="14" t="s">
        <v>57</v>
      </c>
      <c r="I45" s="12">
        <v>5.5000000000000003E-4</v>
      </c>
      <c r="J45" s="13" t="s">
        <v>37</v>
      </c>
      <c r="K45" s="13" t="s">
        <v>37</v>
      </c>
      <c r="L45" s="31" t="b">
        <v>1</v>
      </c>
      <c r="M45" s="210"/>
      <c r="N45" s="37"/>
      <c r="O45" s="35"/>
      <c r="P45" s="39"/>
    </row>
    <row r="46" spans="2:16" ht="60" x14ac:dyDescent="0.25">
      <c r="B46" s="4"/>
      <c r="C46" s="289" t="s">
        <v>305</v>
      </c>
      <c r="D46" s="207"/>
      <c r="E46" s="331" t="s">
        <v>218</v>
      </c>
      <c r="F46" s="216" t="b">
        <v>1</v>
      </c>
      <c r="G46" s="210"/>
      <c r="H46" s="14" t="s">
        <v>59</v>
      </c>
      <c r="I46" s="12">
        <v>1.7499999999999998E-3</v>
      </c>
      <c r="J46" s="13" t="s">
        <v>37</v>
      </c>
      <c r="K46" s="13" t="s">
        <v>37</v>
      </c>
      <c r="L46" s="31" t="b">
        <v>1</v>
      </c>
      <c r="M46" s="210"/>
      <c r="N46" s="37"/>
      <c r="O46" s="35"/>
      <c r="P46" s="39"/>
    </row>
    <row r="47" spans="2:16" x14ac:dyDescent="0.25">
      <c r="B47" s="4"/>
      <c r="C47" s="290"/>
      <c r="D47" s="207"/>
      <c r="E47" s="336"/>
      <c r="F47" s="216"/>
      <c r="G47" s="210"/>
      <c r="H47" s="14" t="s">
        <v>60</v>
      </c>
      <c r="I47" s="12">
        <v>2.8399999999999996E-3</v>
      </c>
      <c r="J47" s="13" t="s">
        <v>37</v>
      </c>
      <c r="K47" s="13" t="s">
        <v>37</v>
      </c>
      <c r="L47" s="31" t="b">
        <v>1</v>
      </c>
      <c r="M47" s="210"/>
      <c r="N47" s="37"/>
      <c r="O47" s="35"/>
      <c r="P47" s="39"/>
    </row>
    <row r="48" spans="2:16" x14ac:dyDescent="0.25">
      <c r="B48" s="4"/>
      <c r="C48" s="290"/>
      <c r="D48" s="207"/>
      <c r="E48" s="336"/>
      <c r="F48" s="323"/>
      <c r="G48" s="210"/>
      <c r="H48" s="14" t="s">
        <v>61</v>
      </c>
      <c r="I48" s="12">
        <v>3.8600000000000001E-3</v>
      </c>
      <c r="J48" s="13" t="s">
        <v>37</v>
      </c>
      <c r="K48" s="13" t="s">
        <v>37</v>
      </c>
      <c r="L48" s="31" t="b">
        <v>1</v>
      </c>
      <c r="M48" s="210"/>
      <c r="N48" s="37"/>
      <c r="O48" s="35"/>
      <c r="P48" s="39"/>
    </row>
    <row r="49" spans="2:16" x14ac:dyDescent="0.25">
      <c r="B49" s="4"/>
      <c r="C49" s="290" t="s">
        <v>309</v>
      </c>
      <c r="D49" s="207"/>
      <c r="E49" s="336"/>
      <c r="F49" s="323"/>
      <c r="G49" s="210"/>
      <c r="H49" s="14" t="s">
        <v>62</v>
      </c>
      <c r="I49" s="12">
        <v>4.7699999999999999E-3</v>
      </c>
      <c r="J49" s="13" t="s">
        <v>37</v>
      </c>
      <c r="K49" s="13" t="s">
        <v>37</v>
      </c>
      <c r="L49" s="31" t="b">
        <v>1</v>
      </c>
      <c r="M49" s="210"/>
      <c r="N49" s="37"/>
      <c r="O49" s="35"/>
      <c r="P49" s="39"/>
    </row>
    <row r="50" spans="2:16" x14ac:dyDescent="0.25">
      <c r="B50" s="4"/>
      <c r="C50" s="297" t="s">
        <v>306</v>
      </c>
      <c r="D50" s="207"/>
      <c r="E50" s="336"/>
      <c r="F50" s="323"/>
      <c r="G50" s="210"/>
      <c r="H50" s="14" t="s">
        <v>63</v>
      </c>
      <c r="I50" s="12">
        <v>6.8799999999999998E-3</v>
      </c>
      <c r="J50" s="13" t="s">
        <v>37</v>
      </c>
      <c r="K50" s="13" t="s">
        <v>37</v>
      </c>
      <c r="L50" s="31" t="b">
        <v>1</v>
      </c>
      <c r="M50" s="210"/>
      <c r="N50" s="37"/>
      <c r="O50" s="35"/>
      <c r="P50" s="39"/>
    </row>
    <row r="51" spans="2:16" x14ac:dyDescent="0.25">
      <c r="B51" s="4"/>
      <c r="C51" s="297" t="s">
        <v>307</v>
      </c>
      <c r="D51" s="207"/>
      <c r="E51" s="336"/>
      <c r="F51" s="323"/>
      <c r="G51" s="210"/>
      <c r="H51" s="14" t="s">
        <v>64</v>
      </c>
      <c r="I51" s="12">
        <v>8.7100000000000007E-3</v>
      </c>
      <c r="J51" s="13" t="s">
        <v>37</v>
      </c>
      <c r="K51" s="13" t="s">
        <v>37</v>
      </c>
      <c r="L51" s="31" t="b">
        <v>1</v>
      </c>
      <c r="M51" s="210"/>
      <c r="N51" s="37"/>
      <c r="O51" s="35"/>
      <c r="P51" s="39"/>
    </row>
    <row r="52" spans="2:16" x14ac:dyDescent="0.25">
      <c r="B52" s="4"/>
      <c r="C52" s="297" t="s">
        <v>308</v>
      </c>
      <c r="D52" s="207"/>
      <c r="E52" s="336"/>
      <c r="F52" s="323"/>
      <c r="G52" s="210"/>
      <c r="H52" s="14" t="s">
        <v>65</v>
      </c>
      <c r="I52" s="12">
        <v>9.3600000000000003E-3</v>
      </c>
      <c r="J52" s="13" t="s">
        <v>37</v>
      </c>
      <c r="K52" s="13" t="s">
        <v>37</v>
      </c>
      <c r="L52" s="31" t="b">
        <v>1</v>
      </c>
      <c r="M52" s="210"/>
      <c r="N52" s="37"/>
      <c r="O52" s="35"/>
      <c r="P52" s="39"/>
    </row>
    <row r="53" spans="2:16" x14ac:dyDescent="0.25">
      <c r="B53" s="4"/>
      <c r="C53" s="290"/>
      <c r="D53" s="207"/>
      <c r="E53" s="336"/>
      <c r="F53" s="323"/>
      <c r="G53" s="210"/>
      <c r="H53" s="14" t="s">
        <v>66</v>
      </c>
      <c r="I53" s="12">
        <v>9.6100000000000005E-3</v>
      </c>
      <c r="J53" s="13" t="s">
        <v>37</v>
      </c>
      <c r="K53" s="13" t="s">
        <v>37</v>
      </c>
      <c r="L53" s="31" t="b">
        <v>1</v>
      </c>
      <c r="M53" s="210"/>
      <c r="N53" s="37"/>
      <c r="O53" s="35"/>
      <c r="P53" s="39"/>
    </row>
    <row r="54" spans="2:16" x14ac:dyDescent="0.25">
      <c r="B54" s="4"/>
      <c r="C54" s="290"/>
      <c r="D54" s="207"/>
      <c r="E54" s="336"/>
      <c r="F54" s="323"/>
      <c r="G54" s="210"/>
      <c r="H54" s="14" t="s">
        <v>67</v>
      </c>
      <c r="I54" s="12">
        <v>9.7299999999999991E-3</v>
      </c>
      <c r="J54" s="13" t="s">
        <v>37</v>
      </c>
      <c r="K54" s="13" t="s">
        <v>37</v>
      </c>
      <c r="L54" s="31" t="b">
        <v>1</v>
      </c>
      <c r="M54" s="210"/>
      <c r="N54" s="37"/>
      <c r="O54" s="35"/>
      <c r="P54" s="39"/>
    </row>
    <row r="55" spans="2:16" x14ac:dyDescent="0.25">
      <c r="B55" s="4"/>
      <c r="C55" s="290"/>
      <c r="D55" s="207"/>
      <c r="E55" s="336"/>
      <c r="F55" s="323"/>
      <c r="G55" s="210"/>
      <c r="H55" s="14" t="s">
        <v>224</v>
      </c>
      <c r="I55" s="12">
        <v>9.3200000000000002E-3</v>
      </c>
      <c r="J55" s="13" t="s">
        <v>37</v>
      </c>
      <c r="K55" s="13" t="s">
        <v>37</v>
      </c>
      <c r="L55" s="31" t="b">
        <v>1</v>
      </c>
      <c r="M55" s="210"/>
      <c r="N55" s="37"/>
      <c r="O55" s="35"/>
      <c r="P55" s="39"/>
    </row>
    <row r="56" spans="2:16" x14ac:dyDescent="0.25">
      <c r="B56" s="4"/>
      <c r="C56" s="290"/>
      <c r="D56" s="207"/>
      <c r="E56" s="336"/>
      <c r="F56" s="323"/>
      <c r="G56" s="210"/>
      <c r="H56" s="14"/>
      <c r="I56" s="12"/>
      <c r="J56" s="13"/>
      <c r="K56" s="13"/>
      <c r="L56" s="31"/>
      <c r="M56" s="210"/>
      <c r="N56" s="37"/>
      <c r="O56" s="35"/>
      <c r="P56" s="39"/>
    </row>
    <row r="57" spans="2:16" x14ac:dyDescent="0.25">
      <c r="B57" s="4"/>
      <c r="C57" s="291"/>
      <c r="D57" s="207"/>
      <c r="E57" s="337"/>
      <c r="F57" s="324"/>
      <c r="G57" s="210"/>
      <c r="H57" s="15"/>
      <c r="I57" s="16"/>
      <c r="J57" s="32"/>
      <c r="K57" s="32"/>
      <c r="L57" s="33"/>
      <c r="M57" s="210"/>
      <c r="N57" s="38"/>
      <c r="O57" s="36"/>
      <c r="P57" s="39"/>
    </row>
    <row r="58" spans="2:16" x14ac:dyDescent="0.25">
      <c r="B58" s="9"/>
      <c r="C58" s="212"/>
      <c r="D58" s="212"/>
      <c r="E58" s="312"/>
      <c r="F58" s="320"/>
      <c r="G58" s="212"/>
      <c r="H58" s="10"/>
      <c r="I58" s="10"/>
      <c r="J58" s="10"/>
      <c r="K58" s="10"/>
      <c r="L58" s="10"/>
      <c r="M58" s="212"/>
      <c r="N58" s="10"/>
      <c r="O58" s="10"/>
      <c r="P58" s="11"/>
    </row>
    <row r="61" spans="2:16" x14ac:dyDescent="0.25">
      <c r="B61" s="40" t="s">
        <v>76</v>
      </c>
      <c r="C61" s="224"/>
      <c r="D61" s="224"/>
    </row>
    <row r="62" spans="2:16" x14ac:dyDescent="0.25">
      <c r="B62" s="1"/>
      <c r="C62" s="205"/>
      <c r="D62" s="205"/>
      <c r="E62" s="310"/>
      <c r="F62" s="321"/>
      <c r="G62" s="205"/>
      <c r="H62" s="2"/>
      <c r="I62" s="2"/>
      <c r="J62" s="2"/>
      <c r="K62" s="2"/>
      <c r="L62" s="2"/>
      <c r="M62" s="205"/>
      <c r="N62" s="2"/>
      <c r="O62" s="2"/>
      <c r="P62" s="3"/>
    </row>
    <row r="63" spans="2:16" x14ac:dyDescent="0.25">
      <c r="B63" s="4"/>
      <c r="C63" s="208"/>
      <c r="D63" s="208"/>
      <c r="E63" s="335" t="s">
        <v>69</v>
      </c>
      <c r="F63" s="322"/>
      <c r="G63" s="210"/>
      <c r="H63" s="34" t="s">
        <v>71</v>
      </c>
      <c r="I63" s="8"/>
      <c r="J63" s="8"/>
      <c r="K63" s="34" t="s">
        <v>74</v>
      </c>
      <c r="L63" s="8"/>
      <c r="M63" s="210"/>
      <c r="N63" s="34" t="s">
        <v>75</v>
      </c>
      <c r="O63" s="8"/>
      <c r="P63" s="39"/>
    </row>
    <row r="64" spans="2:16" ht="30" x14ac:dyDescent="0.25">
      <c r="B64" s="4"/>
      <c r="C64" s="288" t="s">
        <v>293</v>
      </c>
      <c r="D64" s="207"/>
      <c r="E64" s="330" t="s">
        <v>1</v>
      </c>
      <c r="F64" s="215" t="s">
        <v>2</v>
      </c>
      <c r="G64" s="210"/>
      <c r="H64" s="41" t="s">
        <v>11</v>
      </c>
      <c r="I64" s="41" t="s">
        <v>12</v>
      </c>
      <c r="J64" s="8"/>
      <c r="K64" s="17" t="s">
        <v>3</v>
      </c>
      <c r="L64" s="24" t="s">
        <v>2</v>
      </c>
      <c r="M64" s="210"/>
      <c r="N64" s="41" t="s">
        <v>11</v>
      </c>
      <c r="O64" s="41" t="s">
        <v>12</v>
      </c>
      <c r="P64" s="39"/>
    </row>
    <row r="65" spans="2:16" ht="30" x14ac:dyDescent="0.25">
      <c r="B65" s="4"/>
      <c r="C65" s="288" t="s">
        <v>292</v>
      </c>
      <c r="D65" s="207"/>
      <c r="E65" s="331" t="s">
        <v>18</v>
      </c>
      <c r="F65" s="216" t="s">
        <v>6</v>
      </c>
      <c r="G65" s="210"/>
      <c r="H65" s="14" t="s">
        <v>47</v>
      </c>
      <c r="I65" s="35">
        <v>1.1099999999999999E-3</v>
      </c>
      <c r="J65" s="8"/>
      <c r="K65" s="18" t="s">
        <v>19</v>
      </c>
      <c r="L65" s="25" t="s">
        <v>20</v>
      </c>
      <c r="M65" s="210"/>
      <c r="N65" s="14" t="s">
        <v>47</v>
      </c>
      <c r="O65" s="35">
        <v>-2.9299999999999999E-3</v>
      </c>
      <c r="P65" s="39"/>
    </row>
    <row r="66" spans="2:16" ht="30" x14ac:dyDescent="0.25">
      <c r="B66" s="4"/>
      <c r="C66" s="288" t="s">
        <v>294</v>
      </c>
      <c r="D66" s="207"/>
      <c r="E66" s="331" t="s">
        <v>27</v>
      </c>
      <c r="F66" s="216" t="s">
        <v>28</v>
      </c>
      <c r="G66" s="210"/>
      <c r="H66" s="14" t="s">
        <v>43</v>
      </c>
      <c r="I66" s="35">
        <v>1.1800000000000001E-3</v>
      </c>
      <c r="J66" s="8"/>
      <c r="K66" s="18" t="s">
        <v>29</v>
      </c>
      <c r="L66" s="25" t="s">
        <v>26</v>
      </c>
      <c r="M66" s="210"/>
      <c r="N66" s="14" t="s">
        <v>43</v>
      </c>
      <c r="O66" s="35">
        <v>-2.7100000000000002E-3</v>
      </c>
      <c r="P66" s="39"/>
    </row>
    <row r="67" spans="2:16" ht="30" x14ac:dyDescent="0.25">
      <c r="B67" s="4"/>
      <c r="C67" s="288" t="s">
        <v>318</v>
      </c>
      <c r="D67" s="207"/>
      <c r="E67" s="331" t="s">
        <v>21</v>
      </c>
      <c r="F67" s="216" t="s">
        <v>22</v>
      </c>
      <c r="G67" s="210"/>
      <c r="H67" s="14" t="s">
        <v>50</v>
      </c>
      <c r="I67" s="35">
        <v>1.24E-3</v>
      </c>
      <c r="J67" s="8"/>
      <c r="K67" s="18" t="s">
        <v>23</v>
      </c>
      <c r="L67" s="25" t="s">
        <v>22</v>
      </c>
      <c r="M67" s="210"/>
      <c r="N67" s="14" t="s">
        <v>50</v>
      </c>
      <c r="O67" s="35">
        <v>-2.2200000000000002E-3</v>
      </c>
      <c r="P67" s="39"/>
    </row>
    <row r="68" spans="2:16" x14ac:dyDescent="0.25">
      <c r="B68" s="4"/>
      <c r="C68" s="290"/>
      <c r="D68" s="207"/>
      <c r="E68" s="331"/>
      <c r="F68" s="216"/>
      <c r="G68" s="210"/>
      <c r="H68" s="14" t="s">
        <v>52</v>
      </c>
      <c r="I68" s="35">
        <v>1.2600000000000001E-3</v>
      </c>
      <c r="J68" s="8"/>
      <c r="K68" s="18"/>
      <c r="L68" s="25"/>
      <c r="M68" s="210"/>
      <c r="N68" s="14" t="s">
        <v>52</v>
      </c>
      <c r="O68" s="35">
        <v>-1.48E-3</v>
      </c>
      <c r="P68" s="39"/>
    </row>
    <row r="69" spans="2:16" x14ac:dyDescent="0.25">
      <c r="B69" s="4"/>
      <c r="C69" s="290"/>
      <c r="D69" s="207"/>
      <c r="E69" s="331"/>
      <c r="F69" s="216"/>
      <c r="G69" s="210"/>
      <c r="H69" s="14" t="s">
        <v>54</v>
      </c>
      <c r="I69" s="35">
        <v>1.2600000000000001E-3</v>
      </c>
      <c r="J69" s="8"/>
      <c r="K69" s="19"/>
      <c r="L69" s="25"/>
      <c r="M69" s="210"/>
      <c r="N69" s="14" t="s">
        <v>54</v>
      </c>
      <c r="O69" s="35">
        <v>-5.0999999999999993E-4</v>
      </c>
      <c r="P69" s="39"/>
    </row>
    <row r="70" spans="2:16" x14ac:dyDescent="0.25">
      <c r="B70" s="4"/>
      <c r="C70" s="290"/>
      <c r="D70" s="207"/>
      <c r="E70" s="331"/>
      <c r="F70" s="217"/>
      <c r="G70" s="210"/>
      <c r="H70" s="14" t="s">
        <v>55</v>
      </c>
      <c r="I70" s="35">
        <v>1.25E-3</v>
      </c>
      <c r="J70" s="8"/>
      <c r="K70" s="20"/>
      <c r="L70" s="26"/>
      <c r="M70" s="210"/>
      <c r="N70" s="14" t="s">
        <v>55</v>
      </c>
      <c r="O70" s="35">
        <v>5.9999999999999995E-4</v>
      </c>
      <c r="P70" s="39"/>
    </row>
    <row r="71" spans="2:16" x14ac:dyDescent="0.25">
      <c r="B71" s="4"/>
      <c r="C71" s="290"/>
      <c r="D71" s="207"/>
      <c r="E71" s="331"/>
      <c r="F71" s="216"/>
      <c r="G71" s="210"/>
      <c r="H71" s="14" t="s">
        <v>57</v>
      </c>
      <c r="I71" s="35">
        <v>1.2199999999999999E-3</v>
      </c>
      <c r="J71" s="8"/>
      <c r="K71" s="18"/>
      <c r="L71" s="25"/>
      <c r="M71" s="210"/>
      <c r="N71" s="14" t="s">
        <v>57</v>
      </c>
      <c r="O71" s="35">
        <v>1.8E-3</v>
      </c>
      <c r="P71" s="39"/>
    </row>
    <row r="72" spans="2:16" x14ac:dyDescent="0.25">
      <c r="B72" s="4"/>
      <c r="C72" s="290"/>
      <c r="D72" s="207"/>
      <c r="E72" s="331"/>
      <c r="F72" s="216"/>
      <c r="G72" s="210"/>
      <c r="H72" s="14" t="s">
        <v>59</v>
      </c>
      <c r="I72" s="35">
        <v>1.1900000000000001E-3</v>
      </c>
      <c r="J72" s="8"/>
      <c r="K72" s="18"/>
      <c r="L72" s="25"/>
      <c r="M72" s="210"/>
      <c r="N72" s="14" t="s">
        <v>59</v>
      </c>
      <c r="O72" s="35">
        <v>2.98E-3</v>
      </c>
      <c r="P72" s="39"/>
    </row>
    <row r="73" spans="2:16" x14ac:dyDescent="0.25">
      <c r="B73" s="4"/>
      <c r="C73" s="290"/>
      <c r="D73" s="207"/>
      <c r="E73" s="331"/>
      <c r="F73" s="216"/>
      <c r="G73" s="210"/>
      <c r="H73" s="14" t="s">
        <v>60</v>
      </c>
      <c r="I73" s="35">
        <v>1.1800000000000001E-3</v>
      </c>
      <c r="J73" s="8"/>
      <c r="K73" s="18"/>
      <c r="L73" s="25"/>
      <c r="M73" s="210"/>
      <c r="N73" s="14" t="s">
        <v>60</v>
      </c>
      <c r="O73" s="35">
        <v>4.0799999999999994E-3</v>
      </c>
      <c r="P73" s="39"/>
    </row>
    <row r="74" spans="2:16" x14ac:dyDescent="0.25">
      <c r="B74" s="4"/>
      <c r="C74" s="290"/>
      <c r="D74" s="207"/>
      <c r="E74" s="331"/>
      <c r="F74" s="216"/>
      <c r="G74" s="210"/>
      <c r="H74" s="14" t="s">
        <v>61</v>
      </c>
      <c r="I74" s="35">
        <v>1.16E-3</v>
      </c>
      <c r="J74" s="8"/>
      <c r="K74" s="18"/>
      <c r="L74" s="25"/>
      <c r="M74" s="210"/>
      <c r="N74" s="14" t="s">
        <v>61</v>
      </c>
      <c r="O74" s="35">
        <v>5.1000000000000004E-3</v>
      </c>
      <c r="P74" s="39"/>
    </row>
    <row r="75" spans="2:16" x14ac:dyDescent="0.25">
      <c r="B75" s="4"/>
      <c r="C75" s="290" t="s">
        <v>309</v>
      </c>
      <c r="D75" s="207"/>
      <c r="E75" s="331"/>
      <c r="F75" s="216"/>
      <c r="G75" s="210"/>
      <c r="H75" s="14" t="s">
        <v>62</v>
      </c>
      <c r="I75" s="35">
        <v>1.15E-3</v>
      </c>
      <c r="J75" s="8"/>
      <c r="K75" s="18"/>
      <c r="L75" s="25"/>
      <c r="M75" s="210"/>
      <c r="N75" s="14" t="s">
        <v>62</v>
      </c>
      <c r="O75" s="35">
        <v>6.0099999999999997E-3</v>
      </c>
      <c r="P75" s="39"/>
    </row>
    <row r="76" spans="2:16" x14ac:dyDescent="0.25">
      <c r="B76" s="4"/>
      <c r="C76" s="297" t="s">
        <v>310</v>
      </c>
      <c r="D76" s="207"/>
      <c r="E76" s="331"/>
      <c r="F76" s="216"/>
      <c r="G76" s="210"/>
      <c r="H76" s="14" t="s">
        <v>63</v>
      </c>
      <c r="I76" s="35">
        <v>1.08E-3</v>
      </c>
      <c r="J76" s="8"/>
      <c r="K76" s="19"/>
      <c r="L76" s="25"/>
      <c r="M76" s="210"/>
      <c r="N76" s="14" t="s">
        <v>63</v>
      </c>
      <c r="O76" s="35">
        <v>8.0700000000000008E-3</v>
      </c>
      <c r="P76" s="39"/>
    </row>
    <row r="77" spans="2:16" x14ac:dyDescent="0.25">
      <c r="B77" s="4"/>
      <c r="C77" s="297" t="s">
        <v>311</v>
      </c>
      <c r="D77" s="207"/>
      <c r="E77" s="338"/>
      <c r="F77" s="323"/>
      <c r="G77" s="210"/>
      <c r="H77" s="14" t="s">
        <v>64</v>
      </c>
      <c r="I77" s="35">
        <v>9.5999999999999992E-4</v>
      </c>
      <c r="J77" s="8"/>
      <c r="K77" s="21"/>
      <c r="L77" s="27"/>
      <c r="M77" s="210"/>
      <c r="N77" s="14" t="s">
        <v>64</v>
      </c>
      <c r="O77" s="35">
        <v>9.8099999999999993E-3</v>
      </c>
      <c r="P77" s="39"/>
    </row>
    <row r="78" spans="2:16" x14ac:dyDescent="0.25">
      <c r="B78" s="4"/>
      <c r="C78" s="297"/>
      <c r="D78" s="207"/>
      <c r="E78" s="338"/>
      <c r="F78" s="218"/>
      <c r="G78" s="210"/>
      <c r="H78" s="14" t="s">
        <v>65</v>
      </c>
      <c r="I78" s="35">
        <v>8.5999999999999998E-4</v>
      </c>
      <c r="J78" s="8"/>
      <c r="K78" s="21"/>
      <c r="L78" s="28"/>
      <c r="M78" s="210"/>
      <c r="N78" s="14" t="s">
        <v>65</v>
      </c>
      <c r="O78" s="35">
        <v>1.0369999999999999E-2</v>
      </c>
      <c r="P78" s="39"/>
    </row>
    <row r="79" spans="2:16" x14ac:dyDescent="0.25">
      <c r="B79" s="4"/>
      <c r="C79" s="290"/>
      <c r="D79" s="207"/>
      <c r="E79" s="338"/>
      <c r="F79" s="323"/>
      <c r="G79" s="210"/>
      <c r="H79" s="14" t="s">
        <v>66</v>
      </c>
      <c r="I79" s="35">
        <v>7.7000000000000007E-4</v>
      </c>
      <c r="J79" s="8"/>
      <c r="K79" s="21"/>
      <c r="L79" s="27"/>
      <c r="M79" s="210"/>
      <c r="N79" s="14" t="s">
        <v>66</v>
      </c>
      <c r="O79" s="35">
        <v>1.0529999999999999E-2</v>
      </c>
      <c r="P79" s="39"/>
    </row>
    <row r="80" spans="2:16" x14ac:dyDescent="0.25">
      <c r="B80" s="4"/>
      <c r="C80" s="290"/>
      <c r="D80" s="207"/>
      <c r="E80" s="336"/>
      <c r="F80" s="216"/>
      <c r="G80" s="210"/>
      <c r="H80" s="14" t="s">
        <v>67</v>
      </c>
      <c r="I80" s="35">
        <v>6.4000000000000005E-4</v>
      </c>
      <c r="J80" s="8"/>
      <c r="K80" s="22"/>
      <c r="L80" s="25"/>
      <c r="M80" s="210"/>
      <c r="N80" s="14" t="s">
        <v>67</v>
      </c>
      <c r="O80" s="35">
        <v>1.0529999999999999E-2</v>
      </c>
      <c r="P80" s="39"/>
    </row>
    <row r="81" spans="2:16" x14ac:dyDescent="0.25">
      <c r="B81" s="4"/>
      <c r="C81" s="290"/>
      <c r="D81" s="207"/>
      <c r="E81" s="336"/>
      <c r="F81" s="323"/>
      <c r="G81" s="210"/>
      <c r="H81" s="14" t="s">
        <v>224</v>
      </c>
      <c r="I81" s="35">
        <v>5.5999999999999995E-4</v>
      </c>
      <c r="J81" s="8"/>
      <c r="K81" s="22"/>
      <c r="L81" s="29"/>
      <c r="M81" s="210"/>
      <c r="N81" s="14" t="s">
        <v>224</v>
      </c>
      <c r="O81" s="35">
        <v>1.0029999999999999E-2</v>
      </c>
      <c r="P81" s="39"/>
    </row>
    <row r="82" spans="2:16" x14ac:dyDescent="0.25">
      <c r="B82" s="4"/>
      <c r="C82" s="290"/>
      <c r="D82" s="207"/>
      <c r="E82" s="336"/>
      <c r="F82" s="323"/>
      <c r="G82" s="210"/>
      <c r="H82" s="14"/>
      <c r="I82" s="35"/>
      <c r="J82" s="8"/>
      <c r="K82" s="22"/>
      <c r="L82" s="29"/>
      <c r="M82" s="210"/>
      <c r="N82" s="14"/>
      <c r="O82" s="35"/>
      <c r="P82" s="39"/>
    </row>
    <row r="83" spans="2:16" x14ac:dyDescent="0.25">
      <c r="B83" s="4"/>
      <c r="C83" s="290"/>
      <c r="D83" s="207"/>
      <c r="E83" s="336"/>
      <c r="F83" s="323"/>
      <c r="G83" s="210"/>
      <c r="H83" s="14"/>
      <c r="I83" s="35"/>
      <c r="J83" s="8"/>
      <c r="K83" s="22"/>
      <c r="L83" s="29"/>
      <c r="M83" s="210"/>
      <c r="N83" s="14"/>
      <c r="O83" s="35"/>
      <c r="P83" s="39"/>
    </row>
    <row r="84" spans="2:16" x14ac:dyDescent="0.25">
      <c r="B84" s="4"/>
      <c r="C84" s="290"/>
      <c r="D84" s="207"/>
      <c r="E84" s="336"/>
      <c r="F84" s="323"/>
      <c r="G84" s="210"/>
      <c r="H84" s="14"/>
      <c r="I84" s="35"/>
      <c r="J84" s="8"/>
      <c r="K84" s="22"/>
      <c r="L84" s="29"/>
      <c r="M84" s="210"/>
      <c r="N84" s="14"/>
      <c r="O84" s="35"/>
      <c r="P84" s="39"/>
    </row>
    <row r="85" spans="2:16" x14ac:dyDescent="0.25">
      <c r="B85" s="4"/>
      <c r="C85" s="290"/>
      <c r="D85" s="207"/>
      <c r="E85" s="336"/>
      <c r="F85" s="323"/>
      <c r="G85" s="210"/>
      <c r="H85" s="14"/>
      <c r="I85" s="35"/>
      <c r="J85" s="8"/>
      <c r="K85" s="22"/>
      <c r="L85" s="29"/>
      <c r="M85" s="210"/>
      <c r="N85" s="14"/>
      <c r="O85" s="35"/>
      <c r="P85" s="39"/>
    </row>
    <row r="86" spans="2:16" x14ac:dyDescent="0.25">
      <c r="B86" s="4"/>
      <c r="C86" s="290"/>
      <c r="D86" s="207"/>
      <c r="E86" s="336"/>
      <c r="F86" s="323"/>
      <c r="G86" s="210"/>
      <c r="H86" s="14"/>
      <c r="I86" s="35"/>
      <c r="J86" s="8"/>
      <c r="K86" s="22"/>
      <c r="L86" s="29"/>
      <c r="M86" s="210"/>
      <c r="N86" s="14"/>
      <c r="O86" s="35"/>
      <c r="P86" s="39"/>
    </row>
    <row r="87" spans="2:16" x14ac:dyDescent="0.25">
      <c r="B87" s="4"/>
      <c r="C87" s="290"/>
      <c r="D87" s="207"/>
      <c r="E87" s="336"/>
      <c r="F87" s="323"/>
      <c r="G87" s="210"/>
      <c r="H87" s="14"/>
      <c r="I87" s="35"/>
      <c r="J87" s="8"/>
      <c r="K87" s="22"/>
      <c r="L87" s="29"/>
      <c r="M87" s="210"/>
      <c r="N87" s="14"/>
      <c r="O87" s="35"/>
      <c r="P87" s="39"/>
    </row>
    <row r="88" spans="2:16" x14ac:dyDescent="0.25">
      <c r="B88" s="4"/>
      <c r="C88" s="290"/>
      <c r="D88" s="207"/>
      <c r="E88" s="336"/>
      <c r="F88" s="323"/>
      <c r="G88" s="210"/>
      <c r="H88" s="14"/>
      <c r="I88" s="35"/>
      <c r="J88" s="8"/>
      <c r="K88" s="22"/>
      <c r="L88" s="29"/>
      <c r="M88" s="210"/>
      <c r="N88" s="14"/>
      <c r="O88" s="35"/>
      <c r="P88" s="39"/>
    </row>
    <row r="89" spans="2:16" x14ac:dyDescent="0.25">
      <c r="B89" s="4"/>
      <c r="C89" s="291"/>
      <c r="D89" s="207"/>
      <c r="E89" s="337"/>
      <c r="F89" s="324"/>
      <c r="G89" s="210"/>
      <c r="H89" s="15"/>
      <c r="I89" s="36"/>
      <c r="J89" s="8"/>
      <c r="K89" s="23"/>
      <c r="L89" s="30"/>
      <c r="M89" s="210"/>
      <c r="N89" s="15"/>
      <c r="O89" s="36"/>
      <c r="P89" s="39"/>
    </row>
    <row r="90" spans="2:16" x14ac:dyDescent="0.25">
      <c r="B90" s="9"/>
      <c r="C90" s="212"/>
      <c r="D90" s="212"/>
      <c r="E90" s="312"/>
      <c r="F90" s="320"/>
      <c r="G90" s="212"/>
      <c r="H90" s="10"/>
      <c r="I90" s="10"/>
      <c r="J90" s="10"/>
      <c r="K90" s="10"/>
      <c r="L90" s="10"/>
      <c r="M90" s="212"/>
      <c r="N90" s="10"/>
      <c r="O90" s="10"/>
      <c r="P90" s="11"/>
    </row>
  </sheetData>
  <dataValidations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sheetPr>
  <dimension ref="A1:R113"/>
  <sheetViews>
    <sheetView showGridLines="0" workbookViewId="0"/>
  </sheetViews>
  <sheetFormatPr defaultRowHeight="15" x14ac:dyDescent="0.25"/>
  <cols>
    <col min="2" max="2" width="2.7109375" customWidth="1"/>
    <col min="3" max="3" width="110.7109375" style="199" hidden="1" customWidth="1"/>
    <col min="4" max="4" width="4.7109375" style="203" hidden="1" customWidth="1"/>
    <col min="5" max="5" width="21.85546875" style="309" customWidth="1"/>
    <col min="6" max="6" width="32.7109375" style="319"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203"/>
    </row>
    <row r="2" spans="1:15" ht="23.25" x14ac:dyDescent="0.35">
      <c r="A2" s="203"/>
      <c r="B2" s="432" t="s">
        <v>417</v>
      </c>
      <c r="C2" s="202"/>
      <c r="D2" s="224"/>
    </row>
    <row r="3" spans="1:15" ht="23.25" x14ac:dyDescent="0.35">
      <c r="B3" s="354" t="s">
        <v>370</v>
      </c>
    </row>
    <row r="4" spans="1:15" ht="23.25" x14ac:dyDescent="0.35">
      <c r="B4" s="354" t="s">
        <v>369</v>
      </c>
    </row>
    <row r="5" spans="1:15" s="366" customFormat="1" x14ac:dyDescent="0.25">
      <c r="C5" s="367"/>
      <c r="E5" s="368"/>
      <c r="F5" s="369"/>
    </row>
    <row r="6" spans="1:15" x14ac:dyDescent="0.25">
      <c r="B6" s="40" t="s">
        <v>278</v>
      </c>
      <c r="C6" s="202"/>
      <c r="D6" s="224"/>
    </row>
    <row r="7" spans="1:15" x14ac:dyDescent="0.25">
      <c r="B7" s="1"/>
      <c r="C7" s="205"/>
      <c r="D7" s="205"/>
      <c r="E7" s="325"/>
      <c r="F7" s="219"/>
      <c r="G7" s="2"/>
      <c r="H7" s="2"/>
      <c r="I7" s="2"/>
      <c r="J7" s="2"/>
      <c r="K7" s="2"/>
      <c r="L7" s="2"/>
      <c r="M7" s="2"/>
      <c r="N7" s="2"/>
      <c r="O7" s="3"/>
    </row>
    <row r="8" spans="1:15" x14ac:dyDescent="0.25">
      <c r="B8" s="4"/>
      <c r="C8" s="222"/>
      <c r="D8" s="208"/>
      <c r="E8" s="326" t="s">
        <v>278</v>
      </c>
      <c r="F8" s="227"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(0.01500 sec)</v>
      </c>
      <c r="G8" s="42"/>
      <c r="H8" s="43"/>
      <c r="I8" s="5"/>
      <c r="J8" s="5"/>
      <c r="K8" s="5"/>
      <c r="L8" s="5"/>
      <c r="M8" s="5"/>
      <c r="N8" s="5"/>
      <c r="O8" s="6"/>
    </row>
    <row r="9" spans="1:15" x14ac:dyDescent="0.25">
      <c r="B9" s="4"/>
      <c r="C9" s="208"/>
      <c r="D9" s="208"/>
      <c r="E9" s="327" t="s">
        <v>167</v>
      </c>
      <c r="F9" s="249" t="b">
        <f ca="1">LEFT(F8,5)=STDCurve.CollectionName</f>
        <v>1</v>
      </c>
      <c r="G9" s="5"/>
      <c r="H9" s="5"/>
      <c r="I9" s="5"/>
      <c r="J9" s="5"/>
      <c r="K9" s="5"/>
      <c r="L9" s="5"/>
      <c r="M9" s="5"/>
      <c r="N9" s="5"/>
      <c r="O9" s="6"/>
    </row>
    <row r="10" spans="1:15" x14ac:dyDescent="0.25">
      <c r="B10" s="4"/>
      <c r="C10" s="208"/>
      <c r="D10" s="208"/>
      <c r="E10" s="311"/>
      <c r="F10" s="226"/>
      <c r="G10" s="5"/>
      <c r="H10" s="5"/>
      <c r="I10" s="5"/>
      <c r="J10" s="5"/>
      <c r="K10" s="5"/>
      <c r="L10" s="5"/>
      <c r="M10" s="5"/>
      <c r="N10" s="5"/>
      <c r="O10" s="6"/>
    </row>
    <row r="11" spans="1:15" x14ac:dyDescent="0.25">
      <c r="B11" s="4"/>
      <c r="C11" s="208"/>
      <c r="D11" s="208"/>
      <c r="E11" s="328"/>
      <c r="F11" s="226"/>
      <c r="G11" s="5"/>
      <c r="H11" s="5"/>
      <c r="I11" s="5"/>
      <c r="J11" s="5"/>
      <c r="K11" s="5"/>
      <c r="L11" s="5"/>
      <c r="M11" s="5"/>
      <c r="N11" s="5"/>
      <c r="O11" s="6"/>
    </row>
    <row r="12" spans="1:15" x14ac:dyDescent="0.25">
      <c r="B12" s="4"/>
      <c r="C12" s="208"/>
      <c r="D12" s="208"/>
      <c r="E12" s="329" t="s">
        <v>0</v>
      </c>
      <c r="F12" s="225"/>
      <c r="G12" s="5"/>
      <c r="H12" s="5"/>
      <c r="I12" s="5"/>
      <c r="J12" s="5"/>
      <c r="K12" s="5"/>
      <c r="L12" s="5"/>
      <c r="M12" s="5"/>
      <c r="N12" s="5"/>
      <c r="O12" s="6"/>
    </row>
    <row r="13" spans="1:15" ht="30" x14ac:dyDescent="0.25">
      <c r="B13" s="4"/>
      <c r="C13" s="287" t="s">
        <v>288</v>
      </c>
      <c r="D13" s="208"/>
      <c r="E13" s="330" t="s">
        <v>80</v>
      </c>
      <c r="F13" s="243" t="s">
        <v>78</v>
      </c>
      <c r="G13" s="5"/>
      <c r="H13" s="5"/>
      <c r="I13" s="5"/>
      <c r="J13" s="5"/>
      <c r="K13" s="5"/>
      <c r="L13" s="5"/>
      <c r="M13" s="5"/>
      <c r="N13" s="5"/>
      <c r="O13" s="6"/>
    </row>
    <row r="14" spans="1:15" ht="30" x14ac:dyDescent="0.25">
      <c r="B14" s="4"/>
      <c r="C14" s="287" t="s">
        <v>364</v>
      </c>
      <c r="D14" s="208"/>
      <c r="E14" s="331" t="s">
        <v>79</v>
      </c>
      <c r="F14" s="244" t="s">
        <v>82</v>
      </c>
      <c r="G14" s="5"/>
      <c r="H14" s="5"/>
      <c r="I14" s="5"/>
      <c r="J14" s="5"/>
      <c r="K14" s="5"/>
      <c r="L14" s="5"/>
      <c r="M14" s="5"/>
      <c r="N14" s="5"/>
      <c r="O14" s="6"/>
    </row>
    <row r="15" spans="1:15" ht="30" x14ac:dyDescent="0.25">
      <c r="B15" s="4"/>
      <c r="C15" s="287" t="s">
        <v>365</v>
      </c>
      <c r="D15" s="208"/>
      <c r="E15" s="333" t="s">
        <v>81</v>
      </c>
      <c r="F15" s="245" t="s">
        <v>206</v>
      </c>
      <c r="G15" s="5"/>
      <c r="H15" s="5"/>
      <c r="I15" s="5"/>
      <c r="J15" s="5" t="s">
        <v>4</v>
      </c>
      <c r="K15" s="5" t="s">
        <v>4</v>
      </c>
      <c r="L15" s="5" t="s">
        <v>4</v>
      </c>
      <c r="M15" s="5"/>
      <c r="N15" s="5"/>
      <c r="O15" s="6" t="s">
        <v>4</v>
      </c>
    </row>
    <row r="16" spans="1:15" x14ac:dyDescent="0.25">
      <c r="B16" s="9"/>
      <c r="C16" s="212"/>
      <c r="D16" s="212"/>
      <c r="E16" s="312"/>
      <c r="F16" s="320"/>
      <c r="G16" s="10"/>
      <c r="H16" s="10"/>
      <c r="I16" s="10"/>
      <c r="J16" s="10"/>
      <c r="K16" s="10"/>
      <c r="L16" s="10"/>
      <c r="M16" s="10"/>
      <c r="N16" s="10"/>
      <c r="O16" s="11"/>
    </row>
    <row r="19" spans="2:15" x14ac:dyDescent="0.25">
      <c r="B19" s="40" t="s">
        <v>68</v>
      </c>
      <c r="C19" s="202"/>
      <c r="D19" s="224"/>
    </row>
    <row r="20" spans="2:15" x14ac:dyDescent="0.25">
      <c r="B20" s="1"/>
      <c r="C20" s="205"/>
      <c r="D20" s="205"/>
      <c r="E20" s="325"/>
      <c r="F20" s="219"/>
      <c r="G20" s="2"/>
      <c r="H20" s="2"/>
      <c r="I20" s="2"/>
      <c r="J20" s="45"/>
      <c r="K20" s="2"/>
      <c r="L20" s="2"/>
      <c r="M20" s="2"/>
      <c r="N20" s="2"/>
      <c r="O20" s="3"/>
    </row>
    <row r="21" spans="2:15" x14ac:dyDescent="0.25">
      <c r="B21" s="4"/>
      <c r="C21" s="208"/>
      <c r="D21" s="208"/>
      <c r="E21" s="329" t="s">
        <v>68</v>
      </c>
      <c r="F21" s="220"/>
      <c r="G21" s="5"/>
      <c r="H21" s="5"/>
      <c r="I21" s="5"/>
      <c r="J21" s="5"/>
      <c r="K21" s="5"/>
      <c r="L21" s="5"/>
      <c r="M21" s="5"/>
      <c r="N21" s="5"/>
      <c r="O21" s="6"/>
    </row>
    <row r="22" spans="2:15" ht="30" x14ac:dyDescent="0.25">
      <c r="B22" s="4"/>
      <c r="C22" s="287" t="s">
        <v>289</v>
      </c>
      <c r="D22" s="208"/>
      <c r="E22" s="330" t="s">
        <v>10</v>
      </c>
      <c r="F22" s="243">
        <f>COB</f>
        <v>42521</v>
      </c>
      <c r="G22" s="5"/>
      <c r="H22" s="5"/>
      <c r="I22" s="5"/>
      <c r="J22" s="5"/>
      <c r="K22" s="5"/>
      <c r="L22" s="5"/>
      <c r="M22" s="5"/>
      <c r="N22" s="5"/>
      <c r="O22" s="6"/>
    </row>
    <row r="23" spans="2:15" ht="30" x14ac:dyDescent="0.25">
      <c r="B23" s="4"/>
      <c r="C23" s="287" t="s">
        <v>290</v>
      </c>
      <c r="D23" s="208"/>
      <c r="E23" s="331" t="s">
        <v>16</v>
      </c>
      <c r="F23" s="244" t="s">
        <v>17</v>
      </c>
      <c r="G23" s="5"/>
      <c r="H23" s="5"/>
      <c r="I23" s="5"/>
      <c r="J23" s="5"/>
      <c r="K23" s="5"/>
      <c r="L23" s="5"/>
      <c r="M23" s="5"/>
      <c r="N23" s="5"/>
      <c r="O23" s="6"/>
    </row>
    <row r="24" spans="2:15" ht="30" x14ac:dyDescent="0.25">
      <c r="B24" s="4"/>
      <c r="C24" s="287" t="s">
        <v>291</v>
      </c>
      <c r="D24" s="208"/>
      <c r="E24" s="331" t="s">
        <v>83</v>
      </c>
      <c r="F24" s="246" t="str">
        <f>interpolationFunction</f>
        <v>fn_SplineInterpolation</v>
      </c>
      <c r="G24" s="5"/>
      <c r="H24" s="5"/>
      <c r="I24" s="5"/>
      <c r="J24" s="5"/>
      <c r="K24" s="5"/>
      <c r="L24" s="5"/>
      <c r="M24" s="5"/>
      <c r="N24" s="5"/>
      <c r="O24" s="6"/>
    </row>
    <row r="25" spans="2:15" ht="30" x14ac:dyDescent="0.25">
      <c r="B25" s="4"/>
      <c r="C25" s="292" t="s">
        <v>366</v>
      </c>
      <c r="D25" s="208"/>
      <c r="E25" s="331" t="s">
        <v>24</v>
      </c>
      <c r="F25" s="246" t="str">
        <f>interpolationFunction</f>
        <v>fn_SplineInterpolation</v>
      </c>
      <c r="G25" s="5"/>
      <c r="H25" s="5"/>
      <c r="I25" s="5"/>
      <c r="J25" s="5"/>
      <c r="K25" s="5"/>
      <c r="L25" s="5"/>
      <c r="M25" s="5"/>
      <c r="N25" s="5"/>
      <c r="O25" s="6"/>
    </row>
    <row r="26" spans="2:15" ht="30" x14ac:dyDescent="0.25">
      <c r="B26" s="4"/>
      <c r="C26" s="292" t="s">
        <v>312</v>
      </c>
      <c r="D26" s="208"/>
      <c r="E26" s="331" t="s">
        <v>85</v>
      </c>
      <c r="F26" s="244" t="b">
        <v>0</v>
      </c>
      <c r="G26" s="5"/>
      <c r="H26" s="5"/>
      <c r="I26" s="5"/>
      <c r="J26" s="5"/>
      <c r="K26" s="5"/>
      <c r="L26" s="5"/>
      <c r="M26" s="5"/>
      <c r="N26" s="5"/>
      <c r="O26" s="6"/>
    </row>
    <row r="27" spans="2:15" ht="30" x14ac:dyDescent="0.25">
      <c r="B27" s="4"/>
      <c r="C27" s="292" t="s">
        <v>313</v>
      </c>
      <c r="D27" s="208"/>
      <c r="E27" s="331" t="s">
        <v>84</v>
      </c>
      <c r="F27" s="244" t="b">
        <v>1</v>
      </c>
      <c r="G27" s="5"/>
      <c r="H27" s="5"/>
      <c r="I27" s="5"/>
      <c r="J27" s="5"/>
      <c r="K27" s="5"/>
      <c r="L27" s="5"/>
      <c r="M27" s="5"/>
      <c r="N27" s="5"/>
      <c r="O27" s="6"/>
    </row>
    <row r="28" spans="2:15" ht="30" x14ac:dyDescent="0.25">
      <c r="B28" s="4"/>
      <c r="C28" s="288" t="s">
        <v>314</v>
      </c>
      <c r="D28" s="208"/>
      <c r="E28" s="331" t="s">
        <v>27</v>
      </c>
      <c r="F28" s="244" t="s">
        <v>28</v>
      </c>
      <c r="G28" s="5"/>
      <c r="H28" s="5"/>
      <c r="I28" s="5"/>
      <c r="J28" s="5"/>
      <c r="K28" s="5"/>
      <c r="L28" s="5"/>
      <c r="M28" s="5"/>
      <c r="N28" s="5"/>
      <c r="O28" s="6"/>
    </row>
    <row r="29" spans="2:15" ht="45" x14ac:dyDescent="0.25">
      <c r="B29" s="4"/>
      <c r="C29" s="292" t="s">
        <v>315</v>
      </c>
      <c r="D29" s="208"/>
      <c r="E29" s="331" t="s">
        <v>86</v>
      </c>
      <c r="F29" s="244" t="s">
        <v>9</v>
      </c>
      <c r="G29" s="5"/>
      <c r="H29" s="5"/>
      <c r="I29" s="5"/>
      <c r="J29" s="5"/>
      <c r="K29" s="5"/>
      <c r="L29" s="5"/>
      <c r="M29" s="5"/>
      <c r="N29" s="5"/>
      <c r="O29" s="6"/>
    </row>
    <row r="30" spans="2:15" x14ac:dyDescent="0.25">
      <c r="B30" s="4"/>
      <c r="C30" s="297"/>
      <c r="D30" s="208"/>
      <c r="E30" s="331"/>
      <c r="F30" s="244"/>
      <c r="G30" s="5"/>
      <c r="H30" s="5"/>
      <c r="I30" s="5"/>
      <c r="J30" s="5"/>
      <c r="K30" s="5"/>
      <c r="L30" s="5"/>
      <c r="M30" s="5"/>
      <c r="N30" s="5"/>
      <c r="O30" s="6"/>
    </row>
    <row r="31" spans="2:15" x14ac:dyDescent="0.25">
      <c r="B31" s="4"/>
      <c r="C31" s="293"/>
      <c r="D31" s="208"/>
      <c r="E31" s="333"/>
      <c r="F31" s="245"/>
      <c r="G31" s="5"/>
      <c r="H31" s="5"/>
      <c r="I31" s="5"/>
      <c r="J31" s="5"/>
      <c r="K31" s="5"/>
      <c r="L31" s="5"/>
      <c r="M31" s="5"/>
      <c r="N31" s="5"/>
      <c r="O31" s="6"/>
    </row>
    <row r="32" spans="2:15" x14ac:dyDescent="0.25">
      <c r="B32" s="9"/>
      <c r="C32" s="212"/>
      <c r="D32" s="212"/>
      <c r="E32" s="312"/>
      <c r="F32" s="320"/>
      <c r="G32" s="10"/>
      <c r="H32" s="10"/>
      <c r="I32" s="10"/>
      <c r="J32" s="10"/>
      <c r="K32" s="10"/>
      <c r="L32" s="10"/>
      <c r="M32" s="10"/>
      <c r="N32" s="10"/>
      <c r="O32" s="11"/>
    </row>
    <row r="35" spans="2:15" x14ac:dyDescent="0.25">
      <c r="B35" s="40" t="s">
        <v>87</v>
      </c>
      <c r="C35" s="202"/>
      <c r="D35" s="224"/>
    </row>
    <row r="36" spans="2:15" x14ac:dyDescent="0.25">
      <c r="B36" s="1"/>
      <c r="C36" s="205"/>
      <c r="D36" s="205"/>
      <c r="E36" s="310"/>
      <c r="F36" s="321"/>
      <c r="G36" s="2"/>
      <c r="H36" s="2"/>
      <c r="I36" s="2"/>
      <c r="J36" s="2"/>
      <c r="K36" s="2"/>
      <c r="L36" s="2"/>
      <c r="M36" s="2"/>
      <c r="N36" s="2"/>
      <c r="O36" s="3"/>
    </row>
    <row r="37" spans="2:15" x14ac:dyDescent="0.25">
      <c r="B37" s="4"/>
      <c r="C37" s="208"/>
      <c r="D37" s="208"/>
      <c r="E37" s="335" t="s">
        <v>226</v>
      </c>
      <c r="F37" s="322"/>
      <c r="G37" s="8"/>
      <c r="H37" s="34" t="s">
        <v>227</v>
      </c>
      <c r="I37" s="8"/>
      <c r="J37" s="8"/>
      <c r="K37" s="34" t="s">
        <v>225</v>
      </c>
      <c r="L37" s="8"/>
      <c r="M37" s="8"/>
      <c r="N37" s="8"/>
      <c r="O37" s="39"/>
    </row>
    <row r="38" spans="2:15" ht="30" x14ac:dyDescent="0.25">
      <c r="B38" s="4"/>
      <c r="C38" s="288" t="s">
        <v>293</v>
      </c>
      <c r="D38" s="208"/>
      <c r="E38" s="330" t="s">
        <v>1</v>
      </c>
      <c r="F38" s="215" t="s">
        <v>2</v>
      </c>
      <c r="G38" s="5"/>
      <c r="H38" s="298" t="s">
        <v>1</v>
      </c>
      <c r="I38" s="215" t="s">
        <v>2</v>
      </c>
      <c r="J38" s="8"/>
      <c r="K38" s="53" t="s">
        <v>11</v>
      </c>
      <c r="L38" s="53" t="s">
        <v>12</v>
      </c>
      <c r="M38" s="53"/>
      <c r="N38" s="53"/>
      <c r="O38" s="39"/>
    </row>
    <row r="39" spans="2:15" ht="30" x14ac:dyDescent="0.25">
      <c r="B39" s="4"/>
      <c r="C39" s="288" t="s">
        <v>292</v>
      </c>
      <c r="D39" s="208"/>
      <c r="E39" s="331" t="s">
        <v>88</v>
      </c>
      <c r="F39" s="216" t="s">
        <v>6</v>
      </c>
      <c r="G39" s="7"/>
      <c r="H39" s="198" t="s">
        <v>18</v>
      </c>
      <c r="I39" s="231" t="s">
        <v>6</v>
      </c>
      <c r="J39" s="8"/>
      <c r="K39" s="47" t="s">
        <v>161</v>
      </c>
      <c r="L39" s="50">
        <v>-3.49E-3</v>
      </c>
      <c r="M39" s="53"/>
      <c r="N39" s="53"/>
      <c r="O39" s="39"/>
    </row>
    <row r="40" spans="2:15" ht="30" x14ac:dyDescent="0.25">
      <c r="B40" s="4"/>
      <c r="C40" s="289" t="s">
        <v>318</v>
      </c>
      <c r="D40" s="208"/>
      <c r="E40" s="331" t="s">
        <v>89</v>
      </c>
      <c r="F40" s="216" t="s">
        <v>90</v>
      </c>
      <c r="G40" s="7"/>
      <c r="H40" s="198" t="s">
        <v>27</v>
      </c>
      <c r="I40" s="216" t="s">
        <v>91</v>
      </c>
      <c r="J40" s="8"/>
      <c r="K40" s="48" t="s">
        <v>145</v>
      </c>
      <c r="L40" s="51">
        <v>-2.6099999999999999E-3</v>
      </c>
      <c r="M40" s="53"/>
      <c r="N40" s="53"/>
      <c r="O40" s="39"/>
    </row>
    <row r="41" spans="2:15" x14ac:dyDescent="0.25">
      <c r="B41" s="4"/>
      <c r="C41" s="290"/>
      <c r="D41" s="208"/>
      <c r="E41" s="331"/>
      <c r="F41" s="216"/>
      <c r="G41" s="7"/>
      <c r="H41" s="198" t="s">
        <v>92</v>
      </c>
      <c r="I41" s="231">
        <v>2</v>
      </c>
      <c r="J41" s="8"/>
      <c r="K41" s="48" t="s">
        <v>94</v>
      </c>
      <c r="L41" s="51">
        <v>-1.5299999999999999E-3</v>
      </c>
      <c r="M41" s="53"/>
      <c r="N41" s="53"/>
      <c r="O41" s="39"/>
    </row>
    <row r="42" spans="2:15" x14ac:dyDescent="0.25">
      <c r="B42" s="4"/>
      <c r="C42" s="290"/>
      <c r="D42" s="208"/>
      <c r="E42" s="331"/>
      <c r="F42" s="216"/>
      <c r="G42" s="7"/>
      <c r="H42" s="198" t="s">
        <v>21</v>
      </c>
      <c r="I42" s="231" t="s">
        <v>22</v>
      </c>
      <c r="J42" s="8"/>
      <c r="K42" s="48" t="s">
        <v>56</v>
      </c>
      <c r="L42" s="51">
        <v>-1.4999999999999999E-4</v>
      </c>
      <c r="M42" s="53"/>
      <c r="N42" s="53"/>
      <c r="O42" s="39"/>
    </row>
    <row r="43" spans="2:15" x14ac:dyDescent="0.25">
      <c r="B43" s="4"/>
      <c r="C43" s="291"/>
      <c r="D43" s="208"/>
      <c r="E43" s="337"/>
      <c r="F43" s="324"/>
      <c r="G43" s="7"/>
      <c r="H43" s="299"/>
      <c r="I43" s="232"/>
      <c r="J43" s="8"/>
      <c r="K43" s="49"/>
      <c r="L43" s="52"/>
      <c r="M43" s="53"/>
      <c r="N43" s="53"/>
      <c r="O43" s="39"/>
    </row>
    <row r="44" spans="2:15" x14ac:dyDescent="0.25">
      <c r="B44" s="4"/>
      <c r="C44" s="208"/>
      <c r="D44" s="208"/>
      <c r="E44" s="314"/>
      <c r="F44" s="346"/>
      <c r="G44" s="7"/>
      <c r="H44" s="8"/>
      <c r="I44" s="8"/>
      <c r="J44" s="8"/>
      <c r="K44" s="163" t="s">
        <v>372</v>
      </c>
      <c r="L44" s="8"/>
      <c r="M44" s="8"/>
      <c r="N44" s="8"/>
      <c r="O44" s="39"/>
    </row>
    <row r="45" spans="2:15" x14ac:dyDescent="0.25">
      <c r="B45" s="9"/>
      <c r="C45" s="212"/>
      <c r="D45" s="212"/>
      <c r="E45" s="312"/>
      <c r="F45" s="320"/>
      <c r="G45" s="10"/>
      <c r="H45" s="10"/>
      <c r="I45" s="10"/>
      <c r="J45" s="10"/>
      <c r="K45" s="10"/>
      <c r="L45" s="10"/>
      <c r="M45" s="10"/>
      <c r="N45" s="10"/>
      <c r="O45" s="11"/>
    </row>
    <row r="48" spans="2:15" x14ac:dyDescent="0.25">
      <c r="B48" s="40" t="s">
        <v>95</v>
      </c>
      <c r="C48" s="202"/>
      <c r="D48" s="224"/>
    </row>
    <row r="49" spans="2:15" x14ac:dyDescent="0.25">
      <c r="B49" s="1"/>
      <c r="C49" s="205"/>
      <c r="D49" s="205"/>
      <c r="E49" s="310"/>
      <c r="F49" s="321"/>
      <c r="G49" s="2"/>
      <c r="H49" s="2"/>
      <c r="I49" s="2"/>
      <c r="J49" s="2"/>
      <c r="K49" s="2"/>
      <c r="L49" s="2"/>
      <c r="M49" s="2"/>
      <c r="N49" s="2"/>
      <c r="O49" s="3"/>
    </row>
    <row r="50" spans="2:15" x14ac:dyDescent="0.25">
      <c r="B50" s="4"/>
      <c r="C50" s="208"/>
      <c r="D50" s="208"/>
      <c r="E50" s="335" t="s">
        <v>96</v>
      </c>
      <c r="F50" s="322"/>
      <c r="G50" s="8"/>
      <c r="H50" s="34" t="s">
        <v>115</v>
      </c>
      <c r="I50" s="8"/>
      <c r="J50" s="8"/>
      <c r="K50" s="34" t="s">
        <v>116</v>
      </c>
      <c r="L50" s="8"/>
      <c r="M50" s="8"/>
      <c r="N50" s="8"/>
      <c r="O50" s="39"/>
    </row>
    <row r="51" spans="2:15" x14ac:dyDescent="0.25">
      <c r="B51" s="4"/>
      <c r="C51" s="208"/>
      <c r="D51" s="208"/>
      <c r="E51" s="330"/>
      <c r="F51" s="215"/>
      <c r="G51" s="5"/>
      <c r="H51" s="53" t="s">
        <v>11</v>
      </c>
      <c r="I51" s="53" t="s">
        <v>12</v>
      </c>
      <c r="J51" s="8"/>
      <c r="K51" s="53" t="s">
        <v>11</v>
      </c>
      <c r="L51" s="53" t="s">
        <v>12</v>
      </c>
      <c r="M51" s="53"/>
      <c r="N51" s="53"/>
      <c r="O51" s="39"/>
    </row>
    <row r="52" spans="2:15" x14ac:dyDescent="0.25">
      <c r="B52" s="4"/>
      <c r="C52" s="208"/>
      <c r="D52" s="208"/>
      <c r="E52" s="331"/>
      <c r="F52" s="216"/>
      <c r="G52" s="7"/>
      <c r="H52" s="47"/>
      <c r="I52" s="50"/>
      <c r="J52" s="8"/>
      <c r="K52" s="47"/>
      <c r="L52" s="50"/>
      <c r="M52" s="53"/>
      <c r="N52" s="53"/>
      <c r="O52" s="39"/>
    </row>
    <row r="53" spans="2:15" x14ac:dyDescent="0.25">
      <c r="B53" s="4"/>
      <c r="C53" s="208"/>
      <c r="D53" s="208"/>
      <c r="E53" s="331"/>
      <c r="F53" s="216"/>
      <c r="G53" s="7"/>
      <c r="H53" s="48"/>
      <c r="I53" s="51"/>
      <c r="J53" s="8"/>
      <c r="K53" s="48"/>
      <c r="L53" s="51"/>
      <c r="M53" s="53"/>
      <c r="N53" s="53"/>
      <c r="O53" s="39"/>
    </row>
    <row r="54" spans="2:15" x14ac:dyDescent="0.25">
      <c r="B54" s="4"/>
      <c r="C54" s="208"/>
      <c r="D54" s="208"/>
      <c r="E54" s="331"/>
      <c r="F54" s="216"/>
      <c r="G54" s="7"/>
      <c r="H54" s="48"/>
      <c r="I54" s="51"/>
      <c r="J54" s="8"/>
      <c r="K54" s="48"/>
      <c r="L54" s="51"/>
      <c r="M54" s="53"/>
      <c r="N54" s="53"/>
      <c r="O54" s="39"/>
    </row>
    <row r="55" spans="2:15" x14ac:dyDescent="0.25">
      <c r="B55" s="4"/>
      <c r="C55" s="208"/>
      <c r="D55" s="208"/>
      <c r="E55" s="331"/>
      <c r="F55" s="216"/>
      <c r="G55" s="7"/>
      <c r="H55" s="48"/>
      <c r="I55" s="51"/>
      <c r="J55" s="8"/>
      <c r="K55" s="48"/>
      <c r="L55" s="51"/>
      <c r="M55" s="53"/>
      <c r="N55" s="53"/>
      <c r="O55" s="39"/>
    </row>
    <row r="56" spans="2:15" x14ac:dyDescent="0.25">
      <c r="B56" s="4"/>
      <c r="C56" s="208"/>
      <c r="D56" s="208"/>
      <c r="E56" s="331"/>
      <c r="F56" s="216"/>
      <c r="G56" s="7"/>
      <c r="H56" s="48"/>
      <c r="I56" s="51"/>
      <c r="J56" s="8"/>
      <c r="K56" s="48"/>
      <c r="L56" s="51"/>
      <c r="M56" s="53"/>
      <c r="N56" s="53"/>
      <c r="O56" s="39"/>
    </row>
    <row r="57" spans="2:15" x14ac:dyDescent="0.25">
      <c r="B57" s="4"/>
      <c r="C57" s="208"/>
      <c r="D57" s="208"/>
      <c r="E57" s="331"/>
      <c r="F57" s="216"/>
      <c r="G57" s="7"/>
      <c r="H57" s="48"/>
      <c r="I57" s="51"/>
      <c r="J57" s="8"/>
      <c r="K57" s="48"/>
      <c r="L57" s="51"/>
      <c r="M57" s="53"/>
      <c r="N57" s="53"/>
      <c r="O57" s="39"/>
    </row>
    <row r="58" spans="2:15" x14ac:dyDescent="0.25">
      <c r="B58" s="4"/>
      <c r="C58" s="208"/>
      <c r="D58" s="208"/>
      <c r="E58" s="331"/>
      <c r="F58" s="216"/>
      <c r="G58" s="7"/>
      <c r="H58" s="48"/>
      <c r="I58" s="51"/>
      <c r="J58" s="8"/>
      <c r="K58" s="48"/>
      <c r="L58" s="51"/>
      <c r="M58" s="53"/>
      <c r="N58" s="53"/>
      <c r="O58" s="39"/>
    </row>
    <row r="59" spans="2:15" x14ac:dyDescent="0.25">
      <c r="B59" s="4"/>
      <c r="C59" s="208"/>
      <c r="D59" s="208"/>
      <c r="E59" s="331"/>
      <c r="F59" s="216"/>
      <c r="G59" s="7"/>
      <c r="H59" s="48"/>
      <c r="I59" s="51"/>
      <c r="J59" s="8"/>
      <c r="K59" s="48"/>
      <c r="L59" s="51"/>
      <c r="M59" s="53"/>
      <c r="N59" s="53"/>
      <c r="O59" s="39"/>
    </row>
    <row r="60" spans="2:15" x14ac:dyDescent="0.25">
      <c r="B60" s="4"/>
      <c r="C60" s="208"/>
      <c r="D60" s="208"/>
      <c r="E60" s="331"/>
      <c r="F60" s="216"/>
      <c r="G60" s="7"/>
      <c r="H60" s="48"/>
      <c r="I60" s="51"/>
      <c r="J60" s="8"/>
      <c r="K60" s="48"/>
      <c r="L60" s="51"/>
      <c r="M60" s="53"/>
      <c r="N60" s="53"/>
      <c r="O60" s="39"/>
    </row>
    <row r="61" spans="2:15" x14ac:dyDescent="0.25">
      <c r="B61" s="4"/>
      <c r="C61" s="208"/>
      <c r="D61" s="208"/>
      <c r="E61" s="331"/>
      <c r="F61" s="216"/>
      <c r="G61" s="7"/>
      <c r="H61" s="48"/>
      <c r="I61" s="51"/>
      <c r="J61" s="8"/>
      <c r="K61" s="48"/>
      <c r="L61" s="51"/>
      <c r="M61" s="53"/>
      <c r="N61" s="53"/>
      <c r="O61" s="39"/>
    </row>
    <row r="62" spans="2:15" x14ac:dyDescent="0.25">
      <c r="B62" s="4"/>
      <c r="C62" s="208"/>
      <c r="D62" s="208"/>
      <c r="E62" s="331"/>
      <c r="F62" s="216"/>
      <c r="G62" s="7"/>
      <c r="H62" s="48"/>
      <c r="I62" s="51"/>
      <c r="J62" s="8"/>
      <c r="K62" s="48"/>
      <c r="L62" s="51"/>
      <c r="M62" s="53"/>
      <c r="N62" s="53"/>
      <c r="O62" s="39"/>
    </row>
    <row r="63" spans="2:15" x14ac:dyDescent="0.25">
      <c r="B63" s="4"/>
      <c r="C63" s="208"/>
      <c r="D63" s="208"/>
      <c r="E63" s="331"/>
      <c r="F63" s="216"/>
      <c r="G63" s="7"/>
      <c r="H63" s="48"/>
      <c r="I63" s="51"/>
      <c r="J63" s="8"/>
      <c r="K63" s="48"/>
      <c r="L63" s="51"/>
      <c r="M63" s="53"/>
      <c r="N63" s="53"/>
      <c r="O63" s="39"/>
    </row>
    <row r="64" spans="2:15" x14ac:dyDescent="0.25">
      <c r="B64" s="4"/>
      <c r="C64" s="208"/>
      <c r="D64" s="208"/>
      <c r="E64" s="337"/>
      <c r="F64" s="324"/>
      <c r="G64" s="7"/>
      <c r="H64" s="49"/>
      <c r="I64" s="52"/>
      <c r="J64" s="8"/>
      <c r="K64" s="49"/>
      <c r="L64" s="52"/>
      <c r="M64" s="53"/>
      <c r="N64" s="53"/>
      <c r="O64" s="39"/>
    </row>
    <row r="65" spans="2:15" x14ac:dyDescent="0.25">
      <c r="B65" s="4"/>
      <c r="C65" s="208"/>
      <c r="D65" s="208"/>
      <c r="E65" s="314"/>
      <c r="F65" s="346"/>
      <c r="G65" s="7"/>
      <c r="H65" s="8"/>
      <c r="I65" s="8"/>
      <c r="J65" s="8"/>
      <c r="K65" s="8"/>
      <c r="L65" s="8"/>
      <c r="M65" s="53"/>
      <c r="N65" s="53"/>
      <c r="O65" s="39"/>
    </row>
    <row r="66" spans="2:15" x14ac:dyDescent="0.25">
      <c r="B66" s="9"/>
      <c r="C66" s="212"/>
      <c r="D66" s="212"/>
      <c r="E66" s="312"/>
      <c r="F66" s="320"/>
      <c r="G66" s="10"/>
      <c r="H66" s="10"/>
      <c r="I66" s="10"/>
      <c r="J66" s="10"/>
      <c r="K66" s="10"/>
      <c r="L66" s="10"/>
      <c r="M66" s="10"/>
      <c r="N66" s="10"/>
      <c r="O66" s="11"/>
    </row>
    <row r="69" spans="2:15" x14ac:dyDescent="0.25">
      <c r="B69" s="40" t="s">
        <v>99</v>
      </c>
      <c r="C69" s="202"/>
      <c r="D69" s="224"/>
    </row>
    <row r="70" spans="2:15" x14ac:dyDescent="0.25">
      <c r="B70" s="1"/>
      <c r="C70" s="205"/>
      <c r="D70" s="205"/>
      <c r="E70" s="310"/>
      <c r="F70" s="321"/>
      <c r="G70" s="2"/>
      <c r="H70" s="2"/>
      <c r="I70" s="2"/>
      <c r="J70" s="2"/>
      <c r="K70" s="2"/>
      <c r="L70" s="2"/>
      <c r="M70" s="2"/>
      <c r="N70" s="2"/>
      <c r="O70" s="3"/>
    </row>
    <row r="71" spans="2:15" x14ac:dyDescent="0.25">
      <c r="B71" s="4"/>
      <c r="C71" s="208"/>
      <c r="D71" s="208"/>
      <c r="E71" s="335" t="s">
        <v>100</v>
      </c>
      <c r="F71" s="322"/>
      <c r="G71" s="8"/>
      <c r="H71" s="34" t="s">
        <v>103</v>
      </c>
      <c r="I71" s="8"/>
      <c r="J71" s="8"/>
      <c r="K71" s="8"/>
      <c r="L71" s="8"/>
      <c r="M71" s="8"/>
      <c r="N71" s="8"/>
      <c r="O71" s="39"/>
    </row>
    <row r="72" spans="2:15" ht="30" x14ac:dyDescent="0.25">
      <c r="B72" s="4"/>
      <c r="C72" s="288" t="s">
        <v>293</v>
      </c>
      <c r="D72" s="208"/>
      <c r="E72" s="330" t="s">
        <v>3</v>
      </c>
      <c r="F72" s="215" t="s">
        <v>2</v>
      </c>
      <c r="G72" s="5"/>
      <c r="H72" s="72" t="s">
        <v>117</v>
      </c>
      <c r="I72" s="72" t="s">
        <v>13</v>
      </c>
      <c r="J72" s="72" t="s">
        <v>14</v>
      </c>
      <c r="K72" s="72" t="s">
        <v>12</v>
      </c>
      <c r="L72" s="72" t="s">
        <v>102</v>
      </c>
      <c r="M72" s="79"/>
      <c r="N72" s="79"/>
      <c r="O72" s="39"/>
    </row>
    <row r="73" spans="2:15" ht="30" x14ac:dyDescent="0.25">
      <c r="B73" s="4"/>
      <c r="C73" s="288" t="s">
        <v>292</v>
      </c>
      <c r="D73" s="208"/>
      <c r="E73" s="331" t="s">
        <v>7</v>
      </c>
      <c r="F73" s="216" t="s">
        <v>124</v>
      </c>
      <c r="G73" s="174">
        <v>4</v>
      </c>
      <c r="H73" s="54" t="s">
        <v>207</v>
      </c>
      <c r="I73" s="55">
        <v>42634</v>
      </c>
      <c r="J73" s="55">
        <v>42725</v>
      </c>
      <c r="K73" s="56">
        <v>100.28</v>
      </c>
      <c r="L73" s="57">
        <v>5.1399999999999996E-3</v>
      </c>
      <c r="M73" s="79"/>
      <c r="N73" s="79"/>
      <c r="O73" s="39"/>
    </row>
    <row r="74" spans="2:15" ht="30" x14ac:dyDescent="0.25">
      <c r="B74" s="4"/>
      <c r="C74" s="288" t="s">
        <v>295</v>
      </c>
      <c r="D74" s="208"/>
      <c r="E74" s="331" t="s">
        <v>15</v>
      </c>
      <c r="F74" s="216" t="s">
        <v>101</v>
      </c>
      <c r="G74" s="174">
        <f>G73+1</f>
        <v>5</v>
      </c>
      <c r="H74" s="58" t="s">
        <v>208</v>
      </c>
      <c r="I74" s="55">
        <v>42662</v>
      </c>
      <c r="J74" s="55">
        <v>42753</v>
      </c>
      <c r="K74" s="56">
        <v>100.285</v>
      </c>
      <c r="L74" s="57">
        <v>5.1399999999999996E-3</v>
      </c>
      <c r="M74" s="79"/>
      <c r="N74" s="79"/>
      <c r="O74" s="39"/>
    </row>
    <row r="75" spans="2:15" ht="30" x14ac:dyDescent="0.25">
      <c r="B75" s="4"/>
      <c r="C75" s="288" t="s">
        <v>318</v>
      </c>
      <c r="D75" s="208"/>
      <c r="E75" s="331" t="s">
        <v>23</v>
      </c>
      <c r="F75" s="241" t="s">
        <v>22</v>
      </c>
      <c r="G75" s="174">
        <f t="shared" ref="G75:G81" si="0">G74+1</f>
        <v>6</v>
      </c>
      <c r="H75" s="59" t="s">
        <v>209</v>
      </c>
      <c r="I75" s="60">
        <v>42690</v>
      </c>
      <c r="J75" s="60">
        <v>42781</v>
      </c>
      <c r="K75" s="61">
        <v>100.29</v>
      </c>
      <c r="L75" s="62">
        <v>5.1399999999999996E-3</v>
      </c>
      <c r="M75" s="79"/>
      <c r="N75" s="79"/>
      <c r="O75" s="39"/>
    </row>
    <row r="76" spans="2:15" ht="45" x14ac:dyDescent="0.25">
      <c r="B76" s="4"/>
      <c r="C76" s="288" t="s">
        <v>320</v>
      </c>
      <c r="D76" s="208"/>
      <c r="E76" s="331" t="s">
        <v>164</v>
      </c>
      <c r="F76" s="236">
        <v>0.03</v>
      </c>
      <c r="G76" s="174">
        <f t="shared" si="0"/>
        <v>7</v>
      </c>
      <c r="H76" s="59" t="s">
        <v>210</v>
      </c>
      <c r="I76" s="60">
        <v>42725</v>
      </c>
      <c r="J76" s="60">
        <v>42809</v>
      </c>
      <c r="K76" s="61">
        <v>100.295</v>
      </c>
      <c r="L76" s="62">
        <v>5.1399999999999996E-3</v>
      </c>
      <c r="M76" s="79"/>
      <c r="N76" s="79"/>
      <c r="O76" s="39"/>
    </row>
    <row r="77" spans="2:15" ht="30" x14ac:dyDescent="0.25">
      <c r="B77" s="4"/>
      <c r="C77" s="288" t="s">
        <v>321</v>
      </c>
      <c r="D77" s="208"/>
      <c r="E77" s="331" t="s">
        <v>97</v>
      </c>
      <c r="F77" s="216" t="b">
        <f>ApplyTension</f>
        <v>1</v>
      </c>
      <c r="G77" s="174">
        <f t="shared" si="0"/>
        <v>8</v>
      </c>
      <c r="H77" s="59" t="s">
        <v>211</v>
      </c>
      <c r="I77" s="60">
        <v>42809</v>
      </c>
      <c r="J77" s="60">
        <v>42907</v>
      </c>
      <c r="K77" s="61">
        <v>100.3</v>
      </c>
      <c r="L77" s="62">
        <v>5.1399999999999996E-3</v>
      </c>
      <c r="M77" s="79"/>
      <c r="N77" s="79"/>
      <c r="O77" s="39"/>
    </row>
    <row r="78" spans="2:15" ht="30" x14ac:dyDescent="0.25">
      <c r="B78" s="4"/>
      <c r="C78" s="289" t="s">
        <v>322</v>
      </c>
      <c r="D78" s="208"/>
      <c r="E78" s="331" t="s">
        <v>98</v>
      </c>
      <c r="F78" s="216">
        <v>2</v>
      </c>
      <c r="G78" s="174">
        <f t="shared" si="0"/>
        <v>9</v>
      </c>
      <c r="H78" s="59" t="s">
        <v>212</v>
      </c>
      <c r="I78" s="60">
        <v>42907</v>
      </c>
      <c r="J78" s="60">
        <v>42998</v>
      </c>
      <c r="K78" s="61">
        <v>100.30500000000001</v>
      </c>
      <c r="L78" s="62">
        <v>5.1399999999999996E-3</v>
      </c>
      <c r="M78" s="79"/>
      <c r="N78" s="79"/>
      <c r="O78" s="39"/>
    </row>
    <row r="79" spans="2:15" x14ac:dyDescent="0.25">
      <c r="B79" s="4"/>
      <c r="C79" s="290"/>
      <c r="D79" s="208"/>
      <c r="E79" s="331"/>
      <c r="F79" s="216"/>
      <c r="G79" s="174">
        <f t="shared" si="0"/>
        <v>10</v>
      </c>
      <c r="H79" s="59" t="s">
        <v>213</v>
      </c>
      <c r="I79" s="60">
        <v>42998</v>
      </c>
      <c r="J79" s="60">
        <v>43089</v>
      </c>
      <c r="K79" s="61">
        <v>100.30500000000001</v>
      </c>
      <c r="L79" s="62">
        <v>5.1399999999999996E-3</v>
      </c>
      <c r="M79" s="79"/>
      <c r="N79" s="79"/>
      <c r="O79" s="39"/>
    </row>
    <row r="80" spans="2:15" x14ac:dyDescent="0.25">
      <c r="B80" s="4"/>
      <c r="C80" s="290"/>
      <c r="D80" s="208"/>
      <c r="E80" s="331"/>
      <c r="F80" s="216"/>
      <c r="G80" s="174">
        <f t="shared" si="0"/>
        <v>11</v>
      </c>
      <c r="H80" s="59" t="s">
        <v>214</v>
      </c>
      <c r="I80" s="60">
        <v>43089</v>
      </c>
      <c r="J80" s="60">
        <v>43180</v>
      </c>
      <c r="K80" s="61">
        <v>100.3</v>
      </c>
      <c r="L80" s="62">
        <v>5.1399999999999996E-3</v>
      </c>
      <c r="M80" s="79"/>
      <c r="N80" s="79"/>
      <c r="O80" s="39"/>
    </row>
    <row r="81" spans="2:18" x14ac:dyDescent="0.25">
      <c r="B81" s="4"/>
      <c r="C81" s="290"/>
      <c r="D81" s="208"/>
      <c r="E81" s="331"/>
      <c r="F81" s="216"/>
      <c r="G81" s="174">
        <f t="shared" si="0"/>
        <v>12</v>
      </c>
      <c r="H81" s="59" t="s">
        <v>215</v>
      </c>
      <c r="I81" s="60">
        <v>43180</v>
      </c>
      <c r="J81" s="60">
        <v>43271</v>
      </c>
      <c r="K81" s="61">
        <v>100.285</v>
      </c>
      <c r="L81" s="62">
        <v>5.1399999999999996E-3</v>
      </c>
      <c r="M81" s="79"/>
      <c r="N81" s="79"/>
      <c r="O81" s="39"/>
    </row>
    <row r="82" spans="2:18" x14ac:dyDescent="0.25">
      <c r="B82" s="4"/>
      <c r="C82" s="290"/>
      <c r="D82" s="208"/>
      <c r="E82" s="331"/>
      <c r="F82" s="216"/>
      <c r="G82" s="7"/>
      <c r="H82" s="63"/>
      <c r="I82" s="60"/>
      <c r="J82" s="60"/>
      <c r="K82" s="64"/>
      <c r="L82" s="62"/>
      <c r="M82" s="79"/>
      <c r="N82" s="79"/>
      <c r="O82" s="39"/>
    </row>
    <row r="83" spans="2:18" x14ac:dyDescent="0.25">
      <c r="B83" s="4"/>
      <c r="C83" s="290"/>
      <c r="D83" s="208"/>
      <c r="E83" s="331"/>
      <c r="F83" s="216"/>
      <c r="G83" s="7"/>
      <c r="H83" s="65"/>
      <c r="I83" s="66"/>
      <c r="J83" s="66"/>
      <c r="K83" s="64"/>
      <c r="L83" s="67"/>
      <c r="M83" s="79"/>
      <c r="N83" s="79"/>
      <c r="O83" s="39"/>
      <c r="Q83" s="164"/>
      <c r="R83" s="164"/>
    </row>
    <row r="84" spans="2:18" x14ac:dyDescent="0.25">
      <c r="B84" s="4"/>
      <c r="C84" s="290"/>
      <c r="D84" s="208"/>
      <c r="E84" s="331"/>
      <c r="F84" s="216"/>
      <c r="G84" s="7"/>
      <c r="H84" s="65"/>
      <c r="I84" s="66"/>
      <c r="J84" s="66"/>
      <c r="K84" s="64"/>
      <c r="L84" s="67"/>
      <c r="M84" s="79"/>
      <c r="N84" s="79"/>
      <c r="O84" s="39"/>
    </row>
    <row r="85" spans="2:18" x14ac:dyDescent="0.25">
      <c r="B85" s="4"/>
      <c r="C85" s="291"/>
      <c r="D85" s="208"/>
      <c r="E85" s="337"/>
      <c r="F85" s="347"/>
      <c r="G85" s="7"/>
      <c r="H85" s="68"/>
      <c r="I85" s="69"/>
      <c r="J85" s="69"/>
      <c r="K85" s="70"/>
      <c r="L85" s="71"/>
      <c r="M85" s="79"/>
      <c r="N85" s="79"/>
      <c r="O85" s="39"/>
    </row>
    <row r="86" spans="2:18" x14ac:dyDescent="0.25">
      <c r="B86" s="4"/>
      <c r="C86" s="208"/>
      <c r="D86" s="208"/>
      <c r="E86" s="314"/>
      <c r="F86" s="346"/>
      <c r="G86" s="7"/>
      <c r="H86" s="8"/>
      <c r="I86" s="8"/>
      <c r="J86" s="8"/>
      <c r="K86" s="8"/>
      <c r="L86" s="8"/>
      <c r="M86" s="79"/>
      <c r="N86" s="79"/>
      <c r="O86" s="39"/>
    </row>
    <row r="87" spans="2:18" x14ac:dyDescent="0.25">
      <c r="B87" s="9"/>
      <c r="C87" s="212"/>
      <c r="D87" s="212"/>
      <c r="E87" s="312"/>
      <c r="F87" s="320"/>
      <c r="G87" s="10"/>
      <c r="H87" s="10"/>
      <c r="I87" s="10"/>
      <c r="J87" s="10"/>
      <c r="K87" s="10"/>
      <c r="L87" s="10"/>
      <c r="M87" s="10"/>
      <c r="N87" s="10"/>
      <c r="O87" s="11"/>
    </row>
    <row r="90" spans="2:18" x14ac:dyDescent="0.25">
      <c r="B90" s="40" t="s">
        <v>104</v>
      </c>
      <c r="C90" s="202"/>
      <c r="D90" s="224"/>
    </row>
    <row r="91" spans="2:18" x14ac:dyDescent="0.25">
      <c r="B91" s="1"/>
      <c r="C91" s="205"/>
      <c r="D91" s="205"/>
      <c r="E91" s="310"/>
      <c r="F91" s="321"/>
      <c r="G91" s="2"/>
      <c r="H91" s="2"/>
      <c r="I91" s="2"/>
      <c r="J91" s="2"/>
      <c r="K91" s="2"/>
      <c r="L91" s="2"/>
      <c r="M91" s="2"/>
      <c r="N91" s="2"/>
      <c r="O91" s="3"/>
    </row>
    <row r="92" spans="2:18" x14ac:dyDescent="0.25">
      <c r="B92" s="4"/>
      <c r="C92" s="208"/>
      <c r="D92" s="208"/>
      <c r="E92" s="335" t="s">
        <v>105</v>
      </c>
      <c r="F92" s="322"/>
      <c r="G92" s="8"/>
      <c r="H92" s="34" t="s">
        <v>106</v>
      </c>
      <c r="I92" s="8"/>
      <c r="J92" s="8"/>
      <c r="K92" s="8"/>
      <c r="L92" s="8"/>
      <c r="M92" s="8"/>
      <c r="N92" s="8"/>
      <c r="O92" s="39"/>
    </row>
    <row r="93" spans="2:18" ht="30" x14ac:dyDescent="0.25">
      <c r="B93" s="4"/>
      <c r="C93" s="288" t="s">
        <v>293</v>
      </c>
      <c r="D93" s="208"/>
      <c r="E93" s="345" t="s">
        <v>1</v>
      </c>
      <c r="F93" s="215" t="s">
        <v>2</v>
      </c>
      <c r="G93" s="5"/>
      <c r="H93" s="53" t="s">
        <v>11</v>
      </c>
      <c r="I93" s="53" t="s">
        <v>12</v>
      </c>
      <c r="J93" s="53" t="s">
        <v>8</v>
      </c>
      <c r="K93" s="8"/>
      <c r="L93" s="8"/>
      <c r="M93" s="8"/>
      <c r="N93" s="8"/>
      <c r="O93" s="39"/>
    </row>
    <row r="94" spans="2:18" ht="30" x14ac:dyDescent="0.25">
      <c r="B94" s="4"/>
      <c r="C94" s="288" t="s">
        <v>292</v>
      </c>
      <c r="D94" s="208"/>
      <c r="E94" s="332" t="s">
        <v>88</v>
      </c>
      <c r="F94" s="216" t="s">
        <v>20</v>
      </c>
      <c r="G94" s="7"/>
      <c r="H94" s="76" t="s">
        <v>43</v>
      </c>
      <c r="I94" s="73">
        <v>-2.65E-3</v>
      </c>
      <c r="J94" s="50" t="b">
        <v>1</v>
      </c>
      <c r="K94" s="175"/>
      <c r="L94" s="175"/>
      <c r="M94" s="175"/>
      <c r="N94" s="175"/>
      <c r="O94" s="39"/>
    </row>
    <row r="95" spans="2:18" ht="30" x14ac:dyDescent="0.25">
      <c r="B95" s="4"/>
      <c r="C95" s="288" t="s">
        <v>316</v>
      </c>
      <c r="D95" s="208"/>
      <c r="E95" s="332" t="s">
        <v>107</v>
      </c>
      <c r="F95" s="216" t="s">
        <v>6</v>
      </c>
      <c r="G95" s="7"/>
      <c r="H95" s="14" t="s">
        <v>50</v>
      </c>
      <c r="I95" s="74">
        <v>-2.0500000000000002E-3</v>
      </c>
      <c r="J95" s="51" t="b">
        <v>1</v>
      </c>
      <c r="K95" s="175"/>
      <c r="L95" s="175"/>
      <c r="M95" s="175"/>
      <c r="N95" s="175"/>
      <c r="O95" s="39"/>
    </row>
    <row r="96" spans="2:18" ht="30" x14ac:dyDescent="0.25">
      <c r="B96" s="4"/>
      <c r="C96" s="288" t="s">
        <v>294</v>
      </c>
      <c r="D96" s="208"/>
      <c r="E96" s="332" t="s">
        <v>27</v>
      </c>
      <c r="F96" s="216" t="s">
        <v>26</v>
      </c>
      <c r="G96" s="7"/>
      <c r="H96" s="14" t="s">
        <v>52</v>
      </c>
      <c r="I96" s="74">
        <v>-1.2475000000000001E-3</v>
      </c>
      <c r="J96" s="51" t="b">
        <v>1</v>
      </c>
      <c r="K96" s="175"/>
      <c r="L96" s="175"/>
      <c r="M96" s="175"/>
      <c r="N96" s="175"/>
      <c r="O96" s="39"/>
    </row>
    <row r="97" spans="2:17" ht="30" x14ac:dyDescent="0.25">
      <c r="B97" s="4"/>
      <c r="C97" s="288" t="s">
        <v>317</v>
      </c>
      <c r="D97" s="208"/>
      <c r="E97" s="332" t="s">
        <v>109</v>
      </c>
      <c r="F97" s="216" t="s">
        <v>28</v>
      </c>
      <c r="G97" s="7"/>
      <c r="H97" s="14" t="s">
        <v>54</v>
      </c>
      <c r="I97" s="74">
        <v>-2.4750000000000011E-4</v>
      </c>
      <c r="J97" s="51" t="b">
        <v>1</v>
      </c>
      <c r="K97" s="175"/>
      <c r="L97" s="175"/>
      <c r="M97" s="175"/>
      <c r="N97" s="175"/>
      <c r="O97" s="39"/>
    </row>
    <row r="98" spans="2:17" ht="30" x14ac:dyDescent="0.25">
      <c r="B98" s="4"/>
      <c r="C98" s="287" t="s">
        <v>291</v>
      </c>
      <c r="D98" s="208"/>
      <c r="E98" s="332" t="s">
        <v>110</v>
      </c>
      <c r="F98" s="246" t="str">
        <f>interpolationFunction</f>
        <v>fn_SplineInterpolation</v>
      </c>
      <c r="G98" s="7"/>
      <c r="H98" s="14" t="s">
        <v>55</v>
      </c>
      <c r="I98" s="74">
        <v>9.0249999999999966E-4</v>
      </c>
      <c r="J98" s="51" t="b">
        <v>1</v>
      </c>
      <c r="K98" s="175"/>
      <c r="L98" s="175"/>
      <c r="M98" s="175"/>
      <c r="N98" s="175"/>
      <c r="O98" s="39"/>
    </row>
    <row r="99" spans="2:17" ht="30" x14ac:dyDescent="0.25">
      <c r="B99" s="4"/>
      <c r="C99" s="288" t="s">
        <v>296</v>
      </c>
      <c r="D99" s="208"/>
      <c r="E99" s="332" t="s">
        <v>93</v>
      </c>
      <c r="F99" s="216" t="b">
        <v>1</v>
      </c>
      <c r="G99" s="7"/>
      <c r="H99" s="14" t="s">
        <v>57</v>
      </c>
      <c r="I99" s="74">
        <v>2.1275000000000001E-3</v>
      </c>
      <c r="J99" s="51" t="b">
        <v>1</v>
      </c>
      <c r="K99" s="175"/>
      <c r="L99" s="175"/>
      <c r="M99" s="175"/>
      <c r="N99" s="175"/>
      <c r="O99" s="39"/>
    </row>
    <row r="100" spans="2:17" ht="30" x14ac:dyDescent="0.25">
      <c r="B100" s="4"/>
      <c r="C100" s="288" t="s">
        <v>297</v>
      </c>
      <c r="D100" s="208"/>
      <c r="E100" s="332" t="s">
        <v>216</v>
      </c>
      <c r="F100" s="216">
        <v>31</v>
      </c>
      <c r="G100" s="7"/>
      <c r="H100" s="14" t="s">
        <v>59</v>
      </c>
      <c r="I100" s="74">
        <v>3.3224999999999999E-3</v>
      </c>
      <c r="J100" s="51" t="b">
        <v>1</v>
      </c>
      <c r="K100" s="175"/>
      <c r="L100" s="175"/>
      <c r="M100" s="175"/>
      <c r="N100" s="175"/>
      <c r="O100" s="39"/>
    </row>
    <row r="101" spans="2:17" ht="30" x14ac:dyDescent="0.25">
      <c r="B101" s="4"/>
      <c r="C101" s="288" t="s">
        <v>295</v>
      </c>
      <c r="D101" s="208"/>
      <c r="E101" s="332" t="s">
        <v>92</v>
      </c>
      <c r="F101" s="216">
        <v>2</v>
      </c>
      <c r="G101" s="7"/>
      <c r="H101" s="14" t="s">
        <v>60</v>
      </c>
      <c r="I101" s="74">
        <v>4.4425000000000003E-3</v>
      </c>
      <c r="J101" s="51" t="b">
        <v>1</v>
      </c>
      <c r="K101" s="175"/>
      <c r="L101" s="175"/>
      <c r="M101" s="175"/>
      <c r="N101" s="175"/>
      <c r="O101" s="39"/>
    </row>
    <row r="102" spans="2:17" ht="30" x14ac:dyDescent="0.25">
      <c r="B102" s="4"/>
      <c r="C102" s="288" t="s">
        <v>318</v>
      </c>
      <c r="D102" s="208"/>
      <c r="E102" s="332" t="s">
        <v>21</v>
      </c>
      <c r="F102" s="230" t="s">
        <v>22</v>
      </c>
      <c r="G102" s="7"/>
      <c r="H102" s="14" t="s">
        <v>61</v>
      </c>
      <c r="I102" s="74">
        <v>5.43334E-3</v>
      </c>
      <c r="J102" s="51" t="b">
        <v>1</v>
      </c>
      <c r="K102" s="175"/>
      <c r="L102" s="175"/>
      <c r="M102" s="175"/>
      <c r="N102" s="175"/>
      <c r="O102" s="39"/>
    </row>
    <row r="103" spans="2:17" ht="30" x14ac:dyDescent="0.25">
      <c r="B103" s="4"/>
      <c r="C103" s="288" t="s">
        <v>319</v>
      </c>
      <c r="D103" s="208"/>
      <c r="E103" s="332" t="s">
        <v>111</v>
      </c>
      <c r="F103" s="216" t="b">
        <v>1</v>
      </c>
      <c r="G103" s="7"/>
      <c r="H103" s="14" t="s">
        <v>62</v>
      </c>
      <c r="I103" s="74">
        <v>6.3458400000000002E-3</v>
      </c>
      <c r="J103" s="51" t="b">
        <v>1</v>
      </c>
      <c r="K103" s="175"/>
      <c r="L103" s="175"/>
      <c r="M103" s="175"/>
      <c r="N103" s="175"/>
      <c r="O103" s="39"/>
    </row>
    <row r="104" spans="2:17" ht="30" x14ac:dyDescent="0.25">
      <c r="B104" s="4"/>
      <c r="C104" s="288" t="s">
        <v>357</v>
      </c>
      <c r="D104" s="208"/>
      <c r="E104" s="332" t="s">
        <v>112</v>
      </c>
      <c r="F104" s="216" t="b">
        <v>1</v>
      </c>
      <c r="G104" s="7"/>
      <c r="H104" s="14" t="s">
        <v>63</v>
      </c>
      <c r="I104" s="74">
        <v>8.432499999999999E-3</v>
      </c>
      <c r="J104" s="51" t="b">
        <v>1</v>
      </c>
      <c r="K104" s="175"/>
      <c r="L104" s="175"/>
      <c r="M104" s="175"/>
      <c r="N104" s="175"/>
      <c r="O104" s="39"/>
    </row>
    <row r="105" spans="2:17" ht="30" x14ac:dyDescent="0.25">
      <c r="B105" s="4"/>
      <c r="C105" s="288" t="s">
        <v>303</v>
      </c>
      <c r="D105" s="208"/>
      <c r="E105" s="332" t="s">
        <v>113</v>
      </c>
      <c r="F105" s="218">
        <v>1.0000000000000001E-9</v>
      </c>
      <c r="G105" s="7"/>
      <c r="H105" s="14" t="s">
        <v>64</v>
      </c>
      <c r="I105" s="74">
        <v>1.0167500000000001E-2</v>
      </c>
      <c r="J105" s="51" t="b">
        <v>1</v>
      </c>
      <c r="K105" s="175"/>
      <c r="L105" s="175"/>
      <c r="M105" s="175"/>
      <c r="N105" s="175"/>
      <c r="O105" s="39"/>
    </row>
    <row r="106" spans="2:17" ht="30" x14ac:dyDescent="0.25">
      <c r="B106" s="4"/>
      <c r="C106" s="289" t="s">
        <v>304</v>
      </c>
      <c r="D106" s="208"/>
      <c r="E106" s="332" t="s">
        <v>114</v>
      </c>
      <c r="F106" s="242">
        <v>1000</v>
      </c>
      <c r="G106" s="7"/>
      <c r="H106" s="14" t="s">
        <v>65</v>
      </c>
      <c r="I106" s="74">
        <v>1.069667E-2</v>
      </c>
      <c r="J106" s="51" t="b">
        <v>1</v>
      </c>
      <c r="K106" s="175"/>
      <c r="L106" s="175"/>
      <c r="M106" s="175"/>
      <c r="N106" s="175"/>
      <c r="O106" s="39"/>
    </row>
    <row r="107" spans="2:17" x14ac:dyDescent="0.25">
      <c r="B107" s="4"/>
      <c r="C107" s="290"/>
      <c r="D107" s="208"/>
      <c r="E107" s="332"/>
      <c r="F107" s="216"/>
      <c r="G107" s="7"/>
      <c r="H107" s="14" t="s">
        <v>66</v>
      </c>
      <c r="I107" s="74">
        <v>1.08675E-2</v>
      </c>
      <c r="J107" s="51" t="b">
        <v>1</v>
      </c>
      <c r="K107" s="175"/>
      <c r="L107" s="175"/>
      <c r="M107" s="175"/>
      <c r="N107" s="175"/>
      <c r="O107" s="39"/>
    </row>
    <row r="108" spans="2:17" x14ac:dyDescent="0.25">
      <c r="B108" s="4"/>
      <c r="C108" s="290"/>
      <c r="D108" s="208"/>
      <c r="E108" s="332"/>
      <c r="F108" s="216"/>
      <c r="G108" s="7"/>
      <c r="H108" s="14"/>
      <c r="I108" s="74"/>
      <c r="J108" s="51"/>
      <c r="K108" s="53"/>
      <c r="L108" s="176"/>
      <c r="M108" s="176"/>
      <c r="N108" s="176"/>
      <c r="O108" s="39"/>
    </row>
    <row r="109" spans="2:17" x14ac:dyDescent="0.25">
      <c r="B109" s="4"/>
      <c r="C109" s="290"/>
      <c r="D109" s="208"/>
      <c r="E109" s="332"/>
      <c r="F109" s="216"/>
      <c r="G109" s="7"/>
      <c r="H109" s="14"/>
      <c r="I109" s="74"/>
      <c r="J109" s="51"/>
      <c r="K109" s="53"/>
      <c r="L109" s="176"/>
      <c r="M109" s="176"/>
      <c r="N109" s="176"/>
      <c r="O109" s="39"/>
    </row>
    <row r="110" spans="2:17" x14ac:dyDescent="0.25">
      <c r="B110" s="4"/>
      <c r="C110" s="290"/>
      <c r="D110" s="208"/>
      <c r="E110" s="332"/>
      <c r="F110" s="216"/>
      <c r="G110" s="7"/>
      <c r="H110" s="14"/>
      <c r="I110" s="74"/>
      <c r="J110" s="51"/>
      <c r="K110" s="53"/>
      <c r="L110" s="8"/>
      <c r="M110" s="8"/>
      <c r="N110" s="8"/>
      <c r="O110" s="39"/>
      <c r="Q110" s="169"/>
    </row>
    <row r="111" spans="2:17" x14ac:dyDescent="0.25">
      <c r="B111" s="4"/>
      <c r="C111" s="291"/>
      <c r="D111" s="208"/>
      <c r="E111" s="334"/>
      <c r="F111" s="347"/>
      <c r="G111" s="7"/>
      <c r="H111" s="15"/>
      <c r="I111" s="75"/>
      <c r="J111" s="52"/>
      <c r="K111" s="53"/>
      <c r="L111" s="8"/>
      <c r="M111" s="8"/>
      <c r="N111" s="8"/>
      <c r="O111" s="39"/>
    </row>
    <row r="112" spans="2:17" x14ac:dyDescent="0.25">
      <c r="B112" s="4"/>
      <c r="C112" s="208"/>
      <c r="D112" s="208"/>
      <c r="E112" s="314"/>
      <c r="F112" s="346"/>
      <c r="G112" s="7"/>
      <c r="H112" s="8"/>
      <c r="I112" s="8"/>
      <c r="J112" s="8"/>
      <c r="K112" s="8"/>
      <c r="L112" s="8"/>
      <c r="M112" s="8"/>
      <c r="N112" s="8"/>
      <c r="O112" s="39"/>
    </row>
    <row r="113" spans="2:15" x14ac:dyDescent="0.25">
      <c r="B113" s="9"/>
      <c r="C113" s="212"/>
      <c r="D113" s="212"/>
      <c r="E113" s="312"/>
      <c r="F113" s="320"/>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3"/>
  </sheetPr>
  <dimension ref="A1:P78"/>
  <sheetViews>
    <sheetView showGridLines="0" topLeftCell="A31" workbookViewId="0"/>
  </sheetViews>
  <sheetFormatPr defaultRowHeight="15" x14ac:dyDescent="0.25"/>
  <cols>
    <col min="2" max="2" width="2.7109375" customWidth="1"/>
    <col min="3" max="3" width="110.7109375" style="203" hidden="1" customWidth="1"/>
    <col min="4" max="4" width="4.7109375" style="203" hidden="1" customWidth="1"/>
    <col min="5" max="5" width="13" style="203" customWidth="1"/>
    <col min="6" max="6" width="26.7109375" style="309" customWidth="1"/>
    <col min="7" max="7" width="32.7109375" style="319" customWidth="1"/>
    <col min="8" max="8" width="4.7109375" style="309" customWidth="1"/>
    <col min="9" max="11" width="12.7109375" customWidth="1"/>
    <col min="12" max="13" width="18.7109375" customWidth="1"/>
    <col min="14" max="14" width="2.7109375" customWidth="1"/>
    <col min="15" max="16" width="9.140625" customWidth="1"/>
  </cols>
  <sheetData>
    <row r="1" spans="1:14" x14ac:dyDescent="0.25">
      <c r="A1" s="203"/>
    </row>
    <row r="2" spans="1:14" s="354" customFormat="1" ht="23.25" x14ac:dyDescent="0.35">
      <c r="B2" s="432" t="s">
        <v>418</v>
      </c>
      <c r="F2" s="433"/>
      <c r="G2" s="434"/>
      <c r="H2" s="433"/>
    </row>
    <row r="3" spans="1:14" s="354" customFormat="1" ht="23.25" x14ac:dyDescent="0.35">
      <c r="B3" s="108" t="s">
        <v>371</v>
      </c>
      <c r="F3" s="433"/>
      <c r="G3" s="434"/>
      <c r="H3" s="433"/>
    </row>
    <row r="5" spans="1:14" x14ac:dyDescent="0.25">
      <c r="B5" s="40" t="s">
        <v>279</v>
      </c>
      <c r="C5" s="224"/>
      <c r="D5" s="224"/>
      <c r="E5" s="224"/>
    </row>
    <row r="6" spans="1:14" x14ac:dyDescent="0.25">
      <c r="B6" s="1"/>
      <c r="C6" s="205"/>
      <c r="D6" s="205"/>
      <c r="E6" s="205"/>
      <c r="F6" s="325"/>
      <c r="G6" s="219"/>
      <c r="H6" s="310"/>
      <c r="I6" s="2"/>
      <c r="J6" s="2"/>
      <c r="K6" s="2"/>
      <c r="L6" s="2"/>
      <c r="M6" s="2"/>
      <c r="N6" s="3"/>
    </row>
    <row r="7" spans="1:14" x14ac:dyDescent="0.25">
      <c r="B7" s="4"/>
      <c r="C7" s="222"/>
      <c r="D7" s="208"/>
      <c r="E7" s="208"/>
      <c r="F7" s="326" t="s">
        <v>279</v>
      </c>
      <c r="G7" s="227"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(0.01600 sec)</v>
      </c>
      <c r="H7" s="294"/>
      <c r="I7" s="43"/>
      <c r="J7" s="5"/>
      <c r="K7" s="5"/>
      <c r="L7" s="5"/>
      <c r="M7" s="5"/>
      <c r="N7" s="6"/>
    </row>
    <row r="8" spans="1:14" x14ac:dyDescent="0.25">
      <c r="B8" s="4"/>
      <c r="C8" s="208"/>
      <c r="D8" s="208"/>
      <c r="E8" s="208"/>
      <c r="F8" s="327" t="s">
        <v>167</v>
      </c>
      <c r="G8" s="249" t="b">
        <f ca="1">LEFT(G7,5)=TenorBasisCurve3M6M.CollectionName</f>
        <v>1</v>
      </c>
      <c r="H8" s="311"/>
      <c r="I8" s="5"/>
      <c r="J8" s="5"/>
      <c r="K8" s="5"/>
      <c r="L8" s="5"/>
      <c r="M8" s="5"/>
      <c r="N8" s="6"/>
    </row>
    <row r="9" spans="1:14" x14ac:dyDescent="0.25">
      <c r="B9" s="4"/>
      <c r="C9" s="208"/>
      <c r="D9" s="208"/>
      <c r="E9" s="208"/>
      <c r="F9" s="328"/>
      <c r="G9" s="226"/>
      <c r="H9" s="311"/>
      <c r="I9" s="5"/>
      <c r="J9" s="5"/>
      <c r="K9" s="5"/>
      <c r="L9" s="5"/>
      <c r="M9" s="5"/>
      <c r="N9" s="6"/>
    </row>
    <row r="10" spans="1:14" x14ac:dyDescent="0.25">
      <c r="B10" s="4"/>
      <c r="C10" s="208"/>
      <c r="D10" s="208"/>
      <c r="E10" s="208"/>
      <c r="F10" s="328"/>
      <c r="G10" s="226"/>
      <c r="H10" s="311"/>
      <c r="I10" s="5"/>
      <c r="J10" s="5"/>
      <c r="K10" s="5"/>
      <c r="L10" s="5"/>
      <c r="M10" s="5"/>
      <c r="N10" s="6"/>
    </row>
    <row r="11" spans="1:14" x14ac:dyDescent="0.25">
      <c r="B11" s="4"/>
      <c r="C11" s="208"/>
      <c r="D11" s="208"/>
      <c r="E11" s="208"/>
      <c r="F11" s="329" t="s">
        <v>0</v>
      </c>
      <c r="G11" s="225"/>
      <c r="H11" s="311"/>
      <c r="I11" s="5"/>
      <c r="J11" s="5"/>
      <c r="K11" s="5"/>
      <c r="L11" s="5"/>
      <c r="M11" s="5"/>
      <c r="N11" s="6"/>
    </row>
    <row r="12" spans="1:14" ht="30" x14ac:dyDescent="0.25">
      <c r="B12" s="4"/>
      <c r="C12" s="287" t="s">
        <v>288</v>
      </c>
      <c r="D12" s="208"/>
      <c r="E12" s="208"/>
      <c r="F12" s="330" t="s">
        <v>80</v>
      </c>
      <c r="G12" s="243" t="s">
        <v>78</v>
      </c>
      <c r="H12" s="311"/>
      <c r="I12" s="5"/>
      <c r="J12" s="5"/>
      <c r="K12" s="5"/>
      <c r="L12" s="5"/>
      <c r="M12" s="5"/>
      <c r="N12" s="6"/>
    </row>
    <row r="13" spans="1:14" ht="30" x14ac:dyDescent="0.25">
      <c r="B13" s="4"/>
      <c r="C13" s="287" t="s">
        <v>364</v>
      </c>
      <c r="D13" s="208"/>
      <c r="E13" s="208"/>
      <c r="F13" s="331" t="s">
        <v>79</v>
      </c>
      <c r="G13" s="244" t="s">
        <v>423</v>
      </c>
      <c r="H13" s="311"/>
      <c r="I13" s="5"/>
      <c r="J13" s="5"/>
      <c r="K13" s="5"/>
      <c r="L13" s="5"/>
      <c r="M13" s="5"/>
      <c r="N13" s="6"/>
    </row>
    <row r="14" spans="1:14" ht="30" x14ac:dyDescent="0.25">
      <c r="B14" s="4"/>
      <c r="C14" s="287" t="s">
        <v>365</v>
      </c>
      <c r="D14" s="208"/>
      <c r="E14" s="208"/>
      <c r="F14" s="333" t="s">
        <v>81</v>
      </c>
      <c r="G14" s="245" t="s">
        <v>424</v>
      </c>
      <c r="H14" s="311"/>
      <c r="I14" s="5"/>
      <c r="J14" s="5"/>
      <c r="K14" s="5"/>
      <c r="L14" s="5"/>
      <c r="M14" s="5"/>
      <c r="N14" s="6" t="s">
        <v>4</v>
      </c>
    </row>
    <row r="15" spans="1:14" x14ac:dyDescent="0.25">
      <c r="B15" s="9"/>
      <c r="C15" s="212"/>
      <c r="D15" s="212"/>
      <c r="E15" s="212"/>
      <c r="F15" s="312"/>
      <c r="G15" s="320"/>
      <c r="H15" s="312"/>
      <c r="I15" s="10"/>
      <c r="J15" s="10"/>
      <c r="K15" s="10"/>
      <c r="L15" s="10"/>
      <c r="M15" s="10"/>
      <c r="N15" s="11"/>
    </row>
    <row r="18" spans="2:14" x14ac:dyDescent="0.25">
      <c r="B18" s="40" t="s">
        <v>68</v>
      </c>
      <c r="C18" s="224"/>
      <c r="D18" s="224"/>
      <c r="E18" s="224"/>
    </row>
    <row r="19" spans="2:14" x14ac:dyDescent="0.25">
      <c r="B19" s="1"/>
      <c r="C19" s="205"/>
      <c r="D19" s="205"/>
      <c r="E19" s="205"/>
      <c r="F19" s="325"/>
      <c r="G19" s="219"/>
      <c r="H19" s="310"/>
      <c r="I19" s="2"/>
      <c r="J19" s="2"/>
      <c r="K19" s="2"/>
      <c r="L19" s="2"/>
      <c r="M19" s="2"/>
      <c r="N19" s="3"/>
    </row>
    <row r="20" spans="2:14" x14ac:dyDescent="0.25">
      <c r="B20" s="4"/>
      <c r="C20" s="208"/>
      <c r="D20" s="208"/>
      <c r="E20" s="208"/>
      <c r="F20" s="329" t="s">
        <v>68</v>
      </c>
      <c r="G20" s="220"/>
      <c r="H20" s="311"/>
      <c r="I20" s="5"/>
      <c r="J20" s="5"/>
      <c r="K20" s="5"/>
      <c r="L20" s="5"/>
      <c r="M20" s="5"/>
      <c r="N20" s="6"/>
    </row>
    <row r="21" spans="2:14" ht="30" x14ac:dyDescent="0.25">
      <c r="B21" s="4"/>
      <c r="C21" s="287" t="s">
        <v>289</v>
      </c>
      <c r="D21" s="208"/>
      <c r="E21" s="208"/>
      <c r="F21" s="330" t="s">
        <v>10</v>
      </c>
      <c r="G21" s="243">
        <f>COB</f>
        <v>42521</v>
      </c>
      <c r="H21" s="311"/>
      <c r="I21" s="5"/>
      <c r="J21" s="5"/>
      <c r="K21" s="5"/>
      <c r="L21" s="5"/>
      <c r="M21" s="5"/>
      <c r="N21" s="6"/>
    </row>
    <row r="22" spans="2:14" ht="30" x14ac:dyDescent="0.25">
      <c r="B22" s="4"/>
      <c r="C22" s="287" t="s">
        <v>290</v>
      </c>
      <c r="D22" s="208"/>
      <c r="E22" s="208"/>
      <c r="F22" s="331" t="s">
        <v>16</v>
      </c>
      <c r="G22" s="244" t="s">
        <v>17</v>
      </c>
      <c r="H22" s="311"/>
      <c r="I22" s="5"/>
      <c r="J22" s="5"/>
      <c r="K22" s="5"/>
      <c r="L22" s="5"/>
      <c r="M22" s="5"/>
      <c r="N22" s="6"/>
    </row>
    <row r="23" spans="2:14" ht="45" x14ac:dyDescent="0.25">
      <c r="B23" s="4"/>
      <c r="C23" s="287" t="s">
        <v>325</v>
      </c>
      <c r="D23" s="208"/>
      <c r="E23" s="208"/>
      <c r="F23" s="331" t="s">
        <v>276</v>
      </c>
      <c r="G23" s="246" t="str">
        <f>interpolationFunction</f>
        <v>fn_SplineInterpolation</v>
      </c>
      <c r="H23" s="311"/>
      <c r="I23" s="5"/>
      <c r="J23" s="5"/>
      <c r="K23" s="5"/>
      <c r="L23" s="5"/>
      <c r="M23" s="5"/>
      <c r="N23" s="6"/>
    </row>
    <row r="24" spans="2:14" ht="45" x14ac:dyDescent="0.25">
      <c r="B24" s="4"/>
      <c r="C24" s="288" t="s">
        <v>324</v>
      </c>
      <c r="D24" s="208"/>
      <c r="E24" s="208"/>
      <c r="F24" s="331" t="s">
        <v>196</v>
      </c>
      <c r="G24" s="244" t="b">
        <v>1</v>
      </c>
      <c r="H24" s="311"/>
      <c r="I24" s="5"/>
      <c r="J24" s="5"/>
      <c r="K24" s="5"/>
      <c r="L24" s="5"/>
      <c r="M24" s="5"/>
      <c r="N24" s="6"/>
    </row>
    <row r="25" spans="2:14" ht="45" x14ac:dyDescent="0.25">
      <c r="B25" s="4"/>
      <c r="C25" s="292" t="s">
        <v>315</v>
      </c>
      <c r="D25" s="208"/>
      <c r="E25" s="208"/>
      <c r="F25" s="331" t="s">
        <v>195</v>
      </c>
      <c r="G25" s="244" t="s">
        <v>9</v>
      </c>
      <c r="H25" s="311"/>
      <c r="I25" s="5"/>
      <c r="J25" s="5"/>
      <c r="K25" s="5"/>
      <c r="L25" s="5"/>
      <c r="M25" s="5"/>
      <c r="N25" s="6"/>
    </row>
    <row r="26" spans="2:14" x14ac:dyDescent="0.25">
      <c r="B26" s="4"/>
      <c r="C26" s="297"/>
      <c r="D26" s="208"/>
      <c r="E26" s="208"/>
      <c r="F26" s="331"/>
      <c r="G26" s="244"/>
      <c r="H26" s="311"/>
      <c r="I26" s="5"/>
      <c r="J26" s="5"/>
      <c r="K26" s="5"/>
      <c r="L26" s="5"/>
      <c r="M26" s="5"/>
      <c r="N26" s="6"/>
    </row>
    <row r="27" spans="2:14" x14ac:dyDescent="0.25">
      <c r="B27" s="4"/>
      <c r="C27" s="293"/>
      <c r="D27" s="208"/>
      <c r="E27" s="208"/>
      <c r="F27" s="333"/>
      <c r="G27" s="245"/>
      <c r="H27" s="311"/>
      <c r="I27" s="5"/>
      <c r="J27" s="5"/>
      <c r="K27" s="5"/>
      <c r="L27" s="5"/>
      <c r="M27" s="5"/>
      <c r="N27" s="6"/>
    </row>
    <row r="28" spans="2:14" x14ac:dyDescent="0.25">
      <c r="B28" s="9"/>
      <c r="C28" s="212"/>
      <c r="D28" s="212"/>
      <c r="E28" s="212"/>
      <c r="F28" s="312"/>
      <c r="G28" s="320"/>
      <c r="H28" s="312"/>
      <c r="I28" s="10"/>
      <c r="J28" s="10"/>
      <c r="K28" s="10"/>
      <c r="L28" s="10"/>
      <c r="M28" s="10"/>
      <c r="N28" s="11"/>
    </row>
    <row r="31" spans="2:14" x14ac:dyDescent="0.25">
      <c r="B31" s="40" t="s">
        <v>118</v>
      </c>
      <c r="C31" s="224"/>
      <c r="D31" s="224"/>
      <c r="E31" s="224"/>
      <c r="L31" s="13"/>
    </row>
    <row r="32" spans="2:14" x14ac:dyDescent="0.25">
      <c r="B32" s="1"/>
      <c r="C32" s="205"/>
      <c r="D32" s="205"/>
      <c r="E32" s="205"/>
      <c r="F32" s="310"/>
      <c r="G32" s="321"/>
      <c r="H32" s="310"/>
      <c r="I32" s="165" t="s">
        <v>204</v>
      </c>
      <c r="J32" s="165"/>
      <c r="K32" s="2"/>
      <c r="L32" s="2"/>
      <c r="M32" s="2"/>
      <c r="N32" s="3"/>
    </row>
    <row r="33" spans="2:14" x14ac:dyDescent="0.25">
      <c r="B33" s="4"/>
      <c r="C33" s="208"/>
      <c r="D33" s="208"/>
      <c r="E33" s="208"/>
      <c r="F33" s="335" t="s">
        <v>160</v>
      </c>
      <c r="G33" s="322"/>
      <c r="H33" s="313"/>
      <c r="I33" s="221" t="s">
        <v>239</v>
      </c>
      <c r="J33" s="210"/>
      <c r="K33" s="8"/>
      <c r="L33" s="8"/>
      <c r="M33" s="8"/>
      <c r="N33" s="39"/>
    </row>
    <row r="34" spans="2:14" ht="45" x14ac:dyDescent="0.25">
      <c r="B34" s="4"/>
      <c r="C34" s="287" t="s">
        <v>326</v>
      </c>
      <c r="D34" s="208"/>
      <c r="E34" s="248"/>
      <c r="F34" s="330" t="s">
        <v>119</v>
      </c>
      <c r="G34" s="215" t="s">
        <v>120</v>
      </c>
      <c r="H34" s="313"/>
      <c r="I34" s="53" t="s">
        <v>11</v>
      </c>
      <c r="J34" s="53" t="s">
        <v>12</v>
      </c>
      <c r="K34" s="53" t="s">
        <v>275</v>
      </c>
      <c r="L34" s="53" t="s">
        <v>202</v>
      </c>
      <c r="M34" s="53" t="s">
        <v>203</v>
      </c>
      <c r="N34" s="39"/>
    </row>
    <row r="35" spans="2:14" ht="45" x14ac:dyDescent="0.25">
      <c r="B35" s="4"/>
      <c r="C35" s="287" t="s">
        <v>327</v>
      </c>
      <c r="D35" s="208"/>
      <c r="E35" s="438" t="s">
        <v>165</v>
      </c>
      <c r="F35" s="348" t="s">
        <v>121</v>
      </c>
      <c r="G35" s="247" t="b">
        <v>1</v>
      </c>
      <c r="H35" s="313"/>
      <c r="I35" s="47" t="s">
        <v>159</v>
      </c>
      <c r="J35" s="73">
        <v>1.2999999999999999E-3</v>
      </c>
      <c r="K35" s="300" t="b">
        <v>0</v>
      </c>
      <c r="L35" s="301" t="s">
        <v>199</v>
      </c>
      <c r="M35" s="302" t="str">
        <f>I35</f>
        <v>1Y</v>
      </c>
      <c r="N35" s="39"/>
    </row>
    <row r="36" spans="2:14" ht="30" x14ac:dyDescent="0.25">
      <c r="B36" s="4"/>
      <c r="C36" s="287" t="s">
        <v>328</v>
      </c>
      <c r="D36" s="208"/>
      <c r="E36" s="439"/>
      <c r="F36" s="331" t="s">
        <v>122</v>
      </c>
      <c r="G36" s="216" t="s">
        <v>2</v>
      </c>
      <c r="H36" s="313"/>
      <c r="I36" s="48" t="s">
        <v>47</v>
      </c>
      <c r="J36" s="74">
        <v>1.2999999999999999E-3</v>
      </c>
      <c r="K36" s="303" t="b">
        <v>0</v>
      </c>
      <c r="L36" s="304" t="s">
        <v>199</v>
      </c>
      <c r="M36" s="305" t="str">
        <f>I36</f>
        <v>2Y</v>
      </c>
      <c r="N36" s="39"/>
    </row>
    <row r="37" spans="2:14" ht="30" x14ac:dyDescent="0.25">
      <c r="B37" s="4"/>
      <c r="C37" s="287" t="s">
        <v>329</v>
      </c>
      <c r="D37" s="208"/>
      <c r="E37" s="439"/>
      <c r="F37" s="331" t="s">
        <v>123</v>
      </c>
      <c r="G37" s="216" t="s">
        <v>124</v>
      </c>
      <c r="H37" s="313"/>
      <c r="I37" s="234" t="s">
        <v>43</v>
      </c>
      <c r="J37" s="239">
        <v>1.2999999999999999E-3</v>
      </c>
      <c r="K37" s="303" t="b">
        <f t="shared" ref="K37:K50" si="0">ISNUMBER(L37)</f>
        <v>0</v>
      </c>
      <c r="L37" s="304" t="s">
        <v>199</v>
      </c>
      <c r="M37" s="305" t="str">
        <f>I37</f>
        <v>3Y</v>
      </c>
      <c r="N37" s="39"/>
    </row>
    <row r="38" spans="2:14" ht="30" x14ac:dyDescent="0.25">
      <c r="B38" s="4"/>
      <c r="C38" s="287" t="s">
        <v>330</v>
      </c>
      <c r="D38" s="208"/>
      <c r="E38" s="439"/>
      <c r="F38" s="331" t="s">
        <v>125</v>
      </c>
      <c r="G38" s="230" t="s">
        <v>28</v>
      </c>
      <c r="H38" s="313"/>
      <c r="I38" s="234" t="s">
        <v>50</v>
      </c>
      <c r="J38" s="239">
        <v>1.3499999999999999E-3</v>
      </c>
      <c r="K38" s="303" t="b">
        <f t="shared" si="0"/>
        <v>0</v>
      </c>
      <c r="L38" s="304" t="s">
        <v>199</v>
      </c>
      <c r="M38" s="305" t="str">
        <f t="shared" ref="M38:M50" si="1">I38</f>
        <v>4Y</v>
      </c>
      <c r="N38" s="39"/>
    </row>
    <row r="39" spans="2:14" ht="30" x14ac:dyDescent="0.25">
      <c r="B39" s="4"/>
      <c r="C39" s="287" t="s">
        <v>331</v>
      </c>
      <c r="D39" s="208"/>
      <c r="E39" s="439"/>
      <c r="F39" s="331" t="s">
        <v>126</v>
      </c>
      <c r="G39" s="230" t="s">
        <v>22</v>
      </c>
      <c r="H39" s="313"/>
      <c r="I39" s="234" t="s">
        <v>52</v>
      </c>
      <c r="J39" s="239">
        <v>1.39E-3</v>
      </c>
      <c r="K39" s="303" t="b">
        <f t="shared" si="0"/>
        <v>0</v>
      </c>
      <c r="L39" s="304" t="s">
        <v>199</v>
      </c>
      <c r="M39" s="305" t="str">
        <f t="shared" si="1"/>
        <v>5Y</v>
      </c>
      <c r="N39" s="39"/>
    </row>
    <row r="40" spans="2:14" ht="30" x14ac:dyDescent="0.25">
      <c r="B40" s="4"/>
      <c r="C40" s="287" t="s">
        <v>341</v>
      </c>
      <c r="D40" s="208"/>
      <c r="E40" s="439"/>
      <c r="F40" s="331" t="s">
        <v>127</v>
      </c>
      <c r="G40" s="216" t="s">
        <v>101</v>
      </c>
      <c r="H40" s="313"/>
      <c r="I40" s="234" t="s">
        <v>54</v>
      </c>
      <c r="J40" s="239">
        <v>1.39E-3</v>
      </c>
      <c r="K40" s="303" t="b">
        <f t="shared" si="0"/>
        <v>0</v>
      </c>
      <c r="L40" s="304" t="s">
        <v>199</v>
      </c>
      <c r="M40" s="305" t="str">
        <f t="shared" si="1"/>
        <v>6Y</v>
      </c>
      <c r="N40" s="39"/>
    </row>
    <row r="41" spans="2:14" ht="30" x14ac:dyDescent="0.25">
      <c r="B41" s="4"/>
      <c r="C41" s="287" t="s">
        <v>333</v>
      </c>
      <c r="D41" s="208"/>
      <c r="E41" s="439"/>
      <c r="F41" s="331" t="s">
        <v>128</v>
      </c>
      <c r="G41" s="216" t="s">
        <v>9</v>
      </c>
      <c r="H41" s="313"/>
      <c r="I41" s="234" t="s">
        <v>55</v>
      </c>
      <c r="J41" s="239">
        <v>1.3699999999999999E-3</v>
      </c>
      <c r="K41" s="303" t="b">
        <f t="shared" si="0"/>
        <v>0</v>
      </c>
      <c r="L41" s="304" t="s">
        <v>199</v>
      </c>
      <c r="M41" s="305" t="str">
        <f t="shared" si="1"/>
        <v>7Y</v>
      </c>
      <c r="N41" s="39"/>
    </row>
    <row r="42" spans="2:14" ht="30" x14ac:dyDescent="0.25">
      <c r="B42" s="4"/>
      <c r="C42" s="287" t="s">
        <v>332</v>
      </c>
      <c r="D42" s="208"/>
      <c r="E42" s="439"/>
      <c r="F42" s="331" t="s">
        <v>129</v>
      </c>
      <c r="G42" s="216" t="s">
        <v>174</v>
      </c>
      <c r="H42" s="313"/>
      <c r="I42" s="234" t="s">
        <v>57</v>
      </c>
      <c r="J42" s="239">
        <v>1.3249999999999998E-3</v>
      </c>
      <c r="K42" s="303" t="b">
        <f t="shared" si="0"/>
        <v>0</v>
      </c>
      <c r="L42" s="304" t="s">
        <v>199</v>
      </c>
      <c r="M42" s="305" t="str">
        <f t="shared" si="1"/>
        <v>8Y</v>
      </c>
      <c r="N42" s="39"/>
    </row>
    <row r="43" spans="2:14" ht="30" x14ac:dyDescent="0.25">
      <c r="B43" s="4"/>
      <c r="C43" s="287" t="s">
        <v>334</v>
      </c>
      <c r="D43" s="208"/>
      <c r="E43" s="439"/>
      <c r="F43" s="331" t="s">
        <v>130</v>
      </c>
      <c r="G43" s="230" t="s">
        <v>145</v>
      </c>
      <c r="H43" s="313"/>
      <c r="I43" s="234" t="s">
        <v>59</v>
      </c>
      <c r="J43" s="239">
        <v>1.2599999999999998E-3</v>
      </c>
      <c r="K43" s="303" t="b">
        <f t="shared" si="0"/>
        <v>0</v>
      </c>
      <c r="L43" s="304" t="s">
        <v>199</v>
      </c>
      <c r="M43" s="305" t="str">
        <f t="shared" si="1"/>
        <v>9Y</v>
      </c>
      <c r="N43" s="39"/>
    </row>
    <row r="44" spans="2:14" ht="30" x14ac:dyDescent="0.25">
      <c r="B44" s="4"/>
      <c r="C44" s="287" t="s">
        <v>335</v>
      </c>
      <c r="D44" s="208"/>
      <c r="E44" s="439"/>
      <c r="F44" s="331" t="s">
        <v>131</v>
      </c>
      <c r="G44" s="216" t="s">
        <v>124</v>
      </c>
      <c r="H44" s="313"/>
      <c r="I44" s="234" t="s">
        <v>60</v>
      </c>
      <c r="J44" s="239">
        <v>1.1899999999999999E-3</v>
      </c>
      <c r="K44" s="303" t="b">
        <f t="shared" si="0"/>
        <v>0</v>
      </c>
      <c r="L44" s="304" t="s">
        <v>199</v>
      </c>
      <c r="M44" s="305" t="str">
        <f t="shared" si="1"/>
        <v>10Y</v>
      </c>
      <c r="N44" s="39"/>
    </row>
    <row r="45" spans="2:14" ht="30" x14ac:dyDescent="0.25">
      <c r="B45" s="4"/>
      <c r="C45" s="287" t="s">
        <v>336</v>
      </c>
      <c r="D45" s="208"/>
      <c r="E45" s="439"/>
      <c r="F45" s="331" t="s">
        <v>132</v>
      </c>
      <c r="G45" s="216" t="s">
        <v>2</v>
      </c>
      <c r="H45" s="313"/>
      <c r="I45" s="234" t="s">
        <v>61</v>
      </c>
      <c r="J45" s="239">
        <v>1.1249999999999999E-3</v>
      </c>
      <c r="K45" s="303" t="b">
        <f t="shared" si="0"/>
        <v>0</v>
      </c>
      <c r="L45" s="304" t="s">
        <v>199</v>
      </c>
      <c r="M45" s="305" t="str">
        <f t="shared" si="1"/>
        <v>11Y</v>
      </c>
      <c r="N45" s="39"/>
    </row>
    <row r="46" spans="2:14" ht="30" x14ac:dyDescent="0.25">
      <c r="B46" s="4"/>
      <c r="C46" s="287" t="s">
        <v>337</v>
      </c>
      <c r="D46" s="208"/>
      <c r="E46" s="439"/>
      <c r="F46" s="331" t="s">
        <v>133</v>
      </c>
      <c r="G46" s="216" t="s">
        <v>91</v>
      </c>
      <c r="H46" s="313"/>
      <c r="I46" s="234" t="s">
        <v>62</v>
      </c>
      <c r="J46" s="239">
        <v>1.0649999999999998E-3</v>
      </c>
      <c r="K46" s="303" t="b">
        <f t="shared" si="0"/>
        <v>0</v>
      </c>
      <c r="L46" s="304" t="s">
        <v>199</v>
      </c>
      <c r="M46" s="305" t="str">
        <f t="shared" si="1"/>
        <v>12Y</v>
      </c>
      <c r="N46" s="39"/>
    </row>
    <row r="47" spans="2:14" ht="30" x14ac:dyDescent="0.25">
      <c r="B47" s="4"/>
      <c r="C47" s="287" t="s">
        <v>338</v>
      </c>
      <c r="D47" s="208"/>
      <c r="E47" s="439"/>
      <c r="F47" s="331" t="s">
        <v>134</v>
      </c>
      <c r="G47" s="216" t="s">
        <v>2</v>
      </c>
      <c r="H47" s="313"/>
      <c r="I47" s="234" t="s">
        <v>63</v>
      </c>
      <c r="J47" s="239">
        <v>9.0999999999999978E-4</v>
      </c>
      <c r="K47" s="303" t="b">
        <f t="shared" si="0"/>
        <v>0</v>
      </c>
      <c r="L47" s="304" t="s">
        <v>199</v>
      </c>
      <c r="M47" s="305" t="str">
        <f t="shared" si="1"/>
        <v>15Y</v>
      </c>
      <c r="N47" s="39"/>
    </row>
    <row r="48" spans="2:14" ht="30" x14ac:dyDescent="0.25">
      <c r="B48" s="4"/>
      <c r="C48" s="287" t="s">
        <v>339</v>
      </c>
      <c r="D48" s="208"/>
      <c r="E48" s="439"/>
      <c r="F48" s="331" t="s">
        <v>135</v>
      </c>
      <c r="G48" s="216">
        <v>2</v>
      </c>
      <c r="H48" s="313"/>
      <c r="I48" s="234" t="s">
        <v>64</v>
      </c>
      <c r="J48" s="239">
        <v>7.099999999999998E-4</v>
      </c>
      <c r="K48" s="303" t="b">
        <f t="shared" si="0"/>
        <v>0</v>
      </c>
      <c r="L48" s="304" t="s">
        <v>199</v>
      </c>
      <c r="M48" s="305" t="str">
        <f t="shared" si="1"/>
        <v>20Y</v>
      </c>
      <c r="N48" s="39"/>
    </row>
    <row r="49" spans="2:16" ht="30" x14ac:dyDescent="0.25">
      <c r="B49" s="4"/>
      <c r="C49" s="287" t="s">
        <v>340</v>
      </c>
      <c r="D49" s="208"/>
      <c r="E49" s="440"/>
      <c r="F49" s="349" t="s">
        <v>136</v>
      </c>
      <c r="G49" s="230" t="s">
        <v>22</v>
      </c>
      <c r="H49" s="313"/>
      <c r="I49" s="234" t="s">
        <v>65</v>
      </c>
      <c r="J49" s="239">
        <v>5.8249999999999979E-4</v>
      </c>
      <c r="K49" s="303" t="b">
        <f t="shared" si="0"/>
        <v>0</v>
      </c>
      <c r="L49" s="304" t="s">
        <v>199</v>
      </c>
      <c r="M49" s="305" t="str">
        <f t="shared" si="1"/>
        <v>25Y</v>
      </c>
      <c r="N49" s="39"/>
    </row>
    <row r="50" spans="2:16" ht="30" x14ac:dyDescent="0.25">
      <c r="B50" s="4"/>
      <c r="C50" s="287" t="s">
        <v>342</v>
      </c>
      <c r="D50" s="208"/>
      <c r="E50" s="441" t="s">
        <v>166</v>
      </c>
      <c r="F50" s="348" t="s">
        <v>137</v>
      </c>
      <c r="G50" s="247" t="s">
        <v>2</v>
      </c>
      <c r="H50" s="313"/>
      <c r="I50" s="234" t="s">
        <v>66</v>
      </c>
      <c r="J50" s="239">
        <v>4.8999999999999988E-4</v>
      </c>
      <c r="K50" s="303" t="b">
        <f t="shared" si="0"/>
        <v>0</v>
      </c>
      <c r="L50" s="304" t="s">
        <v>199</v>
      </c>
      <c r="M50" s="305" t="str">
        <f t="shared" si="1"/>
        <v>30Y</v>
      </c>
      <c r="N50" s="39"/>
    </row>
    <row r="51" spans="2:16" ht="30" x14ac:dyDescent="0.25">
      <c r="B51" s="4"/>
      <c r="C51" s="287" t="s">
        <v>343</v>
      </c>
      <c r="D51" s="208"/>
      <c r="E51" s="442"/>
      <c r="F51" s="331" t="s">
        <v>138</v>
      </c>
      <c r="G51" s="216" t="s">
        <v>124</v>
      </c>
      <c r="H51" s="313"/>
      <c r="I51" s="234"/>
      <c r="J51" s="239"/>
      <c r="K51" s="303"/>
      <c r="L51" s="304"/>
      <c r="M51" s="305"/>
      <c r="N51" s="39"/>
    </row>
    <row r="52" spans="2:16" ht="30" x14ac:dyDescent="0.25">
      <c r="B52" s="4"/>
      <c r="C52" s="287" t="s">
        <v>344</v>
      </c>
      <c r="D52" s="208"/>
      <c r="E52" s="442"/>
      <c r="F52" s="331" t="s">
        <v>139</v>
      </c>
      <c r="G52" s="230" t="s">
        <v>108</v>
      </c>
      <c r="H52" s="313"/>
      <c r="I52" s="234"/>
      <c r="J52" s="239"/>
      <c r="K52" s="303"/>
      <c r="L52" s="304"/>
      <c r="M52" s="305"/>
      <c r="N52" s="39"/>
    </row>
    <row r="53" spans="2:16" ht="30" x14ac:dyDescent="0.25">
      <c r="B53" s="4"/>
      <c r="C53" s="287" t="s">
        <v>345</v>
      </c>
      <c r="D53" s="208"/>
      <c r="E53" s="442"/>
      <c r="F53" s="331" t="s">
        <v>140</v>
      </c>
      <c r="G53" s="230" t="s">
        <v>22</v>
      </c>
      <c r="H53" s="313"/>
      <c r="I53" s="48"/>
      <c r="J53" s="74"/>
      <c r="K53" s="303"/>
      <c r="L53" s="304"/>
      <c r="M53" s="305"/>
      <c r="N53" s="39"/>
    </row>
    <row r="54" spans="2:16" ht="30" x14ac:dyDescent="0.25">
      <c r="B54" s="4"/>
      <c r="C54" s="287" t="s">
        <v>346</v>
      </c>
      <c r="D54" s="208"/>
      <c r="E54" s="442"/>
      <c r="F54" s="331" t="s">
        <v>141</v>
      </c>
      <c r="G54" s="216" t="s">
        <v>101</v>
      </c>
      <c r="H54" s="314"/>
      <c r="I54" s="48"/>
      <c r="J54" s="74"/>
      <c r="K54" s="303"/>
      <c r="L54" s="304"/>
      <c r="M54" s="305"/>
      <c r="N54" s="39"/>
    </row>
    <row r="55" spans="2:16" ht="30" x14ac:dyDescent="0.25">
      <c r="B55" s="4"/>
      <c r="C55" s="287" t="s">
        <v>347</v>
      </c>
      <c r="D55" s="208"/>
      <c r="E55" s="442"/>
      <c r="F55" s="331" t="s">
        <v>142</v>
      </c>
      <c r="G55" s="216" t="s">
        <v>9</v>
      </c>
      <c r="H55" s="314"/>
      <c r="I55" s="48"/>
      <c r="J55" s="74"/>
      <c r="K55" s="303"/>
      <c r="L55" s="304"/>
      <c r="M55" s="305"/>
      <c r="N55" s="39"/>
    </row>
    <row r="56" spans="2:16" ht="30" x14ac:dyDescent="0.25">
      <c r="B56" s="4"/>
      <c r="C56" s="287" t="s">
        <v>348</v>
      </c>
      <c r="D56" s="208"/>
      <c r="E56" s="442"/>
      <c r="F56" s="331" t="s">
        <v>143</v>
      </c>
      <c r="G56" s="317" t="s">
        <v>82</v>
      </c>
      <c r="H56" s="315" t="s">
        <v>200</v>
      </c>
      <c r="I56" s="48"/>
      <c r="J56" s="74"/>
      <c r="K56" s="303"/>
      <c r="L56" s="304"/>
      <c r="M56" s="305"/>
      <c r="N56" s="39"/>
    </row>
    <row r="57" spans="2:16" ht="30" x14ac:dyDescent="0.25">
      <c r="B57" s="4"/>
      <c r="C57" s="287" t="s">
        <v>349</v>
      </c>
      <c r="D57" s="208"/>
      <c r="E57" s="442"/>
      <c r="F57" s="331" t="s">
        <v>144</v>
      </c>
      <c r="G57" s="230" t="s">
        <v>94</v>
      </c>
      <c r="H57" s="314"/>
      <c r="I57" s="48"/>
      <c r="J57" s="74"/>
      <c r="K57" s="303"/>
      <c r="L57" s="304"/>
      <c r="M57" s="305"/>
      <c r="N57" s="39"/>
      <c r="P57" s="171"/>
    </row>
    <row r="58" spans="2:16" ht="30" x14ac:dyDescent="0.25">
      <c r="B58" s="4"/>
      <c r="C58" s="287" t="s">
        <v>350</v>
      </c>
      <c r="D58" s="208"/>
      <c r="E58" s="442"/>
      <c r="F58" s="331" t="s">
        <v>146</v>
      </c>
      <c r="G58" s="216" t="s">
        <v>124</v>
      </c>
      <c r="H58" s="314"/>
      <c r="I58" s="48"/>
      <c r="J58" s="74"/>
      <c r="K58" s="303"/>
      <c r="L58" s="304"/>
      <c r="M58" s="305"/>
      <c r="N58" s="39"/>
      <c r="P58" s="171"/>
    </row>
    <row r="59" spans="2:16" ht="30" x14ac:dyDescent="0.25">
      <c r="B59" s="4"/>
      <c r="C59" s="287" t="s">
        <v>351</v>
      </c>
      <c r="D59" s="208"/>
      <c r="E59" s="442"/>
      <c r="F59" s="331" t="s">
        <v>147</v>
      </c>
      <c r="G59" s="216" t="s">
        <v>2</v>
      </c>
      <c r="H59" s="314"/>
      <c r="I59" s="48"/>
      <c r="J59" s="74"/>
      <c r="K59" s="303"/>
      <c r="L59" s="304"/>
      <c r="M59" s="305"/>
      <c r="N59" s="39"/>
      <c r="P59" s="171"/>
    </row>
    <row r="60" spans="2:16" ht="30" x14ac:dyDescent="0.25">
      <c r="B60" s="4"/>
      <c r="C60" s="287" t="s">
        <v>352</v>
      </c>
      <c r="D60" s="208"/>
      <c r="E60" s="442"/>
      <c r="F60" s="331" t="s">
        <v>148</v>
      </c>
      <c r="G60" s="216" t="s">
        <v>91</v>
      </c>
      <c r="H60" s="314"/>
      <c r="I60" s="48"/>
      <c r="J60" s="74"/>
      <c r="K60" s="303"/>
      <c r="L60" s="304"/>
      <c r="M60" s="305"/>
      <c r="N60" s="39"/>
      <c r="P60" s="171"/>
    </row>
    <row r="61" spans="2:16" ht="30" x14ac:dyDescent="0.25">
      <c r="B61" s="4"/>
      <c r="C61" s="287" t="s">
        <v>353</v>
      </c>
      <c r="D61" s="208"/>
      <c r="E61" s="442"/>
      <c r="F61" s="331" t="s">
        <v>149</v>
      </c>
      <c r="G61" s="216" t="s">
        <v>2</v>
      </c>
      <c r="H61" s="314"/>
      <c r="I61" s="48"/>
      <c r="J61" s="74"/>
      <c r="K61" s="303"/>
      <c r="L61" s="304"/>
      <c r="M61" s="305"/>
      <c r="N61" s="39"/>
      <c r="P61" s="171"/>
    </row>
    <row r="62" spans="2:16" ht="30" x14ac:dyDescent="0.25">
      <c r="B62" s="4"/>
      <c r="C62" s="287" t="s">
        <v>354</v>
      </c>
      <c r="D62" s="208"/>
      <c r="E62" s="442"/>
      <c r="F62" s="331" t="s">
        <v>150</v>
      </c>
      <c r="G62" s="216">
        <v>2</v>
      </c>
      <c r="H62" s="314"/>
      <c r="I62" s="48"/>
      <c r="J62" s="74"/>
      <c r="K62" s="303"/>
      <c r="L62" s="304"/>
      <c r="M62" s="305"/>
      <c r="N62" s="39"/>
      <c r="P62" s="171"/>
    </row>
    <row r="63" spans="2:16" ht="30" x14ac:dyDescent="0.25">
      <c r="B63" s="4"/>
      <c r="C63" s="287" t="s">
        <v>355</v>
      </c>
      <c r="D63" s="208"/>
      <c r="E63" s="443"/>
      <c r="F63" s="349" t="s">
        <v>151</v>
      </c>
      <c r="G63" s="230" t="s">
        <v>22</v>
      </c>
      <c r="H63" s="314"/>
      <c r="I63" s="48"/>
      <c r="J63" s="74"/>
      <c r="K63" s="303"/>
      <c r="L63" s="304"/>
      <c r="M63" s="305"/>
      <c r="N63" s="39"/>
      <c r="P63" s="171"/>
    </row>
    <row r="64" spans="2:16" ht="30" x14ac:dyDescent="0.25">
      <c r="B64" s="4"/>
      <c r="C64" s="287" t="s">
        <v>356</v>
      </c>
      <c r="D64" s="208"/>
      <c r="E64" s="444" t="str">
        <f>"Solving For :"&amp;CHAR(32)&amp;$H$64</f>
        <v>Solving For : &lt;--- Solver: Target</v>
      </c>
      <c r="F64" s="350" t="s">
        <v>152</v>
      </c>
      <c r="G64" s="316" t="s">
        <v>153</v>
      </c>
      <c r="H64" s="315" t="s">
        <v>201</v>
      </c>
      <c r="I64" s="48"/>
      <c r="J64" s="74"/>
      <c r="K64" s="303"/>
      <c r="L64" s="304"/>
      <c r="M64" s="305"/>
      <c r="N64" s="39"/>
      <c r="P64" s="171"/>
    </row>
    <row r="65" spans="2:16" ht="30" x14ac:dyDescent="0.25">
      <c r="B65" s="4"/>
      <c r="C65" s="288" t="s">
        <v>358</v>
      </c>
      <c r="D65" s="208"/>
      <c r="E65" s="445"/>
      <c r="F65" s="331" t="s">
        <v>112</v>
      </c>
      <c r="G65" s="216" t="b">
        <v>1</v>
      </c>
      <c r="H65" s="314"/>
      <c r="I65" s="48"/>
      <c r="J65" s="74"/>
      <c r="K65" s="303"/>
      <c r="L65" s="304"/>
      <c r="M65" s="305"/>
      <c r="N65" s="39"/>
      <c r="P65" s="171"/>
    </row>
    <row r="66" spans="2:16" ht="30" x14ac:dyDescent="0.25">
      <c r="B66" s="4"/>
      <c r="C66" s="288" t="s">
        <v>359</v>
      </c>
      <c r="D66" s="208"/>
      <c r="E66" s="445"/>
      <c r="F66" s="331" t="s">
        <v>154</v>
      </c>
      <c r="G66" s="246" t="str">
        <f>interpolationFunction</f>
        <v>fn_SplineInterpolation</v>
      </c>
      <c r="H66" s="314"/>
      <c r="I66" s="48"/>
      <c r="J66" s="74"/>
      <c r="K66" s="303"/>
      <c r="L66" s="304"/>
      <c r="M66" s="305"/>
      <c r="N66" s="39"/>
      <c r="P66" s="171"/>
    </row>
    <row r="67" spans="2:16" ht="45" x14ac:dyDescent="0.25">
      <c r="B67" s="4"/>
      <c r="C67" s="288" t="s">
        <v>360</v>
      </c>
      <c r="D67" s="208"/>
      <c r="E67" s="445"/>
      <c r="F67" s="331" t="s">
        <v>155</v>
      </c>
      <c r="G67" s="216" t="b">
        <v>1</v>
      </c>
      <c r="H67" s="314"/>
      <c r="I67" s="48"/>
      <c r="J67" s="74"/>
      <c r="K67" s="303"/>
      <c r="L67" s="304"/>
      <c r="M67" s="305"/>
      <c r="N67" s="39"/>
      <c r="P67" s="171"/>
    </row>
    <row r="68" spans="2:16" ht="45" x14ac:dyDescent="0.25">
      <c r="B68" s="4"/>
      <c r="C68" s="288" t="s">
        <v>361</v>
      </c>
      <c r="D68" s="208"/>
      <c r="E68" s="445"/>
      <c r="F68" s="331" t="s">
        <v>156</v>
      </c>
      <c r="G68" s="216" t="b">
        <v>1</v>
      </c>
      <c r="H68" s="314"/>
      <c r="I68" s="48"/>
      <c r="J68" s="74"/>
      <c r="K68" s="303"/>
      <c r="L68" s="304"/>
      <c r="M68" s="305"/>
      <c r="N68" s="39"/>
      <c r="P68" s="171"/>
    </row>
    <row r="69" spans="2:16" ht="45" x14ac:dyDescent="0.25">
      <c r="B69" s="4"/>
      <c r="C69" s="288" t="s">
        <v>362</v>
      </c>
      <c r="D69" s="208"/>
      <c r="E69" s="445"/>
      <c r="F69" s="331" t="s">
        <v>157</v>
      </c>
      <c r="G69" s="230" t="s">
        <v>94</v>
      </c>
      <c r="H69" s="314"/>
      <c r="I69" s="48"/>
      <c r="J69" s="74"/>
      <c r="K69" s="303"/>
      <c r="L69" s="304"/>
      <c r="M69" s="305"/>
      <c r="N69" s="39"/>
    </row>
    <row r="70" spans="2:16" ht="30" x14ac:dyDescent="0.25">
      <c r="B70" s="4"/>
      <c r="C70" s="288" t="s">
        <v>363</v>
      </c>
      <c r="D70" s="208"/>
      <c r="E70" s="445"/>
      <c r="F70" s="331" t="s">
        <v>158</v>
      </c>
      <c r="G70" s="216" t="b">
        <v>0</v>
      </c>
      <c r="H70" s="314"/>
      <c r="I70" s="48"/>
      <c r="J70" s="74"/>
      <c r="K70" s="303"/>
      <c r="L70" s="304"/>
      <c r="M70" s="305"/>
      <c r="N70" s="39"/>
    </row>
    <row r="71" spans="2:16" ht="30" x14ac:dyDescent="0.25">
      <c r="B71" s="4"/>
      <c r="C71" s="288" t="s">
        <v>303</v>
      </c>
      <c r="D71" s="208"/>
      <c r="E71" s="445"/>
      <c r="F71" s="331" t="s">
        <v>113</v>
      </c>
      <c r="G71" s="218">
        <v>1.0000000000000001E-9</v>
      </c>
      <c r="H71" s="314"/>
      <c r="I71" s="48"/>
      <c r="J71" s="74"/>
      <c r="K71" s="303"/>
      <c r="L71" s="304"/>
      <c r="M71" s="305"/>
      <c r="N71" s="39"/>
    </row>
    <row r="72" spans="2:16" ht="30" x14ac:dyDescent="0.25">
      <c r="B72" s="4"/>
      <c r="C72" s="289" t="s">
        <v>304</v>
      </c>
      <c r="D72" s="208"/>
      <c r="E72" s="445"/>
      <c r="F72" s="331" t="s">
        <v>114</v>
      </c>
      <c r="G72" s="242">
        <v>1000</v>
      </c>
      <c r="H72" s="314"/>
      <c r="I72" s="48"/>
      <c r="J72" s="74"/>
      <c r="K72" s="303"/>
      <c r="L72" s="304"/>
      <c r="M72" s="305"/>
      <c r="N72" s="39"/>
    </row>
    <row r="73" spans="2:16" x14ac:dyDescent="0.25">
      <c r="B73" s="4"/>
      <c r="C73" s="266"/>
      <c r="D73" s="208"/>
      <c r="E73" s="445"/>
      <c r="F73" s="331"/>
      <c r="G73" s="216"/>
      <c r="H73" s="314"/>
      <c r="I73" s="48"/>
      <c r="J73" s="74"/>
      <c r="K73" s="303"/>
      <c r="L73" s="304"/>
      <c r="M73" s="305"/>
      <c r="N73" s="39"/>
    </row>
    <row r="74" spans="2:16" x14ac:dyDescent="0.25">
      <c r="B74" s="4"/>
      <c r="C74" s="266"/>
      <c r="D74" s="208"/>
      <c r="E74" s="445"/>
      <c r="F74" s="331"/>
      <c r="G74" s="216"/>
      <c r="H74" s="314"/>
      <c r="I74" s="48"/>
      <c r="J74" s="74"/>
      <c r="K74" s="303"/>
      <c r="L74" s="304"/>
      <c r="M74" s="305"/>
      <c r="N74" s="39"/>
    </row>
    <row r="75" spans="2:16" x14ac:dyDescent="0.25">
      <c r="B75" s="4"/>
      <c r="C75" s="266"/>
      <c r="D75" s="208"/>
      <c r="E75" s="445"/>
      <c r="F75" s="331"/>
      <c r="G75" s="216"/>
      <c r="H75" s="314"/>
      <c r="I75" s="48"/>
      <c r="J75" s="74"/>
      <c r="K75" s="303"/>
      <c r="L75" s="304"/>
      <c r="M75" s="305"/>
      <c r="N75" s="39"/>
    </row>
    <row r="76" spans="2:16" x14ac:dyDescent="0.25">
      <c r="B76" s="4"/>
      <c r="C76" s="267"/>
      <c r="D76" s="208"/>
      <c r="E76" s="446"/>
      <c r="F76" s="337"/>
      <c r="G76" s="347"/>
      <c r="H76" s="314"/>
      <c r="I76" s="49"/>
      <c r="J76" s="75"/>
      <c r="K76" s="306"/>
      <c r="L76" s="307"/>
      <c r="M76" s="308"/>
      <c r="N76" s="39"/>
    </row>
    <row r="77" spans="2:16" x14ac:dyDescent="0.25">
      <c r="B77" s="4"/>
      <c r="C77" s="208"/>
      <c r="D77" s="208"/>
      <c r="E77" s="208"/>
      <c r="F77" s="314"/>
      <c r="G77" s="346"/>
      <c r="H77" s="314"/>
      <c r="I77" s="8" t="s">
        <v>4</v>
      </c>
      <c r="J77" s="8" t="s">
        <v>4</v>
      </c>
      <c r="K77" s="53" t="s">
        <v>4</v>
      </c>
      <c r="L77" s="161" t="s">
        <v>4</v>
      </c>
      <c r="M77" s="162" t="s">
        <v>4</v>
      </c>
      <c r="N77" s="39"/>
    </row>
    <row r="78" spans="2:16" x14ac:dyDescent="0.25">
      <c r="B78" s="9"/>
      <c r="C78" s="212"/>
      <c r="D78" s="212"/>
      <c r="E78" s="212"/>
      <c r="F78" s="312"/>
      <c r="G78" s="320"/>
      <c r="H78" s="312"/>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3"/>
  </sheetPr>
  <dimension ref="B2:P78"/>
  <sheetViews>
    <sheetView showGridLines="0" workbookViewId="0"/>
  </sheetViews>
  <sheetFormatPr defaultRowHeight="15" x14ac:dyDescent="0.25"/>
  <cols>
    <col min="1" max="1" width="9.140625" style="203"/>
    <col min="2" max="2" width="2.7109375" style="203" customWidth="1"/>
    <col min="3" max="3" width="110.7109375" style="203" hidden="1" customWidth="1"/>
    <col min="4" max="4" width="4.7109375" style="203" hidden="1" customWidth="1"/>
    <col min="5" max="5" width="13" style="203" customWidth="1"/>
    <col min="6" max="6" width="26.7109375" style="309" customWidth="1"/>
    <col min="7" max="7" width="32.7109375" style="318" customWidth="1"/>
    <col min="8" max="8" width="4.7109375" style="309" customWidth="1"/>
    <col min="9" max="10" width="12.7109375" style="203" customWidth="1"/>
    <col min="11" max="13" width="18.7109375" style="203" customWidth="1"/>
    <col min="14" max="14" width="2.7109375" style="203" customWidth="1"/>
    <col min="15" max="16" width="9.140625" style="203" customWidth="1"/>
    <col min="17" max="16384" width="9.140625" style="203"/>
  </cols>
  <sheetData>
    <row r="2" spans="2:14" s="354" customFormat="1" ht="23.25" x14ac:dyDescent="0.35">
      <c r="B2" s="432" t="s">
        <v>418</v>
      </c>
      <c r="F2" s="433"/>
      <c r="G2" s="109"/>
      <c r="H2" s="433"/>
    </row>
    <row r="3" spans="2:14" s="354" customFormat="1" ht="23.25" x14ac:dyDescent="0.35">
      <c r="B3" s="108" t="s">
        <v>371</v>
      </c>
      <c r="F3" s="433"/>
      <c r="G3" s="109"/>
      <c r="H3" s="433"/>
    </row>
    <row r="5" spans="2:14" x14ac:dyDescent="0.25">
      <c r="B5" s="224" t="s">
        <v>279</v>
      </c>
      <c r="C5" s="224"/>
      <c r="D5" s="224"/>
      <c r="E5" s="224"/>
    </row>
    <row r="6" spans="2:14" x14ac:dyDescent="0.25">
      <c r="B6" s="204"/>
      <c r="C6" s="205"/>
      <c r="D6" s="205"/>
      <c r="E6" s="205"/>
      <c r="F6" s="325"/>
      <c r="G6" s="219"/>
      <c r="H6" s="310"/>
      <c r="I6" s="205"/>
      <c r="J6" s="205"/>
      <c r="K6" s="205"/>
      <c r="L6" s="205"/>
      <c r="M6" s="205"/>
      <c r="N6" s="206"/>
    </row>
    <row r="7" spans="2:14" x14ac:dyDescent="0.25">
      <c r="B7" s="207"/>
      <c r="C7" s="222"/>
      <c r="D7" s="208"/>
      <c r="E7" s="208"/>
      <c r="F7" s="326" t="s">
        <v>279</v>
      </c>
      <c r="G7" s="227"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(0.01600 sec)</v>
      </c>
      <c r="H7" s="294"/>
      <c r="I7" s="228"/>
      <c r="J7" s="208"/>
      <c r="K7" s="208"/>
      <c r="L7" s="208"/>
      <c r="M7" s="208"/>
      <c r="N7" s="209"/>
    </row>
    <row r="8" spans="2:14" x14ac:dyDescent="0.25">
      <c r="B8" s="207"/>
      <c r="C8" s="208"/>
      <c r="D8" s="208"/>
      <c r="E8" s="208"/>
      <c r="F8" s="327" t="s">
        <v>167</v>
      </c>
      <c r="G8" s="249" t="b">
        <f ca="1">LEFT(G7,5)=TenorBasisCurve1M3M.CollectionName</f>
        <v>1</v>
      </c>
      <c r="H8" s="311"/>
      <c r="I8" s="208"/>
      <c r="J8" s="208"/>
      <c r="K8" s="208"/>
      <c r="L8" s="208"/>
      <c r="M8" s="208"/>
      <c r="N8" s="209"/>
    </row>
    <row r="9" spans="2:14" x14ac:dyDescent="0.25">
      <c r="B9" s="207"/>
      <c r="C9" s="208"/>
      <c r="D9" s="208"/>
      <c r="E9" s="208"/>
      <c r="F9" s="328"/>
      <c r="G9" s="226"/>
      <c r="H9" s="311"/>
      <c r="I9" s="208"/>
      <c r="J9" s="208"/>
      <c r="K9" s="208"/>
      <c r="L9" s="208"/>
      <c r="M9" s="208"/>
      <c r="N9" s="209"/>
    </row>
    <row r="10" spans="2:14" x14ac:dyDescent="0.25">
      <c r="B10" s="207"/>
      <c r="C10" s="208"/>
      <c r="D10" s="208"/>
      <c r="E10" s="208"/>
      <c r="F10" s="328"/>
      <c r="G10" s="226"/>
      <c r="H10" s="311"/>
      <c r="I10" s="208"/>
      <c r="J10" s="208"/>
      <c r="K10" s="208"/>
      <c r="L10" s="208"/>
      <c r="M10" s="208"/>
      <c r="N10" s="209"/>
    </row>
    <row r="11" spans="2:14" x14ac:dyDescent="0.25">
      <c r="B11" s="207"/>
      <c r="C11" s="208"/>
      <c r="D11" s="208"/>
      <c r="E11" s="208"/>
      <c r="F11" s="329" t="s">
        <v>0</v>
      </c>
      <c r="G11" s="225"/>
      <c r="H11" s="311"/>
      <c r="I11" s="208"/>
      <c r="J11" s="208"/>
      <c r="K11" s="208"/>
      <c r="L11" s="208"/>
      <c r="M11" s="208"/>
      <c r="N11" s="209"/>
    </row>
    <row r="12" spans="2:14" ht="30" x14ac:dyDescent="0.25">
      <c r="B12" s="207"/>
      <c r="C12" s="287" t="s">
        <v>288</v>
      </c>
      <c r="D12" s="208"/>
      <c r="E12" s="208"/>
      <c r="F12" s="330" t="s">
        <v>80</v>
      </c>
      <c r="G12" s="243" t="s">
        <v>78</v>
      </c>
      <c r="H12" s="311"/>
      <c r="I12" s="208"/>
      <c r="J12" s="208"/>
      <c r="K12" s="208"/>
      <c r="L12" s="208"/>
      <c r="M12" s="208"/>
      <c r="N12" s="209"/>
    </row>
    <row r="13" spans="2:14" ht="30" x14ac:dyDescent="0.25">
      <c r="B13" s="207"/>
      <c r="C13" s="287" t="s">
        <v>364</v>
      </c>
      <c r="D13" s="208"/>
      <c r="E13" s="208"/>
      <c r="F13" s="331" t="s">
        <v>79</v>
      </c>
      <c r="G13" s="244" t="s">
        <v>421</v>
      </c>
      <c r="H13" s="311"/>
      <c r="I13" s="208"/>
      <c r="J13" s="208"/>
      <c r="K13" s="208"/>
      <c r="L13" s="208"/>
      <c r="M13" s="208"/>
      <c r="N13" s="209"/>
    </row>
    <row r="14" spans="2:14" ht="30" x14ac:dyDescent="0.25">
      <c r="B14" s="207"/>
      <c r="C14" s="287" t="s">
        <v>365</v>
      </c>
      <c r="D14" s="208"/>
      <c r="E14" s="208"/>
      <c r="F14" s="333" t="s">
        <v>81</v>
      </c>
      <c r="G14" s="245" t="s">
        <v>422</v>
      </c>
      <c r="H14" s="311"/>
      <c r="I14" s="208"/>
      <c r="J14" s="208"/>
      <c r="K14" s="208"/>
      <c r="L14" s="208"/>
      <c r="M14" s="208"/>
      <c r="N14" s="209" t="s">
        <v>4</v>
      </c>
    </row>
    <row r="15" spans="2:14" x14ac:dyDescent="0.25">
      <c r="B15" s="211"/>
      <c r="C15" s="212"/>
      <c r="D15" s="212"/>
      <c r="E15" s="212"/>
      <c r="F15" s="312"/>
      <c r="G15" s="351"/>
      <c r="H15" s="312"/>
      <c r="I15" s="212"/>
      <c r="J15" s="212"/>
      <c r="K15" s="212"/>
      <c r="L15" s="212"/>
      <c r="M15" s="212"/>
      <c r="N15" s="213"/>
    </row>
    <row r="18" spans="2:14" x14ac:dyDescent="0.25">
      <c r="B18" s="224" t="s">
        <v>68</v>
      </c>
      <c r="C18" s="224"/>
      <c r="D18" s="224"/>
      <c r="E18" s="224"/>
    </row>
    <row r="19" spans="2:14" x14ac:dyDescent="0.25">
      <c r="B19" s="204"/>
      <c r="C19" s="205"/>
      <c r="D19" s="205"/>
      <c r="E19" s="205"/>
      <c r="F19" s="325"/>
      <c r="G19" s="219"/>
      <c r="H19" s="310"/>
      <c r="I19" s="205"/>
      <c r="J19" s="205"/>
      <c r="K19" s="205"/>
      <c r="L19" s="205"/>
      <c r="M19" s="205"/>
      <c r="N19" s="206"/>
    </row>
    <row r="20" spans="2:14" x14ac:dyDescent="0.25">
      <c r="B20" s="207"/>
      <c r="C20" s="208"/>
      <c r="D20" s="208"/>
      <c r="E20" s="208"/>
      <c r="F20" s="329" t="s">
        <v>68</v>
      </c>
      <c r="G20" s="220"/>
      <c r="H20" s="311"/>
      <c r="I20" s="208"/>
      <c r="J20" s="208"/>
      <c r="K20" s="208"/>
      <c r="L20" s="208"/>
      <c r="M20" s="208"/>
      <c r="N20" s="209"/>
    </row>
    <row r="21" spans="2:14" ht="30" x14ac:dyDescent="0.25">
      <c r="B21" s="207"/>
      <c r="C21" s="287" t="s">
        <v>289</v>
      </c>
      <c r="D21" s="208"/>
      <c r="E21" s="208"/>
      <c r="F21" s="330" t="s">
        <v>10</v>
      </c>
      <c r="G21" s="243">
        <f>COB</f>
        <v>42521</v>
      </c>
      <c r="H21" s="311"/>
      <c r="I21" s="208"/>
      <c r="J21" s="208"/>
      <c r="K21" s="208"/>
      <c r="L21" s="208"/>
      <c r="M21" s="208"/>
      <c r="N21" s="209"/>
    </row>
    <row r="22" spans="2:14" ht="30" x14ac:dyDescent="0.25">
      <c r="B22" s="207"/>
      <c r="C22" s="287" t="s">
        <v>290</v>
      </c>
      <c r="D22" s="208"/>
      <c r="E22" s="208"/>
      <c r="F22" s="331" t="s">
        <v>16</v>
      </c>
      <c r="G22" s="244" t="s">
        <v>17</v>
      </c>
      <c r="H22" s="311"/>
      <c r="I22" s="208"/>
      <c r="J22" s="208"/>
      <c r="K22" s="208"/>
      <c r="L22" s="208"/>
      <c r="M22" s="208"/>
      <c r="N22" s="209"/>
    </row>
    <row r="23" spans="2:14" ht="45" x14ac:dyDescent="0.25">
      <c r="B23" s="207"/>
      <c r="C23" s="287" t="s">
        <v>325</v>
      </c>
      <c r="D23" s="208"/>
      <c r="E23" s="208"/>
      <c r="F23" s="331" t="s">
        <v>276</v>
      </c>
      <c r="G23" s="246" t="str">
        <f>interpolationFunction</f>
        <v>fn_SplineInterpolation</v>
      </c>
      <c r="H23" s="311"/>
      <c r="I23" s="208"/>
      <c r="J23" s="208"/>
      <c r="K23" s="208"/>
      <c r="L23" s="208"/>
      <c r="M23" s="208"/>
      <c r="N23" s="209"/>
    </row>
    <row r="24" spans="2:14" ht="45" x14ac:dyDescent="0.25">
      <c r="B24" s="207"/>
      <c r="C24" s="288" t="s">
        <v>324</v>
      </c>
      <c r="D24" s="208"/>
      <c r="E24" s="208"/>
      <c r="F24" s="331" t="s">
        <v>196</v>
      </c>
      <c r="G24" s="244" t="b">
        <v>1</v>
      </c>
      <c r="H24" s="311"/>
      <c r="I24" s="208"/>
      <c r="J24" s="208"/>
      <c r="K24" s="208"/>
      <c r="L24" s="208"/>
      <c r="M24" s="208"/>
      <c r="N24" s="209"/>
    </row>
    <row r="25" spans="2:14" ht="45" x14ac:dyDescent="0.25">
      <c r="B25" s="207"/>
      <c r="C25" s="292" t="s">
        <v>315</v>
      </c>
      <c r="D25" s="208"/>
      <c r="E25" s="208"/>
      <c r="F25" s="331" t="s">
        <v>195</v>
      </c>
      <c r="G25" s="244" t="s">
        <v>9</v>
      </c>
      <c r="H25" s="311"/>
      <c r="I25" s="208"/>
      <c r="J25" s="208"/>
      <c r="K25" s="208"/>
      <c r="L25" s="208"/>
      <c r="M25" s="208"/>
      <c r="N25" s="209"/>
    </row>
    <row r="26" spans="2:14" x14ac:dyDescent="0.25">
      <c r="B26" s="207"/>
      <c r="C26" s="297"/>
      <c r="D26" s="208"/>
      <c r="E26" s="208"/>
      <c r="F26" s="331"/>
      <c r="G26" s="244"/>
      <c r="H26" s="311"/>
      <c r="I26" s="208"/>
      <c r="J26" s="208"/>
      <c r="K26" s="208"/>
      <c r="L26" s="208"/>
      <c r="M26" s="208"/>
      <c r="N26" s="209"/>
    </row>
    <row r="27" spans="2:14" x14ac:dyDescent="0.25">
      <c r="B27" s="207"/>
      <c r="C27" s="293"/>
      <c r="D27" s="208"/>
      <c r="E27" s="208"/>
      <c r="F27" s="333"/>
      <c r="G27" s="245"/>
      <c r="H27" s="311"/>
      <c r="I27" s="208"/>
      <c r="J27" s="208"/>
      <c r="K27" s="208"/>
      <c r="L27" s="208"/>
      <c r="M27" s="208"/>
      <c r="N27" s="209"/>
    </row>
    <row r="28" spans="2:14" x14ac:dyDescent="0.25">
      <c r="B28" s="211"/>
      <c r="C28" s="212"/>
      <c r="D28" s="212"/>
      <c r="E28" s="212"/>
      <c r="F28" s="312"/>
      <c r="G28" s="351"/>
      <c r="H28" s="312"/>
      <c r="I28" s="212"/>
      <c r="J28" s="212"/>
      <c r="K28" s="212"/>
      <c r="L28" s="212"/>
      <c r="M28" s="212"/>
      <c r="N28" s="213"/>
    </row>
    <row r="31" spans="2:14" x14ac:dyDescent="0.25">
      <c r="B31" s="224" t="s">
        <v>118</v>
      </c>
      <c r="C31" s="224"/>
      <c r="D31" s="224"/>
      <c r="E31" s="224"/>
      <c r="L31" s="214"/>
    </row>
    <row r="32" spans="2:14" x14ac:dyDescent="0.25">
      <c r="B32" s="204"/>
      <c r="C32" s="205"/>
      <c r="D32" s="205"/>
      <c r="E32" s="205"/>
      <c r="F32" s="310"/>
      <c r="G32" s="352"/>
      <c r="H32" s="310"/>
      <c r="I32" s="165" t="s">
        <v>204</v>
      </c>
      <c r="J32" s="165"/>
      <c r="K32" s="205"/>
      <c r="L32" s="205"/>
      <c r="M32" s="205"/>
      <c r="N32" s="206"/>
    </row>
    <row r="33" spans="2:14" x14ac:dyDescent="0.25">
      <c r="B33" s="207"/>
      <c r="C33" s="208"/>
      <c r="D33" s="208"/>
      <c r="E33" s="208"/>
      <c r="F33" s="335" t="s">
        <v>223</v>
      </c>
      <c r="G33" s="237"/>
      <c r="H33" s="313"/>
      <c r="I33" s="221" t="s">
        <v>420</v>
      </c>
      <c r="J33" s="210"/>
      <c r="K33" s="210"/>
      <c r="L33" s="210"/>
      <c r="M33" s="210"/>
      <c r="N33" s="223"/>
    </row>
    <row r="34" spans="2:14" ht="45" x14ac:dyDescent="0.25">
      <c r="B34" s="207"/>
      <c r="C34" s="287" t="s">
        <v>326</v>
      </c>
      <c r="D34" s="208"/>
      <c r="E34" s="248"/>
      <c r="F34" s="330" t="s">
        <v>119</v>
      </c>
      <c r="G34" s="215" t="s">
        <v>222</v>
      </c>
      <c r="H34" s="313"/>
      <c r="I34" s="237" t="s">
        <v>11</v>
      </c>
      <c r="J34" s="237" t="s">
        <v>12</v>
      </c>
      <c r="K34" s="237" t="s">
        <v>275</v>
      </c>
      <c r="L34" s="237" t="s">
        <v>202</v>
      </c>
      <c r="M34" s="237" t="s">
        <v>203</v>
      </c>
      <c r="N34" s="223"/>
    </row>
    <row r="35" spans="2:14" ht="45" x14ac:dyDescent="0.25">
      <c r="B35" s="207"/>
      <c r="C35" s="287" t="s">
        <v>327</v>
      </c>
      <c r="D35" s="208"/>
      <c r="E35" s="438" t="s">
        <v>165</v>
      </c>
      <c r="F35" s="348" t="s">
        <v>121</v>
      </c>
      <c r="G35" s="247" t="b">
        <v>0</v>
      </c>
      <c r="H35" s="313"/>
      <c r="I35" s="233" t="s">
        <v>159</v>
      </c>
      <c r="J35" s="238">
        <v>8.9999999999999998E-4</v>
      </c>
      <c r="K35" s="300" t="b">
        <v>0</v>
      </c>
      <c r="L35" s="301" t="s">
        <v>199</v>
      </c>
      <c r="M35" s="302" t="str">
        <f>I35</f>
        <v>1Y</v>
      </c>
      <c r="N35" s="223"/>
    </row>
    <row r="36" spans="2:14" ht="30" x14ac:dyDescent="0.25">
      <c r="B36" s="207"/>
      <c r="C36" s="287" t="s">
        <v>328</v>
      </c>
      <c r="D36" s="208"/>
      <c r="E36" s="439"/>
      <c r="F36" s="331" t="s">
        <v>122</v>
      </c>
      <c r="G36" s="216" t="s">
        <v>2</v>
      </c>
      <c r="H36" s="313"/>
      <c r="I36" s="234" t="s">
        <v>47</v>
      </c>
      <c r="J36" s="239">
        <v>9.2000000000000003E-4</v>
      </c>
      <c r="K36" s="303" t="b">
        <v>0</v>
      </c>
      <c r="L36" s="304" t="s">
        <v>199</v>
      </c>
      <c r="M36" s="305" t="str">
        <f>I36</f>
        <v>2Y</v>
      </c>
      <c r="N36" s="223"/>
    </row>
    <row r="37" spans="2:14" ht="30" x14ac:dyDescent="0.25">
      <c r="B37" s="207"/>
      <c r="C37" s="287" t="s">
        <v>329</v>
      </c>
      <c r="D37" s="208"/>
      <c r="E37" s="439"/>
      <c r="F37" s="331" t="s">
        <v>123</v>
      </c>
      <c r="G37" s="216" t="s">
        <v>124</v>
      </c>
      <c r="H37" s="313"/>
      <c r="I37" s="234" t="s">
        <v>43</v>
      </c>
      <c r="J37" s="239">
        <v>9.4000000000000008E-4</v>
      </c>
      <c r="K37" s="303" t="b">
        <v>0</v>
      </c>
      <c r="L37" s="304" t="s">
        <v>199</v>
      </c>
      <c r="M37" s="305" t="str">
        <f>I37</f>
        <v>3Y</v>
      </c>
      <c r="N37" s="223"/>
    </row>
    <row r="38" spans="2:14" ht="30" x14ac:dyDescent="0.25">
      <c r="B38" s="207"/>
      <c r="C38" s="287" t="s">
        <v>330</v>
      </c>
      <c r="D38" s="208"/>
      <c r="E38" s="439"/>
      <c r="F38" s="331" t="s">
        <v>125</v>
      </c>
      <c r="G38" s="230" t="s">
        <v>28</v>
      </c>
      <c r="H38" s="313"/>
      <c r="I38" s="234" t="s">
        <v>50</v>
      </c>
      <c r="J38" s="239">
        <v>9.8999999999999999E-4</v>
      </c>
      <c r="K38" s="303" t="b">
        <v>0</v>
      </c>
      <c r="L38" s="304" t="s">
        <v>199</v>
      </c>
      <c r="M38" s="305" t="str">
        <f t="shared" ref="M38:M48" si="0">I38</f>
        <v>4Y</v>
      </c>
      <c r="N38" s="223"/>
    </row>
    <row r="39" spans="2:14" ht="30" x14ac:dyDescent="0.25">
      <c r="B39" s="207"/>
      <c r="C39" s="287" t="s">
        <v>331</v>
      </c>
      <c r="D39" s="208"/>
      <c r="E39" s="439"/>
      <c r="F39" s="331" t="s">
        <v>126</v>
      </c>
      <c r="G39" s="230" t="s">
        <v>22</v>
      </c>
      <c r="H39" s="313"/>
      <c r="I39" s="234" t="s">
        <v>52</v>
      </c>
      <c r="J39" s="239">
        <v>9.8499999999999998E-4</v>
      </c>
      <c r="K39" s="303" t="b">
        <v>0</v>
      </c>
      <c r="L39" s="304" t="s">
        <v>199</v>
      </c>
      <c r="M39" s="305" t="str">
        <f t="shared" si="0"/>
        <v>5Y</v>
      </c>
      <c r="N39" s="223"/>
    </row>
    <row r="40" spans="2:14" ht="30" x14ac:dyDescent="0.25">
      <c r="B40" s="207"/>
      <c r="C40" s="287" t="s">
        <v>341</v>
      </c>
      <c r="D40" s="208"/>
      <c r="E40" s="439"/>
      <c r="F40" s="331" t="s">
        <v>127</v>
      </c>
      <c r="G40" s="216" t="s">
        <v>101</v>
      </c>
      <c r="H40" s="313"/>
      <c r="I40" s="234" t="s">
        <v>54</v>
      </c>
      <c r="J40" s="239">
        <v>9.8999999999999999E-4</v>
      </c>
      <c r="K40" s="303" t="b">
        <f t="shared" ref="K40:K48" si="1">ISNUMBER(L40)</f>
        <v>0</v>
      </c>
      <c r="L40" s="304" t="s">
        <v>199</v>
      </c>
      <c r="M40" s="305" t="str">
        <f t="shared" si="0"/>
        <v>6Y</v>
      </c>
      <c r="N40" s="223"/>
    </row>
    <row r="41" spans="2:14" ht="30" x14ac:dyDescent="0.25">
      <c r="B41" s="207"/>
      <c r="C41" s="287" t="s">
        <v>333</v>
      </c>
      <c r="D41" s="208"/>
      <c r="E41" s="439"/>
      <c r="F41" s="331" t="s">
        <v>128</v>
      </c>
      <c r="G41" s="216" t="s">
        <v>9</v>
      </c>
      <c r="H41" s="313"/>
      <c r="I41" s="234" t="s">
        <v>55</v>
      </c>
      <c r="J41" s="239">
        <v>9.8999999999999999E-4</v>
      </c>
      <c r="K41" s="303" t="b">
        <f t="shared" si="1"/>
        <v>0</v>
      </c>
      <c r="L41" s="304" t="s">
        <v>199</v>
      </c>
      <c r="M41" s="305" t="str">
        <f t="shared" si="0"/>
        <v>7Y</v>
      </c>
      <c r="N41" s="223"/>
    </row>
    <row r="42" spans="2:14" ht="30" x14ac:dyDescent="0.25">
      <c r="B42" s="207"/>
      <c r="C42" s="287" t="s">
        <v>332</v>
      </c>
      <c r="D42" s="208"/>
      <c r="E42" s="439"/>
      <c r="F42" s="331" t="s">
        <v>129</v>
      </c>
      <c r="G42" s="216" t="s">
        <v>174</v>
      </c>
      <c r="H42" s="313"/>
      <c r="I42" s="234" t="s">
        <v>57</v>
      </c>
      <c r="J42" s="239">
        <v>9.2000000000000003E-4</v>
      </c>
      <c r="K42" s="303" t="b">
        <f t="shared" si="1"/>
        <v>0</v>
      </c>
      <c r="L42" s="304" t="s">
        <v>199</v>
      </c>
      <c r="M42" s="305" t="str">
        <f t="shared" si="0"/>
        <v>8Y</v>
      </c>
      <c r="N42" s="223"/>
    </row>
    <row r="43" spans="2:14" ht="30" x14ac:dyDescent="0.25">
      <c r="B43" s="207"/>
      <c r="C43" s="287" t="s">
        <v>334</v>
      </c>
      <c r="D43" s="208"/>
      <c r="E43" s="439"/>
      <c r="F43" s="331" t="s">
        <v>130</v>
      </c>
      <c r="G43" s="230" t="s">
        <v>145</v>
      </c>
      <c r="H43" s="313"/>
      <c r="I43" s="234" t="s">
        <v>59</v>
      </c>
      <c r="J43" s="239">
        <v>9.2000000000000003E-4</v>
      </c>
      <c r="K43" s="303" t="b">
        <f t="shared" si="1"/>
        <v>0</v>
      </c>
      <c r="L43" s="304" t="s">
        <v>199</v>
      </c>
      <c r="M43" s="305" t="str">
        <f t="shared" si="0"/>
        <v>9Y</v>
      </c>
      <c r="N43" s="223"/>
    </row>
    <row r="44" spans="2:14" ht="30" x14ac:dyDescent="0.25">
      <c r="B44" s="207"/>
      <c r="C44" s="287" t="s">
        <v>335</v>
      </c>
      <c r="D44" s="208"/>
      <c r="E44" s="439"/>
      <c r="F44" s="331" t="s">
        <v>131</v>
      </c>
      <c r="G44" s="216" t="s">
        <v>124</v>
      </c>
      <c r="H44" s="313"/>
      <c r="I44" s="234" t="s">
        <v>60</v>
      </c>
      <c r="J44" s="239">
        <v>8.9000000000000006E-4</v>
      </c>
      <c r="K44" s="303" t="b">
        <f t="shared" si="1"/>
        <v>0</v>
      </c>
      <c r="L44" s="304" t="s">
        <v>199</v>
      </c>
      <c r="M44" s="305" t="str">
        <f t="shared" si="0"/>
        <v>10Y</v>
      </c>
      <c r="N44" s="223"/>
    </row>
    <row r="45" spans="2:14" ht="30" x14ac:dyDescent="0.25">
      <c r="B45" s="207"/>
      <c r="C45" s="287" t="s">
        <v>336</v>
      </c>
      <c r="D45" s="208"/>
      <c r="E45" s="439"/>
      <c r="F45" s="331" t="s">
        <v>132</v>
      </c>
      <c r="G45" s="216" t="s">
        <v>2</v>
      </c>
      <c r="H45" s="313"/>
      <c r="I45" s="234" t="s">
        <v>63</v>
      </c>
      <c r="J45" s="239">
        <v>7.3500000000000008E-4</v>
      </c>
      <c r="K45" s="303" t="b">
        <f t="shared" si="1"/>
        <v>0</v>
      </c>
      <c r="L45" s="304" t="s">
        <v>199</v>
      </c>
      <c r="M45" s="305" t="str">
        <f t="shared" si="0"/>
        <v>15Y</v>
      </c>
      <c r="N45" s="223"/>
    </row>
    <row r="46" spans="2:14" ht="30" x14ac:dyDescent="0.25">
      <c r="B46" s="207"/>
      <c r="C46" s="287" t="s">
        <v>337</v>
      </c>
      <c r="D46" s="208"/>
      <c r="E46" s="439"/>
      <c r="F46" s="331" t="s">
        <v>133</v>
      </c>
      <c r="G46" s="216" t="s">
        <v>91</v>
      </c>
      <c r="H46" s="313"/>
      <c r="I46" s="234" t="s">
        <v>64</v>
      </c>
      <c r="J46" s="239">
        <v>5.350000000000001E-4</v>
      </c>
      <c r="K46" s="303" t="b">
        <f t="shared" si="1"/>
        <v>0</v>
      </c>
      <c r="L46" s="304" t="s">
        <v>199</v>
      </c>
      <c r="M46" s="305" t="str">
        <f t="shared" si="0"/>
        <v>20Y</v>
      </c>
      <c r="N46" s="223"/>
    </row>
    <row r="47" spans="2:14" ht="30" x14ac:dyDescent="0.25">
      <c r="B47" s="207"/>
      <c r="C47" s="287" t="s">
        <v>338</v>
      </c>
      <c r="D47" s="208"/>
      <c r="E47" s="439"/>
      <c r="F47" s="331" t="s">
        <v>134</v>
      </c>
      <c r="G47" s="216" t="s">
        <v>2</v>
      </c>
      <c r="H47" s="313"/>
      <c r="I47" s="234" t="s">
        <v>65</v>
      </c>
      <c r="J47" s="239">
        <v>4.0750000000000009E-4</v>
      </c>
      <c r="K47" s="303" t="b">
        <f t="shared" si="1"/>
        <v>0</v>
      </c>
      <c r="L47" s="304" t="s">
        <v>199</v>
      </c>
      <c r="M47" s="305" t="str">
        <f t="shared" si="0"/>
        <v>25Y</v>
      </c>
      <c r="N47" s="223"/>
    </row>
    <row r="48" spans="2:14" ht="30" x14ac:dyDescent="0.25">
      <c r="B48" s="207"/>
      <c r="C48" s="287" t="s">
        <v>339</v>
      </c>
      <c r="D48" s="208"/>
      <c r="E48" s="439"/>
      <c r="F48" s="331" t="s">
        <v>135</v>
      </c>
      <c r="G48" s="216">
        <v>2</v>
      </c>
      <c r="H48" s="313"/>
      <c r="I48" s="234" t="s">
        <v>66</v>
      </c>
      <c r="J48" s="239">
        <v>3.1500000000000018E-4</v>
      </c>
      <c r="K48" s="303" t="b">
        <f t="shared" si="1"/>
        <v>0</v>
      </c>
      <c r="L48" s="304" t="s">
        <v>199</v>
      </c>
      <c r="M48" s="305" t="str">
        <f t="shared" si="0"/>
        <v>30Y</v>
      </c>
      <c r="N48" s="223"/>
    </row>
    <row r="49" spans="2:16" ht="30" x14ac:dyDescent="0.25">
      <c r="B49" s="207"/>
      <c r="C49" s="287" t="s">
        <v>340</v>
      </c>
      <c r="D49" s="208"/>
      <c r="E49" s="440"/>
      <c r="F49" s="349" t="s">
        <v>136</v>
      </c>
      <c r="G49" s="230" t="s">
        <v>22</v>
      </c>
      <c r="H49" s="313"/>
      <c r="I49" s="234"/>
      <c r="J49" s="239"/>
      <c r="K49" s="303"/>
      <c r="L49" s="304"/>
      <c r="M49" s="305"/>
      <c r="N49" s="223"/>
    </row>
    <row r="50" spans="2:16" ht="30" x14ac:dyDescent="0.25">
      <c r="B50" s="207"/>
      <c r="C50" s="287" t="s">
        <v>342</v>
      </c>
      <c r="D50" s="208"/>
      <c r="E50" s="441" t="s">
        <v>166</v>
      </c>
      <c r="F50" s="348" t="s">
        <v>137</v>
      </c>
      <c r="G50" s="247" t="s">
        <v>2</v>
      </c>
      <c r="H50" s="313"/>
      <c r="I50" s="234"/>
      <c r="J50" s="239"/>
      <c r="K50" s="303"/>
      <c r="L50" s="304"/>
      <c r="M50" s="305"/>
      <c r="N50" s="223"/>
    </row>
    <row r="51" spans="2:16" ht="30" x14ac:dyDescent="0.25">
      <c r="B51" s="207"/>
      <c r="C51" s="287" t="s">
        <v>343</v>
      </c>
      <c r="D51" s="208"/>
      <c r="E51" s="442"/>
      <c r="F51" s="331" t="s">
        <v>138</v>
      </c>
      <c r="G51" s="216" t="s">
        <v>124</v>
      </c>
      <c r="H51" s="313"/>
      <c r="I51" s="234"/>
      <c r="J51" s="239"/>
      <c r="K51" s="303"/>
      <c r="L51" s="304"/>
      <c r="M51" s="305"/>
      <c r="N51" s="223"/>
    </row>
    <row r="52" spans="2:16" ht="30" x14ac:dyDescent="0.25">
      <c r="B52" s="207"/>
      <c r="C52" s="287" t="s">
        <v>344</v>
      </c>
      <c r="D52" s="208"/>
      <c r="E52" s="442"/>
      <c r="F52" s="331" t="s">
        <v>139</v>
      </c>
      <c r="G52" s="230" t="s">
        <v>220</v>
      </c>
      <c r="H52" s="313"/>
      <c r="I52" s="234"/>
      <c r="J52" s="239"/>
      <c r="K52" s="303"/>
      <c r="L52" s="304"/>
      <c r="M52" s="305"/>
      <c r="N52" s="223"/>
    </row>
    <row r="53" spans="2:16" ht="30" x14ac:dyDescent="0.25">
      <c r="B53" s="207"/>
      <c r="C53" s="287" t="s">
        <v>345</v>
      </c>
      <c r="D53" s="208"/>
      <c r="E53" s="442"/>
      <c r="F53" s="331" t="s">
        <v>140</v>
      </c>
      <c r="G53" s="230" t="s">
        <v>22</v>
      </c>
      <c r="H53" s="313"/>
      <c r="I53" s="234"/>
      <c r="J53" s="239"/>
      <c r="K53" s="303"/>
      <c r="L53" s="304"/>
      <c r="M53" s="305"/>
      <c r="N53" s="223"/>
    </row>
    <row r="54" spans="2:16" ht="30" x14ac:dyDescent="0.25">
      <c r="B54" s="207"/>
      <c r="C54" s="287" t="s">
        <v>346</v>
      </c>
      <c r="D54" s="208"/>
      <c r="E54" s="442"/>
      <c r="F54" s="331" t="s">
        <v>141</v>
      </c>
      <c r="G54" s="216" t="s">
        <v>101</v>
      </c>
      <c r="H54" s="314"/>
      <c r="I54" s="234"/>
      <c r="J54" s="239"/>
      <c r="K54" s="303"/>
      <c r="L54" s="304"/>
      <c r="M54" s="305"/>
      <c r="N54" s="223"/>
    </row>
    <row r="55" spans="2:16" ht="30" x14ac:dyDescent="0.25">
      <c r="B55" s="207"/>
      <c r="C55" s="287" t="s">
        <v>347</v>
      </c>
      <c r="D55" s="208"/>
      <c r="E55" s="442"/>
      <c r="F55" s="331" t="s">
        <v>142</v>
      </c>
      <c r="G55" s="216" t="s">
        <v>9</v>
      </c>
      <c r="H55" s="314"/>
      <c r="I55" s="234"/>
      <c r="J55" s="239"/>
      <c r="K55" s="303"/>
      <c r="L55" s="304"/>
      <c r="M55" s="305"/>
      <c r="N55" s="223"/>
    </row>
    <row r="56" spans="2:16" ht="30" x14ac:dyDescent="0.25">
      <c r="B56" s="207"/>
      <c r="C56" s="287" t="s">
        <v>348</v>
      </c>
      <c r="D56" s="208"/>
      <c r="E56" s="442"/>
      <c r="F56" s="331" t="s">
        <v>143</v>
      </c>
      <c r="G56" s="317" t="s">
        <v>82</v>
      </c>
      <c r="H56" s="315" t="s">
        <v>200</v>
      </c>
      <c r="I56" s="234"/>
      <c r="J56" s="239"/>
      <c r="K56" s="303"/>
      <c r="L56" s="304"/>
      <c r="M56" s="305"/>
      <c r="N56" s="223"/>
    </row>
    <row r="57" spans="2:16" ht="30" x14ac:dyDescent="0.25">
      <c r="B57" s="207"/>
      <c r="C57" s="287" t="s">
        <v>349</v>
      </c>
      <c r="D57" s="208"/>
      <c r="E57" s="442"/>
      <c r="F57" s="331" t="s">
        <v>144</v>
      </c>
      <c r="G57" s="230" t="s">
        <v>161</v>
      </c>
      <c r="H57" s="314"/>
      <c r="I57" s="234"/>
      <c r="J57" s="239"/>
      <c r="K57" s="303"/>
      <c r="L57" s="304"/>
      <c r="M57" s="305"/>
      <c r="N57" s="223"/>
      <c r="P57" s="171"/>
    </row>
    <row r="58" spans="2:16" ht="30" x14ac:dyDescent="0.25">
      <c r="B58" s="207"/>
      <c r="C58" s="287" t="s">
        <v>350</v>
      </c>
      <c r="D58" s="208"/>
      <c r="E58" s="442"/>
      <c r="F58" s="331" t="s">
        <v>146</v>
      </c>
      <c r="G58" s="216" t="s">
        <v>124</v>
      </c>
      <c r="H58" s="314"/>
      <c r="I58" s="234"/>
      <c r="J58" s="239"/>
      <c r="K58" s="303"/>
      <c r="L58" s="304"/>
      <c r="M58" s="305"/>
      <c r="N58" s="223"/>
      <c r="P58" s="171"/>
    </row>
    <row r="59" spans="2:16" ht="30" x14ac:dyDescent="0.25">
      <c r="B59" s="207"/>
      <c r="C59" s="287" t="s">
        <v>351</v>
      </c>
      <c r="D59" s="208"/>
      <c r="E59" s="442"/>
      <c r="F59" s="331" t="s">
        <v>147</v>
      </c>
      <c r="G59" s="216" t="s">
        <v>2</v>
      </c>
      <c r="H59" s="314"/>
      <c r="I59" s="234"/>
      <c r="J59" s="239"/>
      <c r="K59" s="303"/>
      <c r="L59" s="304"/>
      <c r="M59" s="305"/>
      <c r="N59" s="223"/>
      <c r="P59" s="171"/>
    </row>
    <row r="60" spans="2:16" ht="30" x14ac:dyDescent="0.25">
      <c r="B60" s="207"/>
      <c r="C60" s="287" t="s">
        <v>352</v>
      </c>
      <c r="D60" s="208"/>
      <c r="E60" s="442"/>
      <c r="F60" s="331" t="s">
        <v>148</v>
      </c>
      <c r="G60" s="216" t="s">
        <v>91</v>
      </c>
      <c r="H60" s="314"/>
      <c r="I60" s="234"/>
      <c r="J60" s="239"/>
      <c r="K60" s="303"/>
      <c r="L60" s="304"/>
      <c r="M60" s="305"/>
      <c r="N60" s="223"/>
      <c r="P60" s="171"/>
    </row>
    <row r="61" spans="2:16" ht="30" x14ac:dyDescent="0.25">
      <c r="B61" s="207"/>
      <c r="C61" s="287" t="s">
        <v>353</v>
      </c>
      <c r="D61" s="208"/>
      <c r="E61" s="442"/>
      <c r="F61" s="331" t="s">
        <v>149</v>
      </c>
      <c r="G61" s="216" t="s">
        <v>2</v>
      </c>
      <c r="H61" s="314"/>
      <c r="I61" s="234"/>
      <c r="J61" s="239"/>
      <c r="K61" s="303"/>
      <c r="L61" s="304"/>
      <c r="M61" s="305"/>
      <c r="N61" s="223"/>
      <c r="P61" s="171"/>
    </row>
    <row r="62" spans="2:16" ht="30" x14ac:dyDescent="0.25">
      <c r="B62" s="207"/>
      <c r="C62" s="287" t="s">
        <v>354</v>
      </c>
      <c r="D62" s="208"/>
      <c r="E62" s="442"/>
      <c r="F62" s="331" t="s">
        <v>150</v>
      </c>
      <c r="G62" s="216">
        <v>2</v>
      </c>
      <c r="H62" s="314"/>
      <c r="I62" s="234"/>
      <c r="J62" s="239"/>
      <c r="K62" s="303"/>
      <c r="L62" s="304"/>
      <c r="M62" s="305"/>
      <c r="N62" s="223"/>
      <c r="P62" s="171"/>
    </row>
    <row r="63" spans="2:16" ht="30" x14ac:dyDescent="0.25">
      <c r="B63" s="207"/>
      <c r="C63" s="287" t="s">
        <v>355</v>
      </c>
      <c r="D63" s="208"/>
      <c r="E63" s="443"/>
      <c r="F63" s="349" t="s">
        <v>151</v>
      </c>
      <c r="G63" s="230" t="s">
        <v>22</v>
      </c>
      <c r="H63" s="314"/>
      <c r="I63" s="234"/>
      <c r="J63" s="239"/>
      <c r="K63" s="303"/>
      <c r="L63" s="304"/>
      <c r="M63" s="305"/>
      <c r="N63" s="223"/>
      <c r="P63" s="171"/>
    </row>
    <row r="64" spans="2:16" ht="30" x14ac:dyDescent="0.25">
      <c r="B64" s="207"/>
      <c r="C64" s="287" t="s">
        <v>356</v>
      </c>
      <c r="D64" s="208"/>
      <c r="E64" s="444" t="str">
        <f>"Solving For :"&amp;CHAR(32)&amp;$H$64</f>
        <v>Solving For : &lt;--- Solver: Target</v>
      </c>
      <c r="F64" s="350" t="s">
        <v>152</v>
      </c>
      <c r="G64" s="316" t="s">
        <v>153</v>
      </c>
      <c r="H64" s="315" t="s">
        <v>201</v>
      </c>
      <c r="I64" s="234"/>
      <c r="J64" s="239"/>
      <c r="K64" s="303"/>
      <c r="L64" s="304"/>
      <c r="M64" s="305"/>
      <c r="N64" s="223"/>
      <c r="P64" s="171"/>
    </row>
    <row r="65" spans="2:16" ht="30" x14ac:dyDescent="0.25">
      <c r="B65" s="207"/>
      <c r="C65" s="288" t="s">
        <v>358</v>
      </c>
      <c r="D65" s="208"/>
      <c r="E65" s="445"/>
      <c r="F65" s="331" t="s">
        <v>112</v>
      </c>
      <c r="G65" s="216" t="b">
        <v>1</v>
      </c>
      <c r="H65" s="314"/>
      <c r="I65" s="234"/>
      <c r="J65" s="239"/>
      <c r="K65" s="303"/>
      <c r="L65" s="304"/>
      <c r="M65" s="305"/>
      <c r="N65" s="223"/>
      <c r="P65" s="171"/>
    </row>
    <row r="66" spans="2:16" ht="30" x14ac:dyDescent="0.25">
      <c r="B66" s="207"/>
      <c r="C66" s="288" t="s">
        <v>359</v>
      </c>
      <c r="D66" s="208"/>
      <c r="E66" s="445"/>
      <c r="F66" s="331" t="s">
        <v>154</v>
      </c>
      <c r="G66" s="246" t="str">
        <f>interpolationFunction</f>
        <v>fn_SplineInterpolation</v>
      </c>
      <c r="H66" s="314"/>
      <c r="I66" s="234"/>
      <c r="J66" s="239"/>
      <c r="K66" s="303"/>
      <c r="L66" s="304"/>
      <c r="M66" s="305"/>
      <c r="N66" s="223"/>
      <c r="P66" s="171"/>
    </row>
    <row r="67" spans="2:16" ht="45" x14ac:dyDescent="0.25">
      <c r="B67" s="207"/>
      <c r="C67" s="288" t="s">
        <v>360</v>
      </c>
      <c r="D67" s="208"/>
      <c r="E67" s="445"/>
      <c r="F67" s="331" t="s">
        <v>155</v>
      </c>
      <c r="G67" s="216" t="b">
        <v>1</v>
      </c>
      <c r="H67" s="314"/>
      <c r="I67" s="234"/>
      <c r="J67" s="239"/>
      <c r="K67" s="303"/>
      <c r="L67" s="304"/>
      <c r="M67" s="305"/>
      <c r="N67" s="223"/>
      <c r="P67" s="171"/>
    </row>
    <row r="68" spans="2:16" ht="45" x14ac:dyDescent="0.25">
      <c r="B68" s="207"/>
      <c r="C68" s="288" t="s">
        <v>361</v>
      </c>
      <c r="D68" s="208"/>
      <c r="E68" s="445"/>
      <c r="F68" s="331" t="s">
        <v>156</v>
      </c>
      <c r="G68" s="216" t="b">
        <v>1</v>
      </c>
      <c r="H68" s="314"/>
      <c r="I68" s="234"/>
      <c r="J68" s="239"/>
      <c r="K68" s="303"/>
      <c r="L68" s="304"/>
      <c r="M68" s="305"/>
      <c r="N68" s="223"/>
      <c r="P68" s="171"/>
    </row>
    <row r="69" spans="2:16" ht="45" x14ac:dyDescent="0.25">
      <c r="B69" s="207"/>
      <c r="C69" s="288" t="s">
        <v>362</v>
      </c>
      <c r="D69" s="208"/>
      <c r="E69" s="445"/>
      <c r="F69" s="331" t="s">
        <v>157</v>
      </c>
      <c r="G69" s="230" t="s">
        <v>161</v>
      </c>
      <c r="H69" s="314"/>
      <c r="I69" s="234"/>
      <c r="J69" s="239"/>
      <c r="K69" s="303"/>
      <c r="L69" s="304"/>
      <c r="M69" s="305"/>
      <c r="N69" s="223"/>
    </row>
    <row r="70" spans="2:16" ht="30" x14ac:dyDescent="0.25">
      <c r="B70" s="207"/>
      <c r="C70" s="288" t="s">
        <v>363</v>
      </c>
      <c r="D70" s="208"/>
      <c r="E70" s="445"/>
      <c r="F70" s="331" t="s">
        <v>158</v>
      </c>
      <c r="G70" s="216" t="b">
        <v>0</v>
      </c>
      <c r="H70" s="314"/>
      <c r="I70" s="234"/>
      <c r="J70" s="239"/>
      <c r="K70" s="303"/>
      <c r="L70" s="304"/>
      <c r="M70" s="305"/>
      <c r="N70" s="223"/>
    </row>
    <row r="71" spans="2:16" ht="30" x14ac:dyDescent="0.25">
      <c r="B71" s="207"/>
      <c r="C71" s="288" t="s">
        <v>303</v>
      </c>
      <c r="D71" s="208"/>
      <c r="E71" s="445"/>
      <c r="F71" s="331" t="s">
        <v>113</v>
      </c>
      <c r="G71" s="218">
        <v>1.0000000000000001E-9</v>
      </c>
      <c r="H71" s="314"/>
      <c r="I71" s="234"/>
      <c r="J71" s="239"/>
      <c r="K71" s="303"/>
      <c r="L71" s="304"/>
      <c r="M71" s="305"/>
      <c r="N71" s="223"/>
    </row>
    <row r="72" spans="2:16" ht="30" x14ac:dyDescent="0.25">
      <c r="B72" s="207"/>
      <c r="C72" s="289" t="s">
        <v>304</v>
      </c>
      <c r="D72" s="208"/>
      <c r="E72" s="445"/>
      <c r="F72" s="331" t="s">
        <v>114</v>
      </c>
      <c r="G72" s="242">
        <v>1000</v>
      </c>
      <c r="H72" s="314"/>
      <c r="I72" s="234"/>
      <c r="J72" s="239"/>
      <c r="K72" s="303"/>
      <c r="L72" s="304"/>
      <c r="M72" s="305"/>
      <c r="N72" s="223"/>
    </row>
    <row r="73" spans="2:16" x14ac:dyDescent="0.25">
      <c r="B73" s="207"/>
      <c r="C73" s="266"/>
      <c r="D73" s="208"/>
      <c r="E73" s="445"/>
      <c r="F73" s="331"/>
      <c r="G73" s="216"/>
      <c r="H73" s="314"/>
      <c r="I73" s="234"/>
      <c r="J73" s="239"/>
      <c r="K73" s="303"/>
      <c r="L73" s="304"/>
      <c r="M73" s="305"/>
      <c r="N73" s="223"/>
    </row>
    <row r="74" spans="2:16" x14ac:dyDescent="0.25">
      <c r="B74" s="207"/>
      <c r="C74" s="266"/>
      <c r="D74" s="208"/>
      <c r="E74" s="445"/>
      <c r="F74" s="331"/>
      <c r="G74" s="216"/>
      <c r="H74" s="314"/>
      <c r="I74" s="234"/>
      <c r="J74" s="239"/>
      <c r="K74" s="303"/>
      <c r="L74" s="304"/>
      <c r="M74" s="305"/>
      <c r="N74" s="223"/>
    </row>
    <row r="75" spans="2:16" x14ac:dyDescent="0.25">
      <c r="B75" s="207"/>
      <c r="C75" s="266"/>
      <c r="D75" s="208"/>
      <c r="E75" s="445"/>
      <c r="F75" s="331"/>
      <c r="G75" s="216"/>
      <c r="H75" s="314"/>
      <c r="I75" s="234"/>
      <c r="J75" s="239"/>
      <c r="K75" s="303"/>
      <c r="L75" s="304"/>
      <c r="M75" s="305"/>
      <c r="N75" s="223"/>
    </row>
    <row r="76" spans="2:16" x14ac:dyDescent="0.25">
      <c r="B76" s="207"/>
      <c r="C76" s="267"/>
      <c r="D76" s="208"/>
      <c r="E76" s="446"/>
      <c r="F76" s="337"/>
      <c r="G76" s="347"/>
      <c r="H76" s="314"/>
      <c r="I76" s="235"/>
      <c r="J76" s="240"/>
      <c r="K76" s="306"/>
      <c r="L76" s="307"/>
      <c r="M76" s="308"/>
      <c r="N76" s="223"/>
    </row>
    <row r="77" spans="2:16" x14ac:dyDescent="0.25">
      <c r="B77" s="207"/>
      <c r="C77" s="208"/>
      <c r="D77" s="208"/>
      <c r="E77" s="208"/>
      <c r="F77" s="314"/>
      <c r="G77" s="353"/>
      <c r="H77" s="314"/>
      <c r="I77" s="210" t="s">
        <v>4</v>
      </c>
      <c r="J77" s="210" t="s">
        <v>4</v>
      </c>
      <c r="K77" s="237" t="s">
        <v>4</v>
      </c>
      <c r="L77" s="161" t="s">
        <v>4</v>
      </c>
      <c r="M77" s="162" t="s">
        <v>4</v>
      </c>
      <c r="N77" s="223"/>
    </row>
    <row r="78" spans="2:16" x14ac:dyDescent="0.25">
      <c r="B78" s="211"/>
      <c r="C78" s="212"/>
      <c r="D78" s="212"/>
      <c r="E78" s="212"/>
      <c r="F78" s="312"/>
      <c r="G78" s="351"/>
      <c r="H78" s="312"/>
      <c r="I78" s="212"/>
      <c r="J78" s="212"/>
      <c r="K78" s="212"/>
      <c r="L78" s="212"/>
      <c r="M78" s="212"/>
      <c r="N78" s="213"/>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sheetPr>
  <dimension ref="B2:P78"/>
  <sheetViews>
    <sheetView showGridLines="0" workbookViewId="0"/>
  </sheetViews>
  <sheetFormatPr defaultRowHeight="15" x14ac:dyDescent="0.25"/>
  <cols>
    <col min="1" max="1" width="9.140625" style="203"/>
    <col min="2" max="2" width="2.7109375" style="203" customWidth="1"/>
    <col min="3" max="3" width="110.7109375" style="203" hidden="1" customWidth="1"/>
    <col min="4" max="4" width="4.7109375" style="203" hidden="1" customWidth="1"/>
    <col min="5" max="5" width="13" style="203" customWidth="1"/>
    <col min="6" max="6" width="26.7109375" style="309" customWidth="1"/>
    <col min="7" max="7" width="32.7109375" style="318" customWidth="1"/>
    <col min="8" max="8" width="4.7109375" style="309" customWidth="1"/>
    <col min="9" max="10" width="12.7109375" style="203" customWidth="1"/>
    <col min="11" max="13" width="18.7109375" style="203" customWidth="1"/>
    <col min="14" max="14" width="2.7109375" style="203" customWidth="1"/>
    <col min="15" max="16" width="9.140625" style="203" customWidth="1"/>
    <col min="17" max="16384" width="9.140625" style="203"/>
  </cols>
  <sheetData>
    <row r="2" spans="2:14" s="354" customFormat="1" ht="23.25" x14ac:dyDescent="0.35">
      <c r="B2" s="432" t="s">
        <v>418</v>
      </c>
      <c r="F2" s="433"/>
      <c r="G2" s="109"/>
      <c r="H2" s="433"/>
    </row>
    <row r="3" spans="2:14" s="354" customFormat="1" ht="23.25" x14ac:dyDescent="0.35">
      <c r="B3" s="108" t="s">
        <v>371</v>
      </c>
      <c r="F3" s="433"/>
      <c r="G3" s="109"/>
      <c r="H3" s="433"/>
    </row>
    <row r="5" spans="2:14" x14ac:dyDescent="0.25">
      <c r="B5" s="224" t="s">
        <v>279</v>
      </c>
      <c r="C5" s="224"/>
      <c r="D5" s="224"/>
      <c r="E5" s="224"/>
    </row>
    <row r="6" spans="2:14" x14ac:dyDescent="0.25">
      <c r="B6" s="204"/>
      <c r="C6" s="205"/>
      <c r="D6" s="205"/>
      <c r="E6" s="205"/>
      <c r="F6" s="325"/>
      <c r="G6" s="219"/>
      <c r="H6" s="310"/>
      <c r="I6" s="205"/>
      <c r="J6" s="205"/>
      <c r="K6" s="205"/>
      <c r="L6" s="205"/>
      <c r="M6" s="205"/>
      <c r="N6" s="206"/>
    </row>
    <row r="7" spans="2:14" x14ac:dyDescent="0.25">
      <c r="B7" s="207"/>
      <c r="C7" s="222"/>
      <c r="D7" s="208"/>
      <c r="E7" s="208"/>
      <c r="F7" s="326" t="s">
        <v>279</v>
      </c>
      <c r="G7" s="227"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(0.01500 sec)</v>
      </c>
      <c r="H7" s="294"/>
      <c r="I7" s="228"/>
      <c r="J7" s="208"/>
      <c r="K7" s="208"/>
      <c r="L7" s="208"/>
      <c r="M7" s="208"/>
      <c r="N7" s="209"/>
    </row>
    <row r="8" spans="2:14" x14ac:dyDescent="0.25">
      <c r="B8" s="207"/>
      <c r="C8" s="208"/>
      <c r="D8" s="208"/>
      <c r="E8" s="208"/>
      <c r="F8" s="327" t="s">
        <v>167</v>
      </c>
      <c r="G8" s="249" t="b">
        <f ca="1">LEFT(G7,5)=TenorBasisCurve6M12M.CollectionName</f>
        <v>1</v>
      </c>
      <c r="H8" s="311"/>
      <c r="I8" s="208"/>
      <c r="J8" s="208"/>
      <c r="K8" s="208"/>
      <c r="L8" s="208"/>
      <c r="M8" s="208"/>
      <c r="N8" s="209"/>
    </row>
    <row r="9" spans="2:14" x14ac:dyDescent="0.25">
      <c r="B9" s="207"/>
      <c r="C9" s="208"/>
      <c r="D9" s="208"/>
      <c r="E9" s="208"/>
      <c r="F9" s="328"/>
      <c r="G9" s="226"/>
      <c r="H9" s="311"/>
      <c r="I9" s="208"/>
      <c r="J9" s="208"/>
      <c r="K9" s="208"/>
      <c r="L9" s="208"/>
      <c r="M9" s="208"/>
      <c r="N9" s="209"/>
    </row>
    <row r="10" spans="2:14" x14ac:dyDescent="0.25">
      <c r="B10" s="207"/>
      <c r="C10" s="208"/>
      <c r="D10" s="208"/>
      <c r="E10" s="208"/>
      <c r="F10" s="328"/>
      <c r="G10" s="226"/>
      <c r="H10" s="311"/>
      <c r="I10" s="208"/>
      <c r="J10" s="208"/>
      <c r="K10" s="208"/>
      <c r="L10" s="208"/>
      <c r="M10" s="208"/>
      <c r="N10" s="209"/>
    </row>
    <row r="11" spans="2:14" x14ac:dyDescent="0.25">
      <c r="B11" s="207"/>
      <c r="C11" s="208"/>
      <c r="D11" s="208"/>
      <c r="E11" s="208"/>
      <c r="F11" s="329" t="s">
        <v>0</v>
      </c>
      <c r="G11" s="225"/>
      <c r="H11" s="311"/>
      <c r="I11" s="208"/>
      <c r="J11" s="208"/>
      <c r="K11" s="208"/>
      <c r="L11" s="208"/>
      <c r="M11" s="208"/>
      <c r="N11" s="209"/>
    </row>
    <row r="12" spans="2:14" ht="30" x14ac:dyDescent="0.25">
      <c r="B12" s="207"/>
      <c r="C12" s="287" t="s">
        <v>288</v>
      </c>
      <c r="D12" s="208"/>
      <c r="E12" s="208"/>
      <c r="F12" s="330" t="s">
        <v>80</v>
      </c>
      <c r="G12" s="243" t="s">
        <v>78</v>
      </c>
      <c r="H12" s="311"/>
      <c r="I12" s="208"/>
      <c r="J12" s="208"/>
      <c r="K12" s="208"/>
      <c r="L12" s="208"/>
      <c r="M12" s="208"/>
      <c r="N12" s="209"/>
    </row>
    <row r="13" spans="2:14" ht="30" x14ac:dyDescent="0.25">
      <c r="B13" s="207"/>
      <c r="C13" s="287" t="s">
        <v>364</v>
      </c>
      <c r="D13" s="208"/>
      <c r="E13" s="208"/>
      <c r="F13" s="331" t="s">
        <v>79</v>
      </c>
      <c r="G13" s="244" t="s">
        <v>425</v>
      </c>
      <c r="H13" s="311"/>
      <c r="I13" s="208"/>
      <c r="J13" s="208"/>
      <c r="K13" s="208"/>
      <c r="L13" s="208"/>
      <c r="M13" s="208"/>
      <c r="N13" s="209"/>
    </row>
    <row r="14" spans="2:14" ht="30" x14ac:dyDescent="0.25">
      <c r="B14" s="207"/>
      <c r="C14" s="287" t="s">
        <v>365</v>
      </c>
      <c r="D14" s="208"/>
      <c r="E14" s="208"/>
      <c r="F14" s="333" t="s">
        <v>81</v>
      </c>
      <c r="G14" s="245" t="s">
        <v>426</v>
      </c>
      <c r="H14" s="311"/>
      <c r="I14" s="208"/>
      <c r="J14" s="208"/>
      <c r="K14" s="208"/>
      <c r="L14" s="208"/>
      <c r="M14" s="208"/>
      <c r="N14" s="209" t="s">
        <v>4</v>
      </c>
    </row>
    <row r="15" spans="2:14" x14ac:dyDescent="0.25">
      <c r="B15" s="211"/>
      <c r="C15" s="212"/>
      <c r="D15" s="212"/>
      <c r="E15" s="212"/>
      <c r="F15" s="312"/>
      <c r="G15" s="351"/>
      <c r="H15" s="312"/>
      <c r="I15" s="212"/>
      <c r="J15" s="212"/>
      <c r="K15" s="212"/>
      <c r="L15" s="212"/>
      <c r="M15" s="212"/>
      <c r="N15" s="213"/>
    </row>
    <row r="18" spans="2:14" x14ac:dyDescent="0.25">
      <c r="B18" s="224" t="s">
        <v>68</v>
      </c>
      <c r="C18" s="224"/>
      <c r="D18" s="224"/>
      <c r="E18" s="224"/>
    </row>
    <row r="19" spans="2:14" x14ac:dyDescent="0.25">
      <c r="B19" s="204"/>
      <c r="C19" s="205"/>
      <c r="D19" s="205"/>
      <c r="E19" s="205"/>
      <c r="F19" s="325"/>
      <c r="G19" s="219"/>
      <c r="H19" s="310"/>
      <c r="I19" s="205"/>
      <c r="J19" s="205"/>
      <c r="K19" s="205"/>
      <c r="L19" s="205"/>
      <c r="M19" s="205"/>
      <c r="N19" s="206"/>
    </row>
    <row r="20" spans="2:14" x14ac:dyDescent="0.25">
      <c r="B20" s="207"/>
      <c r="C20" s="208"/>
      <c r="D20" s="208"/>
      <c r="E20" s="208"/>
      <c r="F20" s="329" t="s">
        <v>68</v>
      </c>
      <c r="G20" s="220"/>
      <c r="H20" s="311"/>
      <c r="I20" s="208"/>
      <c r="J20" s="208"/>
      <c r="K20" s="208"/>
      <c r="L20" s="208"/>
      <c r="M20" s="208"/>
      <c r="N20" s="209"/>
    </row>
    <row r="21" spans="2:14" ht="30" x14ac:dyDescent="0.25">
      <c r="B21" s="207"/>
      <c r="C21" s="287" t="s">
        <v>289</v>
      </c>
      <c r="D21" s="208"/>
      <c r="E21" s="208"/>
      <c r="F21" s="330" t="s">
        <v>10</v>
      </c>
      <c r="G21" s="243">
        <f>COB</f>
        <v>42521</v>
      </c>
      <c r="H21" s="311"/>
      <c r="I21" s="208"/>
      <c r="J21" s="208"/>
      <c r="K21" s="208"/>
      <c r="L21" s="208"/>
      <c r="M21" s="208"/>
      <c r="N21" s="209"/>
    </row>
    <row r="22" spans="2:14" ht="30" x14ac:dyDescent="0.25">
      <c r="B22" s="207"/>
      <c r="C22" s="287" t="s">
        <v>290</v>
      </c>
      <c r="D22" s="208"/>
      <c r="E22" s="208"/>
      <c r="F22" s="331" t="s">
        <v>16</v>
      </c>
      <c r="G22" s="244" t="s">
        <v>17</v>
      </c>
      <c r="H22" s="311"/>
      <c r="I22" s="208"/>
      <c r="J22" s="208"/>
      <c r="K22" s="208"/>
      <c r="L22" s="208"/>
      <c r="M22" s="208"/>
      <c r="N22" s="209"/>
    </row>
    <row r="23" spans="2:14" ht="45" x14ac:dyDescent="0.25">
      <c r="B23" s="207"/>
      <c r="C23" s="287" t="s">
        <v>325</v>
      </c>
      <c r="D23" s="208"/>
      <c r="E23" s="208"/>
      <c r="F23" s="331" t="s">
        <v>276</v>
      </c>
      <c r="G23" s="246" t="str">
        <f>interpolationFunction</f>
        <v>fn_SplineInterpolation</v>
      </c>
      <c r="H23" s="311"/>
      <c r="I23" s="208"/>
      <c r="J23" s="208"/>
      <c r="K23" s="208"/>
      <c r="L23" s="208"/>
      <c r="M23" s="208"/>
      <c r="N23" s="209"/>
    </row>
    <row r="24" spans="2:14" ht="45" x14ac:dyDescent="0.25">
      <c r="B24" s="207"/>
      <c r="C24" s="288" t="s">
        <v>324</v>
      </c>
      <c r="D24" s="208"/>
      <c r="E24" s="208"/>
      <c r="F24" s="331" t="s">
        <v>196</v>
      </c>
      <c r="G24" s="244" t="b">
        <v>1</v>
      </c>
      <c r="H24" s="311"/>
      <c r="I24" s="208"/>
      <c r="J24" s="208"/>
      <c r="K24" s="208"/>
      <c r="L24" s="208"/>
      <c r="M24" s="208"/>
      <c r="N24" s="209"/>
    </row>
    <row r="25" spans="2:14" ht="45" x14ac:dyDescent="0.25">
      <c r="B25" s="207"/>
      <c r="C25" s="292" t="s">
        <v>315</v>
      </c>
      <c r="D25" s="208"/>
      <c r="E25" s="208"/>
      <c r="F25" s="331" t="s">
        <v>195</v>
      </c>
      <c r="G25" s="244" t="s">
        <v>9</v>
      </c>
      <c r="H25" s="311"/>
      <c r="I25" s="208"/>
      <c r="J25" s="208"/>
      <c r="K25" s="208"/>
      <c r="L25" s="208"/>
      <c r="M25" s="208"/>
      <c r="N25" s="209"/>
    </row>
    <row r="26" spans="2:14" x14ac:dyDescent="0.25">
      <c r="B26" s="207"/>
      <c r="C26" s="297"/>
      <c r="D26" s="208"/>
      <c r="E26" s="208"/>
      <c r="F26" s="331"/>
      <c r="G26" s="244"/>
      <c r="H26" s="311"/>
      <c r="I26" s="208"/>
      <c r="J26" s="208"/>
      <c r="K26" s="208"/>
      <c r="L26" s="208"/>
      <c r="M26" s="208"/>
      <c r="N26" s="209"/>
    </row>
    <row r="27" spans="2:14" x14ac:dyDescent="0.25">
      <c r="B27" s="207"/>
      <c r="C27" s="293"/>
      <c r="D27" s="208"/>
      <c r="E27" s="208"/>
      <c r="F27" s="333"/>
      <c r="G27" s="245"/>
      <c r="H27" s="311"/>
      <c r="I27" s="208"/>
      <c r="J27" s="208"/>
      <c r="K27" s="208"/>
      <c r="L27" s="208"/>
      <c r="M27" s="208"/>
      <c r="N27" s="209"/>
    </row>
    <row r="28" spans="2:14" x14ac:dyDescent="0.25">
      <c r="B28" s="211"/>
      <c r="C28" s="212"/>
      <c r="D28" s="212"/>
      <c r="E28" s="212"/>
      <c r="F28" s="312"/>
      <c r="G28" s="351"/>
      <c r="H28" s="312"/>
      <c r="I28" s="212"/>
      <c r="J28" s="212"/>
      <c r="K28" s="212"/>
      <c r="L28" s="212"/>
      <c r="M28" s="212"/>
      <c r="N28" s="213"/>
    </row>
    <row r="31" spans="2:14" x14ac:dyDescent="0.25">
      <c r="B31" s="224" t="s">
        <v>118</v>
      </c>
      <c r="C31" s="224"/>
      <c r="D31" s="224"/>
      <c r="E31" s="224"/>
      <c r="L31" s="214"/>
    </row>
    <row r="32" spans="2:14" x14ac:dyDescent="0.25">
      <c r="B32" s="204"/>
      <c r="C32" s="205"/>
      <c r="D32" s="205"/>
      <c r="E32" s="205"/>
      <c r="F32" s="310"/>
      <c r="G32" s="352"/>
      <c r="H32" s="310"/>
      <c r="I32" s="165" t="s">
        <v>204</v>
      </c>
      <c r="J32" s="165"/>
      <c r="K32" s="205"/>
      <c r="L32" s="205"/>
      <c r="M32" s="205"/>
      <c r="N32" s="206"/>
    </row>
    <row r="33" spans="2:14" x14ac:dyDescent="0.25">
      <c r="B33" s="207"/>
      <c r="C33" s="208"/>
      <c r="D33" s="208"/>
      <c r="E33" s="208"/>
      <c r="F33" s="335" t="s">
        <v>238</v>
      </c>
      <c r="G33" s="237"/>
      <c r="H33" s="313"/>
      <c r="I33" s="221" t="s">
        <v>239</v>
      </c>
      <c r="J33" s="210"/>
      <c r="K33" s="210"/>
      <c r="L33" s="210"/>
      <c r="M33" s="210"/>
      <c r="N33" s="223"/>
    </row>
    <row r="34" spans="2:14" ht="45" x14ac:dyDescent="0.25">
      <c r="B34" s="207"/>
      <c r="C34" s="287" t="s">
        <v>326</v>
      </c>
      <c r="D34" s="208"/>
      <c r="E34" s="248"/>
      <c r="F34" s="330" t="s">
        <v>119</v>
      </c>
      <c r="G34" s="215" t="s">
        <v>237</v>
      </c>
      <c r="H34" s="313"/>
      <c r="I34" s="237" t="s">
        <v>11</v>
      </c>
      <c r="J34" s="237" t="s">
        <v>12</v>
      </c>
      <c r="K34" s="237" t="s">
        <v>275</v>
      </c>
      <c r="L34" s="237" t="s">
        <v>202</v>
      </c>
      <c r="M34" s="237" t="s">
        <v>203</v>
      </c>
      <c r="N34" s="223"/>
    </row>
    <row r="35" spans="2:14" ht="45" x14ac:dyDescent="0.25">
      <c r="B35" s="207"/>
      <c r="C35" s="287" t="s">
        <v>327</v>
      </c>
      <c r="D35" s="208"/>
      <c r="E35" s="438" t="s">
        <v>165</v>
      </c>
      <c r="F35" s="348" t="s">
        <v>121</v>
      </c>
      <c r="G35" s="247" t="b">
        <v>1</v>
      </c>
      <c r="H35" s="313"/>
      <c r="I35" s="233" t="s">
        <v>159</v>
      </c>
      <c r="J35" s="238">
        <v>1.4199999999999998E-3</v>
      </c>
      <c r="K35" s="300" t="b">
        <v>0</v>
      </c>
      <c r="L35" s="301" t="s">
        <v>199</v>
      </c>
      <c r="M35" s="302" t="str">
        <f>I35</f>
        <v>1Y</v>
      </c>
      <c r="N35" s="223"/>
    </row>
    <row r="36" spans="2:14" ht="30" x14ac:dyDescent="0.25">
      <c r="B36" s="207"/>
      <c r="C36" s="287" t="s">
        <v>328</v>
      </c>
      <c r="D36" s="208"/>
      <c r="E36" s="439"/>
      <c r="F36" s="331" t="s">
        <v>122</v>
      </c>
      <c r="G36" s="216" t="s">
        <v>2</v>
      </c>
      <c r="H36" s="313"/>
      <c r="I36" s="234" t="s">
        <v>47</v>
      </c>
      <c r="J36" s="239">
        <v>1.5E-3</v>
      </c>
      <c r="K36" s="303" t="b">
        <v>0</v>
      </c>
      <c r="L36" s="304" t="s">
        <v>199</v>
      </c>
      <c r="M36" s="305" t="str">
        <f>I36</f>
        <v>2Y</v>
      </c>
      <c r="N36" s="223"/>
    </row>
    <row r="37" spans="2:14" ht="30" x14ac:dyDescent="0.25">
      <c r="B37" s="207"/>
      <c r="C37" s="287" t="s">
        <v>329</v>
      </c>
      <c r="D37" s="208"/>
      <c r="E37" s="439"/>
      <c r="F37" s="331" t="s">
        <v>123</v>
      </c>
      <c r="G37" s="216" t="s">
        <v>124</v>
      </c>
      <c r="H37" s="313"/>
      <c r="I37" s="234" t="s">
        <v>43</v>
      </c>
      <c r="J37" s="239">
        <v>1.5300000000000001E-3</v>
      </c>
      <c r="K37" s="303" t="b">
        <v>0</v>
      </c>
      <c r="L37" s="304" t="s">
        <v>199</v>
      </c>
      <c r="M37" s="305" t="str">
        <f>I37</f>
        <v>3Y</v>
      </c>
      <c r="N37" s="223"/>
    </row>
    <row r="38" spans="2:14" ht="30" x14ac:dyDescent="0.25">
      <c r="B38" s="207"/>
      <c r="C38" s="287" t="s">
        <v>330</v>
      </c>
      <c r="D38" s="208"/>
      <c r="E38" s="439"/>
      <c r="F38" s="331" t="s">
        <v>125</v>
      </c>
      <c r="G38" s="230" t="s">
        <v>108</v>
      </c>
      <c r="H38" s="313"/>
      <c r="I38" s="234" t="s">
        <v>50</v>
      </c>
      <c r="J38" s="239">
        <v>1.5300000000000001E-3</v>
      </c>
      <c r="K38" s="303" t="b">
        <v>0</v>
      </c>
      <c r="L38" s="304" t="s">
        <v>199</v>
      </c>
      <c r="M38" s="305" t="str">
        <f t="shared" ref="M38:M48" si="0">I38</f>
        <v>4Y</v>
      </c>
      <c r="N38" s="223"/>
    </row>
    <row r="39" spans="2:14" ht="30" x14ac:dyDescent="0.25">
      <c r="B39" s="207"/>
      <c r="C39" s="287" t="s">
        <v>331</v>
      </c>
      <c r="D39" s="208"/>
      <c r="E39" s="439"/>
      <c r="F39" s="331" t="s">
        <v>126</v>
      </c>
      <c r="G39" s="230" t="s">
        <v>22</v>
      </c>
      <c r="H39" s="313"/>
      <c r="I39" s="234" t="s">
        <v>52</v>
      </c>
      <c r="J39" s="239">
        <v>1.5E-3</v>
      </c>
      <c r="K39" s="303" t="b">
        <v>0</v>
      </c>
      <c r="L39" s="304" t="s">
        <v>199</v>
      </c>
      <c r="M39" s="305" t="str">
        <f t="shared" si="0"/>
        <v>5Y</v>
      </c>
      <c r="N39" s="223"/>
    </row>
    <row r="40" spans="2:14" ht="30" x14ac:dyDescent="0.25">
      <c r="B40" s="207"/>
      <c r="C40" s="287" t="s">
        <v>341</v>
      </c>
      <c r="D40" s="208"/>
      <c r="E40" s="439"/>
      <c r="F40" s="331" t="s">
        <v>127</v>
      </c>
      <c r="G40" s="216" t="s">
        <v>101</v>
      </c>
      <c r="H40" s="313"/>
      <c r="I40" s="234" t="s">
        <v>54</v>
      </c>
      <c r="J40" s="239">
        <v>1.47E-3</v>
      </c>
      <c r="K40" s="303" t="b">
        <f t="shared" ref="K40:K48" si="1">ISNUMBER(L40)</f>
        <v>0</v>
      </c>
      <c r="L40" s="304" t="s">
        <v>199</v>
      </c>
      <c r="M40" s="305" t="str">
        <f t="shared" si="0"/>
        <v>6Y</v>
      </c>
      <c r="N40" s="223"/>
    </row>
    <row r="41" spans="2:14" ht="30" x14ac:dyDescent="0.25">
      <c r="B41" s="207"/>
      <c r="C41" s="287" t="s">
        <v>333</v>
      </c>
      <c r="D41" s="208"/>
      <c r="E41" s="439"/>
      <c r="F41" s="331" t="s">
        <v>128</v>
      </c>
      <c r="G41" s="216" t="s">
        <v>9</v>
      </c>
      <c r="H41" s="313"/>
      <c r="I41" s="234" t="s">
        <v>55</v>
      </c>
      <c r="J41" s="239">
        <v>1.41E-3</v>
      </c>
      <c r="K41" s="303" t="b">
        <f t="shared" si="1"/>
        <v>0</v>
      </c>
      <c r="L41" s="304" t="s">
        <v>199</v>
      </c>
      <c r="M41" s="305" t="str">
        <f t="shared" si="0"/>
        <v>7Y</v>
      </c>
      <c r="N41" s="223"/>
    </row>
    <row r="42" spans="2:14" ht="30" x14ac:dyDescent="0.25">
      <c r="B42" s="207"/>
      <c r="C42" s="287" t="s">
        <v>332</v>
      </c>
      <c r="D42" s="208"/>
      <c r="E42" s="439"/>
      <c r="F42" s="331" t="s">
        <v>129</v>
      </c>
      <c r="G42" s="216" t="s">
        <v>162</v>
      </c>
      <c r="H42" s="313"/>
      <c r="I42" s="234" t="s">
        <v>57</v>
      </c>
      <c r="J42" s="239">
        <v>1.34E-3</v>
      </c>
      <c r="K42" s="303" t="b">
        <f t="shared" si="1"/>
        <v>0</v>
      </c>
      <c r="L42" s="304" t="s">
        <v>199</v>
      </c>
      <c r="M42" s="305" t="str">
        <f t="shared" si="0"/>
        <v>8Y</v>
      </c>
      <c r="N42" s="223"/>
    </row>
    <row r="43" spans="2:14" ht="30" x14ac:dyDescent="0.25">
      <c r="B43" s="207"/>
      <c r="C43" s="287" t="s">
        <v>334</v>
      </c>
      <c r="D43" s="208"/>
      <c r="E43" s="439"/>
      <c r="F43" s="331" t="s">
        <v>130</v>
      </c>
      <c r="G43" s="230" t="s">
        <v>94</v>
      </c>
      <c r="H43" s="313"/>
      <c r="I43" s="234" t="s">
        <v>59</v>
      </c>
      <c r="J43" s="239">
        <v>1.2800000000000001E-3</v>
      </c>
      <c r="K43" s="303" t="b">
        <f t="shared" si="1"/>
        <v>0</v>
      </c>
      <c r="L43" s="304" t="s">
        <v>199</v>
      </c>
      <c r="M43" s="305" t="str">
        <f t="shared" si="0"/>
        <v>9Y</v>
      </c>
      <c r="N43" s="223"/>
    </row>
    <row r="44" spans="2:14" ht="30" x14ac:dyDescent="0.25">
      <c r="B44" s="207"/>
      <c r="C44" s="287" t="s">
        <v>335</v>
      </c>
      <c r="D44" s="208"/>
      <c r="E44" s="439"/>
      <c r="F44" s="331" t="s">
        <v>131</v>
      </c>
      <c r="G44" s="216" t="s">
        <v>124</v>
      </c>
      <c r="H44" s="313"/>
      <c r="I44" s="234" t="s">
        <v>60</v>
      </c>
      <c r="J44" s="239">
        <v>1.2199999999999999E-3</v>
      </c>
      <c r="K44" s="303" t="b">
        <f t="shared" si="1"/>
        <v>0</v>
      </c>
      <c r="L44" s="304" t="s">
        <v>199</v>
      </c>
      <c r="M44" s="305" t="str">
        <f t="shared" si="0"/>
        <v>10Y</v>
      </c>
      <c r="N44" s="223"/>
    </row>
    <row r="45" spans="2:14" ht="30" x14ac:dyDescent="0.25">
      <c r="B45" s="207"/>
      <c r="C45" s="287" t="s">
        <v>336</v>
      </c>
      <c r="D45" s="208"/>
      <c r="E45" s="439"/>
      <c r="F45" s="331" t="s">
        <v>132</v>
      </c>
      <c r="G45" s="216" t="s">
        <v>2</v>
      </c>
      <c r="H45" s="313"/>
      <c r="I45" s="234" t="s">
        <v>63</v>
      </c>
      <c r="J45" s="239">
        <v>9.3000000000000005E-4</v>
      </c>
      <c r="K45" s="303" t="b">
        <f t="shared" si="1"/>
        <v>0</v>
      </c>
      <c r="L45" s="304" t="s">
        <v>199</v>
      </c>
      <c r="M45" s="305" t="str">
        <f t="shared" si="0"/>
        <v>15Y</v>
      </c>
      <c r="N45" s="223"/>
    </row>
    <row r="46" spans="2:14" ht="30" x14ac:dyDescent="0.25">
      <c r="B46" s="207"/>
      <c r="C46" s="287" t="s">
        <v>337</v>
      </c>
      <c r="D46" s="208"/>
      <c r="E46" s="439"/>
      <c r="F46" s="331" t="s">
        <v>133</v>
      </c>
      <c r="G46" s="216" t="s">
        <v>91</v>
      </c>
      <c r="H46" s="313"/>
      <c r="I46" s="234" t="s">
        <v>64</v>
      </c>
      <c r="J46" s="239">
        <v>7.7999999999999999E-4</v>
      </c>
      <c r="K46" s="303" t="b">
        <f t="shared" si="1"/>
        <v>0</v>
      </c>
      <c r="L46" s="304" t="s">
        <v>199</v>
      </c>
      <c r="M46" s="305" t="str">
        <f t="shared" si="0"/>
        <v>20Y</v>
      </c>
      <c r="N46" s="223"/>
    </row>
    <row r="47" spans="2:14" ht="30" x14ac:dyDescent="0.25">
      <c r="B47" s="207"/>
      <c r="C47" s="287" t="s">
        <v>338</v>
      </c>
      <c r="D47" s="208"/>
      <c r="E47" s="439"/>
      <c r="F47" s="331" t="s">
        <v>134</v>
      </c>
      <c r="G47" s="216" t="s">
        <v>2</v>
      </c>
      <c r="H47" s="313"/>
      <c r="I47" s="234" t="s">
        <v>65</v>
      </c>
      <c r="J47" s="239">
        <v>6.9999999999999999E-4</v>
      </c>
      <c r="K47" s="303" t="b">
        <f t="shared" si="1"/>
        <v>0</v>
      </c>
      <c r="L47" s="304" t="s">
        <v>199</v>
      </c>
      <c r="M47" s="305" t="str">
        <f t="shared" si="0"/>
        <v>25Y</v>
      </c>
      <c r="N47" s="223"/>
    </row>
    <row r="48" spans="2:14" ht="30" x14ac:dyDescent="0.25">
      <c r="B48" s="207"/>
      <c r="C48" s="287" t="s">
        <v>339</v>
      </c>
      <c r="D48" s="208"/>
      <c r="E48" s="439"/>
      <c r="F48" s="331" t="s">
        <v>135</v>
      </c>
      <c r="G48" s="216">
        <v>2</v>
      </c>
      <c r="H48" s="313"/>
      <c r="I48" s="234" t="s">
        <v>66</v>
      </c>
      <c r="J48" s="239">
        <v>6.4000000000000005E-4</v>
      </c>
      <c r="K48" s="303" t="b">
        <f t="shared" si="1"/>
        <v>0</v>
      </c>
      <c r="L48" s="304" t="s">
        <v>199</v>
      </c>
      <c r="M48" s="305" t="str">
        <f t="shared" si="0"/>
        <v>30Y</v>
      </c>
      <c r="N48" s="223"/>
    </row>
    <row r="49" spans="2:16" ht="30" x14ac:dyDescent="0.25">
      <c r="B49" s="207"/>
      <c r="C49" s="287" t="s">
        <v>340</v>
      </c>
      <c r="D49" s="208"/>
      <c r="E49" s="440"/>
      <c r="F49" s="349" t="s">
        <v>136</v>
      </c>
      <c r="G49" s="230" t="s">
        <v>22</v>
      </c>
      <c r="H49" s="313"/>
      <c r="I49" s="234"/>
      <c r="J49" s="239"/>
      <c r="K49" s="303"/>
      <c r="L49" s="304"/>
      <c r="M49" s="305"/>
      <c r="N49" s="223"/>
    </row>
    <row r="50" spans="2:16" ht="30" x14ac:dyDescent="0.25">
      <c r="B50" s="207"/>
      <c r="C50" s="287" t="s">
        <v>342</v>
      </c>
      <c r="D50" s="208"/>
      <c r="E50" s="441" t="s">
        <v>166</v>
      </c>
      <c r="F50" s="348" t="s">
        <v>137</v>
      </c>
      <c r="G50" s="247" t="s">
        <v>2</v>
      </c>
      <c r="H50" s="313"/>
      <c r="I50" s="234"/>
      <c r="J50" s="239"/>
      <c r="K50" s="303"/>
      <c r="L50" s="304"/>
      <c r="M50" s="305"/>
      <c r="N50" s="223"/>
    </row>
    <row r="51" spans="2:16" ht="30" x14ac:dyDescent="0.25">
      <c r="B51" s="207"/>
      <c r="C51" s="287" t="s">
        <v>343</v>
      </c>
      <c r="D51" s="208"/>
      <c r="E51" s="442"/>
      <c r="F51" s="331" t="s">
        <v>138</v>
      </c>
      <c r="G51" s="216" t="s">
        <v>124</v>
      </c>
      <c r="H51" s="313"/>
      <c r="I51" s="234"/>
      <c r="J51" s="239"/>
      <c r="K51" s="303"/>
      <c r="L51" s="304"/>
      <c r="M51" s="305"/>
      <c r="N51" s="223"/>
    </row>
    <row r="52" spans="2:16" ht="30" x14ac:dyDescent="0.25">
      <c r="B52" s="207"/>
      <c r="C52" s="287" t="s">
        <v>344</v>
      </c>
      <c r="D52" s="208"/>
      <c r="E52" s="442"/>
      <c r="F52" s="331" t="s">
        <v>139</v>
      </c>
      <c r="G52" s="230" t="s">
        <v>26</v>
      </c>
      <c r="H52" s="313"/>
      <c r="I52" s="234"/>
      <c r="J52" s="239"/>
      <c r="K52" s="303"/>
      <c r="L52" s="304"/>
      <c r="M52" s="305"/>
      <c r="N52" s="223"/>
    </row>
    <row r="53" spans="2:16" ht="30" x14ac:dyDescent="0.25">
      <c r="B53" s="207"/>
      <c r="C53" s="287" t="s">
        <v>345</v>
      </c>
      <c r="D53" s="208"/>
      <c r="E53" s="442"/>
      <c r="F53" s="331" t="s">
        <v>140</v>
      </c>
      <c r="G53" s="230" t="s">
        <v>22</v>
      </c>
      <c r="H53" s="313"/>
      <c r="I53" s="234"/>
      <c r="J53" s="239"/>
      <c r="K53" s="303"/>
      <c r="L53" s="304"/>
      <c r="M53" s="305"/>
      <c r="N53" s="223"/>
    </row>
    <row r="54" spans="2:16" ht="30" x14ac:dyDescent="0.25">
      <c r="B54" s="207"/>
      <c r="C54" s="287" t="s">
        <v>346</v>
      </c>
      <c r="D54" s="208"/>
      <c r="E54" s="442"/>
      <c r="F54" s="331" t="s">
        <v>141</v>
      </c>
      <c r="G54" s="216" t="s">
        <v>101</v>
      </c>
      <c r="H54" s="314"/>
      <c r="I54" s="234"/>
      <c r="J54" s="239"/>
      <c r="K54" s="303"/>
      <c r="L54" s="304"/>
      <c r="M54" s="305"/>
      <c r="N54" s="223"/>
    </row>
    <row r="55" spans="2:16" ht="30" x14ac:dyDescent="0.25">
      <c r="B55" s="207"/>
      <c r="C55" s="287" t="s">
        <v>347</v>
      </c>
      <c r="D55" s="208"/>
      <c r="E55" s="442"/>
      <c r="F55" s="331" t="s">
        <v>142</v>
      </c>
      <c r="G55" s="216" t="s">
        <v>9</v>
      </c>
      <c r="H55" s="314"/>
      <c r="I55" s="234"/>
      <c r="J55" s="239"/>
      <c r="K55" s="303"/>
      <c r="L55" s="304"/>
      <c r="M55" s="305"/>
      <c r="N55" s="223"/>
    </row>
    <row r="56" spans="2:16" ht="30" x14ac:dyDescent="0.25">
      <c r="B56" s="207"/>
      <c r="C56" s="287" t="s">
        <v>348</v>
      </c>
      <c r="D56" s="208"/>
      <c r="E56" s="442"/>
      <c r="F56" s="331" t="s">
        <v>143</v>
      </c>
      <c r="G56" s="317" t="s">
        <v>82</v>
      </c>
      <c r="H56" s="315" t="s">
        <v>200</v>
      </c>
      <c r="I56" s="234"/>
      <c r="J56" s="239"/>
      <c r="K56" s="303"/>
      <c r="L56" s="304"/>
      <c r="M56" s="305"/>
      <c r="N56" s="223"/>
    </row>
    <row r="57" spans="2:16" ht="30" x14ac:dyDescent="0.25">
      <c r="B57" s="207"/>
      <c r="C57" s="287" t="s">
        <v>349</v>
      </c>
      <c r="D57" s="208"/>
      <c r="E57" s="442"/>
      <c r="F57" s="331" t="s">
        <v>144</v>
      </c>
      <c r="G57" s="230" t="s">
        <v>56</v>
      </c>
      <c r="H57" s="314"/>
      <c r="I57" s="234"/>
      <c r="J57" s="239"/>
      <c r="K57" s="303"/>
      <c r="L57" s="304"/>
      <c r="M57" s="305"/>
      <c r="N57" s="223"/>
      <c r="P57" s="171"/>
    </row>
    <row r="58" spans="2:16" ht="30" x14ac:dyDescent="0.25">
      <c r="B58" s="207"/>
      <c r="C58" s="287" t="s">
        <v>350</v>
      </c>
      <c r="D58" s="208"/>
      <c r="E58" s="442"/>
      <c r="F58" s="331" t="s">
        <v>146</v>
      </c>
      <c r="G58" s="216" t="s">
        <v>124</v>
      </c>
      <c r="H58" s="314"/>
      <c r="I58" s="234"/>
      <c r="J58" s="239"/>
      <c r="K58" s="303"/>
      <c r="L58" s="304"/>
      <c r="M58" s="305"/>
      <c r="N58" s="223"/>
      <c r="P58" s="171"/>
    </row>
    <row r="59" spans="2:16" ht="30" x14ac:dyDescent="0.25">
      <c r="B59" s="207"/>
      <c r="C59" s="287" t="s">
        <v>351</v>
      </c>
      <c r="D59" s="208"/>
      <c r="E59" s="442"/>
      <c r="F59" s="331" t="s">
        <v>147</v>
      </c>
      <c r="G59" s="216" t="s">
        <v>2</v>
      </c>
      <c r="H59" s="314"/>
      <c r="I59" s="234"/>
      <c r="J59" s="239"/>
      <c r="K59" s="303"/>
      <c r="L59" s="304"/>
      <c r="M59" s="305"/>
      <c r="N59" s="223"/>
      <c r="P59" s="171"/>
    </row>
    <row r="60" spans="2:16" ht="30" x14ac:dyDescent="0.25">
      <c r="B60" s="207"/>
      <c r="C60" s="287" t="s">
        <v>352</v>
      </c>
      <c r="D60" s="208"/>
      <c r="E60" s="442"/>
      <c r="F60" s="331" t="s">
        <v>148</v>
      </c>
      <c r="G60" s="216" t="s">
        <v>91</v>
      </c>
      <c r="H60" s="314"/>
      <c r="I60" s="234"/>
      <c r="J60" s="239"/>
      <c r="K60" s="303"/>
      <c r="L60" s="304"/>
      <c r="M60" s="305"/>
      <c r="N60" s="223"/>
      <c r="P60" s="171"/>
    </row>
    <row r="61" spans="2:16" ht="30" x14ac:dyDescent="0.25">
      <c r="B61" s="207"/>
      <c r="C61" s="287" t="s">
        <v>353</v>
      </c>
      <c r="D61" s="208"/>
      <c r="E61" s="442"/>
      <c r="F61" s="331" t="s">
        <v>149</v>
      </c>
      <c r="G61" s="216" t="s">
        <v>2</v>
      </c>
      <c r="H61" s="314"/>
      <c r="I61" s="234"/>
      <c r="J61" s="239"/>
      <c r="K61" s="303"/>
      <c r="L61" s="304"/>
      <c r="M61" s="305"/>
      <c r="N61" s="223"/>
      <c r="P61" s="171"/>
    </row>
    <row r="62" spans="2:16" ht="30" x14ac:dyDescent="0.25">
      <c r="B62" s="207"/>
      <c r="C62" s="287" t="s">
        <v>354</v>
      </c>
      <c r="D62" s="208"/>
      <c r="E62" s="442"/>
      <c r="F62" s="331" t="s">
        <v>150</v>
      </c>
      <c r="G62" s="216">
        <v>2</v>
      </c>
      <c r="H62" s="314"/>
      <c r="I62" s="234"/>
      <c r="J62" s="239"/>
      <c r="K62" s="303"/>
      <c r="L62" s="304"/>
      <c r="M62" s="305"/>
      <c r="N62" s="223"/>
      <c r="P62" s="171"/>
    </row>
    <row r="63" spans="2:16" ht="30" x14ac:dyDescent="0.25">
      <c r="B63" s="207"/>
      <c r="C63" s="287" t="s">
        <v>355</v>
      </c>
      <c r="D63" s="208"/>
      <c r="E63" s="443"/>
      <c r="F63" s="349" t="s">
        <v>151</v>
      </c>
      <c r="G63" s="230" t="s">
        <v>22</v>
      </c>
      <c r="H63" s="314"/>
      <c r="I63" s="234"/>
      <c r="J63" s="239"/>
      <c r="K63" s="303"/>
      <c r="L63" s="304"/>
      <c r="M63" s="305"/>
      <c r="N63" s="223"/>
      <c r="P63" s="171"/>
    </row>
    <row r="64" spans="2:16" ht="30" x14ac:dyDescent="0.25">
      <c r="B64" s="207"/>
      <c r="C64" s="287" t="s">
        <v>356</v>
      </c>
      <c r="D64" s="208"/>
      <c r="E64" s="444" t="str">
        <f>"Solving For :"&amp;CHAR(32)&amp;$H$64</f>
        <v>Solving For : &lt;--- Solver: Target</v>
      </c>
      <c r="F64" s="350" t="s">
        <v>152</v>
      </c>
      <c r="G64" s="316" t="s">
        <v>153</v>
      </c>
      <c r="H64" s="315" t="s">
        <v>201</v>
      </c>
      <c r="I64" s="234"/>
      <c r="J64" s="239"/>
      <c r="K64" s="303"/>
      <c r="L64" s="304"/>
      <c r="M64" s="305"/>
      <c r="N64" s="223"/>
      <c r="P64" s="171"/>
    </row>
    <row r="65" spans="2:16" ht="30" x14ac:dyDescent="0.25">
      <c r="B65" s="207"/>
      <c r="C65" s="288" t="s">
        <v>358</v>
      </c>
      <c r="D65" s="208"/>
      <c r="E65" s="445"/>
      <c r="F65" s="331" t="s">
        <v>112</v>
      </c>
      <c r="G65" s="216" t="b">
        <v>1</v>
      </c>
      <c r="H65" s="314"/>
      <c r="I65" s="234"/>
      <c r="J65" s="239"/>
      <c r="K65" s="303"/>
      <c r="L65" s="304"/>
      <c r="M65" s="305"/>
      <c r="N65" s="223"/>
      <c r="P65" s="171"/>
    </row>
    <row r="66" spans="2:16" ht="30" x14ac:dyDescent="0.25">
      <c r="B66" s="207"/>
      <c r="C66" s="288" t="s">
        <v>359</v>
      </c>
      <c r="D66" s="208"/>
      <c r="E66" s="445"/>
      <c r="F66" s="331" t="s">
        <v>154</v>
      </c>
      <c r="G66" s="246" t="str">
        <f>interpolationFunction</f>
        <v>fn_SplineInterpolation</v>
      </c>
      <c r="H66" s="314"/>
      <c r="I66" s="234"/>
      <c r="J66" s="239"/>
      <c r="K66" s="303"/>
      <c r="L66" s="304"/>
      <c r="M66" s="305"/>
      <c r="N66" s="223"/>
      <c r="P66" s="171"/>
    </row>
    <row r="67" spans="2:16" ht="45" x14ac:dyDescent="0.25">
      <c r="B67" s="207"/>
      <c r="C67" s="288" t="s">
        <v>360</v>
      </c>
      <c r="D67" s="208"/>
      <c r="E67" s="445"/>
      <c r="F67" s="331" t="s">
        <v>155</v>
      </c>
      <c r="G67" s="216" t="b">
        <v>1</v>
      </c>
      <c r="H67" s="314"/>
      <c r="I67" s="234"/>
      <c r="J67" s="239"/>
      <c r="K67" s="303"/>
      <c r="L67" s="304"/>
      <c r="M67" s="305"/>
      <c r="N67" s="223"/>
      <c r="P67" s="171"/>
    </row>
    <row r="68" spans="2:16" ht="45" x14ac:dyDescent="0.25">
      <c r="B68" s="207"/>
      <c r="C68" s="288" t="s">
        <v>361</v>
      </c>
      <c r="D68" s="208"/>
      <c r="E68" s="445"/>
      <c r="F68" s="331" t="s">
        <v>156</v>
      </c>
      <c r="G68" s="216" t="b">
        <v>1</v>
      </c>
      <c r="H68" s="314"/>
      <c r="I68" s="234"/>
      <c r="J68" s="239"/>
      <c r="K68" s="303"/>
      <c r="L68" s="304"/>
      <c r="M68" s="305"/>
      <c r="N68" s="223"/>
      <c r="P68" s="171"/>
    </row>
    <row r="69" spans="2:16" ht="45" x14ac:dyDescent="0.25">
      <c r="B69" s="207"/>
      <c r="C69" s="288" t="s">
        <v>362</v>
      </c>
      <c r="D69" s="208"/>
      <c r="E69" s="445"/>
      <c r="F69" s="331" t="s">
        <v>157</v>
      </c>
      <c r="G69" s="230" t="s">
        <v>56</v>
      </c>
      <c r="H69" s="314"/>
      <c r="I69" s="234"/>
      <c r="J69" s="239"/>
      <c r="K69" s="303"/>
      <c r="L69" s="304"/>
      <c r="M69" s="305"/>
      <c r="N69" s="223"/>
    </row>
    <row r="70" spans="2:16" ht="30" x14ac:dyDescent="0.25">
      <c r="B70" s="207"/>
      <c r="C70" s="288" t="s">
        <v>363</v>
      </c>
      <c r="D70" s="208"/>
      <c r="E70" s="445"/>
      <c r="F70" s="331" t="s">
        <v>158</v>
      </c>
      <c r="G70" s="216" t="b">
        <v>0</v>
      </c>
      <c r="H70" s="314"/>
      <c r="I70" s="234"/>
      <c r="J70" s="239"/>
      <c r="K70" s="303"/>
      <c r="L70" s="304"/>
      <c r="M70" s="305"/>
      <c r="N70" s="223"/>
    </row>
    <row r="71" spans="2:16" ht="30" x14ac:dyDescent="0.25">
      <c r="B71" s="207"/>
      <c r="C71" s="288" t="s">
        <v>303</v>
      </c>
      <c r="D71" s="208"/>
      <c r="E71" s="445"/>
      <c r="F71" s="331" t="s">
        <v>113</v>
      </c>
      <c r="G71" s="218">
        <v>1.0000000000000001E-9</v>
      </c>
      <c r="H71" s="314"/>
      <c r="I71" s="234"/>
      <c r="J71" s="239"/>
      <c r="K71" s="303"/>
      <c r="L71" s="304"/>
      <c r="M71" s="305"/>
      <c r="N71" s="223"/>
    </row>
    <row r="72" spans="2:16" ht="30" x14ac:dyDescent="0.25">
      <c r="B72" s="207"/>
      <c r="C72" s="289" t="s">
        <v>304</v>
      </c>
      <c r="D72" s="208"/>
      <c r="E72" s="445"/>
      <c r="F72" s="331" t="s">
        <v>114</v>
      </c>
      <c r="G72" s="242">
        <v>1000</v>
      </c>
      <c r="H72" s="314"/>
      <c r="I72" s="234"/>
      <c r="J72" s="239"/>
      <c r="K72" s="303"/>
      <c r="L72" s="304"/>
      <c r="M72" s="305"/>
      <c r="N72" s="223"/>
    </row>
    <row r="73" spans="2:16" x14ac:dyDescent="0.25">
      <c r="B73" s="207"/>
      <c r="C73" s="266"/>
      <c r="D73" s="208"/>
      <c r="E73" s="445"/>
      <c r="F73" s="331"/>
      <c r="G73" s="216"/>
      <c r="H73" s="314"/>
      <c r="I73" s="234"/>
      <c r="J73" s="239"/>
      <c r="K73" s="303"/>
      <c r="L73" s="304"/>
      <c r="M73" s="305"/>
      <c r="N73" s="223"/>
    </row>
    <row r="74" spans="2:16" x14ac:dyDescent="0.25">
      <c r="B74" s="207"/>
      <c r="C74" s="266"/>
      <c r="D74" s="208"/>
      <c r="E74" s="445"/>
      <c r="F74" s="331"/>
      <c r="G74" s="216"/>
      <c r="H74" s="314"/>
      <c r="I74" s="234"/>
      <c r="J74" s="239"/>
      <c r="K74" s="303"/>
      <c r="L74" s="304"/>
      <c r="M74" s="305"/>
      <c r="N74" s="223"/>
    </row>
    <row r="75" spans="2:16" x14ac:dyDescent="0.25">
      <c r="B75" s="207"/>
      <c r="C75" s="266"/>
      <c r="D75" s="208"/>
      <c r="E75" s="445"/>
      <c r="F75" s="331"/>
      <c r="G75" s="216"/>
      <c r="H75" s="314"/>
      <c r="I75" s="234"/>
      <c r="J75" s="239"/>
      <c r="K75" s="303"/>
      <c r="L75" s="304"/>
      <c r="M75" s="305"/>
      <c r="N75" s="223"/>
    </row>
    <row r="76" spans="2:16" x14ac:dyDescent="0.25">
      <c r="B76" s="207"/>
      <c r="C76" s="267"/>
      <c r="D76" s="208"/>
      <c r="E76" s="446"/>
      <c r="F76" s="337"/>
      <c r="G76" s="347"/>
      <c r="H76" s="314"/>
      <c r="I76" s="235"/>
      <c r="J76" s="240"/>
      <c r="K76" s="306"/>
      <c r="L76" s="307"/>
      <c r="M76" s="308"/>
      <c r="N76" s="223"/>
    </row>
    <row r="77" spans="2:16" x14ac:dyDescent="0.25">
      <c r="B77" s="207"/>
      <c r="C77" s="208"/>
      <c r="D77" s="208"/>
      <c r="E77" s="208"/>
      <c r="F77" s="314"/>
      <c r="G77" s="353"/>
      <c r="H77" s="314"/>
      <c r="I77" s="210" t="s">
        <v>4</v>
      </c>
      <c r="J77" s="210" t="s">
        <v>4</v>
      </c>
      <c r="K77" s="237" t="s">
        <v>4</v>
      </c>
      <c r="L77" s="161" t="s">
        <v>4</v>
      </c>
      <c r="M77" s="162" t="s">
        <v>4</v>
      </c>
      <c r="N77" s="223"/>
    </row>
    <row r="78" spans="2:16" x14ac:dyDescent="0.25">
      <c r="B78" s="211"/>
      <c r="C78" s="212"/>
      <c r="D78" s="212"/>
      <c r="E78" s="212"/>
      <c r="F78" s="312"/>
      <c r="G78" s="351"/>
      <c r="H78" s="312"/>
      <c r="I78" s="212"/>
      <c r="J78" s="212"/>
      <c r="K78" s="212"/>
      <c r="L78" s="212"/>
      <c r="M78" s="212"/>
      <c r="N78" s="213"/>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3"/>
  </sheetPr>
  <dimension ref="A2:W1521"/>
  <sheetViews>
    <sheetView showGridLines="0" workbookViewId="0"/>
  </sheetViews>
  <sheetFormatPr defaultRowHeight="15" x14ac:dyDescent="0.25"/>
  <cols>
    <col min="1" max="1" width="9.140625" style="90"/>
    <col min="2" max="2" width="2.7109375" customWidth="1"/>
    <col min="3" max="3" width="15.7109375" customWidth="1"/>
    <col min="4" max="5" width="20.7109375" customWidth="1"/>
    <col min="6" max="6" width="2.7109375" customWidth="1"/>
    <col min="7" max="9" width="20.7109375" customWidth="1"/>
    <col min="10" max="10" width="2.7109375" customWidth="1"/>
    <col min="11" max="13" width="20.7109375" customWidth="1"/>
    <col min="14" max="14" width="2.7109375" customWidth="1"/>
    <col min="15" max="15" width="15.7109375" customWidth="1"/>
    <col min="16" max="17" width="20.7109375" customWidth="1"/>
    <col min="18" max="18" width="2.7109375" customWidth="1"/>
    <col min="19" max="21" width="20.7109375" customWidth="1"/>
    <col min="22" max="23" width="2.7109375" customWidth="1"/>
    <col min="24" max="25" width="15.7109375" customWidth="1"/>
  </cols>
  <sheetData>
    <row r="2" spans="1:23" s="354" customFormat="1" ht="23.25" x14ac:dyDescent="0.35">
      <c r="A2" s="435"/>
      <c r="B2" s="432" t="s">
        <v>419</v>
      </c>
    </row>
    <row r="5" spans="1:23" x14ac:dyDescent="0.25">
      <c r="B5" s="40" t="s">
        <v>281</v>
      </c>
    </row>
    <row r="6" spans="1:23" x14ac:dyDescent="0.25">
      <c r="B6" s="80"/>
      <c r="C6" s="81"/>
      <c r="D6" s="81"/>
      <c r="E6" s="81"/>
      <c r="F6" s="81"/>
      <c r="G6" s="81"/>
      <c r="H6" s="81"/>
      <c r="I6" s="81"/>
      <c r="J6" s="81"/>
      <c r="K6" s="81"/>
      <c r="L6" s="81"/>
      <c r="M6" s="81"/>
      <c r="N6" s="81"/>
      <c r="O6" s="81"/>
      <c r="P6" s="81"/>
      <c r="Q6" s="81"/>
      <c r="R6" s="81"/>
      <c r="S6" s="81"/>
      <c r="T6" s="81"/>
      <c r="U6" s="81"/>
      <c r="V6" s="81"/>
      <c r="W6" s="82"/>
    </row>
    <row r="7" spans="1:23" x14ac:dyDescent="0.25">
      <c r="B7" s="83"/>
      <c r="C7" s="78" t="s">
        <v>9</v>
      </c>
      <c r="D7" s="5"/>
      <c r="E7" s="5"/>
      <c r="F7" s="5"/>
      <c r="G7" s="78" t="s">
        <v>221</v>
      </c>
      <c r="H7" s="5"/>
      <c r="I7" s="5"/>
      <c r="J7" s="5"/>
      <c r="K7" s="78" t="s">
        <v>174</v>
      </c>
      <c r="L7" s="5"/>
      <c r="M7" s="5"/>
      <c r="N7" s="5"/>
      <c r="O7" s="78" t="s">
        <v>162</v>
      </c>
      <c r="P7" s="5"/>
      <c r="Q7" s="5"/>
      <c r="R7" s="5"/>
      <c r="S7" s="78" t="s">
        <v>228</v>
      </c>
      <c r="T7" s="5"/>
      <c r="U7" s="5"/>
      <c r="V7" s="5"/>
      <c r="W7" s="84"/>
    </row>
    <row r="8" spans="1:23" x14ac:dyDescent="0.25">
      <c r="B8" s="83"/>
      <c r="C8" s="85" t="s">
        <v>80</v>
      </c>
      <c r="D8" s="86" t="s">
        <v>78</v>
      </c>
      <c r="E8" s="5"/>
      <c r="F8" s="5"/>
      <c r="G8" s="85" t="s">
        <v>80</v>
      </c>
      <c r="H8" s="86" t="s">
        <v>78</v>
      </c>
      <c r="I8" s="5"/>
      <c r="J8" s="5"/>
      <c r="K8" s="85" t="s">
        <v>80</v>
      </c>
      <c r="L8" s="86" t="s">
        <v>78</v>
      </c>
      <c r="M8" s="5"/>
      <c r="N8" s="5"/>
      <c r="O8" s="85" t="s">
        <v>80</v>
      </c>
      <c r="P8" s="86" t="s">
        <v>78</v>
      </c>
      <c r="Q8" s="5"/>
      <c r="R8" s="5"/>
      <c r="S8" s="85" t="s">
        <v>80</v>
      </c>
      <c r="T8" s="86" t="s">
        <v>78</v>
      </c>
      <c r="U8" s="5"/>
      <c r="V8" s="5"/>
      <c r="W8" s="84"/>
    </row>
    <row r="9" spans="1:23" x14ac:dyDescent="0.25">
      <c r="B9" s="83"/>
      <c r="C9" s="87" t="s">
        <v>168</v>
      </c>
      <c r="D9" s="88" t="s">
        <v>217</v>
      </c>
      <c r="E9" s="5"/>
      <c r="F9" s="5"/>
      <c r="G9" s="87" t="s">
        <v>168</v>
      </c>
      <c r="H9" s="88" t="str">
        <f>G7</f>
        <v>EUR1ML</v>
      </c>
      <c r="I9" s="5"/>
      <c r="J9" s="5"/>
      <c r="K9" s="87" t="s">
        <v>168</v>
      </c>
      <c r="L9" s="88" t="str">
        <f>K7</f>
        <v>EUR3ML</v>
      </c>
      <c r="M9" s="5"/>
      <c r="N9" s="5"/>
      <c r="O9" s="87" t="s">
        <v>168</v>
      </c>
      <c r="P9" s="88" t="str">
        <f>O7</f>
        <v>EUR6ML</v>
      </c>
      <c r="Q9" s="5"/>
      <c r="R9" s="5"/>
      <c r="S9" s="87" t="s">
        <v>168</v>
      </c>
      <c r="T9" s="88" t="str">
        <f>S7</f>
        <v>EUR12ML</v>
      </c>
      <c r="U9" s="5"/>
      <c r="V9" s="5"/>
      <c r="W9" s="84"/>
    </row>
    <row r="10" spans="1:23" x14ac:dyDescent="0.25">
      <c r="B10" s="83"/>
      <c r="C10" s="87" t="s">
        <v>18</v>
      </c>
      <c r="D10" s="88" t="s">
        <v>124</v>
      </c>
      <c r="E10" s="5"/>
      <c r="F10" s="5"/>
      <c r="G10" s="87" t="s">
        <v>18</v>
      </c>
      <c r="H10" s="88" t="s">
        <v>124</v>
      </c>
      <c r="I10" s="5"/>
      <c r="J10" s="5"/>
      <c r="K10" s="87" t="s">
        <v>18</v>
      </c>
      <c r="L10" s="88" t="s">
        <v>124</v>
      </c>
      <c r="M10" s="5"/>
      <c r="N10" s="5"/>
      <c r="O10" s="87" t="s">
        <v>18</v>
      </c>
      <c r="P10" s="88" t="s">
        <v>124</v>
      </c>
      <c r="Q10" s="5"/>
      <c r="R10" s="5"/>
      <c r="S10" s="87" t="s">
        <v>18</v>
      </c>
      <c r="T10" s="88" t="s">
        <v>124</v>
      </c>
      <c r="U10" s="5"/>
      <c r="V10" s="5"/>
      <c r="W10" s="84"/>
    </row>
    <row r="11" spans="1:23" x14ac:dyDescent="0.25">
      <c r="B11" s="83"/>
      <c r="C11" s="87" t="s">
        <v>280</v>
      </c>
      <c r="D11" s="89" t="s">
        <v>22</v>
      </c>
      <c r="E11" s="5"/>
      <c r="F11" s="5"/>
      <c r="G11" s="87" t="s">
        <v>280</v>
      </c>
      <c r="H11" s="89" t="s">
        <v>22</v>
      </c>
      <c r="I11" s="5"/>
      <c r="J11" s="5"/>
      <c r="K11" s="87" t="s">
        <v>280</v>
      </c>
      <c r="L11" s="89" t="s">
        <v>22</v>
      </c>
      <c r="M11" s="5"/>
      <c r="N11" s="5"/>
      <c r="O11" s="87" t="s">
        <v>280</v>
      </c>
      <c r="P11" s="89" t="s">
        <v>22</v>
      </c>
      <c r="Q11" s="5"/>
      <c r="R11" s="5"/>
      <c r="S11" s="87" t="s">
        <v>280</v>
      </c>
      <c r="T11" s="89" t="s">
        <v>22</v>
      </c>
      <c r="U11" s="5"/>
      <c r="V11" s="5"/>
      <c r="W11" s="84"/>
    </row>
    <row r="12" spans="1:23" x14ac:dyDescent="0.25">
      <c r="B12" s="83"/>
      <c r="C12" s="87" t="s">
        <v>1</v>
      </c>
      <c r="D12" s="88" t="s">
        <v>2</v>
      </c>
      <c r="E12" s="5"/>
      <c r="F12" s="5"/>
      <c r="G12" s="87" t="s">
        <v>1</v>
      </c>
      <c r="H12" s="88" t="s">
        <v>2</v>
      </c>
      <c r="I12" s="5"/>
      <c r="J12" s="5"/>
      <c r="K12" s="87" t="s">
        <v>1</v>
      </c>
      <c r="L12" s="88" t="s">
        <v>2</v>
      </c>
      <c r="M12" s="5"/>
      <c r="N12" s="5"/>
      <c r="O12" s="87" t="s">
        <v>1</v>
      </c>
      <c r="P12" s="88" t="s">
        <v>2</v>
      </c>
      <c r="Q12" s="5"/>
      <c r="R12" s="5"/>
      <c r="S12" s="87" t="s">
        <v>1</v>
      </c>
      <c r="T12" s="88" t="s">
        <v>2</v>
      </c>
      <c r="U12" s="5"/>
      <c r="V12" s="5"/>
      <c r="W12" s="84"/>
    </row>
    <row r="13" spans="1:23" x14ac:dyDescent="0.25">
      <c r="B13" s="83"/>
      <c r="C13" s="87" t="s">
        <v>27</v>
      </c>
      <c r="D13" s="88" t="s">
        <v>91</v>
      </c>
      <c r="E13" s="5"/>
      <c r="F13" s="5"/>
      <c r="G13" s="87" t="s">
        <v>27</v>
      </c>
      <c r="H13" s="88" t="s">
        <v>91</v>
      </c>
      <c r="I13" s="5"/>
      <c r="J13" s="5"/>
      <c r="K13" s="87" t="s">
        <v>27</v>
      </c>
      <c r="L13" s="88" t="s">
        <v>91</v>
      </c>
      <c r="M13" s="5"/>
      <c r="N13" s="5"/>
      <c r="O13" s="87" t="s">
        <v>27</v>
      </c>
      <c r="P13" s="88" t="s">
        <v>91</v>
      </c>
      <c r="Q13" s="5"/>
      <c r="R13" s="5"/>
      <c r="S13" s="87" t="s">
        <v>27</v>
      </c>
      <c r="T13" s="88" t="s">
        <v>91</v>
      </c>
      <c r="U13" s="5"/>
      <c r="V13" s="5"/>
      <c r="W13" s="84"/>
    </row>
    <row r="14" spans="1:23" x14ac:dyDescent="0.25">
      <c r="B14" s="83"/>
      <c r="C14" s="87" t="s">
        <v>169</v>
      </c>
      <c r="D14" s="88" t="s">
        <v>170</v>
      </c>
      <c r="E14" s="5"/>
      <c r="F14" s="5"/>
      <c r="G14" s="87" t="s">
        <v>169</v>
      </c>
      <c r="H14" s="88" t="s">
        <v>161</v>
      </c>
      <c r="I14" s="5"/>
      <c r="J14" s="5"/>
      <c r="K14" s="87" t="s">
        <v>169</v>
      </c>
      <c r="L14" s="88" t="s">
        <v>145</v>
      </c>
      <c r="M14" s="5"/>
      <c r="N14" s="5"/>
      <c r="O14" s="87" t="s">
        <v>169</v>
      </c>
      <c r="P14" s="88" t="s">
        <v>94</v>
      </c>
      <c r="Q14" s="5"/>
      <c r="R14" s="5"/>
      <c r="S14" s="87" t="s">
        <v>169</v>
      </c>
      <c r="T14" s="88" t="s">
        <v>56</v>
      </c>
      <c r="U14" s="5"/>
      <c r="V14" s="5"/>
      <c r="W14" s="84"/>
    </row>
    <row r="15" spans="1:23" x14ac:dyDescent="0.25">
      <c r="B15" s="83"/>
      <c r="C15" s="91" t="s">
        <v>171</v>
      </c>
      <c r="D15" s="92" t="b">
        <v>1</v>
      </c>
      <c r="E15" s="5"/>
      <c r="F15" s="5"/>
      <c r="G15" s="91" t="s">
        <v>171</v>
      </c>
      <c r="H15" s="92" t="b">
        <v>1</v>
      </c>
      <c r="I15" s="5"/>
      <c r="J15" s="5"/>
      <c r="K15" s="91" t="s">
        <v>171</v>
      </c>
      <c r="L15" s="92" t="b">
        <v>1</v>
      </c>
      <c r="M15" s="5"/>
      <c r="N15" s="5"/>
      <c r="O15" s="91" t="s">
        <v>171</v>
      </c>
      <c r="P15" s="92" t="b">
        <v>1</v>
      </c>
      <c r="Q15" s="5"/>
      <c r="R15" s="5"/>
      <c r="S15" s="91" t="s">
        <v>171</v>
      </c>
      <c r="T15" s="92" t="b">
        <v>1</v>
      </c>
      <c r="U15" s="5"/>
      <c r="V15" s="5"/>
      <c r="W15" s="84"/>
    </row>
    <row r="16" spans="1:23" x14ac:dyDescent="0.25">
      <c r="B16" s="83"/>
      <c r="C16" s="5"/>
      <c r="D16" s="5"/>
      <c r="E16" s="93"/>
      <c r="F16" s="93"/>
      <c r="G16" s="5"/>
      <c r="H16" s="5"/>
      <c r="I16" s="5"/>
      <c r="J16" s="93"/>
      <c r="K16" s="5"/>
      <c r="L16" s="5"/>
      <c r="M16" s="5"/>
      <c r="N16" s="5"/>
      <c r="O16" s="5"/>
      <c r="P16" s="5"/>
      <c r="Q16" s="5"/>
      <c r="R16" s="5"/>
      <c r="S16" s="5"/>
      <c r="T16" s="5"/>
      <c r="U16" s="5"/>
      <c r="V16" s="5"/>
      <c r="W16" s="84"/>
    </row>
    <row r="17" spans="1:23" x14ac:dyDescent="0.25">
      <c r="B17" s="83"/>
      <c r="C17" s="5"/>
      <c r="D17" s="5"/>
      <c r="E17" s="93"/>
      <c r="F17" s="93"/>
      <c r="G17" s="5"/>
      <c r="H17" s="5"/>
      <c r="I17" s="93"/>
      <c r="J17" s="93"/>
      <c r="K17" s="5"/>
      <c r="L17" s="5"/>
      <c r="M17" s="5"/>
      <c r="N17" s="5"/>
      <c r="O17" s="5"/>
      <c r="P17" s="5"/>
      <c r="Q17" s="5"/>
      <c r="R17" s="5"/>
      <c r="S17" s="5"/>
      <c r="T17" s="5"/>
      <c r="U17" s="5"/>
      <c r="V17" s="5"/>
      <c r="W17" s="84"/>
    </row>
    <row r="18" spans="1:23" x14ac:dyDescent="0.25">
      <c r="B18" s="83"/>
      <c r="C18" s="78" t="str">
        <f>C7&amp;" Forwards"</f>
        <v>OIS Forwards</v>
      </c>
      <c r="D18" s="5"/>
      <c r="E18" s="5"/>
      <c r="F18" s="5"/>
      <c r="G18" s="78" t="str">
        <f>G7&amp;" Forwards"</f>
        <v>EUR1ML Forwards</v>
      </c>
      <c r="H18" s="5"/>
      <c r="I18" s="5"/>
      <c r="J18" s="5"/>
      <c r="K18" s="78" t="str">
        <f>K7&amp;" Forwards"</f>
        <v>EUR3ML Forwards</v>
      </c>
      <c r="L18" s="5"/>
      <c r="M18" s="5"/>
      <c r="N18" s="5"/>
      <c r="O18" s="78" t="str">
        <f>O7&amp;" Forwards"</f>
        <v>EUR6ML Forwards</v>
      </c>
      <c r="P18" s="5"/>
      <c r="Q18" s="5"/>
      <c r="R18" s="5"/>
      <c r="S18" s="78" t="str">
        <f>S7&amp;" Forwards"</f>
        <v>EUR12ML Forwards</v>
      </c>
      <c r="T18" s="5"/>
      <c r="U18" s="5"/>
      <c r="V18" s="5"/>
      <c r="W18" s="84"/>
    </row>
    <row r="19" spans="1:23" x14ac:dyDescent="0.25">
      <c r="B19" s="83"/>
      <c r="C19" s="94" t="s">
        <v>172</v>
      </c>
      <c r="D19" s="94" t="s">
        <v>173</v>
      </c>
      <c r="E19" s="94" t="s">
        <v>281</v>
      </c>
      <c r="F19" s="94"/>
      <c r="G19" s="94" t="s">
        <v>172</v>
      </c>
      <c r="H19" s="94" t="s">
        <v>173</v>
      </c>
      <c r="I19" s="94" t="s">
        <v>281</v>
      </c>
      <c r="J19" s="94"/>
      <c r="K19" s="94" t="s">
        <v>172</v>
      </c>
      <c r="L19" s="94" t="s">
        <v>173</v>
      </c>
      <c r="M19" s="94" t="s">
        <v>281</v>
      </c>
      <c r="N19" s="5"/>
      <c r="O19" s="94" t="s">
        <v>172</v>
      </c>
      <c r="P19" s="94" t="s">
        <v>173</v>
      </c>
      <c r="Q19" s="94" t="s">
        <v>281</v>
      </c>
      <c r="R19" s="5"/>
      <c r="S19" s="94" t="s">
        <v>172</v>
      </c>
      <c r="T19" s="94" t="s">
        <v>173</v>
      </c>
      <c r="U19" s="94" t="s">
        <v>281</v>
      </c>
      <c r="V19" s="5"/>
      <c r="W19" s="84"/>
    </row>
    <row r="20" spans="1:23" x14ac:dyDescent="0.25">
      <c r="A20" s="90">
        <v>1</v>
      </c>
      <c r="B20" s="83"/>
      <c r="C20" s="95">
        <f>COB</f>
        <v>42521</v>
      </c>
      <c r="D20" s="96">
        <f ca="1">_xll.meDateFromTenor(C20,D$14,D$11,D$12)</f>
        <v>42522</v>
      </c>
      <c r="E20" s="97">
        <f t="array" aca="1" ref="E20:E1519" ca="1">IF(AND(isEUROISLoaded,D$15,NOW()),_xll.meCurveForwardRatesFromForwardDates(Forwards.StartDate,$D$20:$D$1519,D$8,D$9))</f>
        <v>-3.4500000000026176E-3</v>
      </c>
      <c r="F20" s="94"/>
      <c r="G20" s="95">
        <f>COB</f>
        <v>42521</v>
      </c>
      <c r="H20" s="96">
        <f ca="1">_xll.meDateFromTenor(G20,H$14,H$11,H$12)</f>
        <v>42551</v>
      </c>
      <c r="I20" s="97">
        <f t="array" aca="1" ref="I20:I1519" ca="1">IF(AND(isEUROISLoaded,H$15,NOW()),_xll.meCurveForwardRatesFromForwardDates($G$20:$G$1519,$D$20:$D$1519,H$8,H$9))</f>
        <v>-3.4881028536560806E-3</v>
      </c>
      <c r="J20" s="94" t="s">
        <v>4</v>
      </c>
      <c r="K20" s="95">
        <f>COB</f>
        <v>42521</v>
      </c>
      <c r="L20" s="96">
        <f ca="1">_xll.meDateFromTenor(K20,L$14,L$11,L$12)</f>
        <v>42613</v>
      </c>
      <c r="M20" s="97">
        <f t="array" aca="1" ref="M20:M1519" ca="1">IF(AND(isEUROISLoaded,L$15,NOW()),_xll.meCurveForwardRatesFromForwardDates(Forwards.StartDate,$D$20:$D$1519,L$8,L$9))</f>
        <v>-2.6065362128172933E-3</v>
      </c>
      <c r="N20" s="5" t="s">
        <v>4</v>
      </c>
      <c r="O20" s="95">
        <f>COB</f>
        <v>42521</v>
      </c>
      <c r="P20" s="96">
        <f ca="1">_xll.meDateFromTenor(O20,P$14,P$11,P$12)</f>
        <v>42704</v>
      </c>
      <c r="Q20" s="97">
        <f t="array" aca="1" ref="Q20:Q1519" ca="1">IF(AND(isEUROISLoaded,P$15,NOW()),_xll.meCurveForwardRatesFromForwardDates(Forwards.StartDate,$D$20:$D$1519,P$8,P$9))</f>
        <v>-1.5314612169087761E-3</v>
      </c>
      <c r="R20" s="5" t="s">
        <v>4</v>
      </c>
      <c r="S20" s="95">
        <f>COB</f>
        <v>42521</v>
      </c>
      <c r="T20" s="96">
        <f ca="1">_xll.meDateFromTenor(S20,T$14,T$11,T$12)</f>
        <v>42886</v>
      </c>
      <c r="U20" s="97">
        <f t="array" aca="1" ref="U20:U1519" ca="1">IF(AND(isEUROISLoaded,T$15,NOW()),_xll.meCurveForwardRatesFromForwardDates(Forwards.StartDate,$D$20:$D$1519,T$8,T$9))</f>
        <v>-1.4967073406528192E-4</v>
      </c>
      <c r="V20" s="5" t="s">
        <v>4</v>
      </c>
      <c r="W20" s="84" t="s">
        <v>4</v>
      </c>
    </row>
    <row r="21" spans="1:23" x14ac:dyDescent="0.25">
      <c r="A21" s="90">
        <v>2</v>
      </c>
      <c r="B21" s="83"/>
      <c r="C21" s="100">
        <f ca="1">_xll.meDateFromTenor(C20,"1D","FOLLOWING",D$12)</f>
        <v>42522</v>
      </c>
      <c r="D21" s="13">
        <f ca="1">_xll.meDateFromTenor(C21,D$14,D$11,D$12)</f>
        <v>42523</v>
      </c>
      <c r="E21" s="98">
        <f ca="1"/>
        <v>-3.4500000000425857E-3</v>
      </c>
      <c r="F21" s="94"/>
      <c r="G21" s="100">
        <f ca="1">_xll.meDateFromTenor(G20,"1D","FOLLOWING",H$12)</f>
        <v>42522</v>
      </c>
      <c r="H21" s="13">
        <f ca="1">_xll.meDateFromTenor(G21,H$14,H$11,H$12)</f>
        <v>42552</v>
      </c>
      <c r="I21" s="98">
        <f ca="1"/>
        <v>-3.4890515335113245E-3</v>
      </c>
      <c r="J21" s="94" t="s">
        <v>4</v>
      </c>
      <c r="K21" s="100">
        <f ca="1">_xll.meDateFromTenor(K20,"1D","FOLLOWING",L$12)</f>
        <v>42522</v>
      </c>
      <c r="L21" s="13">
        <f ca="1">_xll.meDateFromTenor(K21,L$14,L$11,L$12)</f>
        <v>42614</v>
      </c>
      <c r="M21" s="98">
        <f ca="1"/>
        <v>-2.6082681064085378E-3</v>
      </c>
      <c r="N21" s="5" t="s">
        <v>4</v>
      </c>
      <c r="O21" s="100">
        <f ca="1">_xll.meDateFromTenor(O20,"1D","FOLLOWING",P$12)</f>
        <v>42522</v>
      </c>
      <c r="P21" s="13">
        <f ca="1">_xll.meDateFromTenor(O21,P$14,P$11,P$12)</f>
        <v>42705</v>
      </c>
      <c r="Q21" s="98">
        <f ca="1"/>
        <v>-1.530730652701961E-3</v>
      </c>
      <c r="R21" s="5" t="s">
        <v>4</v>
      </c>
      <c r="S21" s="100">
        <f ca="1">_xll.meDateFromTenor(S20,"1D","FOLLOWING",T$12)</f>
        <v>42522</v>
      </c>
      <c r="T21" s="13">
        <f t="array" aca="1" ref="T21" ca="1">_xll.meDateFromTenor(S21,T$14,T$11,T$12)</f>
        <v>42887</v>
      </c>
      <c r="U21" s="98">
        <f ca="1"/>
        <v>-1.4983534095695724E-4</v>
      </c>
      <c r="V21" s="5" t="s">
        <v>4</v>
      </c>
      <c r="W21" s="84" t="s">
        <v>4</v>
      </c>
    </row>
    <row r="22" spans="1:23" x14ac:dyDescent="0.25">
      <c r="A22" s="90">
        <v>3</v>
      </c>
      <c r="B22" s="83"/>
      <c r="C22" s="100">
        <f ca="1">_xll.meDateFromTenor(C21,"1D","FOLLOWING",D$12)</f>
        <v>42523</v>
      </c>
      <c r="D22" s="13">
        <f ca="1">_xll.meDateFromTenor(C22,D$14,D$11,D$12)</f>
        <v>42524</v>
      </c>
      <c r="E22" s="98">
        <f ca="1"/>
        <v>-3.3999999999423385E-3</v>
      </c>
      <c r="F22" s="94"/>
      <c r="G22" s="100">
        <f ca="1">_xll.meDateFromTenor(G21,"1D","FOLLOWING",H$12)</f>
        <v>42523</v>
      </c>
      <c r="H22" s="13">
        <f ca="1">_xll.meDateFromTenor(G22,H$14,H$11,H$12)</f>
        <v>42555</v>
      </c>
      <c r="I22" s="98">
        <f ca="1"/>
        <v>-3.4899996600852644E-3</v>
      </c>
      <c r="J22" s="94" t="s">
        <v>4</v>
      </c>
      <c r="K22" s="100">
        <f ca="1">_xll.meDateFromTenor(K21,"1D","FOLLOWING",L$12)</f>
        <v>42523</v>
      </c>
      <c r="L22" s="13">
        <f ca="1">_xll.meDateFromTenor(K22,L$14,L$11,L$12)</f>
        <v>42615</v>
      </c>
      <c r="M22" s="98">
        <f ca="1"/>
        <v>-2.6099999999998199E-3</v>
      </c>
      <c r="N22" s="5" t="s">
        <v>4</v>
      </c>
      <c r="O22" s="100">
        <f ca="1">_xll.meDateFromTenor(O21,"1D","FOLLOWING",P$12)</f>
        <v>42523</v>
      </c>
      <c r="P22" s="13">
        <f ca="1">_xll.meDateFromTenor(O22,P$14,P$11,P$12)</f>
        <v>42706</v>
      </c>
      <c r="Q22" s="98">
        <f ca="1"/>
        <v>-1.52999999790283E-3</v>
      </c>
      <c r="R22" s="5" t="s">
        <v>4</v>
      </c>
      <c r="S22" s="100">
        <f ca="1">_xll.meDateFromTenor(S21,"1D","FOLLOWING",T$12)</f>
        <v>42523</v>
      </c>
      <c r="T22" s="13">
        <f ca="1">_xll.meDateFromTenor(S22,T$14,T$11,T$12)</f>
        <v>42888</v>
      </c>
      <c r="U22" s="98">
        <f ca="1"/>
        <v>-1.4999996589658434E-4</v>
      </c>
      <c r="V22" s="5" t="s">
        <v>4</v>
      </c>
      <c r="W22" s="84" t="s">
        <v>4</v>
      </c>
    </row>
    <row r="23" spans="1:23" x14ac:dyDescent="0.25">
      <c r="A23" s="90">
        <v>4</v>
      </c>
      <c r="B23" s="83"/>
      <c r="C23" s="100">
        <f ca="1">_xll.meDateFromTenor(C22,"1D","FOLLOWING",D$12)</f>
        <v>42524</v>
      </c>
      <c r="D23" s="13">
        <f ca="1">_xll.meDateFromTenor(C23,D$14,D$11,D$12)</f>
        <v>42527</v>
      </c>
      <c r="E23" s="98">
        <f ca="1"/>
        <v>-3.3999999999956287E-3</v>
      </c>
      <c r="F23" s="94"/>
      <c r="G23" s="100">
        <f ca="1">_xll.meDateFromTenor(G22,"1D","FOLLOWING",H$12)</f>
        <v>42524</v>
      </c>
      <c r="H23" s="13">
        <f ca="1">_xll.meDateFromTenor(G23,H$14,H$11,H$12)</f>
        <v>42555</v>
      </c>
      <c r="I23" s="98">
        <f ca="1"/>
        <v>-3.4909477866592042E-3</v>
      </c>
      <c r="J23" s="94" t="s">
        <v>4</v>
      </c>
      <c r="K23" s="100">
        <f ca="1">_xll.meDateFromTenor(K22,"1D","FOLLOWING",L$12)</f>
        <v>42524</v>
      </c>
      <c r="L23" s="13">
        <f ca="1">_xll.meDateFromTenor(K23,L$14,L$11,L$12)</f>
        <v>42618</v>
      </c>
      <c r="M23" s="98">
        <f ca="1"/>
        <v>-2.6117318935911012E-3</v>
      </c>
      <c r="N23" s="5" t="s">
        <v>4</v>
      </c>
      <c r="O23" s="100">
        <f ca="1">_xll.meDateFromTenor(O22,"1D","FOLLOWING",P$12)</f>
        <v>42524</v>
      </c>
      <c r="P23" s="13">
        <f ca="1">_xll.meDateFromTenor(O23,P$14,P$11,P$12)</f>
        <v>42709</v>
      </c>
      <c r="Q23" s="98">
        <f ca="1"/>
        <v>-1.5292693431036991E-3</v>
      </c>
      <c r="R23" s="5" t="s">
        <v>4</v>
      </c>
      <c r="S23" s="100">
        <f ca="1">_xll.meDateFromTenor(S22,"1D","FOLLOWING",T$12)</f>
        <v>42524</v>
      </c>
      <c r="T23" s="13">
        <f ca="1">_xll.meDateFromTenor(S23,T$14,T$11,T$12)</f>
        <v>42891</v>
      </c>
      <c r="U23" s="98">
        <f ca="1"/>
        <v>-1.5016459083621141E-4</v>
      </c>
      <c r="V23" s="5" t="s">
        <v>4</v>
      </c>
      <c r="W23" s="84" t="s">
        <v>4</v>
      </c>
    </row>
    <row r="24" spans="1:23" x14ac:dyDescent="0.25">
      <c r="A24" s="90">
        <v>5</v>
      </c>
      <c r="B24" s="83"/>
      <c r="C24" s="100">
        <f ca="1">_xll.meDateFromTenor(C23,"1D","FOLLOWING",D$12)</f>
        <v>42527</v>
      </c>
      <c r="D24" s="13">
        <f ca="1">_xll.meDateFromTenor(C24,D$14,D$11,D$12)</f>
        <v>42528</v>
      </c>
      <c r="E24" s="98">
        <f ca="1"/>
        <v>-3.3999999999023691E-3</v>
      </c>
      <c r="F24" s="94"/>
      <c r="G24" s="100">
        <f ca="1">_xll.meDateFromTenor(G23,"1D","FOLLOWING",H$12)</f>
        <v>42527</v>
      </c>
      <c r="H24" s="13">
        <f ca="1">_xll.meDateFromTenor(G24,H$14,H$11,H$12)</f>
        <v>42557</v>
      </c>
      <c r="I24" s="98">
        <f ca="1"/>
        <v>-3.4937976991940606E-3</v>
      </c>
      <c r="J24" s="94" t="s">
        <v>4</v>
      </c>
      <c r="K24" s="100">
        <f ca="1">_xll.meDateFromTenor(K23,"1D","FOLLOWING",L$12)</f>
        <v>42527</v>
      </c>
      <c r="L24" s="13">
        <f ca="1">_xll.meDateFromTenor(K24,L$14,L$11,L$12)</f>
        <v>42619</v>
      </c>
      <c r="M24" s="98">
        <f ca="1"/>
        <v>-2.6169275743646932E-3</v>
      </c>
      <c r="N24" s="5" t="s">
        <v>4</v>
      </c>
      <c r="O24" s="100">
        <f ca="1">_xll.meDateFromTenor(O23,"1D","FOLLOWING",P$12)</f>
        <v>42527</v>
      </c>
      <c r="P24" s="13">
        <f ca="1">_xll.meDateFromTenor(O24,P$14,P$11,P$12)</f>
        <v>42710</v>
      </c>
      <c r="Q24" s="98">
        <f ca="1"/>
        <v>-1.5270782846294674E-3</v>
      </c>
      <c r="R24" s="5" t="s">
        <v>4</v>
      </c>
      <c r="S24" s="100">
        <f ca="1">_xll.meDateFromTenor(S23,"1D","FOLLOWING",T$12)</f>
        <v>42527</v>
      </c>
      <c r="T24" s="13">
        <f ca="1">_xll.meDateFromTenor(S24,T$14,T$11,T$12)</f>
        <v>42892</v>
      </c>
      <c r="U24" s="98">
        <f ca="1"/>
        <v>-1.5065828517557542E-4</v>
      </c>
      <c r="V24" s="5" t="s">
        <v>4</v>
      </c>
      <c r="W24" s="84" t="s">
        <v>4</v>
      </c>
    </row>
    <row r="25" spans="1:23" x14ac:dyDescent="0.25">
      <c r="A25" s="90">
        <v>6</v>
      </c>
      <c r="B25" s="83"/>
      <c r="C25" s="100">
        <f ca="1">_xll.meDateFromTenor(C24,"1D","FOLLOWING",D$12)</f>
        <v>42528</v>
      </c>
      <c r="D25" s="13">
        <f ca="1">_xll.meDateFromTenor(C25,D$14,D$11,D$12)</f>
        <v>42529</v>
      </c>
      <c r="E25" s="98">
        <f ca="1"/>
        <v>-3.3999999999823052E-3</v>
      </c>
      <c r="F25" s="94"/>
      <c r="G25" s="100">
        <f ca="1">_xll.meDateFromTenor(G24,"1D","FOLLOWING",H$12)</f>
        <v>42528</v>
      </c>
      <c r="H25" s="13">
        <f ca="1">_xll.meDateFromTenor(G25,H$14,H$11,H$12)</f>
        <v>42558</v>
      </c>
      <c r="I25" s="98">
        <f ca="1"/>
        <v>-3.4947513585810368E-3</v>
      </c>
      <c r="J25" s="94" t="s">
        <v>4</v>
      </c>
      <c r="K25" s="100">
        <f ca="1">_xll.meDateFromTenor(K24,"1D","FOLLOWING",L$12)</f>
        <v>42528</v>
      </c>
      <c r="L25" s="13">
        <f ca="1">_xll.meDateFromTenor(K25,L$14,L$11,L$12)</f>
        <v>42620</v>
      </c>
      <c r="M25" s="98">
        <f ca="1"/>
        <v>-2.618659467955863E-3</v>
      </c>
      <c r="N25" s="5" t="s">
        <v>4</v>
      </c>
      <c r="O25" s="100">
        <f ca="1">_xll.meDateFromTenor(O24,"1D","FOLLOWING",P$12)</f>
        <v>42528</v>
      </c>
      <c r="P25" s="13">
        <f ca="1">_xll.meDateFromTenor(O25,P$14,P$11,P$12)</f>
        <v>42711</v>
      </c>
      <c r="Q25" s="98">
        <f ca="1"/>
        <v>-1.5263485357534974E-3</v>
      </c>
      <c r="R25" s="5" t="s">
        <v>4</v>
      </c>
      <c r="S25" s="100">
        <f ca="1">_xll.meDateFromTenor(S24,"1D","FOLLOWING",T$12)</f>
        <v>42528</v>
      </c>
      <c r="T25" s="13">
        <f ca="1">_xll.meDateFromTenor(S25,T$14,T$11,T$12)</f>
        <v>42893</v>
      </c>
      <c r="U25" s="98">
        <f ca="1"/>
        <v>-1.5082272963568531E-4</v>
      </c>
      <c r="V25" s="5" t="s">
        <v>4</v>
      </c>
      <c r="W25" s="84" t="s">
        <v>4</v>
      </c>
    </row>
    <row r="26" spans="1:23" x14ac:dyDescent="0.25">
      <c r="A26" s="90">
        <v>7</v>
      </c>
      <c r="B26" s="83"/>
      <c r="C26" s="100">
        <f ca="1">_xll.meDateFromTenor(C25,"1D","FOLLOWING",D$12)</f>
        <v>42529</v>
      </c>
      <c r="D26" s="13">
        <f ca="1">_xll.meDateFromTenor(C26,D$14,D$11,D$12)</f>
        <v>42530</v>
      </c>
      <c r="E26" s="98">
        <f ca="1"/>
        <v>-3.3999999999423372E-3</v>
      </c>
      <c r="F26" s="94"/>
      <c r="G26" s="100">
        <f ca="1">_xll.meDateFromTenor(G25,"1D","FOLLOWING",H$12)</f>
        <v>42529</v>
      </c>
      <c r="H26" s="13">
        <f ca="1">_xll.meDateFromTenor(G26,H$14,H$11,H$12)</f>
        <v>42559</v>
      </c>
      <c r="I26" s="98">
        <f ca="1"/>
        <v>-3.4957077843745317E-3</v>
      </c>
      <c r="J26" s="94" t="s">
        <v>4</v>
      </c>
      <c r="K26" s="100">
        <f ca="1">_xll.meDateFromTenor(K25,"1D","FOLLOWING",L$12)</f>
        <v>42529</v>
      </c>
      <c r="L26" s="13">
        <f ca="1">_xll.meDateFromTenor(K26,L$14,L$11,L$12)</f>
        <v>42621</v>
      </c>
      <c r="M26" s="98">
        <f ca="1"/>
        <v>-2.6203913615470398E-3</v>
      </c>
      <c r="N26" s="5" t="s">
        <v>4</v>
      </c>
      <c r="O26" s="100">
        <f ca="1">_xll.meDateFromTenor(O25,"1D","FOLLOWING",P$12)</f>
        <v>42529</v>
      </c>
      <c r="P26" s="13">
        <f ca="1">_xll.meDateFromTenor(O26,P$14,P$11,P$12)</f>
        <v>42712</v>
      </c>
      <c r="Q26" s="98">
        <f ca="1"/>
        <v>-1.5256192398391084E-3</v>
      </c>
      <c r="R26" s="5" t="s">
        <v>4</v>
      </c>
      <c r="S26" s="100">
        <f ca="1">_xll.meDateFromTenor(S25,"1D","FOLLOWING",T$12)</f>
        <v>42529</v>
      </c>
      <c r="T26" s="13">
        <f ca="1">_xll.meDateFromTenor(S26,T$14,T$11,T$12)</f>
        <v>42894</v>
      </c>
      <c r="U26" s="98">
        <f ca="1"/>
        <v>-1.5098708385603664E-4</v>
      </c>
      <c r="V26" s="5" t="s">
        <v>4</v>
      </c>
      <c r="W26" s="84" t="s">
        <v>4</v>
      </c>
    </row>
    <row r="27" spans="1:23" x14ac:dyDescent="0.25">
      <c r="A27" s="90">
        <v>8</v>
      </c>
      <c r="B27" s="83"/>
      <c r="C27" s="100">
        <f ca="1">_xll.meDateFromTenor(C26,"1D","FOLLOWING",D$12)</f>
        <v>42530</v>
      </c>
      <c r="D27" s="13">
        <f ca="1">_xll.meDateFromTenor(C27,D$14,D$11,D$12)</f>
        <v>42531</v>
      </c>
      <c r="E27" s="98">
        <f ca="1"/>
        <v>-3.4000000000222776E-3</v>
      </c>
      <c r="F27" s="94"/>
      <c r="G27" s="100">
        <f ca="1">_xll.meDateFromTenor(G26,"1D","FOLLOWING",H$12)</f>
        <v>42530</v>
      </c>
      <c r="H27" s="13">
        <f ca="1">_xll.meDateFromTenor(G27,H$14,H$11,H$12)</f>
        <v>42562</v>
      </c>
      <c r="I27" s="98">
        <f ca="1"/>
        <v>-3.4966675298558486E-3</v>
      </c>
      <c r="J27" s="94" t="s">
        <v>4</v>
      </c>
      <c r="K27" s="100">
        <f ca="1">_xll.meDateFromTenor(K26,"1D","FOLLOWING",L$12)</f>
        <v>42530</v>
      </c>
      <c r="L27" s="13">
        <f ca="1">_xll.meDateFromTenor(K27,L$14,L$11,L$12)</f>
        <v>42622</v>
      </c>
      <c r="M27" s="98">
        <f ca="1"/>
        <v>-2.622123255138214E-3</v>
      </c>
      <c r="N27" s="5" t="s">
        <v>4</v>
      </c>
      <c r="O27" s="100">
        <f ca="1">_xll.meDateFromTenor(O26,"1D","FOLLOWING",P$12)</f>
        <v>42530</v>
      </c>
      <c r="P27" s="13">
        <f ca="1">_xll.meDateFromTenor(O27,P$14,P$11,P$12)</f>
        <v>42713</v>
      </c>
      <c r="Q27" s="98">
        <f ca="1"/>
        <v>-1.524890487478616E-3</v>
      </c>
      <c r="R27" s="5" t="s">
        <v>4</v>
      </c>
      <c r="S27" s="100">
        <f ca="1">_xll.meDateFromTenor(S26,"1D","FOLLOWING",T$12)</f>
        <v>42530</v>
      </c>
      <c r="T27" s="13">
        <f ca="1">_xll.meDateFromTenor(S27,T$14,T$11,T$12)</f>
        <v>42895</v>
      </c>
      <c r="U27" s="98">
        <f ca="1"/>
        <v>-1.511513297886776E-4</v>
      </c>
      <c r="V27" s="5" t="s">
        <v>4</v>
      </c>
      <c r="W27" s="84" t="s">
        <v>4</v>
      </c>
    </row>
    <row r="28" spans="1:23" x14ac:dyDescent="0.25">
      <c r="A28" s="90">
        <v>9</v>
      </c>
      <c r="B28" s="83"/>
      <c r="C28" s="100">
        <f ca="1">_xll.meDateFromTenor(C27,"1D","FOLLOWING",D$12)</f>
        <v>42531</v>
      </c>
      <c r="D28" s="13">
        <f ca="1">_xll.meDateFromTenor(C28,D$14,D$11,D$12)</f>
        <v>42534</v>
      </c>
      <c r="E28" s="98">
        <f ca="1"/>
        <v>-3.3999999999823069E-3</v>
      </c>
      <c r="F28" s="94"/>
      <c r="G28" s="100">
        <f ca="1">_xll.meDateFromTenor(G27,"1D","FOLLOWING",H$12)</f>
        <v>42531</v>
      </c>
      <c r="H28" s="13">
        <f ca="1">_xll.meDateFromTenor(G28,H$14,H$11,H$12)</f>
        <v>42562</v>
      </c>
      <c r="I28" s="98">
        <f ca="1"/>
        <v>-3.4976311483062902E-3</v>
      </c>
      <c r="J28" s="94" t="s">
        <v>4</v>
      </c>
      <c r="K28" s="100">
        <f ca="1">_xll.meDateFromTenor(K27,"1D","FOLLOWING",L$12)</f>
        <v>42531</v>
      </c>
      <c r="L28" s="13">
        <f ca="1">_xll.meDateFromTenor(K28,L$14,L$11,L$12)</f>
        <v>42625</v>
      </c>
      <c r="M28" s="98">
        <f ca="1"/>
        <v>-2.6238551487293869E-3</v>
      </c>
      <c r="N28" s="5" t="s">
        <v>4</v>
      </c>
      <c r="O28" s="100">
        <f ca="1">_xll.meDateFromTenor(O27,"1D","FOLLOWING",P$12)</f>
        <v>42531</v>
      </c>
      <c r="P28" s="13">
        <f ca="1">_xll.meDateFromTenor(O28,P$14,P$11,P$12)</f>
        <v>42716</v>
      </c>
      <c r="Q28" s="98">
        <f ca="1"/>
        <v>-1.5241623692643365E-3</v>
      </c>
      <c r="R28" s="5" t="s">
        <v>4</v>
      </c>
      <c r="S28" s="100">
        <f ca="1">_xll.meDateFromTenor(S27,"1D","FOLLOWING",T$12)</f>
        <v>42531</v>
      </c>
      <c r="T28" s="13">
        <f ca="1">_xll.meDateFromTenor(S28,T$14,T$11,T$12)</f>
        <v>42898</v>
      </c>
      <c r="U28" s="98">
        <f ca="1"/>
        <v>-1.5131544938565657E-4</v>
      </c>
      <c r="V28" s="5" t="s">
        <v>4</v>
      </c>
      <c r="W28" s="84" t="s">
        <v>4</v>
      </c>
    </row>
    <row r="29" spans="1:23" x14ac:dyDescent="0.25">
      <c r="A29" s="90">
        <v>10</v>
      </c>
      <c r="B29" s="83"/>
      <c r="C29" s="100">
        <f ca="1">_xll.meDateFromTenor(C28,"1D","FOLLOWING",D$12)</f>
        <v>42534</v>
      </c>
      <c r="D29" s="13">
        <f ca="1">_xll.meDateFromTenor(C29,D$14,D$11,D$12)</f>
        <v>42535</v>
      </c>
      <c r="E29" s="98">
        <f ca="1"/>
        <v>-3.3999999999823013E-3</v>
      </c>
      <c r="F29" s="94"/>
      <c r="G29" s="100">
        <f ca="1">_xll.meDateFromTenor(G28,"1D","FOLLOWING",H$12)</f>
        <v>42534</v>
      </c>
      <c r="H29" s="13">
        <f ca="1">_xll.meDateFromTenor(G29,H$14,H$11,H$12)</f>
        <v>42564</v>
      </c>
      <c r="I29" s="98">
        <f ca="1"/>
        <v>-3.5005507742854052E-3</v>
      </c>
      <c r="J29" s="94" t="s">
        <v>4</v>
      </c>
      <c r="K29" s="100">
        <f ca="1">_xll.meDateFromTenor(K28,"1D","FOLLOWING",L$12)</f>
        <v>42534</v>
      </c>
      <c r="L29" s="13">
        <f ca="1">_xll.meDateFromTenor(K29,L$14,L$11,L$12)</f>
        <v>42626</v>
      </c>
      <c r="M29" s="98">
        <f ca="1"/>
        <v>-2.6290508295029069E-3</v>
      </c>
      <c r="N29" s="5" t="s">
        <v>4</v>
      </c>
      <c r="O29" s="100">
        <f ca="1">_xll.meDateFromTenor(O28,"1D","FOLLOWING",P$12)</f>
        <v>42534</v>
      </c>
      <c r="P29" s="13">
        <f ca="1">_xll.meDateFromTenor(O29,P$14,P$11,P$12)</f>
        <v>42717</v>
      </c>
      <c r="Q29" s="98">
        <f ca="1"/>
        <v>-1.5219827254219359E-3</v>
      </c>
      <c r="R29" s="5" t="s">
        <v>4</v>
      </c>
      <c r="S29" s="100">
        <f ca="1">_xll.meDateFromTenor(S28,"1D","FOLLOWING",T$12)</f>
        <v>42534</v>
      </c>
      <c r="T29" s="13">
        <f ca="1">_xll.meDateFromTenor(S29,T$14,T$11,T$12)</f>
        <v>42899</v>
      </c>
      <c r="U29" s="98">
        <f ca="1"/>
        <v>-1.5180686968310406E-4</v>
      </c>
      <c r="V29" s="5" t="s">
        <v>4</v>
      </c>
      <c r="W29" s="84" t="s">
        <v>4</v>
      </c>
    </row>
    <row r="30" spans="1:23" x14ac:dyDescent="0.25">
      <c r="A30" s="90">
        <v>11</v>
      </c>
      <c r="B30" s="83"/>
      <c r="C30" s="100">
        <f ca="1">_xll.meDateFromTenor(C29,"1D","FOLLOWING",D$12)</f>
        <v>42535</v>
      </c>
      <c r="D30" s="13">
        <f ca="1">_xll.meDateFromTenor(C30,D$14,D$11,D$12)</f>
        <v>42536</v>
      </c>
      <c r="E30" s="98">
        <f ca="1"/>
        <v>-3.3999999999023735E-3</v>
      </c>
      <c r="F30" s="94"/>
      <c r="G30" s="100">
        <f ca="1">_xll.meDateFromTenor(G29,"1D","FOLLOWING",H$12)</f>
        <v>42535</v>
      </c>
      <c r="H30" s="13">
        <f ca="1">_xll.meDateFromTenor(G30,H$14,H$11,H$12)</f>
        <v>42565</v>
      </c>
      <c r="I30" s="98">
        <f ca="1"/>
        <v>-3.5015354174253856E-3</v>
      </c>
      <c r="J30" s="94" t="s">
        <v>4</v>
      </c>
      <c r="K30" s="100">
        <f ca="1">_xll.meDateFromTenor(K29,"1D","FOLLOWING",L$12)</f>
        <v>42535</v>
      </c>
      <c r="L30" s="13">
        <f ca="1">_xll.meDateFromTenor(K30,L$14,L$11,L$12)</f>
        <v>42627</v>
      </c>
      <c r="M30" s="98">
        <f ca="1"/>
        <v>-2.6307827230940802E-3</v>
      </c>
      <c r="N30" s="5" t="s">
        <v>4</v>
      </c>
      <c r="O30" s="100">
        <f ca="1">_xll.meDateFromTenor(O29,"1D","FOLLOWING",P$12)</f>
        <v>42535</v>
      </c>
      <c r="P30" s="13">
        <f ca="1">_xll.meDateFromTenor(O30,P$14,P$11,P$12)</f>
        <v>42718</v>
      </c>
      <c r="Q30" s="98">
        <f ca="1"/>
        <v>-1.521258049715669E-3</v>
      </c>
      <c r="R30" s="5" t="s">
        <v>4</v>
      </c>
      <c r="S30" s="100">
        <f ca="1">_xll.meDateFromTenor(S29,"1D","FOLLOWING",T$12)</f>
        <v>42535</v>
      </c>
      <c r="T30" s="13">
        <f ca="1">_xll.meDateFromTenor(S30,T$14,T$11,T$12)</f>
        <v>42900</v>
      </c>
      <c r="U30" s="98">
        <f ca="1"/>
        <v>-1.5197030345791775E-4</v>
      </c>
      <c r="V30" s="5" t="s">
        <v>4</v>
      </c>
      <c r="W30" s="84" t="s">
        <v>4</v>
      </c>
    </row>
    <row r="31" spans="1:23" x14ac:dyDescent="0.25">
      <c r="A31" s="90">
        <v>12</v>
      </c>
      <c r="B31" s="83"/>
      <c r="C31" s="100">
        <f ca="1">_xll.meDateFromTenor(C30,"1D","FOLLOWING",D$12)</f>
        <v>42536</v>
      </c>
      <c r="D31" s="13">
        <f ca="1">_xll.meDateFromTenor(C31,D$14,D$11,D$12)</f>
        <v>42537</v>
      </c>
      <c r="E31" s="98">
        <f ca="1"/>
        <v>-3.4000000000222693E-3</v>
      </c>
      <c r="F31" s="94"/>
      <c r="G31" s="100">
        <f ca="1">_xll.meDateFromTenor(G30,"1D","FOLLOWING",H$12)</f>
        <v>42536</v>
      </c>
      <c r="H31" s="13">
        <f ca="1">_xll.meDateFromTenor(G31,H$14,H$11,H$12)</f>
        <v>42566</v>
      </c>
      <c r="I31" s="98">
        <f ca="1"/>
        <v>-3.5025266999410098E-3</v>
      </c>
      <c r="J31" s="94" t="s">
        <v>4</v>
      </c>
      <c r="K31" s="100">
        <f ca="1">_xll.meDateFromTenor(K30,"1D","FOLLOWING",L$12)</f>
        <v>42536</v>
      </c>
      <c r="L31" s="13">
        <f ca="1">_xll.meDateFromTenor(K31,L$14,L$11,L$12)</f>
        <v>42628</v>
      </c>
      <c r="M31" s="98">
        <f ca="1"/>
        <v>-2.6325146166852531E-3</v>
      </c>
      <c r="N31" s="5" t="s">
        <v>4</v>
      </c>
      <c r="O31" s="100">
        <f ca="1">_xll.meDateFromTenor(O30,"1D","FOLLOWING",P$12)</f>
        <v>42536</v>
      </c>
      <c r="P31" s="13">
        <f ca="1">_xll.meDateFromTenor(O31,P$14,P$11,P$12)</f>
        <v>42719</v>
      </c>
      <c r="Q31" s="98">
        <f ca="1"/>
        <v>-1.5205344611171957E-3</v>
      </c>
      <c r="R31" s="5" t="s">
        <v>4</v>
      </c>
      <c r="S31" s="100">
        <f ca="1">_xll.meDateFromTenor(S30,"1D","FOLLOWING",T$12)</f>
        <v>42536</v>
      </c>
      <c r="T31" s="13">
        <f ca="1">_xll.meDateFromTenor(S31,T$14,T$11,T$12)</f>
        <v>42901</v>
      </c>
      <c r="U31" s="98">
        <f ca="1"/>
        <v>-1.5213352065731076E-4</v>
      </c>
      <c r="V31" s="5" t="s">
        <v>4</v>
      </c>
      <c r="W31" s="84" t="s">
        <v>4</v>
      </c>
    </row>
    <row r="32" spans="1:23" x14ac:dyDescent="0.25">
      <c r="A32" s="90">
        <v>13</v>
      </c>
      <c r="B32" s="83"/>
      <c r="C32" s="100">
        <f ca="1">_xll.meDateFromTenor(C31,"1D","FOLLOWING",D$12)</f>
        <v>42537</v>
      </c>
      <c r="D32" s="13">
        <f ca="1">_xll.meDateFromTenor(C32,D$14,D$11,D$12)</f>
        <v>42538</v>
      </c>
      <c r="E32" s="98">
        <f ca="1"/>
        <v>-3.3999999999823095E-3</v>
      </c>
      <c r="F32" s="94"/>
      <c r="G32" s="100">
        <f ca="1">_xll.meDateFromTenor(G31,"1D","FOLLOWING",H$12)</f>
        <v>42537</v>
      </c>
      <c r="H32" s="13">
        <f ca="1">_xll.meDateFromTenor(G32,H$14,H$11,H$12)</f>
        <v>42569</v>
      </c>
      <c r="I32" s="98">
        <f ca="1"/>
        <v>-3.5035251751135807E-3</v>
      </c>
      <c r="J32" s="94" t="s">
        <v>4</v>
      </c>
      <c r="K32" s="100">
        <f ca="1">_xll.meDateFromTenor(K31,"1D","FOLLOWING",L$12)</f>
        <v>42537</v>
      </c>
      <c r="L32" s="13">
        <f ca="1">_xll.meDateFromTenor(K32,L$14,L$11,L$12)</f>
        <v>42629</v>
      </c>
      <c r="M32" s="98">
        <f ca="1"/>
        <v>-2.6342465102764268E-3</v>
      </c>
      <c r="N32" s="5" t="s">
        <v>4</v>
      </c>
      <c r="O32" s="100">
        <f ca="1">_xll.meDateFromTenor(O31,"1D","FOLLOWING",P$12)</f>
        <v>42537</v>
      </c>
      <c r="P32" s="13">
        <f ca="1">_xll.meDateFromTenor(O32,P$14,P$11,P$12)</f>
        <v>42720</v>
      </c>
      <c r="Q32" s="98">
        <f ca="1"/>
        <v>-1.5198120502188319E-3</v>
      </c>
      <c r="R32" s="5" t="s">
        <v>4</v>
      </c>
      <c r="S32" s="100">
        <f ca="1">_xll.meDateFromTenor(S31,"1D","FOLLOWING",T$12)</f>
        <v>42537</v>
      </c>
      <c r="T32" s="13">
        <f ca="1">_xll.meDateFromTenor(S32,T$14,T$11,T$12)</f>
        <v>42902</v>
      </c>
      <c r="U32" s="98">
        <f ca="1"/>
        <v>-1.5229650323333148E-4</v>
      </c>
      <c r="V32" s="5" t="s">
        <v>4</v>
      </c>
      <c r="W32" s="84" t="s">
        <v>4</v>
      </c>
    </row>
    <row r="33" spans="1:23" x14ac:dyDescent="0.25">
      <c r="A33" s="90">
        <v>14</v>
      </c>
      <c r="B33" s="83"/>
      <c r="C33" s="100">
        <f ca="1">_xll.meDateFromTenor(C32,"1D","FOLLOWING",D$12)</f>
        <v>42538</v>
      </c>
      <c r="D33" s="13">
        <f ca="1">_xll.meDateFromTenor(C33,D$14,D$11,D$12)</f>
        <v>42541</v>
      </c>
      <c r="E33" s="98">
        <f ca="1"/>
        <v>-3.3999999999956296E-3</v>
      </c>
      <c r="F33" s="94"/>
      <c r="G33" s="100">
        <f ca="1">_xll.meDateFromTenor(G32,"1D","FOLLOWING",H$12)</f>
        <v>42538</v>
      </c>
      <c r="H33" s="13">
        <f ca="1">_xll.meDateFromTenor(G33,H$14,H$11,H$12)</f>
        <v>42569</v>
      </c>
      <c r="I33" s="98">
        <f ca="1"/>
        <v>-3.5045313962244031E-3</v>
      </c>
      <c r="J33" s="94" t="s">
        <v>4</v>
      </c>
      <c r="K33" s="100">
        <f ca="1">_xll.meDateFromTenor(K32,"1D","FOLLOWING",L$12)</f>
        <v>42538</v>
      </c>
      <c r="L33" s="13">
        <f ca="1">_xll.meDateFromTenor(K33,L$14,L$11,L$12)</f>
        <v>42632</v>
      </c>
      <c r="M33" s="98">
        <f ca="1"/>
        <v>-2.6359784038676001E-3</v>
      </c>
      <c r="N33" s="5" t="s">
        <v>4</v>
      </c>
      <c r="O33" s="100">
        <f ca="1">_xll.meDateFromTenor(O32,"1D","FOLLOWING",P$12)</f>
        <v>42538</v>
      </c>
      <c r="P33" s="13">
        <f ca="1">_xll.meDateFromTenor(O33,P$14,P$11,P$12)</f>
        <v>42723</v>
      </c>
      <c r="Q33" s="98">
        <f ca="1"/>
        <v>-1.5190909076128938E-3</v>
      </c>
      <c r="R33" s="5" t="s">
        <v>4</v>
      </c>
      <c r="S33" s="100">
        <f ca="1">_xll.meDateFromTenor(S32,"1D","FOLLOWING",T$12)</f>
        <v>42538</v>
      </c>
      <c r="T33" s="13">
        <f ca="1">_xll.meDateFromTenor(S33,T$14,T$11,T$12)</f>
        <v>42905</v>
      </c>
      <c r="U33" s="98">
        <f ca="1"/>
        <v>-1.5245923313802811E-4</v>
      </c>
      <c r="V33" s="5" t="s">
        <v>4</v>
      </c>
      <c r="W33" s="84" t="s">
        <v>4</v>
      </c>
    </row>
    <row r="34" spans="1:23" x14ac:dyDescent="0.25">
      <c r="A34" s="90">
        <v>15</v>
      </c>
      <c r="B34" s="83"/>
      <c r="C34" s="100">
        <f ca="1">_xll.meDateFromTenor(C33,"1D","FOLLOWING",D$12)</f>
        <v>42541</v>
      </c>
      <c r="D34" s="13">
        <f ca="1">_xll.meDateFromTenor(C34,D$14,D$11,D$12)</f>
        <v>42542</v>
      </c>
      <c r="E34" s="98">
        <f ca="1"/>
        <v>-3.3999999999823013E-3</v>
      </c>
      <c r="F34" s="94"/>
      <c r="G34" s="100">
        <f ca="1">_xll.meDateFromTenor(G33,"1D","FOLLOWING",H$12)</f>
        <v>42541</v>
      </c>
      <c r="H34" s="13">
        <f ca="1">_xll.meDateFromTenor(G34,H$14,H$11,H$12)</f>
        <v>42571</v>
      </c>
      <c r="I34" s="98">
        <f ca="1"/>
        <v>-3.5076020679994128E-3</v>
      </c>
      <c r="J34" s="94" t="s">
        <v>4</v>
      </c>
      <c r="K34" s="100">
        <f ca="1">_xll.meDateFromTenor(K33,"1D","FOLLOWING",L$12)</f>
        <v>42541</v>
      </c>
      <c r="L34" s="13">
        <f ca="1">_xll.meDateFromTenor(K34,L$14,L$11,L$12)</f>
        <v>42633</v>
      </c>
      <c r="M34" s="98">
        <f ca="1"/>
        <v>-2.6411740846411201E-3</v>
      </c>
      <c r="N34" s="5" t="s">
        <v>4</v>
      </c>
      <c r="O34" s="100">
        <f ca="1">_xll.meDateFromTenor(O33,"1D","FOLLOWING",P$12)</f>
        <v>42541</v>
      </c>
      <c r="P34" s="13">
        <f ca="1">_xll.meDateFromTenor(O34,P$14,P$11,P$12)</f>
        <v>42724</v>
      </c>
      <c r="Q34" s="98">
        <f ca="1"/>
        <v>-1.5169359954727945E-3</v>
      </c>
      <c r="R34" s="5" t="s">
        <v>4</v>
      </c>
      <c r="S34" s="100">
        <f ca="1">_xll.meDateFromTenor(S33,"1D","FOLLOWING",T$12)</f>
        <v>42541</v>
      </c>
      <c r="T34" s="13">
        <f ca="1">_xll.meDateFromTenor(S34,T$14,T$11,T$12)</f>
        <v>42906</v>
      </c>
      <c r="U34" s="98">
        <f ca="1"/>
        <v>-1.5294572634465652E-4</v>
      </c>
      <c r="V34" s="5" t="s">
        <v>4</v>
      </c>
      <c r="W34" s="84" t="s">
        <v>4</v>
      </c>
    </row>
    <row r="35" spans="1:23" x14ac:dyDescent="0.25">
      <c r="A35" s="90">
        <v>16</v>
      </c>
      <c r="B35" s="83"/>
      <c r="C35" s="100">
        <f ca="1">_xll.meDateFromTenor(C34,"1D","FOLLOWING",D$12)</f>
        <v>42542</v>
      </c>
      <c r="D35" s="13">
        <f ca="1">_xll.meDateFromTenor(C35,D$14,D$11,D$12)</f>
        <v>42543</v>
      </c>
      <c r="E35" s="98">
        <f ca="1"/>
        <v>-3.3999999999423415E-3</v>
      </c>
      <c r="F35" s="94"/>
      <c r="G35" s="100">
        <f ca="1">_xll.meDateFromTenor(G34,"1D","FOLLOWING",H$12)</f>
        <v>42542</v>
      </c>
      <c r="H35" s="13">
        <f ca="1">_xll.meDateFromTenor(G35,H$14,H$11,H$12)</f>
        <v>42572</v>
      </c>
      <c r="I35" s="98">
        <f ca="1"/>
        <v>-3.5086448056762753E-3</v>
      </c>
      <c r="J35" s="94" t="s">
        <v>4</v>
      </c>
      <c r="K35" s="100">
        <f ca="1">_xll.meDateFromTenor(K34,"1D","FOLLOWING",L$12)</f>
        <v>42542</v>
      </c>
      <c r="L35" s="13">
        <f ca="1">_xll.meDateFromTenor(K35,L$14,L$11,L$12)</f>
        <v>42634</v>
      </c>
      <c r="M35" s="98">
        <f ca="1"/>
        <v>-2.642905978232293E-3</v>
      </c>
      <c r="N35" s="5" t="s">
        <v>4</v>
      </c>
      <c r="O35" s="100">
        <f ca="1">_xll.meDateFromTenor(O34,"1D","FOLLOWING",P$12)</f>
        <v>42542</v>
      </c>
      <c r="P35" s="13">
        <f ca="1">_xll.meDateFromTenor(O35,P$14,P$11,P$12)</f>
        <v>42725</v>
      </c>
      <c r="Q35" s="98">
        <f ca="1"/>
        <v>-1.5162208319597207E-3</v>
      </c>
      <c r="R35" s="5" t="s">
        <v>4</v>
      </c>
      <c r="S35" s="100">
        <f ca="1">_xll.meDateFromTenor(S34,"1D","FOLLOWING",T$12)</f>
        <v>42542</v>
      </c>
      <c r="T35" s="13">
        <f ca="1">_xll.meDateFromTenor(S35,T$14,T$11,T$12)</f>
        <v>42907</v>
      </c>
      <c r="U35" s="98">
        <f ca="1"/>
        <v>-1.5310726508453972E-4</v>
      </c>
      <c r="V35" s="5" t="s">
        <v>4</v>
      </c>
      <c r="W35" s="84" t="s">
        <v>4</v>
      </c>
    </row>
    <row r="36" spans="1:23" x14ac:dyDescent="0.25">
      <c r="A36" s="90">
        <v>17</v>
      </c>
      <c r="B36" s="83"/>
      <c r="C36" s="100">
        <f ca="1">_xll.meDateFromTenor(C35,"1D","FOLLOWING",D$12)</f>
        <v>42543</v>
      </c>
      <c r="D36" s="13">
        <f ca="1">_xll.meDateFromTenor(C36,D$14,D$11,D$12)</f>
        <v>42544</v>
      </c>
      <c r="E36" s="98">
        <f ca="1"/>
        <v>-3.3999999999823095E-3</v>
      </c>
      <c r="F36" s="94"/>
      <c r="G36" s="100">
        <f ca="1">_xll.meDateFromTenor(G35,"1D","FOLLOWING",H$12)</f>
        <v>42543</v>
      </c>
      <c r="H36" s="13">
        <f ca="1">_xll.meDateFromTenor(G36,H$14,H$11,H$12)</f>
        <v>42573</v>
      </c>
      <c r="I36" s="98">
        <f ca="1"/>
        <v>-3.5096980556979067E-3</v>
      </c>
      <c r="J36" s="94" t="s">
        <v>4</v>
      </c>
      <c r="K36" s="100">
        <f ca="1">_xll.meDateFromTenor(K35,"1D","FOLLOWING",L$12)</f>
        <v>42543</v>
      </c>
      <c r="L36" s="13">
        <f ca="1">_xll.meDateFromTenor(K36,L$14,L$11,L$12)</f>
        <v>42635</v>
      </c>
      <c r="M36" s="98">
        <f ca="1"/>
        <v>-2.6446378718234667E-3</v>
      </c>
      <c r="N36" s="5" t="s">
        <v>4</v>
      </c>
      <c r="O36" s="100">
        <f ca="1">_xll.meDateFromTenor(O35,"1D","FOLLOWING",P$12)</f>
        <v>42543</v>
      </c>
      <c r="P36" s="13">
        <f ca="1">_xll.meDateFromTenor(O36,P$14,P$11,P$12)</f>
        <v>42726</v>
      </c>
      <c r="Q36" s="98">
        <f ca="1"/>
        <v>-1.515507389700653E-3</v>
      </c>
      <c r="R36" s="5" t="s">
        <v>4</v>
      </c>
      <c r="S36" s="100">
        <f ca="1">_xll.meDateFromTenor(S35,"1D","FOLLOWING",T$12)</f>
        <v>42543</v>
      </c>
      <c r="T36" s="13">
        <f ca="1">_xll.meDateFromTenor(S36,T$14,T$11,T$12)</f>
        <v>42908</v>
      </c>
      <c r="U36" s="98">
        <f ca="1"/>
        <v>-1.5326846091334034E-4</v>
      </c>
      <c r="V36" s="5" t="s">
        <v>4</v>
      </c>
      <c r="W36" s="84" t="s">
        <v>4</v>
      </c>
    </row>
    <row r="37" spans="1:23" x14ac:dyDescent="0.25">
      <c r="A37" s="90">
        <v>18</v>
      </c>
      <c r="B37" s="83"/>
      <c r="C37" s="100">
        <f ca="1">_xll.meDateFromTenor(C36,"1D","FOLLOWING",D$12)</f>
        <v>42544</v>
      </c>
      <c r="D37" s="13">
        <f ca="1">_xll.meDateFromTenor(C37,D$14,D$11,D$12)</f>
        <v>42545</v>
      </c>
      <c r="E37" s="98">
        <f ca="1"/>
        <v>-3.3999999999823013E-3</v>
      </c>
      <c r="F37" s="94"/>
      <c r="G37" s="100">
        <f ca="1">_xll.meDateFromTenor(G36,"1D","FOLLOWING",H$12)</f>
        <v>42544</v>
      </c>
      <c r="H37" s="13">
        <f ca="1">_xll.meDateFromTenor(G37,H$14,H$11,H$12)</f>
        <v>42576</v>
      </c>
      <c r="I37" s="98">
        <f ca="1"/>
        <v>-3.510762371345612E-3</v>
      </c>
      <c r="J37" s="94" t="s">
        <v>4</v>
      </c>
      <c r="K37" s="100">
        <f ca="1">_xll.meDateFromTenor(K36,"1D","FOLLOWING",L$12)</f>
        <v>42544</v>
      </c>
      <c r="L37" s="13">
        <f ca="1">_xll.meDateFromTenor(K37,L$14,L$11,L$12)</f>
        <v>42636</v>
      </c>
      <c r="M37" s="98">
        <f ca="1"/>
        <v>-2.6463697654146401E-3</v>
      </c>
      <c r="N37" s="5" t="s">
        <v>4</v>
      </c>
      <c r="O37" s="100">
        <f ca="1">_xll.meDateFromTenor(O36,"1D","FOLLOWING",P$12)</f>
        <v>42544</v>
      </c>
      <c r="P37" s="13">
        <f ca="1">_xll.meDateFromTenor(O37,P$14,P$11,P$12)</f>
        <v>42727</v>
      </c>
      <c r="Q37" s="98">
        <f ca="1"/>
        <v>-1.5147957592879075E-3</v>
      </c>
      <c r="R37" s="5" t="s">
        <v>4</v>
      </c>
      <c r="S37" s="100">
        <f ca="1">_xll.meDateFromTenor(S36,"1D","FOLLOWING",T$12)</f>
        <v>42544</v>
      </c>
      <c r="T37" s="13">
        <f ca="1">_xll.meDateFromTenor(S37,T$14,T$11,T$12)</f>
        <v>42909</v>
      </c>
      <c r="U37" s="98">
        <f ca="1"/>
        <v>-1.5342929578310651E-4</v>
      </c>
      <c r="V37" s="5" t="s">
        <v>4</v>
      </c>
      <c r="W37" s="84" t="s">
        <v>4</v>
      </c>
    </row>
    <row r="38" spans="1:23" x14ac:dyDescent="0.25">
      <c r="A38" s="90">
        <v>19</v>
      </c>
      <c r="B38" s="83"/>
      <c r="C38" s="100">
        <f ca="1">_xll.meDateFromTenor(C37,"1D","FOLLOWING",D$12)</f>
        <v>42545</v>
      </c>
      <c r="D38" s="13">
        <f ca="1">_xll.meDateFromTenor(C38,D$14,D$11,D$12)</f>
        <v>42548</v>
      </c>
      <c r="E38" s="98">
        <f ca="1"/>
        <v>-3.3999999999689843E-3</v>
      </c>
      <c r="F38" s="94"/>
      <c r="G38" s="100">
        <f ca="1">_xll.meDateFromTenor(G37,"1D","FOLLOWING",H$12)</f>
        <v>42545</v>
      </c>
      <c r="H38" s="13">
        <f ca="1">_xll.meDateFromTenor(G38,H$14,H$11,H$12)</f>
        <v>42576</v>
      </c>
      <c r="I38" s="98">
        <f ca="1"/>
        <v>-3.511838305900693E-3</v>
      </c>
      <c r="J38" s="94" t="s">
        <v>4</v>
      </c>
      <c r="K38" s="100">
        <f ca="1">_xll.meDateFromTenor(K37,"1D","FOLLOWING",L$12)</f>
        <v>42545</v>
      </c>
      <c r="L38" s="13">
        <f ca="1">_xll.meDateFromTenor(K38,L$14,L$11,L$12)</f>
        <v>42639</v>
      </c>
      <c r="M38" s="98">
        <f ca="1"/>
        <v>-2.6481016590058134E-3</v>
      </c>
      <c r="N38" s="5" t="s">
        <v>4</v>
      </c>
      <c r="O38" s="100">
        <f ca="1">_xll.meDateFromTenor(O37,"1D","FOLLOWING",P$12)</f>
        <v>42545</v>
      </c>
      <c r="P38" s="13">
        <f ca="1">_xll.meDateFromTenor(O38,P$14,P$11,P$12)</f>
        <v>42731</v>
      </c>
      <c r="Q38" s="98">
        <f ca="1"/>
        <v>-1.5140860313138009E-3</v>
      </c>
      <c r="R38" s="5" t="s">
        <v>4</v>
      </c>
      <c r="S38" s="100">
        <f ca="1">_xll.meDateFromTenor(S37,"1D","FOLLOWING",T$12)</f>
        <v>42545</v>
      </c>
      <c r="T38" s="13">
        <f ca="1">_xll.meDateFromTenor(S38,T$14,T$11,T$12)</f>
        <v>42912</v>
      </c>
      <c r="U38" s="98">
        <f ca="1"/>
        <v>-1.5358975164588665E-4</v>
      </c>
      <c r="V38" s="5" t="s">
        <v>4</v>
      </c>
      <c r="W38" s="84" t="s">
        <v>4</v>
      </c>
    </row>
    <row r="39" spans="1:23" x14ac:dyDescent="0.25">
      <c r="A39" s="90">
        <v>20</v>
      </c>
      <c r="B39" s="83"/>
      <c r="C39" s="100">
        <f ca="1">_xll.meDateFromTenor(C38,"1D","FOLLOWING",D$12)</f>
        <v>42548</v>
      </c>
      <c r="D39" s="13">
        <f ca="1">_xll.meDateFromTenor(C39,D$14,D$11,D$12)</f>
        <v>42549</v>
      </c>
      <c r="E39" s="98">
        <f ca="1"/>
        <v>-3.3999999999823013E-3</v>
      </c>
      <c r="F39" s="94"/>
      <c r="G39" s="100">
        <f ca="1">_xll.meDateFromTenor(G38,"1D","FOLLOWING",H$12)</f>
        <v>42548</v>
      </c>
      <c r="H39" s="13">
        <f ca="1">_xll.meDateFromTenor(G39,H$14,H$11,H$12)</f>
        <v>42578</v>
      </c>
      <c r="I39" s="98">
        <f ca="1"/>
        <v>-3.515141355823231E-3</v>
      </c>
      <c r="J39" s="94" t="s">
        <v>4</v>
      </c>
      <c r="K39" s="100">
        <f ca="1">_xll.meDateFromTenor(K38,"1D","FOLLOWING",L$12)</f>
        <v>42548</v>
      </c>
      <c r="L39" s="13">
        <f ca="1">_xll.meDateFromTenor(K39,L$14,L$11,L$12)</f>
        <v>42640</v>
      </c>
      <c r="M39" s="98">
        <f ca="1"/>
        <v>-2.6532973397793338E-3</v>
      </c>
      <c r="N39" s="5" t="s">
        <v>4</v>
      </c>
      <c r="O39" s="100">
        <f ca="1">_xll.meDateFromTenor(O38,"1D","FOLLOWING",P$12)</f>
        <v>42548</v>
      </c>
      <c r="P39" s="13">
        <f ca="1">_xll.meDateFromTenor(O39,P$14,P$11,P$12)</f>
        <v>42731</v>
      </c>
      <c r="Q39" s="98">
        <f ca="1"/>
        <v>-1.5119691679464735E-3</v>
      </c>
      <c r="R39" s="5" t="s">
        <v>4</v>
      </c>
      <c r="S39" s="100">
        <f ca="1">_xll.meDateFromTenor(S38,"1D","FOLLOWING",T$12)</f>
        <v>42548</v>
      </c>
      <c r="T39" s="13">
        <f ca="1">_xll.meDateFromTenor(S39,T$14,T$11,T$12)</f>
        <v>42913</v>
      </c>
      <c r="U39" s="98">
        <f ca="1"/>
        <v>-1.5406866471279334E-4</v>
      </c>
      <c r="V39" s="5" t="s">
        <v>4</v>
      </c>
      <c r="W39" s="84" t="s">
        <v>4</v>
      </c>
    </row>
    <row r="40" spans="1:23" x14ac:dyDescent="0.25">
      <c r="A40" s="90">
        <v>21</v>
      </c>
      <c r="B40" s="83"/>
      <c r="C40" s="100">
        <f ca="1">_xll.meDateFromTenor(C39,"1D","FOLLOWING",D$12)</f>
        <v>42549</v>
      </c>
      <c r="D40" s="13">
        <f ca="1">_xll.meDateFromTenor(C40,D$14,D$11,D$12)</f>
        <v>42550</v>
      </c>
      <c r="E40" s="98">
        <f ca="1"/>
        <v>-3.3999999999823013E-3</v>
      </c>
      <c r="F40" s="94"/>
      <c r="G40" s="100">
        <f ca="1">_xll.meDateFromTenor(G39,"1D","FOLLOWING",H$12)</f>
        <v>42549</v>
      </c>
      <c r="H40" s="13">
        <f ca="1">_xll.meDateFromTenor(G40,H$14,H$11,H$12)</f>
        <v>42579</v>
      </c>
      <c r="I40" s="98">
        <f ca="1"/>
        <v>-3.5162692988208546E-3</v>
      </c>
      <c r="J40" s="94" t="s">
        <v>4</v>
      </c>
      <c r="K40" s="100">
        <f ca="1">_xll.meDateFromTenor(K39,"1D","FOLLOWING",L$12)</f>
        <v>42549</v>
      </c>
      <c r="L40" s="13">
        <f ca="1">_xll.meDateFromTenor(K40,L$14,L$11,L$12)</f>
        <v>42641</v>
      </c>
      <c r="M40" s="98">
        <f ca="1"/>
        <v>-2.6550292333705071E-3</v>
      </c>
      <c r="N40" s="5" t="s">
        <v>4</v>
      </c>
      <c r="O40" s="100">
        <f ca="1">_xll.meDateFromTenor(O39,"1D","FOLLOWING",P$12)</f>
        <v>42549</v>
      </c>
      <c r="P40" s="13">
        <f ca="1">_xll.meDateFromTenor(O40,P$14,P$11,P$12)</f>
        <v>42732</v>
      </c>
      <c r="Q40" s="98">
        <f ca="1"/>
        <v>-1.5112679556500822E-3</v>
      </c>
      <c r="R40" s="5" t="s">
        <v>4</v>
      </c>
      <c r="S40" s="100">
        <f ca="1">_xll.meDateFromTenor(S39,"1D","FOLLOWING",T$12)</f>
        <v>42549</v>
      </c>
      <c r="T40" s="13">
        <f ca="1">_xll.meDateFromTenor(S40,T$14,T$11,T$12)</f>
        <v>42914</v>
      </c>
      <c r="U40" s="98">
        <f ca="1"/>
        <v>-1.5422742406811195E-4</v>
      </c>
      <c r="V40" s="5" t="s">
        <v>4</v>
      </c>
      <c r="W40" s="84" t="s">
        <v>4</v>
      </c>
    </row>
    <row r="41" spans="1:23" x14ac:dyDescent="0.25">
      <c r="A41" s="90">
        <v>22</v>
      </c>
      <c r="B41" s="83"/>
      <c r="C41" s="100">
        <f ca="1">_xll.meDateFromTenor(C40,"1D","FOLLOWING",D$12)</f>
        <v>42550</v>
      </c>
      <c r="D41" s="13">
        <f ca="1">_xll.meDateFromTenor(C41,D$14,D$11,D$12)</f>
        <v>42551</v>
      </c>
      <c r="E41" s="98">
        <f ca="1"/>
        <v>-3.3999999999023822E-3</v>
      </c>
      <c r="F41" s="94"/>
      <c r="G41" s="100">
        <f ca="1">_xll.meDateFromTenor(G40,"1D","FOLLOWING",H$12)</f>
        <v>42550</v>
      </c>
      <c r="H41" s="13">
        <f ca="1">_xll.meDateFromTenor(G41,H$14,H$11,H$12)</f>
        <v>42580</v>
      </c>
      <c r="I41" s="98">
        <f ca="1"/>
        <v>-3.5174116271323732E-3</v>
      </c>
      <c r="J41" s="94" t="s">
        <v>4</v>
      </c>
      <c r="K41" s="100">
        <f ca="1">_xll.meDateFromTenor(K40,"1D","FOLLOWING",L$12)</f>
        <v>42550</v>
      </c>
      <c r="L41" s="13">
        <f ca="1">_xll.meDateFromTenor(K41,L$14,L$11,L$12)</f>
        <v>42642</v>
      </c>
      <c r="M41" s="98">
        <f ca="1"/>
        <v>-2.6567611269616804E-3</v>
      </c>
      <c r="N41" s="5" t="s">
        <v>4</v>
      </c>
      <c r="O41" s="100">
        <f ca="1">_xll.meDateFromTenor(O40,"1D","FOLLOWING",P$12)</f>
        <v>42550</v>
      </c>
      <c r="P41" s="13">
        <f ca="1">_xll.meDateFromTenor(O41,P$14,P$11,P$12)</f>
        <v>42733</v>
      </c>
      <c r="Q41" s="98">
        <f ca="1"/>
        <v>-1.51056909875391E-3</v>
      </c>
      <c r="R41" s="5" t="s">
        <v>4</v>
      </c>
      <c r="S41" s="100">
        <f ca="1">_xll.meDateFromTenor(S40,"1D","FOLLOWING",T$12)</f>
        <v>42550</v>
      </c>
      <c r="T41" s="13">
        <f ca="1">_xll.meDateFromTenor(S41,T$14,T$11,T$12)</f>
        <v>42915</v>
      </c>
      <c r="U41" s="98">
        <f ca="1"/>
        <v>-1.5438571417668585E-4</v>
      </c>
      <c r="V41" s="5" t="s">
        <v>4</v>
      </c>
      <c r="W41" s="84" t="s">
        <v>4</v>
      </c>
    </row>
    <row r="42" spans="1:23" x14ac:dyDescent="0.25">
      <c r="A42" s="90">
        <v>23</v>
      </c>
      <c r="B42" s="83"/>
      <c r="C42" s="100">
        <f ca="1">_xll.meDateFromTenor(C41,"1D","FOLLOWING",D$12)</f>
        <v>42551</v>
      </c>
      <c r="D42" s="13">
        <f ca="1">_xll.meDateFromTenor(C42,D$14,D$11,D$12)</f>
        <v>42552</v>
      </c>
      <c r="E42" s="98">
        <f ca="1"/>
        <v>-3.3999999999423333E-3</v>
      </c>
      <c r="F42" s="94"/>
      <c r="G42" s="100">
        <f ca="1">_xll.meDateFromTenor(G41,"1D","FOLLOWING",H$12)</f>
        <v>42551</v>
      </c>
      <c r="H42" s="13">
        <f ca="1">_xll.meDateFromTenor(G42,H$14,H$11,H$12)</f>
        <v>42580</v>
      </c>
      <c r="I42" s="98">
        <f ca="1"/>
        <v>-3.5185688940390894E-3</v>
      </c>
      <c r="J42" s="94" t="s">
        <v>4</v>
      </c>
      <c r="K42" s="100">
        <f ca="1">_xll.meDateFromTenor(K41,"1D","FOLLOWING",L$12)</f>
        <v>42551</v>
      </c>
      <c r="L42" s="13">
        <f ca="1">_xll.meDateFromTenor(K42,L$14,L$11,L$12)</f>
        <v>42643</v>
      </c>
      <c r="M42" s="98">
        <f ca="1"/>
        <v>-2.6584930205528537E-3</v>
      </c>
      <c r="N42" s="5" t="s">
        <v>4</v>
      </c>
      <c r="O42" s="100">
        <f ca="1">_xll.meDateFromTenor(O41,"1D","FOLLOWING",P$12)</f>
        <v>42551</v>
      </c>
      <c r="P42" s="13">
        <f ca="1">_xll.meDateFromTenor(O42,P$14,P$11,P$12)</f>
        <v>42734</v>
      </c>
      <c r="Q42" s="98">
        <f ca="1"/>
        <v>-1.5098726878502737E-3</v>
      </c>
      <c r="R42" s="5" t="s">
        <v>4</v>
      </c>
      <c r="S42" s="100">
        <f ca="1">_xll.meDateFromTenor(S41,"1D","FOLLOWING",T$12)</f>
        <v>42551</v>
      </c>
      <c r="T42" s="13">
        <f ca="1">_xll.meDateFromTenor(S42,T$14,T$11,T$12)</f>
        <v>42916</v>
      </c>
      <c r="U42" s="98">
        <f ca="1"/>
        <v>-1.5454351699056336E-4</v>
      </c>
      <c r="V42" s="5" t="s">
        <v>4</v>
      </c>
      <c r="W42" s="84" t="s">
        <v>4</v>
      </c>
    </row>
    <row r="43" spans="1:23" x14ac:dyDescent="0.25">
      <c r="A43" s="90">
        <v>24</v>
      </c>
      <c r="B43" s="83"/>
      <c r="C43" s="100">
        <f ca="1">_xll.meDateFromTenor(C42,"1D","FOLLOWING",D$12)</f>
        <v>42552</v>
      </c>
      <c r="D43" s="13">
        <f ca="1">_xll.meDateFromTenor(C43,D$14,D$11,D$12)</f>
        <v>42555</v>
      </c>
      <c r="E43" s="98">
        <f ca="1"/>
        <v>-3.3999999999956296E-3</v>
      </c>
      <c r="F43" s="94"/>
      <c r="G43" s="100">
        <f ca="1">_xll.meDateFromTenor(G42,"1D","FOLLOWING",H$12)</f>
        <v>42552</v>
      </c>
      <c r="H43" s="13">
        <f ca="1">_xll.meDateFromTenor(G43,H$14,H$11,H$12)</f>
        <v>42583</v>
      </c>
      <c r="I43" s="98">
        <f ca="1"/>
        <v>-3.5197416528223078E-3</v>
      </c>
      <c r="J43" s="94" t="s">
        <v>4</v>
      </c>
      <c r="K43" s="100">
        <f ca="1">_xll.meDateFromTenor(K42,"1D","FOLLOWING",L$12)</f>
        <v>42552</v>
      </c>
      <c r="L43" s="13">
        <f ca="1">_xll.meDateFromTenor(K43,L$14,L$11,L$12)</f>
        <v>42646</v>
      </c>
      <c r="M43" s="98">
        <f ca="1"/>
        <v>-2.6602249141440271E-3</v>
      </c>
      <c r="N43" s="5" t="s">
        <v>4</v>
      </c>
      <c r="O43" s="100">
        <f ca="1">_xll.meDateFromTenor(O42,"1D","FOLLOWING",P$12)</f>
        <v>42552</v>
      </c>
      <c r="P43" s="13">
        <f ca="1">_xll.meDateFromTenor(O43,P$14,P$11,P$12)</f>
        <v>42737</v>
      </c>
      <c r="Q43" s="98">
        <f ca="1"/>
        <v>-1.5091788135314884E-3</v>
      </c>
      <c r="R43" s="5" t="s">
        <v>4</v>
      </c>
      <c r="S43" s="100">
        <f ca="1">_xll.meDateFromTenor(S42,"1D","FOLLOWING",T$12)</f>
        <v>42552</v>
      </c>
      <c r="T43" s="13">
        <f ca="1">_xll.meDateFromTenor(S43,T$14,T$11,T$12)</f>
        <v>42919</v>
      </c>
      <c r="U43" s="98">
        <f ca="1"/>
        <v>-1.5470081446179279E-4</v>
      </c>
      <c r="V43" s="5" t="s">
        <v>4</v>
      </c>
      <c r="W43" s="84" t="s">
        <v>4</v>
      </c>
    </row>
    <row r="44" spans="1:23" x14ac:dyDescent="0.25">
      <c r="A44" s="90">
        <v>25</v>
      </c>
      <c r="B44" s="83"/>
      <c r="C44" s="100">
        <f ca="1">_xll.meDateFromTenor(C43,"1D","FOLLOWING",D$12)</f>
        <v>42555</v>
      </c>
      <c r="D44" s="13">
        <f ca="1">_xll.meDateFromTenor(C44,D$14,D$11,D$12)</f>
        <v>42556</v>
      </c>
      <c r="E44" s="98">
        <f ca="1"/>
        <v>-3.4000000000222693E-3</v>
      </c>
      <c r="F44" s="94"/>
      <c r="G44" s="100">
        <f ca="1">_xll.meDateFromTenor(G43,"1D","FOLLOWING",H$12)</f>
        <v>42555</v>
      </c>
      <c r="H44" s="13">
        <f ca="1">_xll.meDateFromTenor(G44,H$14,H$11,H$12)</f>
        <v>42586</v>
      </c>
      <c r="I44" s="98">
        <f ca="1"/>
        <v>-3.5233584132440105E-3</v>
      </c>
      <c r="J44" s="94" t="s">
        <v>4</v>
      </c>
      <c r="K44" s="100">
        <f ca="1">_xll.meDateFromTenor(K43,"1D","FOLLOWING",L$12)</f>
        <v>42555</v>
      </c>
      <c r="L44" s="13">
        <f ca="1">_xll.meDateFromTenor(K44,L$14,L$11,L$12)</f>
        <v>42647</v>
      </c>
      <c r="M44" s="98">
        <f ca="1"/>
        <v>-2.665420594917547E-3</v>
      </c>
      <c r="N44" s="5" t="s">
        <v>4</v>
      </c>
      <c r="O44" s="100">
        <f ca="1">_xll.meDateFromTenor(O43,"1D","FOLLOWING",P$12)</f>
        <v>42555</v>
      </c>
      <c r="P44" s="13">
        <f ca="1">_xll.meDateFromTenor(O44,P$14,P$11,P$12)</f>
        <v>42739</v>
      </c>
      <c r="Q44" s="98">
        <f ca="1"/>
        <v>-1.5071133160074019E-3</v>
      </c>
      <c r="R44" s="5" t="s">
        <v>4</v>
      </c>
      <c r="S44" s="100">
        <f ca="1">_xll.meDateFromTenor(S43,"1D","FOLLOWING",T$12)</f>
        <v>42555</v>
      </c>
      <c r="T44" s="13">
        <f ca="1">_xll.meDateFromTenor(S44,T$14,T$11,T$12)</f>
        <v>42920</v>
      </c>
      <c r="U44" s="98">
        <f ca="1"/>
        <v>-1.5516949434007515E-4</v>
      </c>
      <c r="V44" s="5" t="s">
        <v>4</v>
      </c>
      <c r="W44" s="84" t="s">
        <v>4</v>
      </c>
    </row>
    <row r="45" spans="1:23" x14ac:dyDescent="0.25">
      <c r="A45" s="90">
        <v>26</v>
      </c>
      <c r="B45" s="83"/>
      <c r="C45" s="100">
        <f ca="1">_xll.meDateFromTenor(C44,"1D","FOLLOWING",D$12)</f>
        <v>42556</v>
      </c>
      <c r="D45" s="13">
        <f ca="1">_xll.meDateFromTenor(C45,D$14,D$11,D$12)</f>
        <v>42557</v>
      </c>
      <c r="E45" s="98">
        <f ca="1"/>
        <v>-3.3999999999423333E-3</v>
      </c>
      <c r="F45" s="94"/>
      <c r="G45" s="100">
        <f ca="1">_xll.meDateFromTenor(G44,"1D","FOLLOWING",H$12)</f>
        <v>42556</v>
      </c>
      <c r="H45" s="13">
        <f ca="1">_xll.meDateFromTenor(G45,H$14,H$11,H$12)</f>
        <v>42587</v>
      </c>
      <c r="I45" s="98">
        <f ca="1"/>
        <v>-3.5245984418932198E-3</v>
      </c>
      <c r="J45" s="94" t="s">
        <v>4</v>
      </c>
      <c r="K45" s="100">
        <f ca="1">_xll.meDateFromTenor(K44,"1D","FOLLOWING",L$12)</f>
        <v>42556</v>
      </c>
      <c r="L45" s="13">
        <f ca="1">_xll.meDateFromTenor(K45,L$14,L$11,L$12)</f>
        <v>42648</v>
      </c>
      <c r="M45" s="98">
        <f ca="1"/>
        <v>-2.6671524885087203E-3</v>
      </c>
      <c r="N45" s="5" t="s">
        <v>4</v>
      </c>
      <c r="O45" s="100">
        <f ca="1">_xll.meDateFromTenor(O44,"1D","FOLLOWING",P$12)</f>
        <v>42556</v>
      </c>
      <c r="P45" s="13">
        <f ca="1">_xll.meDateFromTenor(O45,P$14,P$11,P$12)</f>
        <v>42740</v>
      </c>
      <c r="Q45" s="98">
        <f ca="1"/>
        <v>-1.5064304939511836E-3</v>
      </c>
      <c r="R45" s="5" t="s">
        <v>4</v>
      </c>
      <c r="S45" s="100">
        <f ca="1">_xll.meDateFromTenor(S44,"1D","FOLLOWING",T$12)</f>
        <v>42556</v>
      </c>
      <c r="T45" s="13">
        <f ca="1">_xll.meDateFromTenor(S45,T$14,T$11,T$12)</f>
        <v>42921</v>
      </c>
      <c r="U45" s="98">
        <f ca="1"/>
        <v>-1.5532458996119492E-4</v>
      </c>
      <c r="V45" s="5" t="s">
        <v>4</v>
      </c>
      <c r="W45" s="84" t="s">
        <v>4</v>
      </c>
    </row>
    <row r="46" spans="1:23" x14ac:dyDescent="0.25">
      <c r="A46" s="90">
        <v>27</v>
      </c>
      <c r="B46" s="83"/>
      <c r="C46" s="100">
        <f ca="1">_xll.meDateFromTenor(C45,"1D","FOLLOWING",D$12)</f>
        <v>42557</v>
      </c>
      <c r="D46" s="13">
        <f ca="1">_xll.meDateFromTenor(C46,D$14,D$11,D$12)</f>
        <v>42558</v>
      </c>
      <c r="E46" s="98">
        <f ca="1"/>
        <v>-3.3999999999823182E-3</v>
      </c>
      <c r="F46" s="94"/>
      <c r="G46" s="100">
        <f ca="1">_xll.meDateFromTenor(G45,"1D","FOLLOWING",H$12)</f>
        <v>42557</v>
      </c>
      <c r="H46" s="13">
        <f ca="1">_xll.meDateFromTenor(G46,H$14,H$11,H$12)</f>
        <v>42590</v>
      </c>
      <c r="I46" s="98">
        <f ca="1"/>
        <v>-3.5258553461071295E-3</v>
      </c>
      <c r="J46" s="94" t="s">
        <v>4</v>
      </c>
      <c r="K46" s="100">
        <f ca="1">_xll.meDateFromTenor(K45,"1D","FOLLOWING",L$12)</f>
        <v>42557</v>
      </c>
      <c r="L46" s="13">
        <f ca="1">_xll.meDateFromTenor(K46,L$14,L$11,L$12)</f>
        <v>42649</v>
      </c>
      <c r="M46" s="98">
        <f ca="1"/>
        <v>-2.6688843820998937E-3</v>
      </c>
      <c r="N46" s="5" t="s">
        <v>4</v>
      </c>
      <c r="O46" s="100">
        <f ca="1">_xll.meDateFromTenor(O45,"1D","FOLLOWING",P$12)</f>
        <v>42557</v>
      </c>
      <c r="P46" s="13">
        <f ca="1">_xll.meDateFromTenor(O46,P$14,P$11,P$12)</f>
        <v>42741</v>
      </c>
      <c r="Q46" s="98">
        <f ca="1"/>
        <v>-1.5057506614413975E-3</v>
      </c>
      <c r="R46" s="5" t="s">
        <v>4</v>
      </c>
      <c r="S46" s="100">
        <f ca="1">_xll.meDateFromTenor(S45,"1D","FOLLOWING",T$12)</f>
        <v>42557</v>
      </c>
      <c r="T46" s="13">
        <f ca="1">_xll.meDateFromTenor(S46,T$14,T$11,T$12)</f>
        <v>42922</v>
      </c>
      <c r="U46" s="98">
        <f ca="1"/>
        <v>-1.5547908999990798E-4</v>
      </c>
      <c r="V46" s="5" t="s">
        <v>4</v>
      </c>
      <c r="W46" s="84" t="s">
        <v>4</v>
      </c>
    </row>
    <row r="47" spans="1:23" x14ac:dyDescent="0.25">
      <c r="A47" s="90">
        <v>28</v>
      </c>
      <c r="B47" s="83"/>
      <c r="C47" s="100">
        <f ca="1">_xll.meDateFromTenor(C46,"1D","FOLLOWING",D$12)</f>
        <v>42558</v>
      </c>
      <c r="D47" s="13">
        <f ca="1">_xll.meDateFromTenor(C47,D$14,D$11,D$12)</f>
        <v>42559</v>
      </c>
      <c r="E47" s="98">
        <f ca="1"/>
        <v>-3.3999999999823013E-3</v>
      </c>
      <c r="F47" s="94"/>
      <c r="G47" s="100">
        <f ca="1">_xll.meDateFromTenor(G46,"1D","FOLLOWING",H$12)</f>
        <v>42558</v>
      </c>
      <c r="H47" s="13">
        <f ca="1">_xll.meDateFromTenor(G47,H$14,H$11,H$12)</f>
        <v>42590</v>
      </c>
      <c r="I47" s="98">
        <f ca="1"/>
        <v>-3.5271282964487245E-3</v>
      </c>
      <c r="J47" s="94" t="s">
        <v>4</v>
      </c>
      <c r="K47" s="100">
        <f ca="1">_xll.meDateFromTenor(K46,"1D","FOLLOWING",L$12)</f>
        <v>42558</v>
      </c>
      <c r="L47" s="13">
        <f ca="1">_xll.meDateFromTenor(K47,L$14,L$11,L$12)</f>
        <v>42650</v>
      </c>
      <c r="M47" s="98">
        <f ca="1"/>
        <v>-2.670616275691067E-3</v>
      </c>
      <c r="N47" s="5" t="s">
        <v>4</v>
      </c>
      <c r="O47" s="100">
        <f ca="1">_xll.meDateFromTenor(O46,"1D","FOLLOWING",P$12)</f>
        <v>42558</v>
      </c>
      <c r="P47" s="13">
        <f ca="1">_xll.meDateFromTenor(O47,P$14,P$11,P$12)</f>
        <v>42744</v>
      </c>
      <c r="Q47" s="98">
        <f ca="1"/>
        <v>-1.5050739090703591E-3</v>
      </c>
      <c r="R47" s="5" t="s">
        <v>4</v>
      </c>
      <c r="S47" s="100">
        <f ca="1">_xll.meDateFromTenor(S46,"1D","FOLLOWING",T$12)</f>
        <v>42558</v>
      </c>
      <c r="T47" s="13">
        <f ca="1">_xll.meDateFromTenor(S47,T$14,T$11,T$12)</f>
        <v>42923</v>
      </c>
      <c r="U47" s="98">
        <f ca="1"/>
        <v>-1.5563297640826257E-4</v>
      </c>
      <c r="V47" s="5" t="s">
        <v>4</v>
      </c>
      <c r="W47" s="84" t="s">
        <v>4</v>
      </c>
    </row>
    <row r="48" spans="1:23" x14ac:dyDescent="0.25">
      <c r="A48" s="90">
        <v>29</v>
      </c>
      <c r="B48" s="83"/>
      <c r="C48" s="100">
        <f ca="1">_xll.meDateFromTenor(C47,"1D","FOLLOWING",D$12)</f>
        <v>42559</v>
      </c>
      <c r="D48" s="13">
        <f ca="1">_xll.meDateFromTenor(C48,D$14,D$11,D$12)</f>
        <v>42562</v>
      </c>
      <c r="E48" s="98">
        <f ca="1"/>
        <v>-3.3999999999689843E-3</v>
      </c>
      <c r="F48" s="94"/>
      <c r="G48" s="100">
        <f ca="1">_xll.meDateFromTenor(G47,"1D","FOLLOWING",H$12)</f>
        <v>42559</v>
      </c>
      <c r="H48" s="13">
        <f ca="1">_xll.meDateFromTenor(G48,H$14,H$11,H$12)</f>
        <v>42590</v>
      </c>
      <c r="I48" s="98">
        <f ca="1"/>
        <v>-3.5284164634809883E-3</v>
      </c>
      <c r="J48" s="94" t="s">
        <v>4</v>
      </c>
      <c r="K48" s="100">
        <f ca="1">_xll.meDateFromTenor(K47,"1D","FOLLOWING",L$12)</f>
        <v>42559</v>
      </c>
      <c r="L48" s="13">
        <f ca="1">_xll.meDateFromTenor(K48,L$14,L$11,L$12)</f>
        <v>42653</v>
      </c>
      <c r="M48" s="98">
        <f ca="1"/>
        <v>-2.6723481692822403E-3</v>
      </c>
      <c r="N48" s="5" t="s">
        <v>4</v>
      </c>
      <c r="O48" s="100">
        <f ca="1">_xll.meDateFromTenor(O47,"1D","FOLLOWING",P$12)</f>
        <v>42559</v>
      </c>
      <c r="P48" s="13">
        <f ca="1">_xll.meDateFromTenor(O48,P$14,P$11,P$12)</f>
        <v>42744</v>
      </c>
      <c r="Q48" s="98">
        <f ca="1"/>
        <v>-1.5044003274303855E-3</v>
      </c>
      <c r="R48" s="5" t="s">
        <v>4</v>
      </c>
      <c r="S48" s="100">
        <f ca="1">_xll.meDateFromTenor(S47,"1D","FOLLOWING",T$12)</f>
        <v>42559</v>
      </c>
      <c r="T48" s="13">
        <f ca="1">_xll.meDateFromTenor(S48,T$14,T$11,T$12)</f>
        <v>42926</v>
      </c>
      <c r="U48" s="98">
        <f ca="1"/>
        <v>-1.5578623113830708E-4</v>
      </c>
      <c r="V48" s="5" t="s">
        <v>4</v>
      </c>
      <c r="W48" s="84" t="s">
        <v>4</v>
      </c>
    </row>
    <row r="49" spans="1:23" x14ac:dyDescent="0.25">
      <c r="A49" s="90">
        <v>30</v>
      </c>
      <c r="B49" s="83"/>
      <c r="C49" s="100">
        <f ca="1">_xll.meDateFromTenor(C48,"1D","FOLLOWING",D$12)</f>
        <v>42562</v>
      </c>
      <c r="D49" s="13">
        <f ca="1">_xll.meDateFromTenor(C49,D$14,D$11,D$12)</f>
        <v>42563</v>
      </c>
      <c r="E49" s="98">
        <f ca="1"/>
        <v>-3.4000000000222693E-3</v>
      </c>
      <c r="F49" s="94"/>
      <c r="G49" s="100">
        <f ca="1">_xll.meDateFromTenor(G48,"1D","FOLLOWING",H$12)</f>
        <v>42562</v>
      </c>
      <c r="H49" s="13">
        <f ca="1">_xll.meDateFromTenor(G49,H$14,H$11,H$12)</f>
        <v>42593</v>
      </c>
      <c r="I49" s="98">
        <f ca="1"/>
        <v>-3.5323639703516334E-3</v>
      </c>
      <c r="J49" s="94" t="s">
        <v>4</v>
      </c>
      <c r="K49" s="100">
        <f ca="1">_xll.meDateFromTenor(K48,"1D","FOLLOWING",L$12)</f>
        <v>42562</v>
      </c>
      <c r="L49" s="13">
        <f ca="1">_xll.meDateFromTenor(K49,L$14,L$11,L$12)</f>
        <v>42654</v>
      </c>
      <c r="M49" s="98">
        <f ca="1"/>
        <v>-2.6775438500557603E-3</v>
      </c>
      <c r="N49" s="5" t="s">
        <v>4</v>
      </c>
      <c r="O49" s="100">
        <f ca="1">_xll.meDateFromTenor(O48,"1D","FOLLOWING",P$12)</f>
        <v>42562</v>
      </c>
      <c r="P49" s="13">
        <f ca="1">_xll.meDateFromTenor(O49,P$14,P$11,P$12)</f>
        <v>42746</v>
      </c>
      <c r="Q49" s="98">
        <f ca="1"/>
        <v>-1.5023995128200108E-3</v>
      </c>
      <c r="R49" s="5" t="s">
        <v>4</v>
      </c>
      <c r="S49" s="100">
        <f ca="1">_xll.meDateFromTenor(S48,"1D","FOLLOWING",T$12)</f>
        <v>42562</v>
      </c>
      <c r="T49" s="13">
        <f ca="1">_xll.meDateFromTenor(S49,T$14,T$11,T$12)</f>
        <v>42927</v>
      </c>
      <c r="U49" s="98">
        <f ca="1"/>
        <v>-1.5624202477906252E-4</v>
      </c>
      <c r="V49" s="5" t="s">
        <v>4</v>
      </c>
      <c r="W49" s="84" t="s">
        <v>4</v>
      </c>
    </row>
    <row r="50" spans="1:23" x14ac:dyDescent="0.25">
      <c r="A50" s="90">
        <v>31</v>
      </c>
      <c r="B50" s="83"/>
      <c r="C50" s="100">
        <f ca="1">_xll.meDateFromTenor(C49,"1D","FOLLOWING",D$12)</f>
        <v>42563</v>
      </c>
      <c r="D50" s="13">
        <f ca="1">_xll.meDateFromTenor(C50,D$14,D$11,D$12)</f>
        <v>42564</v>
      </c>
      <c r="E50" s="98">
        <f ca="1"/>
        <v>-3.3999999999823013E-3</v>
      </c>
      <c r="F50" s="94"/>
      <c r="G50" s="100">
        <f ca="1">_xll.meDateFromTenor(G49,"1D","FOLLOWING",H$12)</f>
        <v>42563</v>
      </c>
      <c r="H50" s="13">
        <f ca="1">_xll.meDateFromTenor(G50,H$14,H$11,H$12)</f>
        <v>42594</v>
      </c>
      <c r="I50" s="98">
        <f ca="1"/>
        <v>-3.5337047097764142E-3</v>
      </c>
      <c r="J50" s="94" t="s">
        <v>4</v>
      </c>
      <c r="K50" s="100">
        <f ca="1">_xll.meDateFromTenor(K49,"1D","FOLLOWING",L$12)</f>
        <v>42563</v>
      </c>
      <c r="L50" s="13">
        <f ca="1">_xll.meDateFromTenor(K50,L$14,L$11,L$12)</f>
        <v>42655</v>
      </c>
      <c r="M50" s="98">
        <f ca="1"/>
        <v>-2.6792757436469336E-3</v>
      </c>
      <c r="N50" s="5" t="s">
        <v>4</v>
      </c>
      <c r="O50" s="100">
        <f ca="1">_xll.meDateFromTenor(O49,"1D","FOLLOWING",P$12)</f>
        <v>42563</v>
      </c>
      <c r="P50" s="13">
        <f ca="1">_xll.meDateFromTenor(O50,P$14,P$11,P$12)</f>
        <v>42747</v>
      </c>
      <c r="Q50" s="98">
        <f ca="1"/>
        <v>-1.5017395200274553E-3</v>
      </c>
      <c r="R50" s="5" t="s">
        <v>4</v>
      </c>
      <c r="S50" s="100">
        <f ca="1">_xll.meDateFromTenor(S49,"1D","FOLLOWING",T$12)</f>
        <v>42563</v>
      </c>
      <c r="T50" s="13">
        <f ca="1">_xll.meDateFromTenor(S50,T$14,T$11,T$12)</f>
        <v>42928</v>
      </c>
      <c r="U50" s="98">
        <f ca="1"/>
        <v>-1.5639257231634922E-4</v>
      </c>
      <c r="V50" s="5" t="s">
        <v>4</v>
      </c>
      <c r="W50" s="84" t="s">
        <v>4</v>
      </c>
    </row>
    <row r="51" spans="1:23" x14ac:dyDescent="0.25">
      <c r="A51" s="90">
        <v>32</v>
      </c>
      <c r="B51" s="83"/>
      <c r="C51" s="100">
        <f ca="1">_xll.meDateFromTenor(C50,"1D","FOLLOWING",D$12)</f>
        <v>42564</v>
      </c>
      <c r="D51" s="13">
        <f ca="1">_xll.meDateFromTenor(C51,D$14,D$11,D$12)</f>
        <v>42565</v>
      </c>
      <c r="E51" s="98">
        <f ca="1"/>
        <v>-3.3999999999823182E-3</v>
      </c>
      <c r="F51" s="94"/>
      <c r="G51" s="100">
        <f ca="1">_xll.meDateFromTenor(G50,"1D","FOLLOWING",H$12)</f>
        <v>42564</v>
      </c>
      <c r="H51" s="13">
        <f ca="1">_xll.meDateFromTenor(G51,H$14,H$11,H$12)</f>
        <v>42597</v>
      </c>
      <c r="I51" s="98">
        <f ca="1"/>
        <v>-3.5350565187067841E-3</v>
      </c>
      <c r="J51" s="94" t="s">
        <v>4</v>
      </c>
      <c r="K51" s="100">
        <f ca="1">_xll.meDateFromTenor(K50,"1D","FOLLOWING",L$12)</f>
        <v>42564</v>
      </c>
      <c r="L51" s="13">
        <f ca="1">_xll.meDateFromTenor(K51,L$14,L$11,L$12)</f>
        <v>42656</v>
      </c>
      <c r="M51" s="98">
        <f ca="1"/>
        <v>-2.6810076372381069E-3</v>
      </c>
      <c r="N51" s="5" t="s">
        <v>4</v>
      </c>
      <c r="O51" s="100">
        <f ca="1">_xll.meDateFromTenor(O50,"1D","FOLLOWING",P$12)</f>
        <v>42564</v>
      </c>
      <c r="P51" s="13">
        <f ca="1">_xll.meDateFromTenor(O51,P$14,P$11,P$12)</f>
        <v>42748</v>
      </c>
      <c r="Q51" s="98">
        <f ca="1"/>
        <v>-1.5010831509275444E-3</v>
      </c>
      <c r="R51" s="5" t="s">
        <v>4</v>
      </c>
      <c r="S51" s="100">
        <f ca="1">_xll.meDateFromTenor(S50,"1D","FOLLOWING",T$12)</f>
        <v>42564</v>
      </c>
      <c r="T51" s="13">
        <f ca="1">_xll.meDateFromTenor(S51,T$14,T$11,T$12)</f>
        <v>42929</v>
      </c>
      <c r="U51" s="98">
        <f ca="1"/>
        <v>-1.5654239793556725E-4</v>
      </c>
      <c r="V51" s="5" t="s">
        <v>4</v>
      </c>
      <c r="W51" s="84" t="s">
        <v>4</v>
      </c>
    </row>
    <row r="52" spans="1:23" x14ac:dyDescent="0.25">
      <c r="A52" s="90">
        <v>33</v>
      </c>
      <c r="B52" s="83"/>
      <c r="C52" s="100">
        <f ca="1">_xll.meDateFromTenor(C51,"1D","FOLLOWING",D$12)</f>
        <v>42565</v>
      </c>
      <c r="D52" s="13">
        <f ca="1">_xll.meDateFromTenor(C52,D$14,D$11,D$12)</f>
        <v>42566</v>
      </c>
      <c r="E52" s="98">
        <f ca="1"/>
        <v>-3.3999999999023652E-3</v>
      </c>
      <c r="F52" s="94"/>
      <c r="G52" s="100">
        <f ca="1">_xll.meDateFromTenor(G51,"1D","FOLLOWING",H$12)</f>
        <v>42565</v>
      </c>
      <c r="H52" s="13">
        <f ca="1">_xll.meDateFromTenor(G52,H$14,H$11,H$12)</f>
        <v>42597</v>
      </c>
      <c r="I52" s="98">
        <f ca="1"/>
        <v>-3.5364185677057283E-3</v>
      </c>
      <c r="J52" s="94" t="s">
        <v>4</v>
      </c>
      <c r="K52" s="100">
        <f ca="1">_xll.meDateFromTenor(K51,"1D","FOLLOWING",L$12)</f>
        <v>42565</v>
      </c>
      <c r="L52" s="13">
        <f ca="1">_xll.meDateFromTenor(K52,L$14,L$11,L$12)</f>
        <v>42657</v>
      </c>
      <c r="M52" s="98">
        <f ca="1"/>
        <v>-2.6827395308292807E-3</v>
      </c>
      <c r="N52" s="5" t="s">
        <v>4</v>
      </c>
      <c r="O52" s="100">
        <f ca="1">_xll.meDateFromTenor(O51,"1D","FOLLOWING",P$12)</f>
        <v>42565</v>
      </c>
      <c r="P52" s="13">
        <f ca="1">_xll.meDateFromTenor(O52,P$14,P$11,P$12)</f>
        <v>42751</v>
      </c>
      <c r="Q52" s="98">
        <f ca="1"/>
        <v>-1.5004304961125949E-3</v>
      </c>
      <c r="R52" s="5" t="s">
        <v>4</v>
      </c>
      <c r="S52" s="100">
        <f ca="1">_xll.meDateFromTenor(S51,"1D","FOLLOWING",T$12)</f>
        <v>42565</v>
      </c>
      <c r="T52" s="13">
        <f ca="1">_xll.meDateFromTenor(S52,T$14,T$11,T$12)</f>
        <v>42930</v>
      </c>
      <c r="U52" s="98">
        <f ca="1"/>
        <v>-1.566914835887648E-4</v>
      </c>
      <c r="V52" s="5" t="s">
        <v>4</v>
      </c>
      <c r="W52" s="84" t="s">
        <v>4</v>
      </c>
    </row>
    <row r="53" spans="1:23" x14ac:dyDescent="0.25">
      <c r="A53" s="90">
        <v>34</v>
      </c>
      <c r="B53" s="83"/>
      <c r="C53" s="100">
        <f ca="1">_xll.meDateFromTenor(C52,"1D","FOLLOWING",D$12)</f>
        <v>42566</v>
      </c>
      <c r="D53" s="13">
        <f ca="1">_xll.meDateFromTenor(C53,D$14,D$11,D$12)</f>
        <v>42569</v>
      </c>
      <c r="E53" s="98">
        <f ca="1"/>
        <v>-3.3999999999956296E-3</v>
      </c>
      <c r="F53" s="94"/>
      <c r="G53" s="100">
        <f ca="1">_xll.meDateFromTenor(G52,"1D","FOLLOWING",H$12)</f>
        <v>42566</v>
      </c>
      <c r="H53" s="13">
        <f ca="1">_xll.meDateFromTenor(G53,H$14,H$11,H$12)</f>
        <v>42597</v>
      </c>
      <c r="I53" s="98">
        <f ca="1"/>
        <v>-3.5377900273362295E-3</v>
      </c>
      <c r="J53" s="94" t="s">
        <v>4</v>
      </c>
      <c r="K53" s="100">
        <f ca="1">_xll.meDateFromTenor(K52,"1D","FOLLOWING",L$12)</f>
        <v>42566</v>
      </c>
      <c r="L53" s="13">
        <f ca="1">_xll.meDateFromTenor(K53,L$14,L$11,L$12)</f>
        <v>42660</v>
      </c>
      <c r="M53" s="98">
        <f ca="1"/>
        <v>-2.6844714244204544E-3</v>
      </c>
      <c r="N53" s="5" t="s">
        <v>4</v>
      </c>
      <c r="O53" s="100">
        <f ca="1">_xll.meDateFromTenor(O52,"1D","FOLLOWING",P$12)</f>
        <v>42566</v>
      </c>
      <c r="P53" s="13">
        <f ca="1">_xll.meDateFromTenor(O53,P$14,P$11,P$12)</f>
        <v>42751</v>
      </c>
      <c r="Q53" s="98">
        <f ca="1"/>
        <v>-1.4997816461749223E-3</v>
      </c>
      <c r="R53" s="5" t="s">
        <v>4</v>
      </c>
      <c r="S53" s="100">
        <f ca="1">_xll.meDateFromTenor(S52,"1D","FOLLOWING",T$12)</f>
        <v>42566</v>
      </c>
      <c r="T53" s="13">
        <f ca="1">_xll.meDateFromTenor(S53,T$14,T$11,T$12)</f>
        <v>42933</v>
      </c>
      <c r="U53" s="98">
        <f ca="1"/>
        <v>-1.5683981122799014E-4</v>
      </c>
      <c r="V53" s="5" t="s">
        <v>4</v>
      </c>
      <c r="W53" s="84" t="s">
        <v>4</v>
      </c>
    </row>
    <row r="54" spans="1:23" x14ac:dyDescent="0.25">
      <c r="A54" s="90">
        <v>35</v>
      </c>
      <c r="B54" s="83"/>
      <c r="C54" s="100">
        <f ca="1">_xll.meDateFromTenor(C53,"1D","FOLLOWING",D$12)</f>
        <v>42569</v>
      </c>
      <c r="D54" s="13">
        <f ca="1">_xll.meDateFromTenor(C54,D$14,D$11,D$12)</f>
        <v>42570</v>
      </c>
      <c r="E54" s="98">
        <f ca="1"/>
        <v>-3.4000000000222862E-3</v>
      </c>
      <c r="F54" s="94"/>
      <c r="G54" s="100">
        <f ca="1">_xll.meDateFromTenor(G53,"1D","FOLLOWING",H$12)</f>
        <v>42569</v>
      </c>
      <c r="H54" s="13">
        <f ca="1">_xll.meDateFromTenor(G54,H$14,H$11,H$12)</f>
        <v>42600</v>
      </c>
      <c r="I54" s="98">
        <f ca="1"/>
        <v>-3.5419525756469222E-3</v>
      </c>
      <c r="J54" s="94" t="s">
        <v>4</v>
      </c>
      <c r="K54" s="100">
        <f ca="1">_xll.meDateFromTenor(K53,"1D","FOLLOWING",L$12)</f>
        <v>42569</v>
      </c>
      <c r="L54" s="13">
        <f ca="1">_xll.meDateFromTenor(K54,L$14,L$11,L$12)</f>
        <v>42661</v>
      </c>
      <c r="M54" s="98">
        <f ca="1"/>
        <v>-2.6896671051939739E-3</v>
      </c>
      <c r="N54" s="5" t="s">
        <v>4</v>
      </c>
      <c r="O54" s="100">
        <f ca="1">_xll.meDateFromTenor(O53,"1D","FOLLOWING",P$12)</f>
        <v>42569</v>
      </c>
      <c r="P54" s="13">
        <f ca="1">_xll.meDateFromTenor(O54,P$14,P$11,P$12)</f>
        <v>42753</v>
      </c>
      <c r="Q54" s="98">
        <f ca="1"/>
        <v>-1.4978588315487291E-3</v>
      </c>
      <c r="R54" s="5" t="s">
        <v>4</v>
      </c>
      <c r="S54" s="100">
        <f ca="1">_xll.meDateFromTenor(S53,"1D","FOLLOWING",T$12)</f>
        <v>42569</v>
      </c>
      <c r="T54" s="13">
        <f ca="1">_xll.meDateFromTenor(S54,T$14,T$11,T$12)</f>
        <v>42934</v>
      </c>
      <c r="U54" s="98">
        <f ca="1"/>
        <v>-1.5728006558231607E-4</v>
      </c>
      <c r="V54" s="5" t="s">
        <v>4</v>
      </c>
      <c r="W54" s="84" t="s">
        <v>4</v>
      </c>
    </row>
    <row r="55" spans="1:23" x14ac:dyDescent="0.25">
      <c r="A55" s="90">
        <v>36</v>
      </c>
      <c r="B55" s="83"/>
      <c r="C55" s="100">
        <f ca="1">_xll.meDateFromTenor(C54,"1D","FOLLOWING",D$12)</f>
        <v>42570</v>
      </c>
      <c r="D55" s="13">
        <f ca="1">_xll.meDateFromTenor(C55,D$14,D$11,D$12)</f>
        <v>42571</v>
      </c>
      <c r="E55" s="98">
        <f ca="1"/>
        <v>-3.3999999999423164E-3</v>
      </c>
      <c r="F55" s="94"/>
      <c r="G55" s="100">
        <f ca="1">_xll.meDateFromTenor(G54,"1D","FOLLOWING",H$12)</f>
        <v>42570</v>
      </c>
      <c r="H55" s="13">
        <f ca="1">_xll.meDateFromTenor(G55,H$14,H$11,H$12)</f>
        <v>42601</v>
      </c>
      <c r="I55" s="98">
        <f ca="1"/>
        <v>-3.5433533834334963E-3</v>
      </c>
      <c r="J55" s="94" t="s">
        <v>4</v>
      </c>
      <c r="K55" s="100">
        <f ca="1">_xll.meDateFromTenor(K54,"1D","FOLLOWING",L$12)</f>
        <v>42570</v>
      </c>
      <c r="L55" s="13">
        <f ca="1">_xll.meDateFromTenor(K55,L$14,L$11,L$12)</f>
        <v>42662</v>
      </c>
      <c r="M55" s="98">
        <f ca="1"/>
        <v>-2.6913989987851473E-3</v>
      </c>
      <c r="N55" s="5" t="s">
        <v>4</v>
      </c>
      <c r="O55" s="100">
        <f ca="1">_xll.meDateFromTenor(O54,"1D","FOLLOWING",P$12)</f>
        <v>42570</v>
      </c>
      <c r="P55" s="13">
        <f ca="1">_xll.meDateFromTenor(O55,P$14,P$11,P$12)</f>
        <v>42754</v>
      </c>
      <c r="Q55" s="98">
        <f ca="1"/>
        <v>-1.4972261070433264E-3</v>
      </c>
      <c r="R55" s="5" t="s">
        <v>4</v>
      </c>
      <c r="S55" s="100">
        <f ca="1">_xll.meDateFromTenor(S54,"1D","FOLLOWING",T$12)</f>
        <v>42570</v>
      </c>
      <c r="T55" s="13">
        <f ca="1">_xll.meDateFromTenor(S55,T$14,T$11,T$12)</f>
        <v>42935</v>
      </c>
      <c r="U55" s="98">
        <f ca="1"/>
        <v>-1.5742518068613556E-4</v>
      </c>
      <c r="V55" s="5" t="s">
        <v>4</v>
      </c>
      <c r="W55" s="84" t="s">
        <v>4</v>
      </c>
    </row>
    <row r="56" spans="1:23" x14ac:dyDescent="0.25">
      <c r="A56" s="90">
        <v>37</v>
      </c>
      <c r="B56" s="83"/>
      <c r="C56" s="100">
        <f ca="1">_xll.meDateFromTenor(C55,"1D","FOLLOWING",D$12)</f>
        <v>42571</v>
      </c>
      <c r="D56" s="13">
        <f ca="1">_xll.meDateFromTenor(C56,D$14,D$11,D$12)</f>
        <v>42572</v>
      </c>
      <c r="E56" s="98">
        <f ca="1"/>
        <v>-3.3999999999823182E-3</v>
      </c>
      <c r="F56" s="94"/>
      <c r="G56" s="100">
        <f ca="1">_xll.meDateFromTenor(G55,"1D","FOLLOWING",H$12)</f>
        <v>42571</v>
      </c>
      <c r="H56" s="13">
        <f ca="1">_xll.meDateFromTenor(G56,H$14,H$11,H$12)</f>
        <v>42604</v>
      </c>
      <c r="I56" s="98">
        <f ca="1"/>
        <v>-3.5447594546665481E-3</v>
      </c>
      <c r="J56" s="94" t="s">
        <v>4</v>
      </c>
      <c r="K56" s="100">
        <f ca="1">_xll.meDateFromTenor(K55,"1D","FOLLOWING",L$12)</f>
        <v>42571</v>
      </c>
      <c r="L56" s="13">
        <f ca="1">_xll.meDateFromTenor(K56,L$14,L$11,L$12)</f>
        <v>42663</v>
      </c>
      <c r="M56" s="98">
        <f ca="1"/>
        <v>-2.6931308923763206E-3</v>
      </c>
      <c r="N56" s="5" t="s">
        <v>4</v>
      </c>
      <c r="O56" s="100">
        <f ca="1">_xll.meDateFromTenor(O55,"1D","FOLLOWING",P$12)</f>
        <v>42571</v>
      </c>
      <c r="P56" s="13">
        <f ca="1">_xll.meDateFromTenor(O56,P$14,P$11,P$12)</f>
        <v>42755</v>
      </c>
      <c r="Q56" s="98">
        <f ca="1"/>
        <v>-1.4965976403767815E-3</v>
      </c>
      <c r="R56" s="5" t="s">
        <v>4</v>
      </c>
      <c r="S56" s="100">
        <f ca="1">_xll.meDateFromTenor(S55,"1D","FOLLOWING",T$12)</f>
        <v>42571</v>
      </c>
      <c r="T56" s="13">
        <f ca="1">_xll.meDateFromTenor(S56,T$14,T$11,T$12)</f>
        <v>42936</v>
      </c>
      <c r="U56" s="98">
        <f ca="1"/>
        <v>-1.5756944753622432E-4</v>
      </c>
      <c r="V56" s="5" t="s">
        <v>4</v>
      </c>
      <c r="W56" s="84" t="s">
        <v>4</v>
      </c>
    </row>
    <row r="57" spans="1:23" x14ac:dyDescent="0.25">
      <c r="A57" s="90">
        <v>38</v>
      </c>
      <c r="B57" s="83"/>
      <c r="C57" s="100">
        <f ca="1">_xll.meDateFromTenor(C56,"1D","FOLLOWING",D$12)</f>
        <v>42572</v>
      </c>
      <c r="D57" s="13">
        <f ca="1">_xll.meDateFromTenor(C57,D$14,D$11,D$12)</f>
        <v>42573</v>
      </c>
      <c r="E57" s="98">
        <f ca="1"/>
        <v>-3.4999999999829738E-3</v>
      </c>
      <c r="F57" s="94"/>
      <c r="G57" s="100">
        <f ca="1">_xll.meDateFromTenor(G56,"1D","FOLLOWING",H$12)</f>
        <v>42572</v>
      </c>
      <c r="H57" s="13">
        <f ca="1">_xll.meDateFromTenor(G57,H$14,H$11,H$12)</f>
        <v>42604</v>
      </c>
      <c r="I57" s="98">
        <f ca="1"/>
        <v>-3.5461699599090629E-3</v>
      </c>
      <c r="J57" s="94" t="s">
        <v>4</v>
      </c>
      <c r="K57" s="100">
        <f ca="1">_xll.meDateFromTenor(K56,"1D","FOLLOWING",L$12)</f>
        <v>42572</v>
      </c>
      <c r="L57" s="13">
        <f ca="1">_xll.meDateFromTenor(K57,L$14,L$11,L$12)</f>
        <v>42664</v>
      </c>
      <c r="M57" s="98">
        <f ca="1"/>
        <v>-2.6948627859674952E-3</v>
      </c>
      <c r="N57" s="5" t="s">
        <v>4</v>
      </c>
      <c r="O57" s="100">
        <f ca="1">_xll.meDateFromTenor(O56,"1D","FOLLOWING",P$12)</f>
        <v>42572</v>
      </c>
      <c r="P57" s="13">
        <f ca="1">_xll.meDateFromTenor(O57,P$14,P$11,P$12)</f>
        <v>42758</v>
      </c>
      <c r="Q57" s="98">
        <f ca="1"/>
        <v>-1.4959735221414105E-3</v>
      </c>
      <c r="R57" s="5" t="s">
        <v>4</v>
      </c>
      <c r="S57" s="100">
        <f ca="1">_xll.meDateFromTenor(S56,"1D","FOLLOWING",T$12)</f>
        <v>42572</v>
      </c>
      <c r="T57" s="13">
        <f ca="1">_xll.meDateFromTenor(S57,T$14,T$11,T$12)</f>
        <v>42937</v>
      </c>
      <c r="U57" s="98">
        <f ca="1"/>
        <v>-1.5771284808463056E-4</v>
      </c>
      <c r="V57" s="5" t="s">
        <v>4</v>
      </c>
      <c r="W57" s="84" t="s">
        <v>4</v>
      </c>
    </row>
    <row r="58" spans="1:23" x14ac:dyDescent="0.25">
      <c r="A58" s="90">
        <v>39</v>
      </c>
      <c r="B58" s="83"/>
      <c r="C58" s="100">
        <f ca="1">_xll.meDateFromTenor(C57,"1D","FOLLOWING",D$12)</f>
        <v>42573</v>
      </c>
      <c r="D58" s="13">
        <f ca="1">_xll.meDateFromTenor(C58,D$14,D$11,D$12)</f>
        <v>42576</v>
      </c>
      <c r="E58" s="98">
        <f ca="1"/>
        <v>-3.499999999996273E-3</v>
      </c>
      <c r="F58" s="94"/>
      <c r="G58" s="100">
        <f ca="1">_xll.meDateFromTenor(G57,"1D","FOLLOWING",H$12)</f>
        <v>42573</v>
      </c>
      <c r="H58" s="13">
        <f ca="1">_xll.meDateFromTenor(G58,H$14,H$11,H$12)</f>
        <v>42604</v>
      </c>
      <c r="I58" s="98">
        <f ca="1"/>
        <v>-3.5475840697240251E-3</v>
      </c>
      <c r="J58" s="94" t="s">
        <v>4</v>
      </c>
      <c r="K58" s="100">
        <f ca="1">_xll.meDateFromTenor(K57,"1D","FOLLOWING",L$12)</f>
        <v>42573</v>
      </c>
      <c r="L58" s="13">
        <f ca="1">_xll.meDateFromTenor(K58,L$14,L$11,L$12)</f>
        <v>42667</v>
      </c>
      <c r="M58" s="98">
        <f ca="1"/>
        <v>-2.6965946795586672E-3</v>
      </c>
      <c r="N58" s="5" t="s">
        <v>4</v>
      </c>
      <c r="O58" s="100">
        <f ca="1">_xll.meDateFromTenor(O57,"1D","FOLLOWING",P$12)</f>
        <v>42573</v>
      </c>
      <c r="P58" s="13">
        <f ca="1">_xll.meDateFromTenor(O58,P$14,P$11,P$12)</f>
        <v>42758</v>
      </c>
      <c r="Q58" s="98">
        <f ca="1"/>
        <v>-1.4953538429295296E-3</v>
      </c>
      <c r="R58" s="5" t="s">
        <v>4</v>
      </c>
      <c r="S58" s="100">
        <f ca="1">_xll.meDateFromTenor(S57,"1D","FOLLOWING",T$12)</f>
        <v>42573</v>
      </c>
      <c r="T58" s="13">
        <f ca="1">_xll.meDateFromTenor(S58,T$14,T$11,T$12)</f>
        <v>42940</v>
      </c>
      <c r="U58" s="98">
        <f ca="1"/>
        <v>-1.5785536428340258E-4</v>
      </c>
      <c r="V58" s="5" t="s">
        <v>4</v>
      </c>
      <c r="W58" s="84" t="s">
        <v>4</v>
      </c>
    </row>
    <row r="59" spans="1:23" x14ac:dyDescent="0.25">
      <c r="A59" s="90">
        <v>40</v>
      </c>
      <c r="B59" s="83"/>
      <c r="C59" s="100">
        <f ca="1">_xll.meDateFromTenor(C58,"1D","FOLLOWING",D$12)</f>
        <v>42576</v>
      </c>
      <c r="D59" s="13">
        <f ca="1">_xll.meDateFromTenor(C59,D$14,D$11,D$12)</f>
        <v>42577</v>
      </c>
      <c r="E59" s="98">
        <f ca="1"/>
        <v>-3.5000000000229418E-3</v>
      </c>
      <c r="F59" s="94"/>
      <c r="G59" s="100">
        <f ca="1">_xll.meDateFromTenor(G58,"1D","FOLLOWING",H$12)</f>
        <v>42576</v>
      </c>
      <c r="H59" s="13">
        <f ca="1">_xll.meDateFromTenor(G59,H$14,H$11,H$12)</f>
        <v>42607</v>
      </c>
      <c r="I59" s="98">
        <f ca="1"/>
        <v>-3.5518397322334312E-3</v>
      </c>
      <c r="J59" s="94" t="s">
        <v>4</v>
      </c>
      <c r="K59" s="100">
        <f ca="1">_xll.meDateFromTenor(K58,"1D","FOLLOWING",L$12)</f>
        <v>42576</v>
      </c>
      <c r="L59" s="13">
        <f ca="1">_xll.meDateFromTenor(K59,L$14,L$11,L$12)</f>
        <v>42668</v>
      </c>
      <c r="M59" s="98">
        <f ca="1"/>
        <v>-2.701790360332198E-3</v>
      </c>
      <c r="N59" s="5" t="s">
        <v>4</v>
      </c>
      <c r="O59" s="100">
        <f ca="1">_xll.meDateFromTenor(O58,"1D","FOLLOWING",P$12)</f>
        <v>42576</v>
      </c>
      <c r="P59" s="13">
        <f ca="1">_xll.meDateFromTenor(O59,P$14,P$11,P$12)</f>
        <v>42760</v>
      </c>
      <c r="Q59" s="98">
        <f ca="1"/>
        <v>-1.4935223453579876E-3</v>
      </c>
      <c r="R59" s="5" t="s">
        <v>4</v>
      </c>
      <c r="S59" s="100">
        <f ca="1">_xll.meDateFromTenor(S58,"1D","FOLLOWING",T$12)</f>
        <v>42576</v>
      </c>
      <c r="T59" s="13">
        <f ca="1">_xll.meDateFromTenor(S59,T$14,T$11,T$12)</f>
        <v>42941</v>
      </c>
      <c r="U59" s="98">
        <f ca="1"/>
        <v>-1.5827742630239637E-4</v>
      </c>
      <c r="V59" s="5" t="s">
        <v>4</v>
      </c>
      <c r="W59" s="84" t="s">
        <v>4</v>
      </c>
    </row>
    <row r="60" spans="1:23" x14ac:dyDescent="0.25">
      <c r="A60" s="90">
        <v>41</v>
      </c>
      <c r="B60" s="83"/>
      <c r="C60" s="100">
        <f ca="1">_xll.meDateFromTenor(C59,"1D","FOLLOWING",D$12)</f>
        <v>42577</v>
      </c>
      <c r="D60" s="13">
        <f ca="1">_xll.meDateFromTenor(C60,D$14,D$11,D$12)</f>
        <v>42578</v>
      </c>
      <c r="E60" s="98">
        <f ca="1"/>
        <v>-3.4999999999829738E-3</v>
      </c>
      <c r="F60" s="94"/>
      <c r="G60" s="100">
        <f ca="1">_xll.meDateFromTenor(G59,"1D","FOLLOWING",H$12)</f>
        <v>42577</v>
      </c>
      <c r="H60" s="13">
        <f ca="1">_xll.meDateFromTenor(G60,H$14,H$11,H$12)</f>
        <v>42608</v>
      </c>
      <c r="I60" s="98">
        <f ca="1"/>
        <v>-3.5532599659680213E-3</v>
      </c>
      <c r="J60" s="94" t="s">
        <v>4</v>
      </c>
      <c r="K60" s="100">
        <f ca="1">_xll.meDateFromTenor(K59,"1D","FOLLOWING",L$12)</f>
        <v>42577</v>
      </c>
      <c r="L60" s="13">
        <f ca="1">_xll.meDateFromTenor(K60,L$14,L$11,L$12)</f>
        <v>42669</v>
      </c>
      <c r="M60" s="98">
        <f ca="1"/>
        <v>-2.7035222539233605E-3</v>
      </c>
      <c r="N60" s="5" t="s">
        <v>4</v>
      </c>
      <c r="O60" s="100">
        <f ca="1">_xll.meDateFromTenor(O59,"1D","FOLLOWING",P$12)</f>
        <v>42577</v>
      </c>
      <c r="P60" s="13">
        <f ca="1">_xll.meDateFromTenor(O60,P$14,P$11,P$12)</f>
        <v>42761</v>
      </c>
      <c r="Q60" s="98">
        <f ca="1"/>
        <v>-1.4929213281632278E-3</v>
      </c>
      <c r="R60" s="5" t="s">
        <v>4</v>
      </c>
      <c r="S60" s="100">
        <f ca="1">_xll.meDateFromTenor(S59,"1D","FOLLOWING",T$12)</f>
        <v>42577</v>
      </c>
      <c r="T60" s="13">
        <f ca="1">_xll.meDateFromTenor(S60,T$14,T$11,T$12)</f>
        <v>42942</v>
      </c>
      <c r="U60" s="98">
        <f ca="1"/>
        <v>-1.5841622462311444E-4</v>
      </c>
      <c r="V60" s="5" t="s">
        <v>4</v>
      </c>
      <c r="W60" s="84" t="s">
        <v>4</v>
      </c>
    </row>
    <row r="61" spans="1:23" x14ac:dyDescent="0.25">
      <c r="A61" s="90">
        <v>42</v>
      </c>
      <c r="B61" s="83"/>
      <c r="C61" s="100">
        <f ca="1">_xll.meDateFromTenor(C60,"1D","FOLLOWING",D$12)</f>
        <v>42578</v>
      </c>
      <c r="D61" s="13">
        <f ca="1">_xll.meDateFromTenor(C61,D$14,D$11,D$12)</f>
        <v>42579</v>
      </c>
      <c r="E61" s="98">
        <f ca="1"/>
        <v>-3.5000000000229067E-3</v>
      </c>
      <c r="F61" s="94"/>
      <c r="G61" s="100">
        <f ca="1">_xll.meDateFromTenor(G60,"1D","FOLLOWING",H$12)</f>
        <v>42578</v>
      </c>
      <c r="H61" s="13">
        <f ca="1">_xll.meDateFromTenor(G61,H$14,H$11,H$12)</f>
        <v>42611</v>
      </c>
      <c r="I61" s="98">
        <f ca="1"/>
        <v>-3.5546796570899782E-3</v>
      </c>
      <c r="J61" s="94" t="s">
        <v>4</v>
      </c>
      <c r="K61" s="100">
        <f ca="1">_xll.meDateFromTenor(K60,"1D","FOLLOWING",L$12)</f>
        <v>42578</v>
      </c>
      <c r="L61" s="13">
        <f ca="1">_xll.meDateFromTenor(K61,L$14,L$11,L$12)</f>
        <v>42670</v>
      </c>
      <c r="M61" s="98">
        <f ca="1"/>
        <v>-2.7052541475144935E-3</v>
      </c>
      <c r="N61" s="5" t="s">
        <v>4</v>
      </c>
      <c r="O61" s="100">
        <f ca="1">_xll.meDateFromTenor(O60,"1D","FOLLOWING",P$12)</f>
        <v>42578</v>
      </c>
      <c r="P61" s="13">
        <f ca="1">_xll.meDateFromTenor(O61,P$14,P$11,P$12)</f>
        <v>42762</v>
      </c>
      <c r="Q61" s="98">
        <f ca="1"/>
        <v>-1.4923252029535384E-3</v>
      </c>
      <c r="R61" s="5" t="s">
        <v>4</v>
      </c>
      <c r="S61" s="100">
        <f ca="1">_xll.meDateFromTenor(S60,"1D","FOLLOWING",T$12)</f>
        <v>42578</v>
      </c>
      <c r="T61" s="13">
        <f ca="1">_xll.meDateFromTenor(S61,T$14,T$11,T$12)</f>
        <v>42943</v>
      </c>
      <c r="U61" s="98">
        <f ca="1"/>
        <v>-1.5855404835443972E-4</v>
      </c>
      <c r="V61" s="5" t="s">
        <v>4</v>
      </c>
      <c r="W61" s="84" t="s">
        <v>4</v>
      </c>
    </row>
    <row r="62" spans="1:23" x14ac:dyDescent="0.25">
      <c r="A62" s="90">
        <v>43</v>
      </c>
      <c r="B62" s="83"/>
      <c r="C62" s="100">
        <f ca="1">_xll.meDateFromTenor(C61,"1D","FOLLOWING",D$12)</f>
        <v>42579</v>
      </c>
      <c r="D62" s="13">
        <f ca="1">_xll.meDateFromTenor(C62,D$14,D$11,D$12)</f>
        <v>42580</v>
      </c>
      <c r="E62" s="98">
        <f ca="1"/>
        <v>-3.4999999999829738E-3</v>
      </c>
      <c r="F62" s="94"/>
      <c r="G62" s="100">
        <f ca="1">_xll.meDateFromTenor(G61,"1D","FOLLOWING",H$12)</f>
        <v>42579</v>
      </c>
      <c r="H62" s="13">
        <f ca="1">_xll.meDateFromTenor(G62,H$14,H$11,H$12)</f>
        <v>42611</v>
      </c>
      <c r="I62" s="98">
        <f ca="1"/>
        <v>-3.5560979761622867E-3</v>
      </c>
      <c r="J62" s="94" t="s">
        <v>4</v>
      </c>
      <c r="K62" s="100">
        <f ca="1">_xll.meDateFromTenor(K61,"1D","FOLLOWING",L$12)</f>
        <v>42579</v>
      </c>
      <c r="L62" s="13">
        <f ca="1">_xll.meDateFromTenor(K62,L$14,L$11,L$12)</f>
        <v>42671</v>
      </c>
      <c r="M62" s="98">
        <f ca="1"/>
        <v>-2.7069860411057071E-3</v>
      </c>
      <c r="N62" s="5" t="s">
        <v>4</v>
      </c>
      <c r="O62" s="100">
        <f ca="1">_xll.meDateFromTenor(O61,"1D","FOLLOWING",P$12)</f>
        <v>42579</v>
      </c>
      <c r="P62" s="13">
        <f ca="1">_xll.meDateFromTenor(O62,P$14,P$11,P$12)</f>
        <v>42765</v>
      </c>
      <c r="Q62" s="98">
        <f ca="1"/>
        <v>-1.4917340603212361E-3</v>
      </c>
      <c r="R62" s="5" t="s">
        <v>4</v>
      </c>
      <c r="S62" s="100">
        <f ca="1">_xll.meDateFromTenor(S61,"1D","FOLLOWING",T$12)</f>
        <v>42579</v>
      </c>
      <c r="T62" s="13">
        <f ca="1">_xll.meDateFromTenor(S62,T$14,T$11,T$12)</f>
        <v>42944</v>
      </c>
      <c r="U62" s="98">
        <f ca="1"/>
        <v>-1.5869087944842049E-4</v>
      </c>
      <c r="V62" s="5" t="s">
        <v>4</v>
      </c>
      <c r="W62" s="84" t="s">
        <v>4</v>
      </c>
    </row>
    <row r="63" spans="1:23" x14ac:dyDescent="0.25">
      <c r="A63" s="90">
        <v>44</v>
      </c>
      <c r="B63" s="83"/>
      <c r="C63" s="100">
        <f ca="1">_xll.meDateFromTenor(C62,"1D","FOLLOWING",D$12)</f>
        <v>42580</v>
      </c>
      <c r="D63" s="13">
        <f ca="1">_xll.meDateFromTenor(C63,D$14,D$11,D$12)</f>
        <v>42583</v>
      </c>
      <c r="E63" s="98">
        <f ca="1"/>
        <v>-3.5000000000229301E-3</v>
      </c>
      <c r="F63" s="94"/>
      <c r="G63" s="100">
        <f ca="1">_xll.meDateFromTenor(G62,"1D","FOLLOWING",H$12)</f>
        <v>42580</v>
      </c>
      <c r="H63" s="13">
        <f ca="1">_xll.meDateFromTenor(G63,H$14,H$11,H$12)</f>
        <v>42611</v>
      </c>
      <c r="I63" s="98">
        <f ca="1"/>
        <v>-3.5575140937479312E-3</v>
      </c>
      <c r="J63" s="94" t="s">
        <v>4</v>
      </c>
      <c r="K63" s="100">
        <f ca="1">_xll.meDateFromTenor(K62,"1D","FOLLOWING",L$12)</f>
        <v>42580</v>
      </c>
      <c r="L63" s="13">
        <f ca="1">_xll.meDateFromTenor(K63,L$14,L$11,L$12)</f>
        <v>42674</v>
      </c>
      <c r="M63" s="98">
        <f ca="1"/>
        <v>-2.7087179346970331E-3</v>
      </c>
      <c r="N63" s="5" t="s">
        <v>4</v>
      </c>
      <c r="O63" s="100">
        <f ca="1">_xll.meDateFromTenor(O62,"1D","FOLLOWING",P$12)</f>
        <v>42580</v>
      </c>
      <c r="P63" s="13">
        <f ca="1">_xll.meDateFromTenor(O63,P$14,P$11,P$12)</f>
        <v>42765</v>
      </c>
      <c r="Q63" s="98">
        <f ca="1"/>
        <v>-1.4911479908586362E-3</v>
      </c>
      <c r="R63" s="5" t="s">
        <v>4</v>
      </c>
      <c r="S63" s="100">
        <f ca="1">_xll.meDateFromTenor(S62,"1D","FOLLOWING",T$12)</f>
        <v>42580</v>
      </c>
      <c r="T63" s="13">
        <f ca="1">_xll.meDateFromTenor(S63,T$14,T$11,T$12)</f>
        <v>42947</v>
      </c>
      <c r="U63" s="98">
        <f ca="1"/>
        <v>-1.5882669985710501E-4</v>
      </c>
      <c r="V63" s="5" t="s">
        <v>4</v>
      </c>
      <c r="W63" s="84" t="s">
        <v>4</v>
      </c>
    </row>
    <row r="64" spans="1:23" x14ac:dyDescent="0.25">
      <c r="A64" s="90">
        <v>45</v>
      </c>
      <c r="B64" s="83"/>
      <c r="C64" s="100">
        <f ca="1">_xll.meDateFromTenor(C63,"1D","FOLLOWING",D$12)</f>
        <v>42583</v>
      </c>
      <c r="D64" s="13">
        <f ca="1">_xll.meDateFromTenor(C64,D$14,D$11,D$12)</f>
        <v>42584</v>
      </c>
      <c r="E64" s="98">
        <f ca="1"/>
        <v>-3.4999999999430057E-3</v>
      </c>
      <c r="F64" s="94"/>
      <c r="G64" s="100">
        <f ca="1">_xll.meDateFromTenor(G63,"1D","FOLLOWING",H$12)</f>
        <v>42583</v>
      </c>
      <c r="H64" s="13">
        <f ca="1">_xll.meDateFromTenor(G64,H$14,H$11,H$12)</f>
        <v>42614</v>
      </c>
      <c r="I64" s="98">
        <f ca="1"/>
        <v>-3.5617409432147184E-3</v>
      </c>
      <c r="J64" s="94" t="s">
        <v>4</v>
      </c>
      <c r="K64" s="100">
        <f ca="1">_xll.meDateFromTenor(K63,"1D","FOLLOWING",L$12)</f>
        <v>42583</v>
      </c>
      <c r="L64" s="13">
        <f ca="1">_xll.meDateFromTenor(K64,L$14,L$11,L$12)</f>
        <v>42675</v>
      </c>
      <c r="M64" s="98">
        <f ca="1"/>
        <v>-2.7139136154704009E-3</v>
      </c>
      <c r="N64" s="5" t="s">
        <v>4</v>
      </c>
      <c r="O64" s="100">
        <f ca="1">_xll.meDateFromTenor(O63,"1D","FOLLOWING",P$12)</f>
        <v>42583</v>
      </c>
      <c r="P64" s="13">
        <f ca="1">_xll.meDateFromTenor(O64,P$14,P$11,P$12)</f>
        <v>42767</v>
      </c>
      <c r="Q64" s="98">
        <f ca="1"/>
        <v>-1.4894211274122156E-3</v>
      </c>
      <c r="R64" s="5" t="s">
        <v>4</v>
      </c>
      <c r="S64" s="100">
        <f ca="1">_xll.meDateFromTenor(S63,"1D","FOLLOWING",T$12)</f>
        <v>42583</v>
      </c>
      <c r="T64" s="13">
        <f ca="1">_xll.meDateFromTenor(S64,T$14,T$11,T$12)</f>
        <v>42948</v>
      </c>
      <c r="U64" s="98">
        <f ca="1"/>
        <v>-1.5922791649186405E-4</v>
      </c>
      <c r="V64" s="5" t="s">
        <v>4</v>
      </c>
      <c r="W64" s="84" t="s">
        <v>4</v>
      </c>
    </row>
    <row r="65" spans="1:23" x14ac:dyDescent="0.25">
      <c r="A65" s="90">
        <v>46</v>
      </c>
      <c r="B65" s="83"/>
      <c r="C65" s="100">
        <f ca="1">_xll.meDateFromTenor(C64,"1D","FOLLOWING",D$12)</f>
        <v>42584</v>
      </c>
      <c r="D65" s="13">
        <f ca="1">_xll.meDateFromTenor(C65,D$14,D$11,D$12)</f>
        <v>42585</v>
      </c>
      <c r="E65" s="98">
        <f ca="1"/>
        <v>-3.5000000000628747E-3</v>
      </c>
      <c r="F65" s="94"/>
      <c r="G65" s="100">
        <f ca="1">_xll.meDateFromTenor(G64,"1D","FOLLOWING",H$12)</f>
        <v>42584</v>
      </c>
      <c r="H65" s="13">
        <f ca="1">_xll.meDateFromTenor(G65,H$14,H$11,H$12)</f>
        <v>42615</v>
      </c>
      <c r="I65" s="98">
        <f ca="1"/>
        <v>-3.5631399604835459E-3</v>
      </c>
      <c r="J65" s="94" t="s">
        <v>4</v>
      </c>
      <c r="K65" s="100">
        <f ca="1">_xll.meDateFromTenor(K64,"1D","FOLLOWING",L$12)</f>
        <v>42584</v>
      </c>
      <c r="L65" s="13">
        <f ca="1">_xll.meDateFromTenor(K65,L$14,L$11,L$12)</f>
        <v>42676</v>
      </c>
      <c r="M65" s="98">
        <f ca="1"/>
        <v>-2.715645509063694E-3</v>
      </c>
      <c r="N65" s="5" t="s">
        <v>4</v>
      </c>
      <c r="O65" s="100">
        <f ca="1">_xll.meDateFromTenor(O64,"1D","FOLLOWING",P$12)</f>
        <v>42584</v>
      </c>
      <c r="P65" s="13">
        <f ca="1">_xll.meDateFromTenor(O65,P$14,P$11,P$12)</f>
        <v>42768</v>
      </c>
      <c r="Q65" s="98">
        <f ca="1"/>
        <v>-1.4888562565515888E-3</v>
      </c>
      <c r="R65" s="5" t="s">
        <v>4</v>
      </c>
      <c r="S65" s="100">
        <f ca="1">_xll.meDateFromTenor(S64,"1D","FOLLOWING",T$12)</f>
        <v>42584</v>
      </c>
      <c r="T65" s="13">
        <f ca="1">_xll.meDateFromTenor(S65,T$14,T$11,T$12)</f>
        <v>42949</v>
      </c>
      <c r="U65" s="98">
        <f ca="1"/>
        <v>-1.5935951367984649E-4</v>
      </c>
      <c r="V65" s="5" t="s">
        <v>4</v>
      </c>
      <c r="W65" s="84" t="s">
        <v>4</v>
      </c>
    </row>
    <row r="66" spans="1:23" x14ac:dyDescent="0.25">
      <c r="A66" s="90">
        <v>47</v>
      </c>
      <c r="B66" s="83"/>
      <c r="C66" s="100">
        <f ca="1">_xll.meDateFromTenor(C65,"1D","FOLLOWING",D$12)</f>
        <v>42585</v>
      </c>
      <c r="D66" s="13">
        <f ca="1">_xll.meDateFromTenor(C66,D$14,D$11,D$12)</f>
        <v>42586</v>
      </c>
      <c r="E66" s="98">
        <f ca="1"/>
        <v>-3.5000000000229418E-3</v>
      </c>
      <c r="F66" s="94"/>
      <c r="G66" s="100">
        <f ca="1">_xll.meDateFromTenor(G65,"1D","FOLLOWING",H$12)</f>
        <v>42585</v>
      </c>
      <c r="H66" s="13">
        <f ca="1">_xll.meDateFromTenor(G66,H$14,H$11,H$12)</f>
        <v>42618</v>
      </c>
      <c r="I66" s="98">
        <f ca="1"/>
        <v>-3.5645328030336531E-3</v>
      </c>
      <c r="J66" s="94" t="s">
        <v>4</v>
      </c>
      <c r="K66" s="100">
        <f ca="1">_xll.meDateFromTenor(K65,"1D","FOLLOWING",L$12)</f>
        <v>42585</v>
      </c>
      <c r="L66" s="13">
        <f ca="1">_xll.meDateFromTenor(K66,L$14,L$11,L$12)</f>
        <v>42677</v>
      </c>
      <c r="M66" s="98">
        <f ca="1"/>
        <v>-2.7173774026527475E-3</v>
      </c>
      <c r="N66" s="5" t="s">
        <v>4</v>
      </c>
      <c r="O66" s="100">
        <f ca="1">_xll.meDateFromTenor(O65,"1D","FOLLOWING",P$12)</f>
        <v>42585</v>
      </c>
      <c r="P66" s="13">
        <f ca="1">_xll.meDateFromTenor(O66,P$14,P$11,P$12)</f>
        <v>42769</v>
      </c>
      <c r="Q66" s="98">
        <f ca="1"/>
        <v>-1.4882969118222454E-3</v>
      </c>
      <c r="R66" s="5" t="s">
        <v>4</v>
      </c>
      <c r="S66" s="100">
        <f ca="1">_xll.meDateFromTenor(S65,"1D","FOLLOWING",T$12)</f>
        <v>42585</v>
      </c>
      <c r="T66" s="13">
        <f ca="1">_xll.meDateFromTenor(S66,T$14,T$11,T$12)</f>
        <v>42950</v>
      </c>
      <c r="U66" s="98">
        <f ca="1"/>
        <v>-1.5949000994277409E-4</v>
      </c>
      <c r="V66" s="5" t="s">
        <v>4</v>
      </c>
      <c r="W66" s="84" t="s">
        <v>4</v>
      </c>
    </row>
    <row r="67" spans="1:23" x14ac:dyDescent="0.25">
      <c r="A67" s="90">
        <v>48</v>
      </c>
      <c r="B67" s="83"/>
      <c r="C67" s="100">
        <f ca="1">_xll.meDateFromTenor(C66,"1D","FOLLOWING",D$12)</f>
        <v>42586</v>
      </c>
      <c r="D67" s="13">
        <f ca="1">_xll.meDateFromTenor(C67,D$14,D$11,D$12)</f>
        <v>42587</v>
      </c>
      <c r="E67" s="98">
        <f ca="1"/>
        <v>-3.4999999999829738E-3</v>
      </c>
      <c r="F67" s="94"/>
      <c r="G67" s="100">
        <f ca="1">_xll.meDateFromTenor(G66,"1D","FOLLOWING",H$12)</f>
        <v>42586</v>
      </c>
      <c r="H67" s="13">
        <f ca="1">_xll.meDateFromTenor(G67,H$14,H$11,H$12)</f>
        <v>42618</v>
      </c>
      <c r="I67" s="98">
        <f ca="1"/>
        <v>-3.5659195111931428E-3</v>
      </c>
      <c r="J67" s="94" t="s">
        <v>4</v>
      </c>
      <c r="K67" s="100">
        <f ca="1">_xll.meDateFromTenor(K66,"1D","FOLLOWING",L$12)</f>
        <v>42586</v>
      </c>
      <c r="L67" s="13">
        <f ca="1">_xll.meDateFromTenor(K67,L$14,L$11,L$12)</f>
        <v>42678</v>
      </c>
      <c r="M67" s="98">
        <f ca="1"/>
        <v>-2.7191092962360092E-3</v>
      </c>
      <c r="N67" s="5" t="s">
        <v>4</v>
      </c>
      <c r="O67" s="100">
        <f ca="1">_xll.meDateFromTenor(O66,"1D","FOLLOWING",P$12)</f>
        <v>42586</v>
      </c>
      <c r="P67" s="13">
        <f ca="1">_xll.meDateFromTenor(O67,P$14,P$11,P$12)</f>
        <v>42772</v>
      </c>
      <c r="Q67" s="98">
        <f ca="1"/>
        <v>-1.4877431838165014E-3</v>
      </c>
      <c r="R67" s="5" t="s">
        <v>4</v>
      </c>
      <c r="S67" s="100">
        <f ca="1">_xll.meDateFromTenor(S66,"1D","FOLLOWING",T$12)</f>
        <v>42586</v>
      </c>
      <c r="T67" s="13">
        <f ca="1">_xll.meDateFromTenor(S67,T$14,T$11,T$12)</f>
        <v>42951</v>
      </c>
      <c r="U67" s="98">
        <f ca="1"/>
        <v>-1.5961938723269516E-4</v>
      </c>
      <c r="V67" s="5" t="s">
        <v>4</v>
      </c>
      <c r="W67" s="84" t="s">
        <v>4</v>
      </c>
    </row>
    <row r="68" spans="1:23" x14ac:dyDescent="0.25">
      <c r="A68" s="90">
        <v>49</v>
      </c>
      <c r="B68" s="83"/>
      <c r="C68" s="100">
        <f ca="1">_xll.meDateFromTenor(C67,"1D","FOLLOWING",D$12)</f>
        <v>42587</v>
      </c>
      <c r="D68" s="13">
        <f ca="1">_xll.meDateFromTenor(C68,D$14,D$11,D$12)</f>
        <v>42590</v>
      </c>
      <c r="E68" s="98">
        <f ca="1"/>
        <v>-3.499999999996273E-3</v>
      </c>
      <c r="F68" s="94"/>
      <c r="G68" s="100">
        <f ca="1">_xll.meDateFromTenor(G67,"1D","FOLLOWING",H$12)</f>
        <v>42587</v>
      </c>
      <c r="H68" s="13">
        <f ca="1">_xll.meDateFromTenor(G68,H$14,H$11,H$12)</f>
        <v>42618</v>
      </c>
      <c r="I68" s="98">
        <f ca="1"/>
        <v>-3.5673002992431379E-3</v>
      </c>
      <c r="J68" s="94" t="s">
        <v>4</v>
      </c>
      <c r="K68" s="100">
        <f ca="1">_xll.meDateFromTenor(K67,"1D","FOLLOWING",L$12)</f>
        <v>42587</v>
      </c>
      <c r="L68" s="13">
        <f ca="1">_xll.meDateFromTenor(K68,L$14,L$11,L$12)</f>
        <v>42681</v>
      </c>
      <c r="M68" s="98">
        <f ca="1"/>
        <v>-2.7208411898350941E-3</v>
      </c>
      <c r="N68" s="5" t="s">
        <v>4</v>
      </c>
      <c r="O68" s="100">
        <f ca="1">_xll.meDateFromTenor(O67,"1D","FOLLOWING",P$12)</f>
        <v>42587</v>
      </c>
      <c r="P68" s="13">
        <f ca="1">_xll.meDateFromTenor(O68,P$14,P$11,P$12)</f>
        <v>42772</v>
      </c>
      <c r="Q68" s="98">
        <f ca="1"/>
        <v>-1.4871951631266732E-3</v>
      </c>
      <c r="R68" s="5" t="s">
        <v>4</v>
      </c>
      <c r="S68" s="100">
        <f ca="1">_xll.meDateFromTenor(S67,"1D","FOLLOWING",T$12)</f>
        <v>42587</v>
      </c>
      <c r="T68" s="13">
        <f ca="1">_xll.meDateFromTenor(S68,T$14,T$11,T$12)</f>
        <v>42954</v>
      </c>
      <c r="U68" s="98">
        <f ca="1"/>
        <v>-1.5974762750165796E-4</v>
      </c>
      <c r="V68" s="5" t="s">
        <v>4</v>
      </c>
      <c r="W68" s="84" t="s">
        <v>4</v>
      </c>
    </row>
    <row r="69" spans="1:23" x14ac:dyDescent="0.25">
      <c r="A69" s="90">
        <v>50</v>
      </c>
      <c r="B69" s="83"/>
      <c r="C69" s="100">
        <f ca="1">_xll.meDateFromTenor(C68,"1D","FOLLOWING",D$12)</f>
        <v>42590</v>
      </c>
      <c r="D69" s="13">
        <f ca="1">_xll.meDateFromTenor(C69,D$14,D$11,D$12)</f>
        <v>42591</v>
      </c>
      <c r="E69" s="98">
        <f ca="1"/>
        <v>-3.5000000000629098E-3</v>
      </c>
      <c r="F69" s="94"/>
      <c r="G69" s="100">
        <f ca="1">_xll.meDateFromTenor(G68,"1D","FOLLOWING",H$12)</f>
        <v>42590</v>
      </c>
      <c r="H69" s="13">
        <f ca="1">_xll.meDateFromTenor(G69,H$14,H$11,H$12)</f>
        <v>42621</v>
      </c>
      <c r="I69" s="98">
        <f ca="1"/>
        <v>-3.5714092855474188E-3</v>
      </c>
      <c r="J69" s="94" t="s">
        <v>4</v>
      </c>
      <c r="K69" s="100">
        <f ca="1">_xll.meDateFromTenor(K68,"1D","FOLLOWING",L$12)</f>
        <v>42590</v>
      </c>
      <c r="L69" s="13">
        <f ca="1">_xll.meDateFromTenor(K69,L$14,L$11,L$12)</f>
        <v>42682</v>
      </c>
      <c r="M69" s="98">
        <f ca="1"/>
        <v>-2.726036870498421E-3</v>
      </c>
      <c r="N69" s="5" t="s">
        <v>4</v>
      </c>
      <c r="O69" s="100">
        <f ca="1">_xll.meDateFromTenor(O68,"1D","FOLLOWING",P$12)</f>
        <v>42590</v>
      </c>
      <c r="P69" s="13">
        <f ca="1">_xll.meDateFromTenor(O69,P$14,P$11,P$12)</f>
        <v>42774</v>
      </c>
      <c r="Q69" s="98">
        <f ca="1"/>
        <v>-1.4855862508758439E-3</v>
      </c>
      <c r="R69" s="5" t="s">
        <v>4</v>
      </c>
      <c r="S69" s="100">
        <f ca="1">_xll.meDateFromTenor(S68,"1D","FOLLOWING",T$12)</f>
        <v>42590</v>
      </c>
      <c r="T69" s="13">
        <f ca="1">_xll.meDateFromTenor(S69,T$14,T$11,T$12)</f>
        <v>42955</v>
      </c>
      <c r="U69" s="98">
        <f ca="1"/>
        <v>-1.601253457032797E-4</v>
      </c>
      <c r="V69" s="5" t="s">
        <v>4</v>
      </c>
      <c r="W69" s="84" t="s">
        <v>4</v>
      </c>
    </row>
    <row r="70" spans="1:23" x14ac:dyDescent="0.25">
      <c r="A70" s="90">
        <v>51</v>
      </c>
      <c r="B70" s="83"/>
      <c r="C70" s="100">
        <f ca="1">_xll.meDateFromTenor(C69,"1D","FOLLOWING",D$12)</f>
        <v>42591</v>
      </c>
      <c r="D70" s="13">
        <f ca="1">_xll.meDateFromTenor(C70,D$14,D$11,D$12)</f>
        <v>42592</v>
      </c>
      <c r="E70" s="98">
        <f ca="1"/>
        <v>-3.5000000000229418E-3</v>
      </c>
      <c r="F70" s="94"/>
      <c r="G70" s="100">
        <f ca="1">_xll.meDateFromTenor(G69,"1D","FOLLOWING",H$12)</f>
        <v>42591</v>
      </c>
      <c r="H70" s="13">
        <f ca="1">_xll.meDateFromTenor(G70,H$14,H$11,H$12)</f>
        <v>42622</v>
      </c>
      <c r="I70" s="98">
        <f ca="1"/>
        <v>-3.5727685359706945E-3</v>
      </c>
      <c r="J70" s="94" t="s">
        <v>4</v>
      </c>
      <c r="K70" s="100">
        <f ca="1">_xll.meDateFromTenor(K69,"1D","FOLLOWING",L$12)</f>
        <v>42591</v>
      </c>
      <c r="L70" s="13">
        <f ca="1">_xll.meDateFromTenor(K70,L$14,L$11,L$12)</f>
        <v>42683</v>
      </c>
      <c r="M70" s="98">
        <f ca="1"/>
        <v>-2.7277687641997874E-3</v>
      </c>
      <c r="N70" s="5" t="s">
        <v>4</v>
      </c>
      <c r="O70" s="100">
        <f ca="1">_xll.meDateFromTenor(O69,"1D","FOLLOWING",P$12)</f>
        <v>42591</v>
      </c>
      <c r="P70" s="13">
        <f ca="1">_xll.meDateFromTenor(O70,P$14,P$11,P$12)</f>
        <v>42775</v>
      </c>
      <c r="Q70" s="98">
        <f ca="1"/>
        <v>-1.4850619653728398E-3</v>
      </c>
      <c r="R70" s="5" t="s">
        <v>4</v>
      </c>
      <c r="S70" s="100">
        <f ca="1">_xll.meDateFromTenor(S69,"1D","FOLLOWING",T$12)</f>
        <v>42591</v>
      </c>
      <c r="T70" s="13">
        <f ca="1">_xll.meDateFromTenor(S70,T$14,T$11,T$12)</f>
        <v>42956</v>
      </c>
      <c r="U70" s="98">
        <f ca="1"/>
        <v>-1.6024885740889227E-4</v>
      </c>
      <c r="V70" s="5" t="s">
        <v>4</v>
      </c>
      <c r="W70" s="84" t="s">
        <v>4</v>
      </c>
    </row>
    <row r="71" spans="1:23" x14ac:dyDescent="0.25">
      <c r="A71" s="90">
        <v>52</v>
      </c>
      <c r="B71" s="83"/>
      <c r="C71" s="100">
        <f ca="1">_xll.meDateFromTenor(C70,"1D","FOLLOWING",D$12)</f>
        <v>42592</v>
      </c>
      <c r="D71" s="13">
        <f ca="1">_xll.meDateFromTenor(C71,D$14,D$11,D$12)</f>
        <v>42593</v>
      </c>
      <c r="E71" s="98">
        <f ca="1"/>
        <v>-3.5000000000229067E-3</v>
      </c>
      <c r="F71" s="94"/>
      <c r="G71" s="100">
        <f ca="1">_xll.meDateFromTenor(G70,"1D","FOLLOWING",H$12)</f>
        <v>42592</v>
      </c>
      <c r="H71" s="13">
        <f ca="1">_xll.meDateFromTenor(G71,H$14,H$11,H$12)</f>
        <v>42625</v>
      </c>
      <c r="I71" s="98">
        <f ca="1"/>
        <v>-3.5741229376901034E-3</v>
      </c>
      <c r="J71" s="94" t="s">
        <v>4</v>
      </c>
      <c r="K71" s="100">
        <f ca="1">_xll.meDateFromTenor(K70,"1D","FOLLOWING",L$12)</f>
        <v>42592</v>
      </c>
      <c r="L71" s="13">
        <f ca="1">_xll.meDateFromTenor(K71,L$14,L$11,L$12)</f>
        <v>42684</v>
      </c>
      <c r="M71" s="98">
        <f ca="1"/>
        <v>-2.7295006582022073E-3</v>
      </c>
      <c r="N71" s="5" t="s">
        <v>4</v>
      </c>
      <c r="O71" s="100">
        <f ca="1">_xll.meDateFromTenor(O70,"1D","FOLLOWING",P$12)</f>
        <v>42592</v>
      </c>
      <c r="P71" s="13">
        <f ca="1">_xll.meDateFromTenor(O71,P$14,P$11,P$12)</f>
        <v>42776</v>
      </c>
      <c r="Q71" s="98">
        <f ca="1"/>
        <v>-1.4845438401473318E-3</v>
      </c>
      <c r="R71" s="5" t="s">
        <v>4</v>
      </c>
      <c r="S71" s="100">
        <f ca="1">_xll.meDateFromTenor(S70,"1D","FOLLOWING",T$12)</f>
        <v>42592</v>
      </c>
      <c r="T71" s="13">
        <f ca="1">_xll.meDateFromTenor(S71,T$14,T$11,T$12)</f>
        <v>42957</v>
      </c>
      <c r="U71" s="98">
        <f ca="1"/>
        <v>-1.6037114185378802E-4</v>
      </c>
      <c r="V71" s="5" t="s">
        <v>4</v>
      </c>
      <c r="W71" s="84" t="s">
        <v>4</v>
      </c>
    </row>
    <row r="72" spans="1:23" x14ac:dyDescent="0.25">
      <c r="A72" s="90">
        <v>53</v>
      </c>
      <c r="B72" s="83"/>
      <c r="C72" s="100">
        <f ca="1">_xll.meDateFromTenor(C71,"1D","FOLLOWING",D$12)</f>
        <v>42593</v>
      </c>
      <c r="D72" s="13">
        <f ca="1">_xll.meDateFromTenor(C72,D$14,D$11,D$12)</f>
        <v>42594</v>
      </c>
      <c r="E72" s="98">
        <f ca="1"/>
        <v>-3.4999999999829738E-3</v>
      </c>
      <c r="F72" s="94"/>
      <c r="G72" s="100">
        <f ca="1">_xll.meDateFromTenor(G71,"1D","FOLLOWING",H$12)</f>
        <v>42593</v>
      </c>
      <c r="H72" s="13">
        <f ca="1">_xll.meDateFromTenor(G72,H$14,H$11,H$12)</f>
        <v>42625</v>
      </c>
      <c r="I72" s="98">
        <f ca="1"/>
        <v>-3.5754727049867705E-3</v>
      </c>
      <c r="J72" s="94" t="s">
        <v>4</v>
      </c>
      <c r="K72" s="100">
        <f ca="1">_xll.meDateFromTenor(K71,"1D","FOLLOWING",L$12)</f>
        <v>42593</v>
      </c>
      <c r="L72" s="13">
        <f ca="1">_xll.meDateFromTenor(K72,L$14,L$11,L$12)</f>
        <v>42685</v>
      </c>
      <c r="M72" s="98">
        <f ca="1"/>
        <v>-2.7312325513821341E-3</v>
      </c>
      <c r="N72" s="5" t="s">
        <v>4</v>
      </c>
      <c r="O72" s="100">
        <f ca="1">_xll.meDateFromTenor(O71,"1D","FOLLOWING",P$12)</f>
        <v>42593</v>
      </c>
      <c r="P72" s="13">
        <f ca="1">_xll.meDateFromTenor(O72,P$14,P$11,P$12)</f>
        <v>42779</v>
      </c>
      <c r="Q72" s="98">
        <f ca="1"/>
        <v>-1.4840319657916366E-3</v>
      </c>
      <c r="R72" s="5" t="s">
        <v>4</v>
      </c>
      <c r="S72" s="100">
        <f ca="1">_xll.meDateFromTenor(S71,"1D","FOLLOWING",T$12)</f>
        <v>42593</v>
      </c>
      <c r="T72" s="13">
        <f ca="1">_xll.meDateFromTenor(S72,T$14,T$11,T$12)</f>
        <v>42958</v>
      </c>
      <c r="U72" s="98">
        <f ca="1"/>
        <v>-1.6049218099001519E-4</v>
      </c>
      <c r="V72" s="5" t="s">
        <v>4</v>
      </c>
      <c r="W72" s="84" t="s">
        <v>4</v>
      </c>
    </row>
    <row r="73" spans="1:23" x14ac:dyDescent="0.25">
      <c r="A73" s="90">
        <v>54</v>
      </c>
      <c r="B73" s="83"/>
      <c r="C73" s="100">
        <f ca="1">_xll.meDateFromTenor(C72,"1D","FOLLOWING",D$12)</f>
        <v>42594</v>
      </c>
      <c r="D73" s="13">
        <f ca="1">_xll.meDateFromTenor(C73,D$14,D$11,D$12)</f>
        <v>42597</v>
      </c>
      <c r="E73" s="98">
        <f ca="1"/>
        <v>-3.4999999999829621E-3</v>
      </c>
      <c r="F73" s="94"/>
      <c r="G73" s="100">
        <f ca="1">_xll.meDateFromTenor(G72,"1D","FOLLOWING",H$12)</f>
        <v>42594</v>
      </c>
      <c r="H73" s="13">
        <f ca="1">_xll.meDateFromTenor(G73,H$14,H$11,H$12)</f>
        <v>42625</v>
      </c>
      <c r="I73" s="98">
        <f ca="1"/>
        <v>-3.5768180521418211E-3</v>
      </c>
      <c r="J73" s="94" t="s">
        <v>4</v>
      </c>
      <c r="K73" s="100">
        <f ca="1">_xll.meDateFromTenor(K72,"1D","FOLLOWING",L$12)</f>
        <v>42594</v>
      </c>
      <c r="L73" s="13">
        <f ca="1">_xll.meDateFromTenor(K73,L$14,L$11,L$12)</f>
        <v>42688</v>
      </c>
      <c r="M73" s="98">
        <f ca="1"/>
        <v>-2.7329644434385147E-3</v>
      </c>
      <c r="N73" s="5" t="s">
        <v>4</v>
      </c>
      <c r="O73" s="100">
        <f ca="1">_xll.meDateFromTenor(O72,"1D","FOLLOWING",P$12)</f>
        <v>42594</v>
      </c>
      <c r="P73" s="13">
        <f ca="1">_xll.meDateFromTenor(O73,P$14,P$11,P$12)</f>
        <v>42779</v>
      </c>
      <c r="Q73" s="98">
        <f ca="1"/>
        <v>-1.4835264328980696E-3</v>
      </c>
      <c r="R73" s="5" t="s">
        <v>4</v>
      </c>
      <c r="S73" s="100">
        <f ca="1">_xll.meDateFromTenor(S72,"1D","FOLLOWING",T$12)</f>
        <v>42594</v>
      </c>
      <c r="T73" s="13">
        <f ca="1">_xll.meDateFromTenor(S73,T$14,T$11,T$12)</f>
        <v>42961</v>
      </c>
      <c r="U73" s="98">
        <f ca="1"/>
        <v>-1.6061195676962209E-4</v>
      </c>
      <c r="V73" s="5" t="s">
        <v>4</v>
      </c>
      <c r="W73" s="84" t="s">
        <v>4</v>
      </c>
    </row>
    <row r="74" spans="1:23" x14ac:dyDescent="0.25">
      <c r="A74" s="90">
        <v>55</v>
      </c>
      <c r="B74" s="83"/>
      <c r="C74" s="100">
        <f ca="1">_xll.meDateFromTenor(C73,"1D","FOLLOWING",D$12)</f>
        <v>42597</v>
      </c>
      <c r="D74" s="13">
        <f ca="1">_xll.meDateFromTenor(C74,D$14,D$11,D$12)</f>
        <v>42598</v>
      </c>
      <c r="E74" s="98">
        <f ca="1"/>
        <v>-3.5000000000629098E-3</v>
      </c>
      <c r="F74" s="94"/>
      <c r="G74" s="100">
        <f ca="1">_xll.meDateFromTenor(G73,"1D","FOLLOWING",H$12)</f>
        <v>42597</v>
      </c>
      <c r="H74" s="13">
        <f ca="1">_xll.meDateFromTenor(G74,H$14,H$11,H$12)</f>
        <v>42628</v>
      </c>
      <c r="I74" s="98">
        <f ca="1"/>
        <v>-3.5808297155685278E-3</v>
      </c>
      <c r="J74" s="94" t="s">
        <v>4</v>
      </c>
      <c r="K74" s="100">
        <f ca="1">_xll.meDateFromTenor(K73,"1D","FOLLOWING",L$12)</f>
        <v>42597</v>
      </c>
      <c r="L74" s="13">
        <f ca="1">_xll.meDateFromTenor(K74,L$14,L$11,L$12)</f>
        <v>42689</v>
      </c>
      <c r="M74" s="98">
        <f ca="1"/>
        <v>-2.7381601257468278E-3</v>
      </c>
      <c r="N74" s="5" t="s">
        <v>4</v>
      </c>
      <c r="O74" s="100">
        <f ca="1">_xll.meDateFromTenor(O73,"1D","FOLLOWING",P$12)</f>
        <v>42597</v>
      </c>
      <c r="P74" s="13">
        <f ca="1">_xll.meDateFromTenor(O74,P$14,P$11,P$12)</f>
        <v>42781</v>
      </c>
      <c r="Q74" s="98">
        <f ca="1"/>
        <v>-1.4820487889133018E-3</v>
      </c>
      <c r="R74" s="5" t="s">
        <v>4</v>
      </c>
      <c r="S74" s="100">
        <f ca="1">_xll.meDateFromTenor(S73,"1D","FOLLOWING",T$12)</f>
        <v>42597</v>
      </c>
      <c r="T74" s="13">
        <f ca="1">_xll.meDateFromTenor(S74,T$14,T$11,T$12)</f>
        <v>42962</v>
      </c>
      <c r="U74" s="98">
        <f ca="1"/>
        <v>-1.6096352348920383E-4</v>
      </c>
      <c r="V74" s="5" t="s">
        <v>4</v>
      </c>
      <c r="W74" s="84" t="s">
        <v>4</v>
      </c>
    </row>
    <row r="75" spans="1:23" x14ac:dyDescent="0.25">
      <c r="A75" s="90">
        <v>56</v>
      </c>
      <c r="B75" s="83"/>
      <c r="C75" s="100">
        <f ca="1">_xll.meDateFromTenor(C74,"1D","FOLLOWING",D$12)</f>
        <v>42598</v>
      </c>
      <c r="D75" s="13">
        <f ca="1">_xll.meDateFromTenor(C75,D$14,D$11,D$12)</f>
        <v>42599</v>
      </c>
      <c r="E75" s="98">
        <f ca="1"/>
        <v>-3.5000000000229067E-3</v>
      </c>
      <c r="F75" s="94"/>
      <c r="G75" s="100">
        <f ca="1">_xll.meDateFromTenor(G74,"1D","FOLLOWING",H$12)</f>
        <v>42598</v>
      </c>
      <c r="H75" s="13">
        <f ca="1">_xll.meDateFromTenor(G75,H$14,H$11,H$12)</f>
        <v>42629</v>
      </c>
      <c r="I75" s="98">
        <f ca="1"/>
        <v>-3.5821595249683671E-3</v>
      </c>
      <c r="J75" s="94" t="s">
        <v>4</v>
      </c>
      <c r="K75" s="100">
        <f ca="1">_xll.meDateFromTenor(K74,"1D","FOLLOWING",L$12)</f>
        <v>42598</v>
      </c>
      <c r="L75" s="13">
        <f ca="1">_xll.meDateFromTenor(K75,L$14,L$11,L$12)</f>
        <v>42690</v>
      </c>
      <c r="M75" s="98">
        <f ca="1"/>
        <v>-2.7398919979610974E-3</v>
      </c>
      <c r="N75" s="5" t="s">
        <v>4</v>
      </c>
      <c r="O75" s="100">
        <f ca="1">_xll.meDateFromTenor(O74,"1D","FOLLOWING",P$12)</f>
        <v>42598</v>
      </c>
      <c r="P75" s="13">
        <f ca="1">_xll.meDateFromTenor(O75,P$14,P$11,P$12)</f>
        <v>42782</v>
      </c>
      <c r="Q75" s="98">
        <f ca="1"/>
        <v>-1.4815695277914107E-3</v>
      </c>
      <c r="R75" s="5" t="s">
        <v>4</v>
      </c>
      <c r="S75" s="100">
        <f ca="1">_xll.meDateFromTenor(S74,"1D","FOLLOWING",T$12)</f>
        <v>42598</v>
      </c>
      <c r="T75" s="13">
        <f ca="1">_xll.meDateFromTenor(S75,T$14,T$11,T$12)</f>
        <v>42963</v>
      </c>
      <c r="U75" s="98">
        <f ca="1"/>
        <v>-1.610780653628124E-4</v>
      </c>
      <c r="V75" s="5" t="s">
        <v>4</v>
      </c>
      <c r="W75" s="84" t="s">
        <v>4</v>
      </c>
    </row>
    <row r="76" spans="1:23" x14ac:dyDescent="0.25">
      <c r="A76" s="90">
        <v>57</v>
      </c>
      <c r="B76" s="83"/>
      <c r="C76" s="100">
        <f ca="1">_xll.meDateFromTenor(C75,"1D","FOLLOWING",D$12)</f>
        <v>42599</v>
      </c>
      <c r="D76" s="13">
        <f ca="1">_xll.meDateFromTenor(C76,D$14,D$11,D$12)</f>
        <v>42600</v>
      </c>
      <c r="E76" s="98">
        <f ca="1"/>
        <v>-3.5000000000629098E-3</v>
      </c>
      <c r="F76" s="94"/>
      <c r="G76" s="100">
        <f ca="1">_xll.meDateFromTenor(G75,"1D","FOLLOWING",H$12)</f>
        <v>42599</v>
      </c>
      <c r="H76" s="13">
        <f ca="1">_xll.meDateFromTenor(G76,H$14,H$11,H$12)</f>
        <v>42632</v>
      </c>
      <c r="I76" s="98">
        <f ca="1"/>
        <v>-3.5834859856322147E-3</v>
      </c>
      <c r="J76" s="94" t="s">
        <v>4</v>
      </c>
      <c r="K76" s="100">
        <f ca="1">_xll.meDateFromTenor(K75,"1D","FOLLOWING",L$12)</f>
        <v>42599</v>
      </c>
      <c r="L76" s="13">
        <f ca="1">_xll.meDateFromTenor(K76,L$14,L$11,L$12)</f>
        <v>42691</v>
      </c>
      <c r="M76" s="98">
        <f ca="1"/>
        <v>-2.7416239129291744E-3</v>
      </c>
      <c r="N76" s="5" t="s">
        <v>4</v>
      </c>
      <c r="O76" s="100">
        <f ca="1">_xll.meDateFromTenor(O75,"1D","FOLLOWING",P$12)</f>
        <v>42599</v>
      </c>
      <c r="P76" s="13">
        <f ca="1">_xll.meDateFromTenor(O76,P$14,P$11,P$12)</f>
        <v>42783</v>
      </c>
      <c r="Q76" s="98">
        <f ca="1"/>
        <v>-1.4810970610932286E-3</v>
      </c>
      <c r="R76" s="5" t="s">
        <v>4</v>
      </c>
      <c r="S76" s="100">
        <f ca="1">_xll.meDateFromTenor(S75,"1D","FOLLOWING",T$12)</f>
        <v>42599</v>
      </c>
      <c r="T76" s="13">
        <f ca="1">_xll.meDateFromTenor(S76,T$14,T$11,T$12)</f>
        <v>42964</v>
      </c>
      <c r="U76" s="98">
        <f ca="1"/>
        <v>-1.6119125364004208E-4</v>
      </c>
      <c r="V76" s="5" t="s">
        <v>4</v>
      </c>
      <c r="W76" s="84" t="s">
        <v>4</v>
      </c>
    </row>
    <row r="77" spans="1:23" x14ac:dyDescent="0.25">
      <c r="A77" s="90">
        <v>58</v>
      </c>
      <c r="B77" s="83"/>
      <c r="C77" s="100">
        <f ca="1">_xll.meDateFromTenor(C76,"1D","FOLLOWING",D$12)</f>
        <v>42600</v>
      </c>
      <c r="D77" s="13">
        <f ca="1">_xll.meDateFromTenor(C77,D$14,D$11,D$12)</f>
        <v>42601</v>
      </c>
      <c r="E77" s="98">
        <f ca="1"/>
        <v>-3.4999999999829738E-3</v>
      </c>
      <c r="F77" s="94"/>
      <c r="G77" s="100">
        <f ca="1">_xll.meDateFromTenor(G76,"1D","FOLLOWING",H$12)</f>
        <v>42600</v>
      </c>
      <c r="H77" s="13">
        <f ca="1">_xll.meDateFromTenor(G77,H$14,H$11,H$12)</f>
        <v>42632</v>
      </c>
      <c r="I77" s="98">
        <f ca="1"/>
        <v>-3.5848093118411978E-3</v>
      </c>
      <c r="J77" s="94" t="s">
        <v>4</v>
      </c>
      <c r="K77" s="100">
        <f ca="1">_xll.meDateFromTenor(K76,"1D","FOLLOWING",L$12)</f>
        <v>42600</v>
      </c>
      <c r="L77" s="13">
        <f ca="1">_xll.meDateFromTenor(K77,L$14,L$11,L$12)</f>
        <v>42692</v>
      </c>
      <c r="M77" s="98">
        <f ca="1"/>
        <v>-2.7433558863000384E-3</v>
      </c>
      <c r="N77" s="5" t="s">
        <v>4</v>
      </c>
      <c r="O77" s="100">
        <f ca="1">_xll.meDateFromTenor(O76,"1D","FOLLOWING",P$12)</f>
        <v>42600</v>
      </c>
      <c r="P77" s="13">
        <f ca="1">_xll.meDateFromTenor(O77,P$14,P$11,P$12)</f>
        <v>42786</v>
      </c>
      <c r="Q77" s="98">
        <f ca="1"/>
        <v>-1.4806314794110717E-3</v>
      </c>
      <c r="R77" s="5" t="s">
        <v>4</v>
      </c>
      <c r="S77" s="100">
        <f ca="1">_xll.meDateFromTenor(S76,"1D","FOLLOWING",T$12)</f>
        <v>42600</v>
      </c>
      <c r="T77" s="13">
        <f ca="1">_xll.meDateFromTenor(S77,T$14,T$11,T$12)</f>
        <v>42965</v>
      </c>
      <c r="U77" s="98">
        <f ca="1"/>
        <v>-1.6130307027294118E-4</v>
      </c>
      <c r="V77" s="5" t="s">
        <v>4</v>
      </c>
      <c r="W77" s="84" t="s">
        <v>4</v>
      </c>
    </row>
    <row r="78" spans="1:23" x14ac:dyDescent="0.25">
      <c r="A78" s="90">
        <v>59</v>
      </c>
      <c r="B78" s="83"/>
      <c r="C78" s="100">
        <f ca="1">_xll.meDateFromTenor(C77,"1D","FOLLOWING",D$12)</f>
        <v>42601</v>
      </c>
      <c r="D78" s="13">
        <f ca="1">_xll.meDateFromTenor(C78,D$14,D$11,D$12)</f>
        <v>42604</v>
      </c>
      <c r="E78" s="98">
        <f ca="1"/>
        <v>-3.499999999996273E-3</v>
      </c>
      <c r="F78" s="94"/>
      <c r="G78" s="100">
        <f ca="1">_xll.meDateFromTenor(G77,"1D","FOLLOWING",H$12)</f>
        <v>42601</v>
      </c>
      <c r="H78" s="13">
        <f ca="1">_xll.meDateFromTenor(G78,H$14,H$11,H$12)</f>
        <v>42632</v>
      </c>
      <c r="I78" s="98">
        <f ca="1"/>
        <v>-3.5861297178764419E-3</v>
      </c>
      <c r="J78" s="94" t="s">
        <v>4</v>
      </c>
      <c r="K78" s="100">
        <f ca="1">_xll.meDateFromTenor(K77,"1D","FOLLOWING",L$12)</f>
        <v>42601</v>
      </c>
      <c r="L78" s="13">
        <f ca="1">_xll.meDateFromTenor(K78,L$14,L$11,L$12)</f>
        <v>42695</v>
      </c>
      <c r="M78" s="98">
        <f ca="1"/>
        <v>-2.7450877001115211E-3</v>
      </c>
      <c r="N78" s="5" t="s">
        <v>4</v>
      </c>
      <c r="O78" s="100">
        <f ca="1">_xll.meDateFromTenor(O77,"1D","FOLLOWING",P$12)</f>
        <v>42601</v>
      </c>
      <c r="P78" s="13">
        <f ca="1">_xll.meDateFromTenor(O78,P$14,P$11,P$12)</f>
        <v>42786</v>
      </c>
      <c r="Q78" s="98">
        <f ca="1"/>
        <v>-1.4801728733372563E-3</v>
      </c>
      <c r="R78" s="5" t="s">
        <v>4</v>
      </c>
      <c r="S78" s="100">
        <f ca="1">_xll.meDateFromTenor(S77,"1D","FOLLOWING",T$12)</f>
        <v>42601</v>
      </c>
      <c r="T78" s="13">
        <f ca="1">_xll.meDateFromTenor(S78,T$14,T$11,T$12)</f>
        <v>42968</v>
      </c>
      <c r="U78" s="98">
        <f ca="1"/>
        <v>-1.6141349721355793E-4</v>
      </c>
      <c r="V78" s="5" t="s">
        <v>4</v>
      </c>
      <c r="W78" s="84" t="s">
        <v>4</v>
      </c>
    </row>
    <row r="79" spans="1:23" x14ac:dyDescent="0.25">
      <c r="A79" s="90">
        <v>60</v>
      </c>
      <c r="B79" s="83"/>
      <c r="C79" s="100">
        <f ca="1">_xll.meDateFromTenor(C78,"1D","FOLLOWING",D$12)</f>
        <v>42604</v>
      </c>
      <c r="D79" s="13">
        <f ca="1">_xll.meDateFromTenor(C79,D$14,D$11,D$12)</f>
        <v>42605</v>
      </c>
      <c r="E79" s="98">
        <f ca="1"/>
        <v>-3.4999999999829738E-3</v>
      </c>
      <c r="F79" s="94"/>
      <c r="G79" s="100">
        <f ca="1">_xll.meDateFromTenor(G78,"1D","FOLLOWING",H$12)</f>
        <v>42604</v>
      </c>
      <c r="H79" s="13">
        <f ca="1">_xll.meDateFromTenor(G79,H$14,H$11,H$12)</f>
        <v>42635</v>
      </c>
      <c r="I79" s="98">
        <f ca="1"/>
        <v>-3.5900755577509902E-3</v>
      </c>
      <c r="J79" s="94" t="s">
        <v>4</v>
      </c>
      <c r="K79" s="100">
        <f ca="1">_xll.meDateFromTenor(K78,"1D","FOLLOWING",L$12)</f>
        <v>42604</v>
      </c>
      <c r="L79" s="13">
        <f ca="1">_xll.meDateFromTenor(K79,L$14,L$11,L$12)</f>
        <v>42696</v>
      </c>
      <c r="M79" s="98">
        <f ca="1"/>
        <v>-2.7502844920727887E-3</v>
      </c>
      <c r="N79" s="5" t="s">
        <v>4</v>
      </c>
      <c r="O79" s="100">
        <f ca="1">_xll.meDateFromTenor(O78,"1D","FOLLOWING",P$12)</f>
        <v>42604</v>
      </c>
      <c r="P79" s="13">
        <f ca="1">_xll.meDateFromTenor(O79,P$14,P$11,P$12)</f>
        <v>42788</v>
      </c>
      <c r="Q79" s="98">
        <f ca="1"/>
        <v>-1.4788398146890196E-3</v>
      </c>
      <c r="R79" s="5" t="s">
        <v>4</v>
      </c>
      <c r="S79" s="100">
        <f ca="1">_xll.meDateFromTenor(S78,"1D","FOLLOWING",T$12)</f>
        <v>42604</v>
      </c>
      <c r="T79" s="13">
        <f ca="1">_xll.meDateFromTenor(S79,T$14,T$11,T$12)</f>
        <v>42969</v>
      </c>
      <c r="U79" s="98">
        <f ca="1"/>
        <v>-1.6173625940219715E-4</v>
      </c>
      <c r="V79" s="5" t="s">
        <v>4</v>
      </c>
      <c r="W79" s="84" t="s">
        <v>4</v>
      </c>
    </row>
    <row r="80" spans="1:23" x14ac:dyDescent="0.25">
      <c r="A80" s="90">
        <v>61</v>
      </c>
      <c r="B80" s="83"/>
      <c r="C80" s="100">
        <f ca="1">_xll.meDateFromTenor(C79,"1D","FOLLOWING",D$12)</f>
        <v>42605</v>
      </c>
      <c r="D80" s="13">
        <f ca="1">_xll.meDateFromTenor(C80,D$14,D$11,D$12)</f>
        <v>42606</v>
      </c>
      <c r="E80" s="98">
        <f ca="1"/>
        <v>-3.5000000000229418E-3</v>
      </c>
      <c r="F80" s="94"/>
      <c r="G80" s="100">
        <f ca="1">_xll.meDateFromTenor(G79,"1D","FOLLOWING",H$12)</f>
        <v>42605</v>
      </c>
      <c r="H80" s="13">
        <f ca="1">_xll.meDateFromTenor(G80,H$14,H$11,H$12)</f>
        <v>42636</v>
      </c>
      <c r="I80" s="98">
        <f ca="1"/>
        <v>-3.5913864259025288E-3</v>
      </c>
      <c r="J80" s="94" t="s">
        <v>4</v>
      </c>
      <c r="K80" s="100">
        <f ca="1">_xll.meDateFromTenor(K79,"1D","FOLLOWING",L$12)</f>
        <v>42605</v>
      </c>
      <c r="L80" s="13">
        <f ca="1">_xll.meDateFromTenor(K80,L$14,L$11,L$12)</f>
        <v>42697</v>
      </c>
      <c r="M80" s="98">
        <f ca="1"/>
        <v>-2.7520152744762143E-3</v>
      </c>
      <c r="N80" s="5" t="s">
        <v>4</v>
      </c>
      <c r="O80" s="100">
        <f ca="1">_xll.meDateFromTenor(O79,"1D","FOLLOWING",P$12)</f>
        <v>42605</v>
      </c>
      <c r="P80" s="13">
        <f ca="1">_xll.meDateFromTenor(O80,P$14,P$11,P$12)</f>
        <v>42789</v>
      </c>
      <c r="Q80" s="98">
        <f ca="1"/>
        <v>-1.478410016971731E-3</v>
      </c>
      <c r="R80" s="5" t="s">
        <v>4</v>
      </c>
      <c r="S80" s="100">
        <f ca="1">_xll.meDateFromTenor(S79,"1D","FOLLOWING",T$12)</f>
        <v>42605</v>
      </c>
      <c r="T80" s="13">
        <f ca="1">_xll.meDateFromTenor(S80,T$14,T$11,T$12)</f>
        <v>42970</v>
      </c>
      <c r="U80" s="98">
        <f ca="1"/>
        <v>-1.6184094709416748E-4</v>
      </c>
      <c r="V80" s="5" t="s">
        <v>4</v>
      </c>
      <c r="W80" s="84" t="s">
        <v>4</v>
      </c>
    </row>
    <row r="81" spans="1:23" x14ac:dyDescent="0.25">
      <c r="A81" s="90">
        <v>62</v>
      </c>
      <c r="B81" s="83"/>
      <c r="C81" s="100">
        <f ca="1">_xll.meDateFromTenor(C80,"1D","FOLLOWING",D$12)</f>
        <v>42606</v>
      </c>
      <c r="D81" s="13">
        <f ca="1">_xll.meDateFromTenor(C81,D$14,D$11,D$12)</f>
        <v>42607</v>
      </c>
      <c r="E81" s="98">
        <f ca="1"/>
        <v>-3.5000000000628747E-3</v>
      </c>
      <c r="F81" s="94"/>
      <c r="G81" s="100">
        <f ca="1">_xll.meDateFromTenor(G80,"1D","FOLLOWING",H$12)</f>
        <v>42606</v>
      </c>
      <c r="H81" s="13">
        <f ca="1">_xll.meDateFromTenor(G81,H$14,H$11,H$12)</f>
        <v>42639</v>
      </c>
      <c r="I81" s="98">
        <f ca="1"/>
        <v>-3.5926954452859547E-3</v>
      </c>
      <c r="J81" s="94" t="s">
        <v>4</v>
      </c>
      <c r="K81" s="100">
        <f ca="1">_xll.meDateFromTenor(K80,"1D","FOLLOWING",L$12)</f>
        <v>42606</v>
      </c>
      <c r="L81" s="13">
        <f ca="1">_xll.meDateFromTenor(K81,L$14,L$11,L$12)</f>
        <v>42698</v>
      </c>
      <c r="M81" s="98">
        <f ca="1"/>
        <v>-2.753743021058257E-3</v>
      </c>
      <c r="N81" s="5" t="s">
        <v>4</v>
      </c>
      <c r="O81" s="100">
        <f ca="1">_xll.meDateFromTenor(O80,"1D","FOLLOWING",P$12)</f>
        <v>42606</v>
      </c>
      <c r="P81" s="13">
        <f ca="1">_xll.meDateFromTenor(O81,P$14,P$11,P$12)</f>
        <v>42790</v>
      </c>
      <c r="Q81" s="98">
        <f ca="1"/>
        <v>-1.4779876478243645E-3</v>
      </c>
      <c r="R81" s="5" t="s">
        <v>4</v>
      </c>
      <c r="S81" s="100">
        <f ca="1">_xll.meDateFromTenor(S80,"1D","FOLLOWING",T$12)</f>
        <v>42606</v>
      </c>
      <c r="T81" s="13">
        <f ca="1">_xll.meDateFromTenor(S81,T$14,T$11,T$12)</f>
        <v>42971</v>
      </c>
      <c r="U81" s="98">
        <f ca="1"/>
        <v>-1.6194415485409693E-4</v>
      </c>
      <c r="V81" s="5" t="s">
        <v>4</v>
      </c>
      <c r="W81" s="84" t="s">
        <v>4</v>
      </c>
    </row>
    <row r="82" spans="1:23" x14ac:dyDescent="0.25">
      <c r="A82" s="90">
        <v>63</v>
      </c>
      <c r="B82" s="83"/>
      <c r="C82" s="100">
        <f ca="1">_xll.meDateFromTenor(C81,"1D","FOLLOWING",D$12)</f>
        <v>42607</v>
      </c>
      <c r="D82" s="13">
        <f ca="1">_xll.meDateFromTenor(C82,D$14,D$11,D$12)</f>
        <v>42608</v>
      </c>
      <c r="E82" s="98">
        <f ca="1"/>
        <v>-3.4999999999430057E-3</v>
      </c>
      <c r="F82" s="94"/>
      <c r="G82" s="100">
        <f ca="1">_xll.meDateFromTenor(G81,"1D","FOLLOWING",H$12)</f>
        <v>42607</v>
      </c>
      <c r="H82" s="13">
        <f ca="1">_xll.meDateFromTenor(G82,H$14,H$11,H$12)</f>
        <v>42639</v>
      </c>
      <c r="I82" s="98">
        <f ca="1"/>
        <v>-3.5940028301823927E-3</v>
      </c>
      <c r="J82" s="94" t="s">
        <v>4</v>
      </c>
      <c r="K82" s="100">
        <f ca="1">_xll.meDateFromTenor(K81,"1D","FOLLOWING",L$12)</f>
        <v>42607</v>
      </c>
      <c r="L82" s="13">
        <f ca="1">_xll.meDateFromTenor(K82,L$14,L$11,L$12)</f>
        <v>42699</v>
      </c>
      <c r="M82" s="98">
        <f ca="1"/>
        <v>-2.755479061658561E-3</v>
      </c>
      <c r="N82" s="5" t="s">
        <v>4</v>
      </c>
      <c r="O82" s="100">
        <f ca="1">_xll.meDateFromTenor(O81,"1D","FOLLOWING",P$12)</f>
        <v>42607</v>
      </c>
      <c r="P82" s="13">
        <f ca="1">_xll.meDateFromTenor(O82,P$14,P$11,P$12)</f>
        <v>42793</v>
      </c>
      <c r="Q82" s="98">
        <f ca="1"/>
        <v>-1.4775727978392364E-3</v>
      </c>
      <c r="R82" s="5" t="s">
        <v>4</v>
      </c>
      <c r="S82" s="100">
        <f ca="1">_xll.meDateFromTenor(S81,"1D","FOLLOWING",T$12)</f>
        <v>42607</v>
      </c>
      <c r="T82" s="13">
        <f ca="1">_xll.meDateFromTenor(S82,T$14,T$11,T$12)</f>
        <v>42972</v>
      </c>
      <c r="U82" s="98">
        <f ca="1"/>
        <v>-1.6204586463403368E-4</v>
      </c>
      <c r="V82" s="5" t="s">
        <v>4</v>
      </c>
      <c r="W82" s="84" t="s">
        <v>4</v>
      </c>
    </row>
    <row r="83" spans="1:23" x14ac:dyDescent="0.25">
      <c r="A83" s="90">
        <v>64</v>
      </c>
      <c r="B83" s="83"/>
      <c r="C83" s="100">
        <f ca="1">_xll.meDateFromTenor(C82,"1D","FOLLOWING",D$12)</f>
        <v>42608</v>
      </c>
      <c r="D83" s="13">
        <f ca="1">_xll.meDateFromTenor(C83,D$14,D$11,D$12)</f>
        <v>42611</v>
      </c>
      <c r="E83" s="98">
        <f ca="1"/>
        <v>-3.5000000000096074E-3</v>
      </c>
      <c r="F83" s="94"/>
      <c r="G83" s="100">
        <f ca="1">_xll.meDateFromTenor(G82,"1D","FOLLOWING",H$12)</f>
        <v>42608</v>
      </c>
      <c r="H83" s="13">
        <f ca="1">_xll.meDateFromTenor(G83,H$14,H$11,H$12)</f>
        <v>42639</v>
      </c>
      <c r="I83" s="98">
        <f ca="1"/>
        <v>-3.5953087948729684E-3</v>
      </c>
      <c r="J83" s="94" t="s">
        <v>4</v>
      </c>
      <c r="K83" s="100">
        <f ca="1">_xll.meDateFromTenor(K82,"1D","FOLLOWING",L$12)</f>
        <v>42608</v>
      </c>
      <c r="L83" s="13">
        <f ca="1">_xll.meDateFromTenor(K83,L$14,L$11,L$12)</f>
        <v>42702</v>
      </c>
      <c r="M83" s="98">
        <f ca="1"/>
        <v>-2.7572264320985095E-3</v>
      </c>
      <c r="N83" s="5" t="s">
        <v>4</v>
      </c>
      <c r="O83" s="100">
        <f ca="1">_xll.meDateFromTenor(O82,"1D","FOLLOWING",P$12)</f>
        <v>42608</v>
      </c>
      <c r="P83" s="13">
        <f ca="1">_xll.meDateFromTenor(O83,P$14,P$11,P$12)</f>
        <v>42793</v>
      </c>
      <c r="Q83" s="98">
        <f ca="1"/>
        <v>-1.4771655576086623E-3</v>
      </c>
      <c r="R83" s="5" t="s">
        <v>4</v>
      </c>
      <c r="S83" s="100">
        <f ca="1">_xll.meDateFromTenor(S82,"1D","FOLLOWING",T$12)</f>
        <v>42608</v>
      </c>
      <c r="T83" s="13">
        <f ca="1">_xll.meDateFromTenor(S83,T$14,T$11,T$12)</f>
        <v>42975</v>
      </c>
      <c r="U83" s="98">
        <f ca="1"/>
        <v>-1.6214605838602613E-4</v>
      </c>
      <c r="V83" s="5" t="s">
        <v>4</v>
      </c>
      <c r="W83" s="84" t="s">
        <v>4</v>
      </c>
    </row>
    <row r="84" spans="1:23" x14ac:dyDescent="0.25">
      <c r="A84" s="90">
        <v>65</v>
      </c>
      <c r="B84" s="83"/>
      <c r="C84" s="100">
        <f ca="1">_xll.meDateFromTenor(C83,"1D","FOLLOWING",D$12)</f>
        <v>42611</v>
      </c>
      <c r="D84" s="13">
        <f ca="1">_xll.meDateFromTenor(C84,D$14,D$11,D$12)</f>
        <v>42612</v>
      </c>
      <c r="E84" s="98">
        <f ca="1"/>
        <v>-3.4999999999430057E-3</v>
      </c>
      <c r="F84" s="94"/>
      <c r="G84" s="100">
        <f ca="1">_xll.meDateFromTenor(G83,"1D","FOLLOWING",H$12)</f>
        <v>42611</v>
      </c>
      <c r="H84" s="13">
        <f ca="1">_xll.meDateFromTenor(G84,H$14,H$11,H$12)</f>
        <v>42642</v>
      </c>
      <c r="I84" s="98">
        <f ca="1"/>
        <v>-3.5992203105207721E-3</v>
      </c>
      <c r="J84" s="94" t="s">
        <v>4</v>
      </c>
      <c r="K84" s="100">
        <f ca="1">_xll.meDateFromTenor(K83,"1D","FOLLOWING",L$12)</f>
        <v>42611</v>
      </c>
      <c r="L84" s="13">
        <f ca="1">_xll.meDateFromTenor(K84,L$14,L$11,L$12)</f>
        <v>42703</v>
      </c>
      <c r="M84" s="98">
        <f ca="1"/>
        <v>-2.7624066360232547E-3</v>
      </c>
      <c r="N84" s="5" t="s">
        <v>4</v>
      </c>
      <c r="O84" s="100">
        <f ca="1">_xll.meDateFromTenor(O83,"1D","FOLLOWING",P$12)</f>
        <v>42611</v>
      </c>
      <c r="P84" s="13">
        <f ca="1">_xll.meDateFromTenor(O84,P$14,P$11,P$12)</f>
        <v>42794</v>
      </c>
      <c r="Q84" s="98">
        <f ca="1"/>
        <v>-1.4759904013674273E-3</v>
      </c>
      <c r="R84" s="5" t="s">
        <v>4</v>
      </c>
      <c r="S84" s="100">
        <f ca="1">_xll.meDateFromTenor(S83,"1D","FOLLOWING",T$12)</f>
        <v>42611</v>
      </c>
      <c r="T84" s="13">
        <f ca="1">_xll.meDateFromTenor(S84,T$14,T$11,T$12)</f>
        <v>42976</v>
      </c>
      <c r="U84" s="98">
        <f ca="1"/>
        <v>-1.6243736299482021E-4</v>
      </c>
      <c r="V84" s="5" t="s">
        <v>4</v>
      </c>
      <c r="W84" s="84" t="s">
        <v>4</v>
      </c>
    </row>
    <row r="85" spans="1:23" x14ac:dyDescent="0.25">
      <c r="A85" s="90">
        <v>66</v>
      </c>
      <c r="B85" s="83"/>
      <c r="C85" s="100">
        <f ca="1">_xll.meDateFromTenor(C84,"1D","FOLLOWING",D$12)</f>
        <v>42612</v>
      </c>
      <c r="D85" s="13">
        <f ca="1">_xll.meDateFromTenor(C85,D$14,D$11,D$12)</f>
        <v>42613</v>
      </c>
      <c r="E85" s="98">
        <f ca="1"/>
        <v>-3.5000000000629098E-3</v>
      </c>
      <c r="F85" s="94"/>
      <c r="G85" s="100">
        <f ca="1">_xll.meDateFromTenor(G84,"1D","FOLLOWING",H$12)</f>
        <v>42612</v>
      </c>
      <c r="H85" s="13">
        <f ca="1">_xll.meDateFromTenor(G85,H$14,H$11,H$12)</f>
        <v>42643</v>
      </c>
      <c r="I85" s="98">
        <f ca="1"/>
        <v>-3.6005227371991499E-3</v>
      </c>
      <c r="J85" s="94" t="s">
        <v>4</v>
      </c>
      <c r="K85" s="100">
        <f ca="1">_xll.meDateFromTenor(K84,"1D","FOLLOWING",L$12)</f>
        <v>42612</v>
      </c>
      <c r="L85" s="13">
        <f ca="1">_xll.meDateFromTenor(K85,L$14,L$11,L$12)</f>
        <v>42704</v>
      </c>
      <c r="M85" s="98">
        <f ca="1"/>
        <v>-2.7643540943095403E-3</v>
      </c>
      <c r="N85" s="5" t="s">
        <v>4</v>
      </c>
      <c r="O85" s="100">
        <f ca="1">_xll.meDateFromTenor(O84,"1D","FOLLOWING",P$12)</f>
        <v>42612</v>
      </c>
      <c r="P85" s="13">
        <f ca="1">_xll.meDateFromTenor(O85,P$14,P$11,P$12)</f>
        <v>42794</v>
      </c>
      <c r="Q85" s="98">
        <f ca="1"/>
        <v>-1.4756145060782317E-3</v>
      </c>
      <c r="R85" s="5" t="s">
        <v>4</v>
      </c>
      <c r="S85" s="100">
        <f ca="1">_xll.meDateFromTenor(S84,"1D","FOLLOWING",T$12)</f>
        <v>42612</v>
      </c>
      <c r="T85" s="13">
        <f ca="1">_xll.meDateFromTenor(S85,T$14,T$11,T$12)</f>
        <v>42977</v>
      </c>
      <c r="U85" s="98">
        <f ca="1"/>
        <v>-1.6253131215551812E-4</v>
      </c>
      <c r="V85" s="5" t="s">
        <v>4</v>
      </c>
      <c r="W85" s="84" t="s">
        <v>4</v>
      </c>
    </row>
    <row r="86" spans="1:23" x14ac:dyDescent="0.25">
      <c r="A86" s="90">
        <v>67</v>
      </c>
      <c r="B86" s="83"/>
      <c r="C86" s="100">
        <f ca="1">_xll.meDateFromTenor(C85,"1D","FOLLOWING",D$12)</f>
        <v>42613</v>
      </c>
      <c r="D86" s="13">
        <f ca="1">_xll.meDateFromTenor(C86,D$14,D$11,D$12)</f>
        <v>42614</v>
      </c>
      <c r="E86" s="98">
        <f ca="1"/>
        <v>-3.5000000000228715E-3</v>
      </c>
      <c r="F86" s="94"/>
      <c r="G86" s="100">
        <f ca="1">_xll.meDateFromTenor(G85,"1D","FOLLOWING",H$12)</f>
        <v>42613</v>
      </c>
      <c r="H86" s="13">
        <f ca="1">_xll.meDateFromTenor(G86,H$14,H$11,H$12)</f>
        <v>42643</v>
      </c>
      <c r="I86" s="98">
        <f ca="1"/>
        <v>-3.6018248150772921E-3</v>
      </c>
      <c r="J86" s="94" t="s">
        <v>4</v>
      </c>
      <c r="K86" s="100">
        <f ca="1">_xll.meDateFromTenor(K85,"1D","FOLLOWING",L$12)</f>
        <v>42613</v>
      </c>
      <c r="L86" s="13">
        <f ca="1">_xll.meDateFromTenor(K86,L$14,L$11,L$12)</f>
        <v>42704</v>
      </c>
      <c r="M86" s="98">
        <f ca="1"/>
        <v>-2.7658704232056013E-3</v>
      </c>
      <c r="N86" s="5" t="s">
        <v>4</v>
      </c>
      <c r="O86" s="100">
        <f ca="1">_xll.meDateFromTenor(O85,"1D","FOLLOWING",P$12)</f>
        <v>42613</v>
      </c>
      <c r="P86" s="13">
        <f ca="1">_xll.meDateFromTenor(O86,P$14,P$11,P$12)</f>
        <v>42794</v>
      </c>
      <c r="Q86" s="98">
        <f ca="1"/>
        <v>-1.4752466735051708E-3</v>
      </c>
      <c r="R86" s="5" t="s">
        <v>4</v>
      </c>
      <c r="S86" s="100">
        <f ca="1">_xll.meDateFromTenor(S85,"1D","FOLLOWING",T$12)</f>
        <v>42613</v>
      </c>
      <c r="T86" s="13">
        <f ca="1">_xll.meDateFromTenor(S86,T$14,T$11,T$12)</f>
        <v>42978</v>
      </c>
      <c r="U86" s="98">
        <f ca="1"/>
        <v>-1.6262365504851308E-4</v>
      </c>
      <c r="V86" s="5" t="s">
        <v>4</v>
      </c>
      <c r="W86" s="84" t="s">
        <v>4</v>
      </c>
    </row>
    <row r="87" spans="1:23" x14ac:dyDescent="0.25">
      <c r="A87" s="90">
        <v>68</v>
      </c>
      <c r="B87" s="83"/>
      <c r="C87" s="100">
        <f ca="1">_xll.meDateFromTenor(C86,"1D","FOLLOWING",D$12)</f>
        <v>42614</v>
      </c>
      <c r="D87" s="13">
        <f ca="1">_xll.meDateFromTenor(C87,D$14,D$11,D$12)</f>
        <v>42615</v>
      </c>
      <c r="E87" s="98">
        <f ca="1"/>
        <v>-3.5000000000229418E-3</v>
      </c>
      <c r="F87" s="94"/>
      <c r="G87" s="100">
        <f ca="1">_xll.meDateFromTenor(G86,"1D","FOLLOWING",H$12)</f>
        <v>42614</v>
      </c>
      <c r="H87" s="13">
        <f ca="1">_xll.meDateFromTenor(G87,H$14,H$11,H$12)</f>
        <v>42646</v>
      </c>
      <c r="I87" s="98">
        <f ca="1"/>
        <v>-3.6031267584363228E-3</v>
      </c>
      <c r="J87" s="94" t="s">
        <v>4</v>
      </c>
      <c r="K87" s="100">
        <f ca="1">_xll.meDateFromTenor(K86,"1D","FOLLOWING",L$12)</f>
        <v>42614</v>
      </c>
      <c r="L87" s="13">
        <f ca="1">_xll.meDateFromTenor(K87,L$14,L$11,L$12)</f>
        <v>42705</v>
      </c>
      <c r="M87" s="98">
        <f ca="1"/>
        <v>-2.7664601885328348E-3</v>
      </c>
      <c r="N87" s="5" t="s">
        <v>4</v>
      </c>
      <c r="O87" s="100">
        <f ca="1">_xll.meDateFromTenor(O86,"1D","FOLLOWING",P$12)</f>
        <v>42614</v>
      </c>
      <c r="P87" s="13">
        <f ca="1">_xll.meDateFromTenor(O87,P$14,P$11,P$12)</f>
        <v>42795</v>
      </c>
      <c r="Q87" s="98">
        <f ca="1"/>
        <v>-1.4748869942405611E-3</v>
      </c>
      <c r="R87" s="5" t="s">
        <v>4</v>
      </c>
      <c r="S87" s="100">
        <f ca="1">_xll.meDateFromTenor(S86,"1D","FOLLOWING",T$12)</f>
        <v>42614</v>
      </c>
      <c r="T87" s="13">
        <f ca="1">_xll.meDateFromTenor(S87,T$14,T$11,T$12)</f>
        <v>42979</v>
      </c>
      <c r="U87" s="98">
        <f ca="1"/>
        <v>-1.6271437362585335E-4</v>
      </c>
      <c r="V87" s="5" t="s">
        <v>4</v>
      </c>
      <c r="W87" s="84" t="s">
        <v>4</v>
      </c>
    </row>
    <row r="88" spans="1:23" x14ac:dyDescent="0.25">
      <c r="A88" s="90">
        <v>69</v>
      </c>
      <c r="B88" s="83"/>
      <c r="C88" s="100">
        <f ca="1">_xll.meDateFromTenor(C87,"1D","FOLLOWING",D$12)</f>
        <v>42615</v>
      </c>
      <c r="D88" s="13">
        <f ca="1">_xll.meDateFromTenor(C88,D$14,D$11,D$12)</f>
        <v>42618</v>
      </c>
      <c r="E88" s="98">
        <f ca="1"/>
        <v>-3.4999999999829738E-3</v>
      </c>
      <c r="F88" s="94"/>
      <c r="G88" s="100">
        <f ca="1">_xll.meDateFromTenor(G87,"1D","FOLLOWING",H$12)</f>
        <v>42615</v>
      </c>
      <c r="H88" s="13">
        <f ca="1">_xll.meDateFromTenor(G88,H$14,H$11,H$12)</f>
        <v>42646</v>
      </c>
      <c r="I88" s="98">
        <f ca="1"/>
        <v>-3.6044287815573681E-3</v>
      </c>
      <c r="J88" s="94" t="s">
        <v>4</v>
      </c>
      <c r="K88" s="100">
        <f ca="1">_xll.meDateFromTenor(K87,"1D","FOLLOWING",L$12)</f>
        <v>42615</v>
      </c>
      <c r="L88" s="13">
        <f ca="1">_xll.meDateFromTenor(K88,L$14,L$11,L$12)</f>
        <v>42706</v>
      </c>
      <c r="M88" s="98">
        <f ca="1"/>
        <v>-2.76663317143224E-3</v>
      </c>
      <c r="N88" s="5" t="s">
        <v>4</v>
      </c>
      <c r="O88" s="100">
        <f ca="1">_xll.meDateFromTenor(O87,"1D","FOLLOWING",P$12)</f>
        <v>42615</v>
      </c>
      <c r="P88" s="13">
        <f ca="1">_xll.meDateFromTenor(O88,P$14,P$11,P$12)</f>
        <v>42796</v>
      </c>
      <c r="Q88" s="98">
        <f ca="1"/>
        <v>-1.4745355588767185E-3</v>
      </c>
      <c r="R88" s="5" t="s">
        <v>4</v>
      </c>
      <c r="S88" s="100">
        <f ca="1">_xll.meDateFromTenor(S87,"1D","FOLLOWING",T$12)</f>
        <v>42615</v>
      </c>
      <c r="T88" s="13">
        <f ca="1">_xll.meDateFromTenor(S88,T$14,T$11,T$12)</f>
        <v>42982</v>
      </c>
      <c r="U88" s="98">
        <f ca="1"/>
        <v>-1.6280344983958728E-4</v>
      </c>
      <c r="V88" s="5" t="s">
        <v>4</v>
      </c>
      <c r="W88" s="84" t="s">
        <v>4</v>
      </c>
    </row>
    <row r="89" spans="1:23" x14ac:dyDescent="0.25">
      <c r="A89" s="90">
        <v>70</v>
      </c>
      <c r="B89" s="83"/>
      <c r="C89" s="100">
        <f ca="1">_xll.meDateFromTenor(C88,"1D","FOLLOWING",D$12)</f>
        <v>42618</v>
      </c>
      <c r="D89" s="13">
        <f ca="1">_xll.meDateFromTenor(C89,D$14,D$11,D$12)</f>
        <v>42619</v>
      </c>
      <c r="E89" s="98">
        <f ca="1"/>
        <v>-3.5000000000229418E-3</v>
      </c>
      <c r="F89" s="94"/>
      <c r="G89" s="100">
        <f ca="1">_xll.meDateFromTenor(G88,"1D","FOLLOWING",H$12)</f>
        <v>42618</v>
      </c>
      <c r="H89" s="13">
        <f ca="1">_xll.meDateFromTenor(G89,H$14,H$11,H$12)</f>
        <v>42648</v>
      </c>
      <c r="I89" s="98">
        <f ca="1"/>
        <v>-3.6083367606149401E-3</v>
      </c>
      <c r="J89" s="94" t="s">
        <v>4</v>
      </c>
      <c r="K89" s="100">
        <f ca="1">_xll.meDateFromTenor(K88,"1D","FOLLOWING",L$12)</f>
        <v>42618</v>
      </c>
      <c r="L89" s="13">
        <f ca="1">_xll.meDateFromTenor(K89,L$14,L$11,L$12)</f>
        <v>42709</v>
      </c>
      <c r="M89" s="98">
        <f ca="1"/>
        <v>-2.7687165954046475E-3</v>
      </c>
      <c r="N89" s="5" t="s">
        <v>4</v>
      </c>
      <c r="O89" s="100">
        <f ca="1">_xll.meDateFromTenor(O88,"1D","FOLLOWING",P$12)</f>
        <v>42618</v>
      </c>
      <c r="P89" s="13">
        <f ca="1">_xll.meDateFromTenor(O89,P$14,P$11,P$12)</f>
        <v>42800</v>
      </c>
      <c r="Q89" s="98">
        <f ca="1"/>
        <v>-1.4735316221129546E-3</v>
      </c>
      <c r="R89" s="5" t="s">
        <v>4</v>
      </c>
      <c r="S89" s="100">
        <f ca="1">_xll.meDateFromTenor(S88,"1D","FOLLOWING",T$12)</f>
        <v>42618</v>
      </c>
      <c r="T89" s="13">
        <f ca="1">_xll.meDateFromTenor(S89,T$14,T$11,T$12)</f>
        <v>42983</v>
      </c>
      <c r="U89" s="98">
        <f ca="1"/>
        <v>-1.6306064381963362E-4</v>
      </c>
      <c r="V89" s="5" t="s">
        <v>4</v>
      </c>
      <c r="W89" s="84" t="s">
        <v>4</v>
      </c>
    </row>
    <row r="90" spans="1:23" x14ac:dyDescent="0.25">
      <c r="A90" s="90">
        <v>71</v>
      </c>
      <c r="B90" s="83"/>
      <c r="C90" s="100">
        <f ca="1">_xll.meDateFromTenor(C89,"1D","FOLLOWING",D$12)</f>
        <v>42619</v>
      </c>
      <c r="D90" s="13">
        <f ca="1">_xll.meDateFromTenor(C90,D$14,D$11,D$12)</f>
        <v>42620</v>
      </c>
      <c r="E90" s="98">
        <f ca="1"/>
        <v>-3.4999999999829035E-3</v>
      </c>
      <c r="F90" s="94"/>
      <c r="G90" s="100">
        <f ca="1">_xll.meDateFromTenor(G89,"1D","FOLLOWING",H$12)</f>
        <v>42619</v>
      </c>
      <c r="H90" s="13">
        <f ca="1">_xll.meDateFromTenor(G90,H$14,H$11,H$12)</f>
        <v>42649</v>
      </c>
      <c r="I90" s="98">
        <f ca="1"/>
        <v>-3.6096402703179103E-3</v>
      </c>
      <c r="J90" s="94" t="s">
        <v>4</v>
      </c>
      <c r="K90" s="100">
        <f ca="1">_xll.meDateFromTenor(K89,"1D","FOLLOWING",L$12)</f>
        <v>42619</v>
      </c>
      <c r="L90" s="13">
        <f ca="1">_xll.meDateFromTenor(K90,L$14,L$11,L$12)</f>
        <v>42710</v>
      </c>
      <c r="M90" s="98">
        <f ca="1"/>
        <v>-2.7699744036680267E-3</v>
      </c>
      <c r="N90" s="5" t="s">
        <v>4</v>
      </c>
      <c r="O90" s="100">
        <f ca="1">_xll.meDateFromTenor(O89,"1D","FOLLOWING",P$12)</f>
        <v>42619</v>
      </c>
      <c r="P90" s="13">
        <f ca="1">_xll.meDateFromTenor(O90,P$14,P$11,P$12)</f>
        <v>42800</v>
      </c>
      <c r="Q90" s="98">
        <f ca="1"/>
        <v>-1.4732140682753418E-3</v>
      </c>
      <c r="R90" s="5" t="s">
        <v>4</v>
      </c>
      <c r="S90" s="100">
        <f ca="1">_xll.meDateFromTenor(S89,"1D","FOLLOWING",T$12)</f>
        <v>42619</v>
      </c>
      <c r="T90" s="13">
        <f ca="1">_xll.meDateFromTenor(S90,T$14,T$11,T$12)</f>
        <v>42984</v>
      </c>
      <c r="U90" s="98">
        <f ca="1"/>
        <v>-1.6314297009942488E-4</v>
      </c>
      <c r="V90" s="5" t="s">
        <v>4</v>
      </c>
      <c r="W90" s="84" t="s">
        <v>4</v>
      </c>
    </row>
    <row r="91" spans="1:23" x14ac:dyDescent="0.25">
      <c r="A91" s="90">
        <v>72</v>
      </c>
      <c r="B91" s="83"/>
      <c r="C91" s="100">
        <f ca="1">_xll.meDateFromTenor(C90,"1D","FOLLOWING",D$12)</f>
        <v>42620</v>
      </c>
      <c r="D91" s="13">
        <f ca="1">_xll.meDateFromTenor(C91,D$14,D$11,D$12)</f>
        <v>42621</v>
      </c>
      <c r="E91" s="98">
        <f ca="1"/>
        <v>-3.5000000000229418E-3</v>
      </c>
      <c r="F91" s="94"/>
      <c r="G91" s="100">
        <f ca="1">_xll.meDateFromTenor(G90,"1D","FOLLOWING",H$12)</f>
        <v>42620</v>
      </c>
      <c r="H91" s="13">
        <f ca="1">_xll.meDateFromTenor(G91,H$14,H$11,H$12)</f>
        <v>42650</v>
      </c>
      <c r="I91" s="98">
        <f ca="1"/>
        <v>-3.6109442985761638E-3</v>
      </c>
      <c r="J91" s="94" t="s">
        <v>4</v>
      </c>
      <c r="K91" s="100">
        <f ca="1">_xll.meDateFromTenor(K90,"1D","FOLLOWING",L$12)</f>
        <v>42620</v>
      </c>
      <c r="L91" s="13">
        <f ca="1">_xll.meDateFromTenor(K91,L$14,L$11,L$12)</f>
        <v>42711</v>
      </c>
      <c r="M91" s="98">
        <f ca="1"/>
        <v>-2.77146913891999E-3</v>
      </c>
      <c r="N91" s="5" t="s">
        <v>4</v>
      </c>
      <c r="O91" s="100">
        <f ca="1">_xll.meDateFromTenor(O90,"1D","FOLLOWING",P$12)</f>
        <v>42620</v>
      </c>
      <c r="P91" s="13">
        <f ca="1">_xll.meDateFromTenor(O91,P$14,P$11,P$12)</f>
        <v>42801</v>
      </c>
      <c r="Q91" s="98">
        <f ca="1"/>
        <v>-1.4729052113000767E-3</v>
      </c>
      <c r="R91" s="5" t="s">
        <v>4</v>
      </c>
      <c r="S91" s="100">
        <f ca="1">_xll.meDateFromTenor(S90,"1D","FOLLOWING",T$12)</f>
        <v>42620</v>
      </c>
      <c r="T91" s="13">
        <f ca="1">_xll.meDateFromTenor(S91,T$14,T$11,T$12)</f>
        <v>42985</v>
      </c>
      <c r="U91" s="98">
        <f ca="1"/>
        <v>-1.6322356377585116E-4</v>
      </c>
      <c r="V91" s="5" t="s">
        <v>4</v>
      </c>
      <c r="W91" s="84" t="s">
        <v>4</v>
      </c>
    </row>
    <row r="92" spans="1:23" x14ac:dyDescent="0.25">
      <c r="A92" s="90">
        <v>73</v>
      </c>
      <c r="B92" s="83"/>
      <c r="C92" s="100">
        <f ca="1">_xll.meDateFromTenor(C91,"1D","FOLLOWING",D$12)</f>
        <v>42621</v>
      </c>
      <c r="D92" s="13">
        <f ca="1">_xll.meDateFromTenor(C92,D$14,D$11,D$12)</f>
        <v>42622</v>
      </c>
      <c r="E92" s="98">
        <f ca="1"/>
        <v>-3.7099999999723595E-3</v>
      </c>
      <c r="F92" s="94"/>
      <c r="G92" s="100">
        <f ca="1">_xll.meDateFromTenor(G91,"1D","FOLLOWING",H$12)</f>
        <v>42621</v>
      </c>
      <c r="H92" s="13">
        <f ca="1">_xll.meDateFromTenor(G92,H$14,H$11,H$12)</f>
        <v>42653</v>
      </c>
      <c r="I92" s="98">
        <f ca="1"/>
        <v>-3.6122489015177361E-3</v>
      </c>
      <c r="J92" s="94" t="s">
        <v>4</v>
      </c>
      <c r="K92" s="100">
        <f ca="1">_xll.meDateFromTenor(K91,"1D","FOLLOWING",L$12)</f>
        <v>42621</v>
      </c>
      <c r="L92" s="13">
        <f ca="1">_xll.meDateFromTenor(K92,L$14,L$11,L$12)</f>
        <v>42712</v>
      </c>
      <c r="M92" s="98">
        <f ca="1"/>
        <v>-2.773173957271914E-3</v>
      </c>
      <c r="N92" s="5" t="s">
        <v>4</v>
      </c>
      <c r="O92" s="100">
        <f ca="1">_xll.meDateFromTenor(O91,"1D","FOLLOWING",P$12)</f>
        <v>42621</v>
      </c>
      <c r="P92" s="13">
        <f ca="1">_xll.meDateFromTenor(O92,P$14,P$11,P$12)</f>
        <v>42802</v>
      </c>
      <c r="Q92" s="98">
        <f ca="1"/>
        <v>-1.4726051417794754E-3</v>
      </c>
      <c r="R92" s="5" t="s">
        <v>4</v>
      </c>
      <c r="S92" s="100">
        <f ca="1">_xll.meDateFromTenor(S91,"1D","FOLLOWING",T$12)</f>
        <v>42621</v>
      </c>
      <c r="T92" s="13">
        <f ca="1">_xll.meDateFromTenor(S92,T$14,T$11,T$12)</f>
        <v>42986</v>
      </c>
      <c r="U92" s="98">
        <f ca="1"/>
        <v>-1.6330240680096074E-4</v>
      </c>
      <c r="V92" s="5" t="s">
        <v>4</v>
      </c>
      <c r="W92" s="84" t="s">
        <v>4</v>
      </c>
    </row>
    <row r="93" spans="1:23" x14ac:dyDescent="0.25">
      <c r="A93" s="90">
        <v>74</v>
      </c>
      <c r="B93" s="83"/>
      <c r="C93" s="100">
        <f ca="1">_xll.meDateFromTenor(C92,"1D","FOLLOWING",D$12)</f>
        <v>42622</v>
      </c>
      <c r="D93" s="13">
        <f ca="1">_xll.meDateFromTenor(C93,D$14,D$11,D$12)</f>
        <v>42625</v>
      </c>
      <c r="E93" s="98">
        <f ca="1"/>
        <v>-3.7100000000123276E-3</v>
      </c>
      <c r="F93" s="94"/>
      <c r="G93" s="100">
        <f ca="1">_xll.meDateFromTenor(G92,"1D","FOLLOWING",H$12)</f>
        <v>42622</v>
      </c>
      <c r="H93" s="13">
        <f ca="1">_xll.meDateFromTenor(G93,H$14,H$11,H$12)</f>
        <v>42653</v>
      </c>
      <c r="I93" s="98">
        <f ca="1"/>
        <v>-3.6135541352706625E-3</v>
      </c>
      <c r="J93" s="94" t="s">
        <v>4</v>
      </c>
      <c r="K93" s="100">
        <f ca="1">_xll.meDateFromTenor(K92,"1D","FOLLOWING",L$12)</f>
        <v>42622</v>
      </c>
      <c r="L93" s="13">
        <f ca="1">_xll.meDateFromTenor(K93,L$14,L$11,L$12)</f>
        <v>42713</v>
      </c>
      <c r="M93" s="98">
        <f ca="1"/>
        <v>-2.7750620148351778E-3</v>
      </c>
      <c r="N93" s="5" t="s">
        <v>4</v>
      </c>
      <c r="O93" s="100">
        <f ca="1">_xll.meDateFromTenor(O92,"1D","FOLLOWING",P$12)</f>
        <v>42622</v>
      </c>
      <c r="P93" s="13">
        <f ca="1">_xll.meDateFromTenor(O93,P$14,P$11,P$12)</f>
        <v>42803</v>
      </c>
      <c r="Q93" s="98">
        <f ca="1"/>
        <v>-1.4723139503058542E-3</v>
      </c>
      <c r="R93" s="5" t="s">
        <v>4</v>
      </c>
      <c r="S93" s="100">
        <f ca="1">_xll.meDateFromTenor(S92,"1D","FOLLOWING",T$12)</f>
        <v>42622</v>
      </c>
      <c r="T93" s="13">
        <f ca="1">_xll.meDateFromTenor(S93,T$14,T$11,T$12)</f>
        <v>42989</v>
      </c>
      <c r="U93" s="98">
        <f ca="1"/>
        <v>-1.6337948112680198E-4</v>
      </c>
      <c r="V93" s="5" t="s">
        <v>4</v>
      </c>
      <c r="W93" s="84" t="s">
        <v>4</v>
      </c>
    </row>
    <row r="94" spans="1:23" x14ac:dyDescent="0.25">
      <c r="A94" s="90">
        <v>75</v>
      </c>
      <c r="B94" s="83"/>
      <c r="C94" s="100">
        <f ca="1">_xll.meDateFromTenor(C93,"1D","FOLLOWING",D$12)</f>
        <v>42625</v>
      </c>
      <c r="D94" s="13">
        <f ca="1">_xll.meDateFromTenor(C94,D$14,D$11,D$12)</f>
        <v>42626</v>
      </c>
      <c r="E94" s="98">
        <f ca="1"/>
        <v>-3.7099999999722854E-3</v>
      </c>
      <c r="F94" s="94"/>
      <c r="G94" s="100">
        <f ca="1">_xll.meDateFromTenor(G93,"1D","FOLLOWING",H$12)</f>
        <v>42625</v>
      </c>
      <c r="H94" s="13">
        <f ca="1">_xll.meDateFromTenor(G94,H$14,H$11,H$12)</f>
        <v>42655</v>
      </c>
      <c r="I94" s="98">
        <f ca="1"/>
        <v>-3.6174741826779291E-3</v>
      </c>
      <c r="J94" s="94" t="s">
        <v>4</v>
      </c>
      <c r="K94" s="100">
        <f ca="1">_xll.meDateFromTenor(K93,"1D","FOLLOWING",L$12)</f>
        <v>42625</v>
      </c>
      <c r="L94" s="13">
        <f ca="1">_xll.meDateFromTenor(K94,L$14,L$11,L$12)</f>
        <v>42716</v>
      </c>
      <c r="M94" s="98">
        <f ca="1"/>
        <v>-2.7815571839067805E-3</v>
      </c>
      <c r="N94" s="5" t="s">
        <v>4</v>
      </c>
      <c r="O94" s="100">
        <f ca="1">_xll.meDateFromTenor(O93,"1D","FOLLOWING",P$12)</f>
        <v>42625</v>
      </c>
      <c r="P94" s="13">
        <f ca="1">_xll.meDateFromTenor(O94,P$14,P$11,P$12)</f>
        <v>42807</v>
      </c>
      <c r="Q94" s="98">
        <f ca="1"/>
        <v>-1.4714945500900317E-3</v>
      </c>
      <c r="R94" s="5" t="s">
        <v>4</v>
      </c>
      <c r="S94" s="100">
        <f ca="1">_xll.meDateFromTenor(S93,"1D","FOLLOWING",T$12)</f>
        <v>42625</v>
      </c>
      <c r="T94" s="13">
        <f ca="1">_xll.meDateFromTenor(S94,T$14,T$11,T$12)</f>
        <v>42990</v>
      </c>
      <c r="U94" s="98">
        <f ca="1"/>
        <v>-1.6359991142919796E-4</v>
      </c>
      <c r="V94" s="5" t="s">
        <v>4</v>
      </c>
      <c r="W94" s="84" t="s">
        <v>4</v>
      </c>
    </row>
    <row r="95" spans="1:23" x14ac:dyDescent="0.25">
      <c r="A95" s="90">
        <v>76</v>
      </c>
      <c r="B95" s="83"/>
      <c r="C95" s="100">
        <f ca="1">_xll.meDateFromTenor(C94,"1D","FOLLOWING",D$12)</f>
        <v>42626</v>
      </c>
      <c r="D95" s="13">
        <f ca="1">_xll.meDateFromTenor(C95,D$14,D$11,D$12)</f>
        <v>42627</v>
      </c>
      <c r="E95" s="98">
        <f ca="1"/>
        <v>-3.7099999999723595E-3</v>
      </c>
      <c r="F95" s="94"/>
      <c r="G95" s="100">
        <f ca="1">_xll.meDateFromTenor(G94,"1D","FOLLOWING",H$12)</f>
        <v>42626</v>
      </c>
      <c r="H95" s="13">
        <f ca="1">_xll.meDateFromTenor(G95,H$14,H$11,H$12)</f>
        <v>42656</v>
      </c>
      <c r="I95" s="98">
        <f ca="1"/>
        <v>-3.6187825009566322E-3</v>
      </c>
      <c r="J95" s="94" t="s">
        <v>4</v>
      </c>
      <c r="K95" s="100">
        <f ca="1">_xll.meDateFromTenor(K94,"1D","FOLLOWING",L$12)</f>
        <v>42626</v>
      </c>
      <c r="L95" s="13">
        <f ca="1">_xll.meDateFromTenor(K95,L$14,L$11,L$12)</f>
        <v>42717</v>
      </c>
      <c r="M95" s="98">
        <f ca="1"/>
        <v>-2.7839097594291773E-3</v>
      </c>
      <c r="N95" s="5" t="s">
        <v>4</v>
      </c>
      <c r="O95" s="100">
        <f ca="1">_xll.meDateFromTenor(O94,"1D","FOLLOWING",P$12)</f>
        <v>42626</v>
      </c>
      <c r="P95" s="13">
        <f ca="1">_xll.meDateFromTenor(O95,P$14,P$11,P$12)</f>
        <v>42807</v>
      </c>
      <c r="Q95" s="98">
        <f ca="1"/>
        <v>-1.4712397767274921E-3</v>
      </c>
      <c r="R95" s="5" t="s">
        <v>4</v>
      </c>
      <c r="S95" s="100">
        <f ca="1">_xll.meDateFromTenor(S94,"1D","FOLLOWING",T$12)</f>
        <v>42626</v>
      </c>
      <c r="T95" s="13">
        <f ca="1">_xll.meDateFromTenor(S95,T$14,T$11,T$12)</f>
        <v>42991</v>
      </c>
      <c r="U95" s="98">
        <f ca="1"/>
        <v>-1.6366973047844837E-4</v>
      </c>
      <c r="V95" s="5" t="s">
        <v>4</v>
      </c>
      <c r="W95" s="84" t="s">
        <v>4</v>
      </c>
    </row>
    <row r="96" spans="1:23" x14ac:dyDescent="0.25">
      <c r="A96" s="90">
        <v>77</v>
      </c>
      <c r="B96" s="83"/>
      <c r="C96" s="100">
        <f ca="1">_xll.meDateFromTenor(C95,"1D","FOLLOWING",D$12)</f>
        <v>42627</v>
      </c>
      <c r="D96" s="13">
        <f ca="1">_xll.meDateFromTenor(C96,D$14,D$11,D$12)</f>
        <v>42628</v>
      </c>
      <c r="E96" s="98">
        <f ca="1"/>
        <v>-3.7099999999323915E-3</v>
      </c>
      <c r="F96" s="94"/>
      <c r="G96" s="100">
        <f ca="1">_xll.meDateFromTenor(G95,"1D","FOLLOWING",H$12)</f>
        <v>42627</v>
      </c>
      <c r="H96" s="13">
        <f ca="1">_xll.meDateFromTenor(G96,H$14,H$11,H$12)</f>
        <v>42657</v>
      </c>
      <c r="I96" s="98">
        <f ca="1"/>
        <v>-3.6200917306868693E-3</v>
      </c>
      <c r="J96" s="94" t="s">
        <v>4</v>
      </c>
      <c r="K96" s="100">
        <f ca="1">_xll.meDateFromTenor(K95,"1D","FOLLOWING",L$12)</f>
        <v>42627</v>
      </c>
      <c r="L96" s="13">
        <f ca="1">_xll.meDateFromTenor(K96,L$14,L$11,L$12)</f>
        <v>42718</v>
      </c>
      <c r="M96" s="98">
        <f ca="1"/>
        <v>-2.7863113547198001E-3</v>
      </c>
      <c r="N96" s="5" t="s">
        <v>4</v>
      </c>
      <c r="O96" s="100">
        <f ca="1">_xll.meDateFromTenor(O95,"1D","FOLLOWING",P$12)</f>
        <v>42627</v>
      </c>
      <c r="P96" s="13">
        <f ca="1">_xll.meDateFromTenor(O96,P$14,P$11,P$12)</f>
        <v>42808</v>
      </c>
      <c r="Q96" s="98">
        <f ca="1"/>
        <v>-1.4709943343735124E-3</v>
      </c>
      <c r="R96" s="5" t="s">
        <v>4</v>
      </c>
      <c r="S96" s="100">
        <f ca="1">_xll.meDateFromTenor(S95,"1D","FOLLOWING",T$12)</f>
        <v>42627</v>
      </c>
      <c r="T96" s="13">
        <f ca="1">_xll.meDateFromTenor(S96,T$14,T$11,T$12)</f>
        <v>42992</v>
      </c>
      <c r="U96" s="98">
        <f ca="1"/>
        <v>-1.6373769058867176E-4</v>
      </c>
      <c r="V96" s="5" t="s">
        <v>4</v>
      </c>
      <c r="W96" s="84" t="s">
        <v>4</v>
      </c>
    </row>
    <row r="97" spans="1:23" x14ac:dyDescent="0.25">
      <c r="A97" s="90">
        <v>78</v>
      </c>
      <c r="B97" s="83"/>
      <c r="C97" s="100">
        <f ca="1">_xll.meDateFromTenor(C96,"1D","FOLLOWING",D$12)</f>
        <v>42628</v>
      </c>
      <c r="D97" s="13">
        <f ca="1">_xll.meDateFromTenor(C97,D$14,D$11,D$12)</f>
        <v>42629</v>
      </c>
      <c r="E97" s="98">
        <f ca="1"/>
        <v>-3.7100000000522956E-3</v>
      </c>
      <c r="F97" s="94"/>
      <c r="G97" s="100">
        <f ca="1">_xll.meDateFromTenor(G96,"1D","FOLLOWING",H$12)</f>
        <v>42628</v>
      </c>
      <c r="H97" s="13">
        <f ca="1">_xll.meDateFromTenor(G97,H$14,H$11,H$12)</f>
        <v>42660</v>
      </c>
      <c r="I97" s="98">
        <f ca="1"/>
        <v>-3.6214019279966767E-3</v>
      </c>
      <c r="J97" s="94" t="s">
        <v>4</v>
      </c>
      <c r="K97" s="100">
        <f ca="1">_xll.meDateFromTenor(K96,"1D","FOLLOWING",L$12)</f>
        <v>42628</v>
      </c>
      <c r="L97" s="13">
        <f ca="1">_xll.meDateFromTenor(K97,L$14,L$11,L$12)</f>
        <v>42719</v>
      </c>
      <c r="M97" s="98">
        <f ca="1"/>
        <v>-2.788735125890029E-3</v>
      </c>
      <c r="N97" s="5" t="s">
        <v>4</v>
      </c>
      <c r="O97" s="100">
        <f ca="1">_xll.meDateFromTenor(O96,"1D","FOLLOWING",P$12)</f>
        <v>42628</v>
      </c>
      <c r="P97" s="13">
        <f ca="1">_xll.meDateFromTenor(O97,P$14,P$11,P$12)</f>
        <v>42809</v>
      </c>
      <c r="Q97" s="98">
        <f ca="1"/>
        <v>-1.4707583136204096E-3</v>
      </c>
      <c r="R97" s="5" t="s">
        <v>4</v>
      </c>
      <c r="S97" s="100">
        <f ca="1">_xll.meDateFromTenor(S96,"1D","FOLLOWING",T$12)</f>
        <v>42628</v>
      </c>
      <c r="T97" s="13">
        <f ca="1">_xll.meDateFromTenor(S97,T$14,T$11,T$12)</f>
        <v>42993</v>
      </c>
      <c r="U97" s="98">
        <f ca="1"/>
        <v>-1.6380377371191644E-4</v>
      </c>
      <c r="V97" s="5" t="s">
        <v>4</v>
      </c>
      <c r="W97" s="84" t="s">
        <v>4</v>
      </c>
    </row>
    <row r="98" spans="1:23" x14ac:dyDescent="0.25">
      <c r="A98" s="90">
        <v>79</v>
      </c>
      <c r="B98" s="83"/>
      <c r="C98" s="100">
        <f ca="1">_xll.meDateFromTenor(C97,"1D","FOLLOWING",D$12)</f>
        <v>42629</v>
      </c>
      <c r="D98" s="13">
        <f ca="1">_xll.meDateFromTenor(C98,D$14,D$11,D$12)</f>
        <v>42632</v>
      </c>
      <c r="E98" s="98">
        <f ca="1"/>
        <v>-3.7100000000123028E-3</v>
      </c>
      <c r="F98" s="94"/>
      <c r="G98" s="100">
        <f ca="1">_xll.meDateFromTenor(G97,"1D","FOLLOWING",H$12)</f>
        <v>42629</v>
      </c>
      <c r="H98" s="13">
        <f ca="1">_xll.meDateFromTenor(G98,H$14,H$11,H$12)</f>
        <v>42660</v>
      </c>
      <c r="I98" s="98">
        <f ca="1"/>
        <v>-3.6227131490140885E-3</v>
      </c>
      <c r="J98" s="94" t="s">
        <v>4</v>
      </c>
      <c r="K98" s="100">
        <f ca="1">_xll.meDateFromTenor(K97,"1D","FOLLOWING",L$12)</f>
        <v>42629</v>
      </c>
      <c r="L98" s="13">
        <f ca="1">_xll.meDateFromTenor(K98,L$14,L$11,L$12)</f>
        <v>42720</v>
      </c>
      <c r="M98" s="98">
        <f ca="1"/>
        <v>-2.7911542290512395E-3</v>
      </c>
      <c r="N98" s="5" t="s">
        <v>4</v>
      </c>
      <c r="O98" s="100">
        <f ca="1">_xll.meDateFromTenor(O97,"1D","FOLLOWING",P$12)</f>
        <v>42629</v>
      </c>
      <c r="P98" s="13">
        <f ca="1">_xll.meDateFromTenor(O98,P$14,P$11,P$12)</f>
        <v>42810</v>
      </c>
      <c r="Q98" s="98">
        <f ca="1"/>
        <v>-1.4705318050604998E-3</v>
      </c>
      <c r="R98" s="5" t="s">
        <v>4</v>
      </c>
      <c r="S98" s="100">
        <f ca="1">_xll.meDateFromTenor(S97,"1D","FOLLOWING",T$12)</f>
        <v>42629</v>
      </c>
      <c r="T98" s="13">
        <f ca="1">_xll.meDateFromTenor(S98,T$14,T$11,T$12)</f>
        <v>42996</v>
      </c>
      <c r="U98" s="98">
        <f ca="1"/>
        <v>-1.6386796180023076E-4</v>
      </c>
      <c r="V98" s="5" t="s">
        <v>4</v>
      </c>
      <c r="W98" s="84" t="s">
        <v>4</v>
      </c>
    </row>
    <row r="99" spans="1:23" x14ac:dyDescent="0.25">
      <c r="A99" s="90">
        <v>80</v>
      </c>
      <c r="B99" s="83"/>
      <c r="C99" s="100">
        <f ca="1">_xll.meDateFromTenor(C98,"1D","FOLLOWING",D$12)</f>
        <v>42632</v>
      </c>
      <c r="D99" s="13">
        <f ca="1">_xll.meDateFromTenor(C99,D$14,D$11,D$12)</f>
        <v>42633</v>
      </c>
      <c r="E99" s="98">
        <f ca="1"/>
        <v>-3.7099999999723595E-3</v>
      </c>
      <c r="F99" s="94"/>
      <c r="G99" s="100">
        <f ca="1">_xll.meDateFromTenor(G98,"1D","FOLLOWING",H$12)</f>
        <v>42632</v>
      </c>
      <c r="H99" s="13">
        <f ca="1">_xll.meDateFromTenor(G99,H$14,H$11,H$12)</f>
        <v>42662</v>
      </c>
      <c r="I99" s="98">
        <f ca="1"/>
        <v>-3.6266535155923159E-3</v>
      </c>
      <c r="J99" s="94" t="s">
        <v>4</v>
      </c>
      <c r="K99" s="100">
        <f ca="1">_xll.meDateFromTenor(K98,"1D","FOLLOWING",L$12)</f>
        <v>42632</v>
      </c>
      <c r="L99" s="13">
        <f ca="1">_xll.meDateFromTenor(K99,L$14,L$11,L$12)</f>
        <v>42723</v>
      </c>
      <c r="M99" s="98">
        <f ca="1"/>
        <v>-2.7981150915945409E-3</v>
      </c>
      <c r="N99" s="5" t="s">
        <v>4</v>
      </c>
      <c r="O99" s="100">
        <f ca="1">_xll.meDateFromTenor(O98,"1D","FOLLOWING",P$12)</f>
        <v>42632</v>
      </c>
      <c r="P99" s="13">
        <f ca="1">_xll.meDateFromTenor(O99,P$14,P$11,P$12)</f>
        <v>42814</v>
      </c>
      <c r="Q99" s="98">
        <f ca="1"/>
        <v>-1.4699102584630887E-3</v>
      </c>
      <c r="R99" s="5" t="s">
        <v>4</v>
      </c>
      <c r="S99" s="100">
        <f ca="1">_xll.meDateFromTenor(S98,"1D","FOLLOWING",T$12)</f>
        <v>42632</v>
      </c>
      <c r="T99" s="13">
        <f ca="1">_xll.meDateFromTenor(S99,T$14,T$11,T$12)</f>
        <v>42997</v>
      </c>
      <c r="U99" s="98">
        <f ca="1"/>
        <v>-1.640489753760738E-4</v>
      </c>
      <c r="V99" s="5" t="s">
        <v>4</v>
      </c>
      <c r="W99" s="84" t="s">
        <v>4</v>
      </c>
    </row>
    <row r="100" spans="1:23" x14ac:dyDescent="0.25">
      <c r="A100" s="90">
        <v>81</v>
      </c>
      <c r="B100" s="83"/>
      <c r="C100" s="100">
        <f ca="1">_xll.meDateFromTenor(C99,"1D","FOLLOWING",D$12)</f>
        <v>42633</v>
      </c>
      <c r="D100" s="13">
        <f ca="1">_xll.meDateFromTenor(C100,D$14,D$11,D$12)</f>
        <v>42634</v>
      </c>
      <c r="E100" s="98">
        <f ca="1"/>
        <v>-3.7099999999323915E-3</v>
      </c>
      <c r="F100" s="94"/>
      <c r="G100" s="100">
        <f ca="1">_xll.meDateFromTenor(G99,"1D","FOLLOWING",H$12)</f>
        <v>42633</v>
      </c>
      <c r="H100" s="13">
        <f ca="1">_xll.meDateFromTenor(G100,H$14,H$11,H$12)</f>
        <v>42663</v>
      </c>
      <c r="I100" s="98">
        <f ca="1"/>
        <v>-3.6279693927205084E-3</v>
      </c>
      <c r="J100" s="94" t="s">
        <v>4</v>
      </c>
      <c r="K100" s="100">
        <f ca="1">_xll.meDateFromTenor(K99,"1D","FOLLOWING",L$12)</f>
        <v>42633</v>
      </c>
      <c r="L100" s="13">
        <f ca="1">_xll.meDateFromTenor(K100,L$14,L$11,L$12)</f>
        <v>42724</v>
      </c>
      <c r="M100" s="98">
        <f ca="1"/>
        <v>-2.8002470838334563E-3</v>
      </c>
      <c r="N100" s="5" t="s">
        <v>4</v>
      </c>
      <c r="O100" s="100">
        <f ca="1">_xll.meDateFromTenor(O99,"1D","FOLLOWING",P$12)</f>
        <v>42633</v>
      </c>
      <c r="P100" s="13">
        <f ca="1">_xll.meDateFromTenor(O100,P$14,P$11,P$12)</f>
        <v>42814</v>
      </c>
      <c r="Q100" s="98">
        <f ca="1"/>
        <v>-1.4697227045991116E-3</v>
      </c>
      <c r="R100" s="5" t="s">
        <v>4</v>
      </c>
      <c r="S100" s="100">
        <f ca="1">_xll.meDateFromTenor(S99,"1D","FOLLOWING",T$12)</f>
        <v>42633</v>
      </c>
      <c r="T100" s="13">
        <f ca="1">_xll.meDateFromTenor(S100,T$14,T$11,T$12)</f>
        <v>42998</v>
      </c>
      <c r="U100" s="98">
        <f ca="1"/>
        <v>-1.6410540284514917E-4</v>
      </c>
      <c r="V100" s="5" t="s">
        <v>4</v>
      </c>
      <c r="W100" s="84" t="s">
        <v>4</v>
      </c>
    </row>
    <row r="101" spans="1:23" x14ac:dyDescent="0.25">
      <c r="A101" s="90">
        <v>82</v>
      </c>
      <c r="B101" s="83"/>
      <c r="C101" s="100">
        <f ca="1">_xll.meDateFromTenor(C100,"1D","FOLLOWING",D$12)</f>
        <v>42634</v>
      </c>
      <c r="D101" s="13">
        <f ca="1">_xll.meDateFromTenor(C101,D$14,D$11,D$12)</f>
        <v>42635</v>
      </c>
      <c r="E101" s="98">
        <f ca="1"/>
        <v>-3.7099999999323915E-3</v>
      </c>
      <c r="F101" s="94"/>
      <c r="G101" s="100">
        <f ca="1">_xll.meDateFromTenor(G100,"1D","FOLLOWING",H$12)</f>
        <v>42634</v>
      </c>
      <c r="H101" s="13">
        <f ca="1">_xll.meDateFromTenor(G101,H$14,H$11,H$12)</f>
        <v>42664</v>
      </c>
      <c r="I101" s="98">
        <f ca="1"/>
        <v>-3.6292865741964849E-3</v>
      </c>
      <c r="J101" s="94" t="s">
        <v>4</v>
      </c>
      <c r="K101" s="100">
        <f ca="1">_xll.meDateFromTenor(K100,"1D","FOLLOWING",L$12)</f>
        <v>42634</v>
      </c>
      <c r="L101" s="13">
        <f ca="1">_xll.meDateFromTenor(K101,L$14,L$11,L$12)</f>
        <v>42725</v>
      </c>
      <c r="M101" s="98">
        <f ca="1"/>
        <v>-2.8022401886202415E-3</v>
      </c>
      <c r="N101" s="5" t="s">
        <v>4</v>
      </c>
      <c r="O101" s="100">
        <f ca="1">_xll.meDateFromTenor(O100,"1D","FOLLOWING",P$12)</f>
        <v>42634</v>
      </c>
      <c r="P101" s="13">
        <f ca="1">_xll.meDateFromTenor(O101,P$14,P$11,P$12)</f>
        <v>42815</v>
      </c>
      <c r="Q101" s="98">
        <f ca="1"/>
        <v>-1.469545115889908E-3</v>
      </c>
      <c r="R101" s="5" t="s">
        <v>4</v>
      </c>
      <c r="S101" s="100">
        <f ca="1">_xll.meDateFromTenor(S100,"1D","FOLLOWING",T$12)</f>
        <v>42634</v>
      </c>
      <c r="T101" s="13">
        <f ca="1">_xll.meDateFromTenor(S101,T$14,T$11,T$12)</f>
        <v>42999</v>
      </c>
      <c r="U101" s="98">
        <f ca="1"/>
        <v>-1.6415984503953551E-4</v>
      </c>
      <c r="V101" s="5" t="s">
        <v>4</v>
      </c>
      <c r="W101" s="84" t="s">
        <v>4</v>
      </c>
    </row>
    <row r="102" spans="1:23" x14ac:dyDescent="0.25">
      <c r="A102" s="90">
        <v>83</v>
      </c>
      <c r="B102" s="83"/>
      <c r="C102" s="100">
        <f ca="1">_xll.meDateFromTenor(C101,"1D","FOLLOWING",D$12)</f>
        <v>42635</v>
      </c>
      <c r="D102" s="13">
        <f ca="1">_xll.meDateFromTenor(C102,D$14,D$11,D$12)</f>
        <v>42636</v>
      </c>
      <c r="E102" s="98">
        <f ca="1"/>
        <v>-3.7100000000123276E-3</v>
      </c>
      <c r="F102" s="94"/>
      <c r="G102" s="100">
        <f ca="1">_xll.meDateFromTenor(G101,"1D","FOLLOWING",H$12)</f>
        <v>42635</v>
      </c>
      <c r="H102" s="13">
        <f ca="1">_xll.meDateFromTenor(G102,H$14,H$11,H$12)</f>
        <v>42667</v>
      </c>
      <c r="I102" s="98">
        <f ca="1"/>
        <v>-3.6306051161482823E-3</v>
      </c>
      <c r="J102" s="94" t="s">
        <v>4</v>
      </c>
      <c r="K102" s="100">
        <f ca="1">_xll.meDateFromTenor(K101,"1D","FOLLOWING",L$12)</f>
        <v>42635</v>
      </c>
      <c r="L102" s="13">
        <f ca="1">_xll.meDateFromTenor(K102,L$14,L$11,L$12)</f>
        <v>42726</v>
      </c>
      <c r="M102" s="98">
        <f ca="1"/>
        <v>-2.8040895476243379E-3</v>
      </c>
      <c r="N102" s="5" t="s">
        <v>4</v>
      </c>
      <c r="O102" s="100">
        <f ca="1">_xll.meDateFromTenor(O101,"1D","FOLLOWING",P$12)</f>
        <v>42635</v>
      </c>
      <c r="P102" s="13">
        <f ca="1">_xll.meDateFromTenor(O102,P$14,P$11,P$12)</f>
        <v>42816</v>
      </c>
      <c r="Q102" s="98">
        <f ca="1"/>
        <v>-1.4693775829277937E-3</v>
      </c>
      <c r="R102" s="5" t="s">
        <v>4</v>
      </c>
      <c r="S102" s="100">
        <f ca="1">_xll.meDateFromTenor(S101,"1D","FOLLOWING",T$12)</f>
        <v>42635</v>
      </c>
      <c r="T102" s="13">
        <f ca="1">_xll.meDateFromTenor(S102,T$14,T$11,T$12)</f>
        <v>43000</v>
      </c>
      <c r="U102" s="98">
        <f ca="1"/>
        <v>-1.6421228391128107E-4</v>
      </c>
      <c r="V102" s="5" t="s">
        <v>4</v>
      </c>
      <c r="W102" s="84" t="s">
        <v>4</v>
      </c>
    </row>
    <row r="103" spans="1:23" x14ac:dyDescent="0.25">
      <c r="A103" s="90">
        <v>84</v>
      </c>
      <c r="B103" s="83"/>
      <c r="C103" s="100">
        <f ca="1">_xll.meDateFromTenor(C102,"1D","FOLLOWING",D$12)</f>
        <v>42636</v>
      </c>
      <c r="D103" s="13">
        <f ca="1">_xll.meDateFromTenor(C103,D$14,D$11,D$12)</f>
        <v>42639</v>
      </c>
      <c r="E103" s="98">
        <f ca="1"/>
        <v>-3.7099999999989802E-3</v>
      </c>
      <c r="F103" s="94"/>
      <c r="G103" s="100">
        <f ca="1">_xll.meDateFromTenor(G102,"1D","FOLLOWING",H$12)</f>
        <v>42636</v>
      </c>
      <c r="H103" s="13">
        <f ca="1">_xll.meDateFromTenor(G103,H$14,H$11,H$12)</f>
        <v>42667</v>
      </c>
      <c r="I103" s="98">
        <f ca="1"/>
        <v>-3.6319250747039351E-3</v>
      </c>
      <c r="J103" s="94" t="s">
        <v>4</v>
      </c>
      <c r="K103" s="100">
        <f ca="1">_xll.meDateFromTenor(K102,"1D","FOLLOWING",L$12)</f>
        <v>42636</v>
      </c>
      <c r="L103" s="13">
        <f ca="1">_xll.meDateFromTenor(K103,L$14,L$11,L$12)</f>
        <v>42727</v>
      </c>
      <c r="M103" s="98">
        <f ca="1"/>
        <v>-2.8058782447474371E-3</v>
      </c>
      <c r="N103" s="5" t="s">
        <v>4</v>
      </c>
      <c r="O103" s="100">
        <f ca="1">_xll.meDateFromTenor(O102,"1D","FOLLOWING",P$12)</f>
        <v>42636</v>
      </c>
      <c r="P103" s="13">
        <f ca="1">_xll.meDateFromTenor(O103,P$14,P$11,P$12)</f>
        <v>42817</v>
      </c>
      <c r="Q103" s="98">
        <f ca="1"/>
        <v>-1.4692201963050851E-3</v>
      </c>
      <c r="R103" s="5" t="s">
        <v>4</v>
      </c>
      <c r="S103" s="100">
        <f ca="1">_xll.meDateFromTenor(S102,"1D","FOLLOWING",T$12)</f>
        <v>42636</v>
      </c>
      <c r="T103" s="13">
        <f ca="1">_xll.meDateFromTenor(S103,T$14,T$11,T$12)</f>
        <v>43003</v>
      </c>
      <c r="U103" s="98">
        <f ca="1"/>
        <v>-1.6426270141243424E-4</v>
      </c>
      <c r="V103" s="5" t="s">
        <v>4</v>
      </c>
      <c r="W103" s="84" t="s">
        <v>4</v>
      </c>
    </row>
    <row r="104" spans="1:23" x14ac:dyDescent="0.25">
      <c r="A104" s="90">
        <v>85</v>
      </c>
      <c r="B104" s="83"/>
      <c r="C104" s="100">
        <f ca="1">_xll.meDateFromTenor(C103,"1D","FOLLOWING",D$12)</f>
        <v>42639</v>
      </c>
      <c r="D104" s="13">
        <f ca="1">_xll.meDateFromTenor(C104,D$14,D$11,D$12)</f>
        <v>42640</v>
      </c>
      <c r="E104" s="98">
        <f ca="1"/>
        <v>-3.7099999999723595E-3</v>
      </c>
      <c r="F104" s="94"/>
      <c r="G104" s="100">
        <f ca="1">_xll.meDateFromTenor(G103,"1D","FOLLOWING",H$12)</f>
        <v>42639</v>
      </c>
      <c r="H104" s="13">
        <f ca="1">_xll.meDateFromTenor(G104,H$14,H$11,H$12)</f>
        <v>42669</v>
      </c>
      <c r="I104" s="98">
        <f ca="1"/>
        <v>-3.6358940112743909E-3</v>
      </c>
      <c r="J104" s="94" t="s">
        <v>4</v>
      </c>
      <c r="K104" s="100">
        <f ca="1">_xll.meDateFromTenor(K103,"1D","FOLLOWING",L$12)</f>
        <v>42639</v>
      </c>
      <c r="L104" s="13">
        <f ca="1">_xll.meDateFromTenor(K104,L$14,L$11,L$12)</f>
        <v>42731</v>
      </c>
      <c r="M104" s="98">
        <f ca="1"/>
        <v>-2.8113375066022074E-3</v>
      </c>
      <c r="N104" s="5" t="s">
        <v>4</v>
      </c>
      <c r="O104" s="100">
        <f ca="1">_xll.meDateFromTenor(O103,"1D","FOLLOWING",P$12)</f>
        <v>42639</v>
      </c>
      <c r="P104" s="13">
        <f ca="1">_xll.meDateFromTenor(O104,P$14,P$11,P$12)</f>
        <v>42821</v>
      </c>
      <c r="Q104" s="98">
        <f ca="1"/>
        <v>-1.4688098203965553E-3</v>
      </c>
      <c r="R104" s="5" t="s">
        <v>4</v>
      </c>
      <c r="S104" s="100">
        <f ca="1">_xll.meDateFromTenor(S103,"1D","FOLLOWING",T$12)</f>
        <v>42639</v>
      </c>
      <c r="T104" s="13">
        <f ca="1">_xll.meDateFromTenor(S104,T$14,T$11,T$12)</f>
        <v>43004</v>
      </c>
      <c r="U104" s="98">
        <f ca="1"/>
        <v>-1.6440164521282173E-4</v>
      </c>
      <c r="V104" s="5" t="s">
        <v>4</v>
      </c>
      <c r="W104" s="84" t="s">
        <v>4</v>
      </c>
    </row>
    <row r="105" spans="1:23" x14ac:dyDescent="0.25">
      <c r="A105" s="90">
        <v>86</v>
      </c>
      <c r="B105" s="83"/>
      <c r="C105" s="100">
        <f ca="1">_xll.meDateFromTenor(C104,"1D","FOLLOWING",D$12)</f>
        <v>42640</v>
      </c>
      <c r="D105" s="13">
        <f ca="1">_xll.meDateFromTenor(C105,D$14,D$11,D$12)</f>
        <v>42641</v>
      </c>
      <c r="E105" s="98">
        <f ca="1"/>
        <v>-3.7099999999323915E-3</v>
      </c>
      <c r="F105" s="94"/>
      <c r="G105" s="100">
        <f ca="1">_xll.meDateFromTenor(G104,"1D","FOLLOWING",H$12)</f>
        <v>42640</v>
      </c>
      <c r="H105" s="13">
        <f ca="1">_xll.meDateFromTenor(G105,H$14,H$11,H$12)</f>
        <v>42670</v>
      </c>
      <c r="I105" s="98">
        <f ca="1"/>
        <v>-3.6372201975258278E-3</v>
      </c>
      <c r="J105" s="94" t="s">
        <v>4</v>
      </c>
      <c r="K105" s="100">
        <f ca="1">_xll.meDateFromTenor(K104,"1D","FOLLOWING",L$12)</f>
        <v>42640</v>
      </c>
      <c r="L105" s="13">
        <f ca="1">_xll.meDateFromTenor(K105,L$14,L$11,L$12)</f>
        <v>42731</v>
      </c>
      <c r="M105" s="98">
        <f ca="1"/>
        <v>-2.8131543570018278E-3</v>
      </c>
      <c r="N105" s="5" t="s">
        <v>4</v>
      </c>
      <c r="O105" s="100">
        <f ca="1">_xll.meDateFromTenor(O104,"1D","FOLLOWING",P$12)</f>
        <v>42640</v>
      </c>
      <c r="P105" s="13">
        <f ca="1">_xll.meDateFromTenor(O105,P$14,P$11,P$12)</f>
        <v>42821</v>
      </c>
      <c r="Q105" s="98">
        <f ca="1"/>
        <v>-1.4686939250546311E-3</v>
      </c>
      <c r="R105" s="5" t="s">
        <v>4</v>
      </c>
      <c r="S105" s="100">
        <f ca="1">_xll.meDateFromTenor(S104,"1D","FOLLOWING",T$12)</f>
        <v>42640</v>
      </c>
      <c r="T105" s="13">
        <f ca="1">_xll.meDateFromTenor(S105,T$14,T$11,T$12)</f>
        <v>43005</v>
      </c>
      <c r="U105" s="98">
        <f ca="1"/>
        <v>-1.6444379675208787E-4</v>
      </c>
      <c r="V105" s="5" t="s">
        <v>4</v>
      </c>
      <c r="W105" s="84" t="s">
        <v>4</v>
      </c>
    </row>
    <row r="106" spans="1:23" x14ac:dyDescent="0.25">
      <c r="A106" s="90">
        <v>87</v>
      </c>
      <c r="B106" s="83"/>
      <c r="C106" s="100">
        <f ca="1">_xll.meDateFromTenor(C105,"1D","FOLLOWING",D$12)</f>
        <v>42641</v>
      </c>
      <c r="D106" s="13">
        <f ca="1">_xll.meDateFromTenor(C106,D$14,D$11,D$12)</f>
        <v>42642</v>
      </c>
      <c r="E106" s="98">
        <f ca="1"/>
        <v>-3.7100000000522214E-3</v>
      </c>
      <c r="F106" s="94"/>
      <c r="G106" s="100">
        <f ca="1">_xll.meDateFromTenor(G105,"1D","FOLLOWING",H$12)</f>
        <v>42641</v>
      </c>
      <c r="H106" s="13">
        <f ca="1">_xll.meDateFromTenor(G106,H$14,H$11,H$12)</f>
        <v>42671</v>
      </c>
      <c r="I106" s="98">
        <f ca="1"/>
        <v>-3.6385480810213E-3</v>
      </c>
      <c r="J106" s="94" t="s">
        <v>4</v>
      </c>
      <c r="K106" s="100">
        <f ca="1">_xll.meDateFromTenor(K105,"1D","FOLLOWING",L$12)</f>
        <v>42641</v>
      </c>
      <c r="L106" s="13">
        <f ca="1">_xll.meDateFromTenor(K106,L$14,L$11,L$12)</f>
        <v>42732</v>
      </c>
      <c r="M106" s="98">
        <f ca="1"/>
        <v>-2.8149728015606345E-3</v>
      </c>
      <c r="N106" s="5" t="s">
        <v>4</v>
      </c>
      <c r="O106" s="100">
        <f ca="1">_xll.meDateFromTenor(O105,"1D","FOLLOWING",P$12)</f>
        <v>42641</v>
      </c>
      <c r="P106" s="13">
        <f ca="1">_xll.meDateFromTenor(O106,P$14,P$11,P$12)</f>
        <v>42822</v>
      </c>
      <c r="Q106" s="98">
        <f ca="1"/>
        <v>-1.4685886290136927E-3</v>
      </c>
      <c r="R106" s="5" t="s">
        <v>4</v>
      </c>
      <c r="S106" s="100">
        <f ca="1">_xll.meDateFromTenor(S105,"1D","FOLLOWING",T$12)</f>
        <v>42641</v>
      </c>
      <c r="T106" s="13">
        <f ca="1">_xll.meDateFromTenor(S106,T$14,T$11,T$12)</f>
        <v>43006</v>
      </c>
      <c r="U106" s="98">
        <f ca="1"/>
        <v>-1.6448383668100295E-4</v>
      </c>
      <c r="V106" s="5" t="s">
        <v>4</v>
      </c>
      <c r="W106" s="84" t="s">
        <v>4</v>
      </c>
    </row>
    <row r="107" spans="1:23" x14ac:dyDescent="0.25">
      <c r="A107" s="90">
        <v>88</v>
      </c>
      <c r="B107" s="83"/>
      <c r="C107" s="100">
        <f ca="1">_xll.meDateFromTenor(C106,"1D","FOLLOWING",D$12)</f>
        <v>42642</v>
      </c>
      <c r="D107" s="13">
        <f ca="1">_xll.meDateFromTenor(C107,D$14,D$11,D$12)</f>
        <v>42643</v>
      </c>
      <c r="E107" s="98">
        <f ca="1"/>
        <v>-3.7100000000123276E-3</v>
      </c>
      <c r="F107" s="94"/>
      <c r="G107" s="100">
        <f ca="1">_xll.meDateFromTenor(G106,"1D","FOLLOWING",H$12)</f>
        <v>42642</v>
      </c>
      <c r="H107" s="13">
        <f ca="1">_xll.meDateFromTenor(G107,H$14,H$11,H$12)</f>
        <v>42674</v>
      </c>
      <c r="I107" s="98">
        <f ca="1"/>
        <v>-3.6398777178888431E-3</v>
      </c>
      <c r="J107" s="94" t="s">
        <v>4</v>
      </c>
      <c r="K107" s="100">
        <f ca="1">_xll.meDateFromTenor(K106,"1D","FOLLOWING",L$12)</f>
        <v>42642</v>
      </c>
      <c r="L107" s="13">
        <f ca="1">_xll.meDateFromTenor(K107,L$14,L$11,L$12)</f>
        <v>42733</v>
      </c>
      <c r="M107" s="98">
        <f ca="1"/>
        <v>-2.8167924131290234E-3</v>
      </c>
      <c r="N107" s="5" t="s">
        <v>4</v>
      </c>
      <c r="O107" s="100">
        <f ca="1">_xll.meDateFromTenor(O106,"1D","FOLLOWING",P$12)</f>
        <v>42642</v>
      </c>
      <c r="P107" s="13">
        <f ca="1">_xll.meDateFromTenor(O107,P$14,P$11,P$12)</f>
        <v>42823</v>
      </c>
      <c r="Q107" s="98">
        <f ca="1"/>
        <v>-1.4684940228660572E-3</v>
      </c>
      <c r="R107" s="5" t="s">
        <v>4</v>
      </c>
      <c r="S107" s="100">
        <f ca="1">_xll.meDateFromTenor(S106,"1D","FOLLOWING",T$12)</f>
        <v>42642</v>
      </c>
      <c r="T107" s="13">
        <f ca="1">_xll.meDateFromTenor(S107,T$14,T$11,T$12)</f>
        <v>43007</v>
      </c>
      <c r="U107" s="98">
        <f ca="1"/>
        <v>-1.6452174695161527E-4</v>
      </c>
      <c r="V107" s="5" t="s">
        <v>4</v>
      </c>
      <c r="W107" s="84" t="s">
        <v>4</v>
      </c>
    </row>
    <row r="108" spans="1:23" x14ac:dyDescent="0.25">
      <c r="A108" s="90">
        <v>89</v>
      </c>
      <c r="B108" s="83"/>
      <c r="C108" s="100">
        <f ca="1">_xll.meDateFromTenor(C107,"1D","FOLLOWING",D$12)</f>
        <v>42643</v>
      </c>
      <c r="D108" s="13">
        <f ca="1">_xll.meDateFromTenor(C108,D$14,D$11,D$12)</f>
        <v>42646</v>
      </c>
      <c r="E108" s="98">
        <f ca="1"/>
        <v>-3.7099999999990049E-3</v>
      </c>
      <c r="F108" s="94"/>
      <c r="G108" s="100">
        <f ca="1">_xll.meDateFromTenor(G107,"1D","FOLLOWING",H$12)</f>
        <v>42643</v>
      </c>
      <c r="H108" s="13">
        <f ca="1">_xll.meDateFromTenor(G108,H$14,H$11,H$12)</f>
        <v>42674</v>
      </c>
      <c r="I108" s="98">
        <f ca="1"/>
        <v>-3.6412091642564932E-3</v>
      </c>
      <c r="J108" s="94" t="s">
        <v>4</v>
      </c>
      <c r="K108" s="100">
        <f ca="1">_xll.meDateFromTenor(K107,"1D","FOLLOWING",L$12)</f>
        <v>42643</v>
      </c>
      <c r="L108" s="13">
        <f ca="1">_xll.meDateFromTenor(K108,L$14,L$11,L$12)</f>
        <v>42734</v>
      </c>
      <c r="M108" s="98">
        <f ca="1"/>
        <v>-2.8186115975478085E-3</v>
      </c>
      <c r="N108" s="5" t="s">
        <v>4</v>
      </c>
      <c r="O108" s="100">
        <f ca="1">_xll.meDateFromTenor(O107,"1D","FOLLOWING",P$12)</f>
        <v>42643</v>
      </c>
      <c r="P108" s="13">
        <f ca="1">_xll.meDateFromTenor(O108,P$14,P$11,P$12)</f>
        <v>42824</v>
      </c>
      <c r="Q108" s="98">
        <f ca="1"/>
        <v>-1.4684101972040403E-3</v>
      </c>
      <c r="R108" s="5" t="s">
        <v>4</v>
      </c>
      <c r="S108" s="100">
        <f ca="1">_xll.meDateFromTenor(S107,"1D","FOLLOWING",T$12)</f>
        <v>42643</v>
      </c>
      <c r="T108" s="13">
        <f ca="1">_xll.meDateFromTenor(S108,T$14,T$11,T$12)</f>
        <v>43007</v>
      </c>
      <c r="U108" s="98">
        <f ca="1"/>
        <v>-1.6455750951597305E-4</v>
      </c>
      <c r="V108" s="5" t="s">
        <v>4</v>
      </c>
      <c r="W108" s="84" t="s">
        <v>4</v>
      </c>
    </row>
    <row r="109" spans="1:23" x14ac:dyDescent="0.25">
      <c r="A109" s="90">
        <v>90</v>
      </c>
      <c r="B109" s="83"/>
      <c r="C109" s="100">
        <f ca="1">_xll.meDateFromTenor(C108,"1D","FOLLOWING",D$12)</f>
        <v>42646</v>
      </c>
      <c r="D109" s="13">
        <f ca="1">_xll.meDateFromTenor(C109,D$14,D$11,D$12)</f>
        <v>42647</v>
      </c>
      <c r="E109" s="98">
        <f ca="1"/>
        <v>-3.7100000000123276E-3</v>
      </c>
      <c r="F109" s="94"/>
      <c r="G109" s="100">
        <f ca="1">_xll.meDateFromTenor(G108,"1D","FOLLOWING",H$12)</f>
        <v>42646</v>
      </c>
      <c r="H109" s="13">
        <f ca="1">_xll.meDateFromTenor(G109,H$14,H$11,H$12)</f>
        <v>42677</v>
      </c>
      <c r="I109" s="98">
        <f ca="1"/>
        <v>-3.6452149216404449E-3</v>
      </c>
      <c r="J109" s="94" t="s">
        <v>4</v>
      </c>
      <c r="K109" s="100">
        <f ca="1">_xll.meDateFromTenor(K108,"1D","FOLLOWING",L$12)</f>
        <v>42646</v>
      </c>
      <c r="L109" s="13">
        <f ca="1">_xll.meDateFromTenor(K109,L$14,L$11,L$12)</f>
        <v>42738</v>
      </c>
      <c r="M109" s="98">
        <f ca="1"/>
        <v>-2.8240685253834142E-3</v>
      </c>
      <c r="N109" s="5" t="s">
        <v>4</v>
      </c>
      <c r="O109" s="100">
        <f ca="1">_xll.meDateFromTenor(O108,"1D","FOLLOWING",P$12)</f>
        <v>42646</v>
      </c>
      <c r="P109" s="13">
        <f ca="1">_xll.meDateFromTenor(O109,P$14,P$11,P$12)</f>
        <v>42828</v>
      </c>
      <c r="Q109" s="98">
        <f ca="1"/>
        <v>-1.468224309054862E-3</v>
      </c>
      <c r="R109" s="5" t="s">
        <v>4</v>
      </c>
      <c r="S109" s="100">
        <f ca="1">_xll.meDateFromTenor(S108,"1D","FOLLOWING",T$12)</f>
        <v>42646</v>
      </c>
      <c r="T109" s="13">
        <f ca="1">_xll.meDateFromTenor(S109,T$14,T$11,T$12)</f>
        <v>43011</v>
      </c>
      <c r="U109" s="98">
        <f ca="1"/>
        <v>-1.6465173049200242E-4</v>
      </c>
      <c r="V109" s="5" t="s">
        <v>4</v>
      </c>
      <c r="W109" s="84" t="s">
        <v>4</v>
      </c>
    </row>
    <row r="110" spans="1:23" x14ac:dyDescent="0.25">
      <c r="A110" s="90">
        <v>91</v>
      </c>
      <c r="B110" s="83"/>
      <c r="C110" s="100">
        <f ca="1">_xll.meDateFromTenor(C109,"1D","FOLLOWING",D$12)</f>
        <v>42647</v>
      </c>
      <c r="D110" s="13">
        <f ca="1">_xll.meDateFromTenor(C110,D$14,D$11,D$12)</f>
        <v>42648</v>
      </c>
      <c r="E110" s="98">
        <f ca="1"/>
        <v>-3.7099999999323174E-3</v>
      </c>
      <c r="F110" s="94"/>
      <c r="G110" s="100">
        <f ca="1">_xll.meDateFromTenor(G109,"1D","FOLLOWING",H$12)</f>
        <v>42647</v>
      </c>
      <c r="H110" s="13">
        <f ca="1">_xll.meDateFromTenor(G110,H$14,H$11,H$12)</f>
        <v>42678</v>
      </c>
      <c r="I110" s="98">
        <f ca="1"/>
        <v>-3.6465541275184422E-3</v>
      </c>
      <c r="J110" s="94" t="s">
        <v>4</v>
      </c>
      <c r="K110" s="100">
        <f ca="1">_xll.meDateFromTenor(K109,"1D","FOLLOWING",L$12)</f>
        <v>42647</v>
      </c>
      <c r="L110" s="13">
        <f ca="1">_xll.meDateFromTenor(K110,L$14,L$11,L$12)</f>
        <v>42739</v>
      </c>
      <c r="M110" s="98">
        <f ca="1"/>
        <v>-2.8258875647556602E-3</v>
      </c>
      <c r="N110" s="5" t="s">
        <v>4</v>
      </c>
      <c r="O110" s="100">
        <f ca="1">_xll.meDateFromTenor(O109,"1D","FOLLOWING",P$12)</f>
        <v>42647</v>
      </c>
      <c r="P110" s="13">
        <f ca="1">_xll.meDateFromTenor(O110,P$14,P$11,P$12)</f>
        <v>42829</v>
      </c>
      <c r="Q110" s="98">
        <f ca="1"/>
        <v>-1.4681845112584804E-3</v>
      </c>
      <c r="R110" s="5" t="s">
        <v>4</v>
      </c>
      <c r="S110" s="100">
        <f ca="1">_xll.meDateFromTenor(S109,"1D","FOLLOWING",T$12)</f>
        <v>42647</v>
      </c>
      <c r="T110" s="13">
        <f ca="1">_xll.meDateFromTenor(S110,T$14,T$11,T$12)</f>
        <v>43012</v>
      </c>
      <c r="U110" s="98">
        <f ca="1"/>
        <v>-1.6467872175182511E-4</v>
      </c>
      <c r="V110" s="5" t="s">
        <v>4</v>
      </c>
      <c r="W110" s="84" t="s">
        <v>4</v>
      </c>
    </row>
    <row r="111" spans="1:23" x14ac:dyDescent="0.25">
      <c r="A111" s="90">
        <v>92</v>
      </c>
      <c r="B111" s="83"/>
      <c r="C111" s="100">
        <f ca="1">_xll.meDateFromTenor(C110,"1D","FOLLOWING",D$12)</f>
        <v>42648</v>
      </c>
      <c r="D111" s="13">
        <f ca="1">_xll.meDateFromTenor(C111,D$14,D$11,D$12)</f>
        <v>42649</v>
      </c>
      <c r="E111" s="98">
        <f ca="1"/>
        <v>-3.7100000000123276E-3</v>
      </c>
      <c r="F111" s="94"/>
      <c r="G111" s="100">
        <f ca="1">_xll.meDateFromTenor(G110,"1D","FOLLOWING",H$12)</f>
        <v>42648</v>
      </c>
      <c r="H111" s="13">
        <f ca="1">_xll.meDateFromTenor(G111,H$14,H$11,H$12)</f>
        <v>42681</v>
      </c>
      <c r="I111" s="98">
        <f ca="1"/>
        <v>-3.6478951849140883E-3</v>
      </c>
      <c r="J111" s="94" t="s">
        <v>4</v>
      </c>
      <c r="K111" s="100">
        <f ca="1">_xll.meDateFromTenor(K110,"1D","FOLLOWING",L$12)</f>
        <v>42648</v>
      </c>
      <c r="L111" s="13">
        <f ca="1">_xll.meDateFromTenor(K111,L$14,L$11,L$12)</f>
        <v>42740</v>
      </c>
      <c r="M111" s="98">
        <f ca="1"/>
        <v>-2.8277065815106098E-3</v>
      </c>
      <c r="N111" s="5" t="s">
        <v>4</v>
      </c>
      <c r="O111" s="100">
        <f ca="1">_xll.meDateFromTenor(O110,"1D","FOLLOWING",P$12)</f>
        <v>42648</v>
      </c>
      <c r="P111" s="13">
        <f ca="1">_xll.meDateFromTenor(O111,P$14,P$11,P$12)</f>
        <v>42830</v>
      </c>
      <c r="Q111" s="98">
        <f ca="1"/>
        <v>-1.468155946909298E-3</v>
      </c>
      <c r="R111" s="5" t="s">
        <v>4</v>
      </c>
      <c r="S111" s="100">
        <f ca="1">_xll.meDateFromTenor(S110,"1D","FOLLOWING",T$12)</f>
        <v>42648</v>
      </c>
      <c r="T111" s="13">
        <f ca="1">_xll.meDateFromTenor(S111,T$14,T$11,T$12)</f>
        <v>43013</v>
      </c>
      <c r="U111" s="98">
        <f ca="1"/>
        <v>-1.6470347506563471E-4</v>
      </c>
      <c r="V111" s="5" t="s">
        <v>4</v>
      </c>
      <c r="W111" s="84" t="s">
        <v>4</v>
      </c>
    </row>
    <row r="112" spans="1:23" x14ac:dyDescent="0.25">
      <c r="A112" s="90">
        <v>93</v>
      </c>
      <c r="B112" s="83"/>
      <c r="C112" s="100">
        <f ca="1">_xll.meDateFromTenor(C111,"1D","FOLLOWING",D$12)</f>
        <v>42649</v>
      </c>
      <c r="D112" s="13">
        <f ca="1">_xll.meDateFromTenor(C112,D$14,D$11,D$12)</f>
        <v>42650</v>
      </c>
      <c r="E112" s="98">
        <f ca="1"/>
        <v>-3.7099999999723595E-3</v>
      </c>
      <c r="F112" s="94"/>
      <c r="G112" s="100">
        <f ca="1">_xll.meDateFromTenor(G111,"1D","FOLLOWING",H$12)</f>
        <v>42649</v>
      </c>
      <c r="H112" s="13">
        <f ca="1">_xll.meDateFromTenor(G112,H$14,H$11,H$12)</f>
        <v>42681</v>
      </c>
      <c r="I112" s="98">
        <f ca="1"/>
        <v>-3.6492379113327827E-3</v>
      </c>
      <c r="J112" s="94" t="s">
        <v>4</v>
      </c>
      <c r="K112" s="100">
        <f ca="1">_xll.meDateFromTenor(K111,"1D","FOLLOWING",L$12)</f>
        <v>42649</v>
      </c>
      <c r="L112" s="13">
        <f ca="1">_xll.meDateFromTenor(K112,L$14,L$11,L$12)</f>
        <v>42741</v>
      </c>
      <c r="M112" s="98">
        <f ca="1"/>
        <v>-2.8295256062555747E-3</v>
      </c>
      <c r="N112" s="5" t="s">
        <v>4</v>
      </c>
      <c r="O112" s="100">
        <f ca="1">_xll.meDateFromTenor(O111,"1D","FOLLOWING",P$12)</f>
        <v>42649</v>
      </c>
      <c r="P112" s="13">
        <f ca="1">_xll.meDateFromTenor(O112,P$14,P$11,P$12)</f>
        <v>42831</v>
      </c>
      <c r="Q112" s="98">
        <f ca="1"/>
        <v>-1.4681387065996309E-3</v>
      </c>
      <c r="R112" s="5" t="s">
        <v>4</v>
      </c>
      <c r="S112" s="100">
        <f ca="1">_xll.meDateFromTenor(S111,"1D","FOLLOWING",T$12)</f>
        <v>42649</v>
      </c>
      <c r="T112" s="13">
        <f ca="1">_xll.meDateFromTenor(S112,T$14,T$11,T$12)</f>
        <v>43014</v>
      </c>
      <c r="U112" s="98">
        <f ca="1"/>
        <v>-1.6472597238547952E-4</v>
      </c>
      <c r="V112" s="5" t="s">
        <v>4</v>
      </c>
      <c r="W112" s="84" t="s">
        <v>4</v>
      </c>
    </row>
    <row r="113" spans="1:23" x14ac:dyDescent="0.25">
      <c r="A113" s="90">
        <v>94</v>
      </c>
      <c r="B113" s="83"/>
      <c r="C113" s="100">
        <f ca="1">_xll.meDateFromTenor(C112,"1D","FOLLOWING",D$12)</f>
        <v>42650</v>
      </c>
      <c r="D113" s="13">
        <f ca="1">_xll.meDateFromTenor(C113,D$14,D$11,D$12)</f>
        <v>42653</v>
      </c>
      <c r="E113" s="98">
        <f ca="1"/>
        <v>-3.7100000000256502E-3</v>
      </c>
      <c r="F113" s="94"/>
      <c r="G113" s="100">
        <f ca="1">_xll.meDateFromTenor(G112,"1D","FOLLOWING",H$12)</f>
        <v>42650</v>
      </c>
      <c r="H113" s="13">
        <f ca="1">_xll.meDateFromTenor(G113,H$14,H$11,H$12)</f>
        <v>42681</v>
      </c>
      <c r="I113" s="98">
        <f ca="1"/>
        <v>-3.6505821242799222E-3</v>
      </c>
      <c r="J113" s="94" t="s">
        <v>4</v>
      </c>
      <c r="K113" s="100">
        <f ca="1">_xll.meDateFromTenor(K112,"1D","FOLLOWING",L$12)</f>
        <v>42650</v>
      </c>
      <c r="L113" s="13">
        <f ca="1">_xll.meDateFromTenor(K113,L$14,L$11,L$12)</f>
        <v>42744</v>
      </c>
      <c r="M113" s="98">
        <f ca="1"/>
        <v>-2.8313446376378049E-3</v>
      </c>
      <c r="N113" s="5" t="s">
        <v>4</v>
      </c>
      <c r="O113" s="100">
        <f ca="1">_xll.meDateFromTenor(O112,"1D","FOLLOWING",P$12)</f>
        <v>42650</v>
      </c>
      <c r="P113" s="13">
        <f ca="1">_xll.meDateFromTenor(O113,P$14,P$11,P$12)</f>
        <v>42832</v>
      </c>
      <c r="Q113" s="98">
        <f ca="1"/>
        <v>-1.4681328809217952E-3</v>
      </c>
      <c r="R113" s="5" t="s">
        <v>4</v>
      </c>
      <c r="S113" s="100">
        <f ca="1">_xll.meDateFromTenor(S112,"1D","FOLLOWING",T$12)</f>
        <v>42650</v>
      </c>
      <c r="T113" s="13">
        <f ca="1">_xll.meDateFromTenor(S113,T$14,T$11,T$12)</f>
        <v>43017</v>
      </c>
      <c r="U113" s="98">
        <f ca="1"/>
        <v>-1.647461956634078E-4</v>
      </c>
      <c r="V113" s="5" t="s">
        <v>4</v>
      </c>
      <c r="W113" s="84" t="s">
        <v>4</v>
      </c>
    </row>
    <row r="114" spans="1:23" x14ac:dyDescent="0.25">
      <c r="A114" s="90">
        <v>95</v>
      </c>
      <c r="B114" s="83"/>
      <c r="C114" s="100">
        <f ca="1">_xll.meDateFromTenor(C113,"1D","FOLLOWING",D$12)</f>
        <v>42653</v>
      </c>
      <c r="D114" s="13">
        <f ca="1">_xll.meDateFromTenor(C114,D$14,D$11,D$12)</f>
        <v>42654</v>
      </c>
      <c r="E114" s="98">
        <f ca="1"/>
        <v>-3.7099999999323174E-3</v>
      </c>
      <c r="F114" s="94"/>
      <c r="G114" s="100">
        <f ca="1">_xll.meDateFromTenor(G113,"1D","FOLLOWING",H$12)</f>
        <v>42653</v>
      </c>
      <c r="H114" s="13">
        <f ca="1">_xll.meDateFromTenor(G114,H$14,H$11,H$12)</f>
        <v>42684</v>
      </c>
      <c r="I114" s="98">
        <f ca="1"/>
        <v>-3.6546218573460078E-3</v>
      </c>
      <c r="J114" s="94" t="s">
        <v>4</v>
      </c>
      <c r="K114" s="100">
        <f ca="1">_xll.meDateFromTenor(K113,"1D","FOLLOWING",L$12)</f>
        <v>42653</v>
      </c>
      <c r="L114" s="13">
        <f ca="1">_xll.meDateFromTenor(K114,L$14,L$11,L$12)</f>
        <v>42745</v>
      </c>
      <c r="M114" s="98">
        <f ca="1"/>
        <v>-2.8368017172837007E-3</v>
      </c>
      <c r="N114" s="5" t="s">
        <v>4</v>
      </c>
      <c r="O114" s="100">
        <f ca="1">_xll.meDateFromTenor(O113,"1D","FOLLOWING",P$12)</f>
        <v>42653</v>
      </c>
      <c r="P114" s="13">
        <f ca="1">_xll.meDateFromTenor(O114,P$14,P$11,P$12)</f>
        <v>42835</v>
      </c>
      <c r="Q114" s="98">
        <f ca="1"/>
        <v>-1.4681847976024381E-3</v>
      </c>
      <c r="R114" s="5" t="s">
        <v>4</v>
      </c>
      <c r="S114" s="100">
        <f ca="1">_xll.meDateFromTenor(S113,"1D","FOLLOWING",T$12)</f>
        <v>42653</v>
      </c>
      <c r="T114" s="13">
        <f ca="1">_xll.meDateFromTenor(S114,T$14,T$11,T$12)</f>
        <v>43018</v>
      </c>
      <c r="U114" s="98">
        <f ca="1"/>
        <v>-1.647930407661764E-4</v>
      </c>
      <c r="V114" s="5" t="s">
        <v>4</v>
      </c>
      <c r="W114" s="84" t="s">
        <v>4</v>
      </c>
    </row>
    <row r="115" spans="1:23" x14ac:dyDescent="0.25">
      <c r="A115" s="90">
        <v>96</v>
      </c>
      <c r="B115" s="83"/>
      <c r="C115" s="100">
        <f ca="1">_xll.meDateFromTenor(C114,"1D","FOLLOWING",D$12)</f>
        <v>42654</v>
      </c>
      <c r="D115" s="13">
        <f ca="1">_xll.meDateFromTenor(C115,D$14,D$11,D$12)</f>
        <v>42655</v>
      </c>
      <c r="E115" s="98">
        <f ca="1"/>
        <v>-3.7100000000123276E-3</v>
      </c>
      <c r="F115" s="94"/>
      <c r="G115" s="100">
        <f ca="1">_xll.meDateFromTenor(G114,"1D","FOLLOWING",H$12)</f>
        <v>42654</v>
      </c>
      <c r="H115" s="13">
        <f ca="1">_xll.meDateFromTenor(G115,H$14,H$11,H$12)</f>
        <v>42685</v>
      </c>
      <c r="I115" s="98">
        <f ca="1"/>
        <v>-3.6559701914609202E-3</v>
      </c>
      <c r="J115" s="94" t="s">
        <v>4</v>
      </c>
      <c r="K115" s="100">
        <f ca="1">_xll.meDateFromTenor(K114,"1D","FOLLOWING",L$12)</f>
        <v>42654</v>
      </c>
      <c r="L115" s="13">
        <f ca="1">_xll.meDateFromTenor(K115,L$14,L$11,L$12)</f>
        <v>42746</v>
      </c>
      <c r="M115" s="98">
        <f ca="1"/>
        <v>-2.8386207498921957E-3</v>
      </c>
      <c r="N115" s="5" t="s">
        <v>4</v>
      </c>
      <c r="O115" s="100">
        <f ca="1">_xll.meDateFromTenor(O114,"1D","FOLLOWING",P$12)</f>
        <v>42654</v>
      </c>
      <c r="P115" s="13">
        <f ca="1">_xll.meDateFromTenor(O115,P$14,P$11,P$12)</f>
        <v>42836</v>
      </c>
      <c r="Q115" s="98">
        <f ca="1"/>
        <v>-1.4682255363750894E-3</v>
      </c>
      <c r="R115" s="5" t="s">
        <v>4</v>
      </c>
      <c r="S115" s="100">
        <f ca="1">_xll.meDateFromTenor(S114,"1D","FOLLOWING",T$12)</f>
        <v>42654</v>
      </c>
      <c r="T115" s="13">
        <f ca="1">_xll.meDateFromTenor(S115,T$14,T$11,T$12)</f>
        <v>43019</v>
      </c>
      <c r="U115" s="98">
        <f ca="1"/>
        <v>-1.6480398739692146E-4</v>
      </c>
      <c r="V115" s="5" t="s">
        <v>4</v>
      </c>
      <c r="W115" s="84" t="s">
        <v>4</v>
      </c>
    </row>
    <row r="116" spans="1:23" x14ac:dyDescent="0.25">
      <c r="A116" s="90">
        <v>97</v>
      </c>
      <c r="B116" s="83"/>
      <c r="C116" s="100">
        <f ca="1">_xll.meDateFromTenor(C115,"1D","FOLLOWING",D$12)</f>
        <v>42655</v>
      </c>
      <c r="D116" s="13">
        <f ca="1">_xll.meDateFromTenor(C116,D$14,D$11,D$12)</f>
        <v>42656</v>
      </c>
      <c r="E116" s="98">
        <f ca="1"/>
        <v>-3.7099999999723595E-3</v>
      </c>
      <c r="F116" s="94"/>
      <c r="G116" s="100">
        <f ca="1">_xll.meDateFromTenor(G115,"1D","FOLLOWING",H$12)</f>
        <v>42655</v>
      </c>
      <c r="H116" s="13">
        <f ca="1">_xll.meDateFromTenor(G116,H$14,H$11,H$12)</f>
        <v>42688</v>
      </c>
      <c r="I116" s="98">
        <f ca="1"/>
        <v>-3.657319099631272E-3</v>
      </c>
      <c r="J116" s="94" t="s">
        <v>4</v>
      </c>
      <c r="K116" s="100">
        <f ca="1">_xll.meDateFromTenor(K115,"1D","FOLLOWING",L$12)</f>
        <v>42655</v>
      </c>
      <c r="L116" s="13">
        <f ca="1">_xll.meDateFromTenor(K116,L$14,L$11,L$12)</f>
        <v>42747</v>
      </c>
      <c r="M116" s="98">
        <f ca="1"/>
        <v>-2.8404397941695007E-3</v>
      </c>
      <c r="N116" s="5" t="s">
        <v>4</v>
      </c>
      <c r="O116" s="100">
        <f ca="1">_xll.meDateFromTenor(O115,"1D","FOLLOWING",P$12)</f>
        <v>42655</v>
      </c>
      <c r="P116" s="13">
        <f ca="1">_xll.meDateFromTenor(O116,P$14,P$11,P$12)</f>
        <v>42837</v>
      </c>
      <c r="Q116" s="98">
        <f ca="1"/>
        <v>-1.4682781427411524E-3</v>
      </c>
      <c r="R116" s="5" t="s">
        <v>4</v>
      </c>
      <c r="S116" s="100">
        <f ca="1">_xll.meDateFromTenor(S115,"1D","FOLLOWING",T$12)</f>
        <v>42655</v>
      </c>
      <c r="T116" s="13">
        <f ca="1">_xll.meDateFromTenor(S116,T$14,T$11,T$12)</f>
        <v>43020</v>
      </c>
      <c r="U116" s="98">
        <f ca="1"/>
        <v>-1.6481256974599137E-4</v>
      </c>
      <c r="V116" s="5" t="s">
        <v>4</v>
      </c>
      <c r="W116" s="84" t="s">
        <v>4</v>
      </c>
    </row>
    <row r="117" spans="1:23" x14ac:dyDescent="0.25">
      <c r="A117" s="90">
        <v>98</v>
      </c>
      <c r="B117" s="83"/>
      <c r="C117" s="100">
        <f ca="1">_xll.meDateFromTenor(C116,"1D","FOLLOWING",D$12)</f>
        <v>42656</v>
      </c>
      <c r="D117" s="13">
        <f ca="1">_xll.meDateFromTenor(C117,D$14,D$11,D$12)</f>
        <v>42657</v>
      </c>
      <c r="E117" s="98">
        <f ca="1"/>
        <v>-3.7100000000522956E-3</v>
      </c>
      <c r="F117" s="94"/>
      <c r="G117" s="100">
        <f ca="1">_xll.meDateFromTenor(G116,"1D","FOLLOWING",H$12)</f>
        <v>42656</v>
      </c>
      <c r="H117" s="13">
        <f ca="1">_xll.meDateFromTenor(G117,H$14,H$11,H$12)</f>
        <v>42688</v>
      </c>
      <c r="I117" s="98">
        <f ca="1"/>
        <v>-3.6586683993624623E-3</v>
      </c>
      <c r="J117" s="94" t="s">
        <v>4</v>
      </c>
      <c r="K117" s="100">
        <f ca="1">_xll.meDateFromTenor(K116,"1D","FOLLOWING",L$12)</f>
        <v>42656</v>
      </c>
      <c r="L117" s="13">
        <f ca="1">_xll.meDateFromTenor(K117,L$14,L$11,L$12)</f>
        <v>42748</v>
      </c>
      <c r="M117" s="98">
        <f ca="1"/>
        <v>-2.8422588060193913E-3</v>
      </c>
      <c r="N117" s="5" t="s">
        <v>4</v>
      </c>
      <c r="O117" s="100">
        <f ca="1">_xll.meDateFromTenor(O116,"1D","FOLLOWING",P$12)</f>
        <v>42656</v>
      </c>
      <c r="P117" s="13">
        <f ca="1">_xll.meDateFromTenor(O117,P$14,P$11,P$12)</f>
        <v>42838</v>
      </c>
      <c r="Q117" s="98">
        <f ca="1"/>
        <v>-1.4683427072929439E-3</v>
      </c>
      <c r="R117" s="5" t="s">
        <v>4</v>
      </c>
      <c r="S117" s="100">
        <f ca="1">_xll.meDateFromTenor(S116,"1D","FOLLOWING",T$12)</f>
        <v>42656</v>
      </c>
      <c r="T117" s="13">
        <f ca="1">_xll.meDateFromTenor(S117,T$14,T$11,T$12)</f>
        <v>43021</v>
      </c>
      <c r="U117" s="98">
        <f ca="1"/>
        <v>-1.6481876976543448E-4</v>
      </c>
      <c r="V117" s="5" t="s">
        <v>4</v>
      </c>
      <c r="W117" s="84" t="s">
        <v>4</v>
      </c>
    </row>
    <row r="118" spans="1:23" x14ac:dyDescent="0.25">
      <c r="A118" s="90">
        <v>99</v>
      </c>
      <c r="B118" s="83"/>
      <c r="C118" s="100">
        <f ca="1">_xll.meDateFromTenor(C117,"1D","FOLLOWING",D$12)</f>
        <v>42657</v>
      </c>
      <c r="D118" s="13">
        <f ca="1">_xll.meDateFromTenor(C118,D$14,D$11,D$12)</f>
        <v>42660</v>
      </c>
      <c r="E118" s="98">
        <f ca="1"/>
        <v>-3.7099999999989802E-3</v>
      </c>
      <c r="F118" s="94"/>
      <c r="G118" s="100">
        <f ca="1">_xll.meDateFromTenor(G117,"1D","FOLLOWING",H$12)</f>
        <v>42657</v>
      </c>
      <c r="H118" s="13">
        <f ca="1">_xll.meDateFromTenor(G118,H$14,H$11,H$12)</f>
        <v>42688</v>
      </c>
      <c r="I118" s="98">
        <f ca="1"/>
        <v>-3.6600179081598891E-3</v>
      </c>
      <c r="J118" s="94" t="s">
        <v>4</v>
      </c>
      <c r="K118" s="100">
        <f ca="1">_xll.meDateFromTenor(K117,"1D","FOLLOWING",L$12)</f>
        <v>42657</v>
      </c>
      <c r="L118" s="13">
        <f ca="1">_xll.meDateFromTenor(K118,L$14,L$11,L$12)</f>
        <v>42751</v>
      </c>
      <c r="M118" s="98">
        <f ca="1"/>
        <v>-2.8440777737730582E-3</v>
      </c>
      <c r="N118" s="5" t="s">
        <v>4</v>
      </c>
      <c r="O118" s="100">
        <f ca="1">_xll.meDateFromTenor(O117,"1D","FOLLOWING",P$12)</f>
        <v>42657</v>
      </c>
      <c r="P118" s="13">
        <f ca="1">_xll.meDateFromTenor(O118,P$14,P$11,P$12)</f>
        <v>42843</v>
      </c>
      <c r="Q118" s="98">
        <f ca="1"/>
        <v>-1.4684193206227797E-3</v>
      </c>
      <c r="R118" s="5" t="s">
        <v>4</v>
      </c>
      <c r="S118" s="100">
        <f ca="1">_xll.meDateFromTenor(S117,"1D","FOLLOWING",T$12)</f>
        <v>42657</v>
      </c>
      <c r="T118" s="13">
        <f ca="1">_xll.meDateFromTenor(S118,T$14,T$11,T$12)</f>
        <v>43024</v>
      </c>
      <c r="U118" s="98">
        <f ca="1"/>
        <v>-1.6482256940729905E-4</v>
      </c>
      <c r="V118" s="5" t="s">
        <v>4</v>
      </c>
      <c r="W118" s="84" t="s">
        <v>4</v>
      </c>
    </row>
    <row r="119" spans="1:23" x14ac:dyDescent="0.25">
      <c r="A119" s="90">
        <v>100</v>
      </c>
      <c r="B119" s="83"/>
      <c r="C119" s="100">
        <f ca="1">_xll.meDateFromTenor(C118,"1D","FOLLOWING",D$12)</f>
        <v>42660</v>
      </c>
      <c r="D119" s="13">
        <f ca="1">_xll.meDateFromTenor(C119,D$14,D$11,D$12)</f>
        <v>42661</v>
      </c>
      <c r="E119" s="98">
        <f ca="1"/>
        <v>-3.7099999999723595E-3</v>
      </c>
      <c r="F119" s="94"/>
      <c r="G119" s="100">
        <f ca="1">_xll.meDateFromTenor(G118,"1D","FOLLOWING",H$12)</f>
        <v>42660</v>
      </c>
      <c r="H119" s="13">
        <f ca="1">_xll.meDateFromTenor(G119,H$14,H$11,H$12)</f>
        <v>42691</v>
      </c>
      <c r="I119" s="98">
        <f ca="1"/>
        <v>-3.6640658640035785E-3</v>
      </c>
      <c r="J119" s="94" t="s">
        <v>4</v>
      </c>
      <c r="K119" s="100">
        <f ca="1">_xll.meDateFromTenor(K118,"1D","FOLLOWING",L$12)</f>
        <v>42660</v>
      </c>
      <c r="L119" s="13">
        <f ca="1">_xll.meDateFromTenor(K119,L$14,L$11,L$12)</f>
        <v>42752</v>
      </c>
      <c r="M119" s="98">
        <f ca="1"/>
        <v>-2.849534918273782E-3</v>
      </c>
      <c r="N119" s="5" t="s">
        <v>4</v>
      </c>
      <c r="O119" s="100">
        <f ca="1">_xll.meDateFromTenor(O118,"1D","FOLLOWING",P$12)</f>
        <v>42660</v>
      </c>
      <c r="P119" s="13">
        <f ca="1">_xll.meDateFromTenor(O119,P$14,P$11,P$12)</f>
        <v>42843</v>
      </c>
      <c r="Q119" s="98">
        <f ca="1"/>
        <v>-1.4687223592037139E-3</v>
      </c>
      <c r="R119" s="5" t="s">
        <v>4</v>
      </c>
      <c r="S119" s="100">
        <f ca="1">_xll.meDateFromTenor(S118,"1D","FOLLOWING",T$12)</f>
        <v>42660</v>
      </c>
      <c r="T119" s="13">
        <f ca="1">_xll.meDateFromTenor(S119,T$14,T$11,T$12)</f>
        <v>43025</v>
      </c>
      <c r="U119" s="98">
        <f ca="1"/>
        <v>-1.6481938558790427E-4</v>
      </c>
      <c r="V119" s="5" t="s">
        <v>4</v>
      </c>
      <c r="W119" s="84" t="s">
        <v>4</v>
      </c>
    </row>
    <row r="120" spans="1:23" x14ac:dyDescent="0.25">
      <c r="A120" s="90">
        <v>101</v>
      </c>
      <c r="B120" s="83"/>
      <c r="C120" s="100">
        <f ca="1">_xll.meDateFromTenor(C119,"1D","FOLLOWING",D$12)</f>
        <v>42661</v>
      </c>
      <c r="D120" s="13">
        <f ca="1">_xll.meDateFromTenor(C120,D$14,D$11,D$12)</f>
        <v>42662</v>
      </c>
      <c r="E120" s="98">
        <f ca="1"/>
        <v>-3.7099999999723595E-3</v>
      </c>
      <c r="F120" s="94"/>
      <c r="G120" s="100">
        <f ca="1">_xll.meDateFromTenor(G119,"1D","FOLLOWING",H$12)</f>
        <v>42661</v>
      </c>
      <c r="H120" s="13">
        <f ca="1">_xll.meDateFromTenor(G120,H$14,H$11,H$12)</f>
        <v>42692</v>
      </c>
      <c r="I120" s="98">
        <f ca="1"/>
        <v>-3.6654143841199395E-3</v>
      </c>
      <c r="J120" s="94" t="s">
        <v>4</v>
      </c>
      <c r="K120" s="100">
        <f ca="1">_xll.meDateFromTenor(K119,"1D","FOLLOWING",L$12)</f>
        <v>42661</v>
      </c>
      <c r="L120" s="13">
        <f ca="1">_xll.meDateFromTenor(K120,L$14,L$11,L$12)</f>
        <v>42753</v>
      </c>
      <c r="M120" s="98">
        <f ca="1"/>
        <v>-2.8513531065432465E-3</v>
      </c>
      <c r="N120" s="5" t="s">
        <v>4</v>
      </c>
      <c r="O120" s="100">
        <f ca="1">_xll.meDateFromTenor(O119,"1D","FOLLOWING",P$12)</f>
        <v>42661</v>
      </c>
      <c r="P120" s="13">
        <f ca="1">_xll.meDateFromTenor(O120,P$14,P$11,P$12)</f>
        <v>42843</v>
      </c>
      <c r="Q120" s="98">
        <f ca="1"/>
        <v>-1.4688480735688878E-3</v>
      </c>
      <c r="R120" s="5" t="s">
        <v>4</v>
      </c>
      <c r="S120" s="100">
        <f ca="1">_xll.meDateFromTenor(S119,"1D","FOLLOWING",T$12)</f>
        <v>42661</v>
      </c>
      <c r="T120" s="13">
        <f ca="1">_xll.meDateFromTenor(S120,T$14,T$11,T$12)</f>
        <v>43026</v>
      </c>
      <c r="U120" s="98">
        <f ca="1"/>
        <v>-1.6481340323993749E-4</v>
      </c>
      <c r="V120" s="5" t="s">
        <v>4</v>
      </c>
      <c r="W120" s="84" t="s">
        <v>4</v>
      </c>
    </row>
    <row r="121" spans="1:23" x14ac:dyDescent="0.25">
      <c r="A121" s="90">
        <v>102</v>
      </c>
      <c r="B121" s="83"/>
      <c r="C121" s="100">
        <f ca="1">_xll.meDateFromTenor(C120,"1D","FOLLOWING",D$12)</f>
        <v>42662</v>
      </c>
      <c r="D121" s="13">
        <f ca="1">_xll.meDateFromTenor(C121,D$14,D$11,D$12)</f>
        <v>42663</v>
      </c>
      <c r="E121" s="98">
        <f ca="1"/>
        <v>-3.7099999999323915E-3</v>
      </c>
      <c r="F121" s="94"/>
      <c r="G121" s="100">
        <f ca="1">_xll.meDateFromTenor(G120,"1D","FOLLOWING",H$12)</f>
        <v>42662</v>
      </c>
      <c r="H121" s="13">
        <f ca="1">_xll.meDateFromTenor(G121,H$14,H$11,H$12)</f>
        <v>42695</v>
      </c>
      <c r="I121" s="98">
        <f ca="1"/>
        <v>-3.6667622008295306E-3</v>
      </c>
      <c r="J121" s="94" t="s">
        <v>4</v>
      </c>
      <c r="K121" s="100">
        <f ca="1">_xll.meDateFromTenor(K120,"1D","FOLLOWING",L$12)</f>
        <v>42662</v>
      </c>
      <c r="L121" s="13">
        <f ca="1">_xll.meDateFromTenor(K121,L$14,L$11,L$12)</f>
        <v>42754</v>
      </c>
      <c r="M121" s="98">
        <f ca="1"/>
        <v>-2.8531729744009776E-3</v>
      </c>
      <c r="N121" s="5" t="s">
        <v>4</v>
      </c>
      <c r="O121" s="100">
        <f ca="1">_xll.meDateFromTenor(O120,"1D","FOLLOWING",P$12)</f>
        <v>42662</v>
      </c>
      <c r="P121" s="13">
        <f ca="1">_xll.meDateFromTenor(O121,P$14,P$11,P$12)</f>
        <v>42844</v>
      </c>
      <c r="Q121" s="98">
        <f ca="1"/>
        <v>-1.4689862896736868E-3</v>
      </c>
      <c r="R121" s="5" t="s">
        <v>4</v>
      </c>
      <c r="S121" s="100">
        <f ca="1">_xll.meDateFromTenor(S120,"1D","FOLLOWING",T$12)</f>
        <v>42662</v>
      </c>
      <c r="T121" s="13">
        <f ca="1">_xll.meDateFromTenor(S121,T$14,T$11,T$12)</f>
        <v>43027</v>
      </c>
      <c r="U121" s="98">
        <f ca="1"/>
        <v>-1.6480493027463353E-4</v>
      </c>
      <c r="V121" s="5" t="s">
        <v>4</v>
      </c>
      <c r="W121" s="84" t="s">
        <v>4</v>
      </c>
    </row>
    <row r="122" spans="1:23" x14ac:dyDescent="0.25">
      <c r="A122" s="90">
        <v>103</v>
      </c>
      <c r="B122" s="83"/>
      <c r="C122" s="100">
        <f ca="1">_xll.meDateFromTenor(C121,"1D","FOLLOWING",D$12)</f>
        <v>42663</v>
      </c>
      <c r="D122" s="13">
        <f ca="1">_xll.meDateFromTenor(C122,D$14,D$11,D$12)</f>
        <v>42664</v>
      </c>
      <c r="E122" s="98">
        <f ca="1"/>
        <v>-3.8200000000010582E-3</v>
      </c>
      <c r="F122" s="94"/>
      <c r="G122" s="100">
        <f ca="1">_xll.meDateFromTenor(G121,"1D","FOLLOWING",H$12)</f>
        <v>42663</v>
      </c>
      <c r="H122" s="13">
        <f ca="1">_xll.meDateFromTenor(G122,H$14,H$11,H$12)</f>
        <v>42695</v>
      </c>
      <c r="I122" s="98">
        <f ca="1"/>
        <v>-3.6681091316377512E-3</v>
      </c>
      <c r="J122" s="94" t="s">
        <v>4</v>
      </c>
      <c r="K122" s="100">
        <f ca="1">_xll.meDateFromTenor(K121,"1D","FOLLOWING",L$12)</f>
        <v>42663</v>
      </c>
      <c r="L122" s="13">
        <f ca="1">_xll.meDateFromTenor(K122,L$14,L$11,L$12)</f>
        <v>42755</v>
      </c>
      <c r="M122" s="98">
        <f ca="1"/>
        <v>-2.8549964612637137E-3</v>
      </c>
      <c r="N122" s="5" t="s">
        <v>4</v>
      </c>
      <c r="O122" s="100">
        <f ca="1">_xll.meDateFromTenor(O121,"1D","FOLLOWING",P$12)</f>
        <v>42663</v>
      </c>
      <c r="P122" s="13">
        <f ca="1">_xll.meDateFromTenor(O122,P$14,P$11,P$12)</f>
        <v>42845</v>
      </c>
      <c r="Q122" s="98">
        <f ca="1"/>
        <v>-1.469137098110427E-3</v>
      </c>
      <c r="R122" s="5" t="s">
        <v>4</v>
      </c>
      <c r="S122" s="100">
        <f ca="1">_xll.meDateFromTenor(S121,"1D","FOLLOWING",T$12)</f>
        <v>42663</v>
      </c>
      <c r="T122" s="13">
        <f ca="1">_xll.meDateFromTenor(S122,T$14,T$11,T$12)</f>
        <v>43028</v>
      </c>
      <c r="U122" s="98">
        <f ca="1"/>
        <v>-1.6479394864404076E-4</v>
      </c>
      <c r="V122" s="5" t="s">
        <v>4</v>
      </c>
      <c r="W122" s="84" t="s">
        <v>4</v>
      </c>
    </row>
    <row r="123" spans="1:23" x14ac:dyDescent="0.25">
      <c r="A123" s="90">
        <v>104</v>
      </c>
      <c r="B123" s="83"/>
      <c r="C123" s="100">
        <f ca="1">_xll.meDateFromTenor(C122,"1D","FOLLOWING",D$12)</f>
        <v>42664</v>
      </c>
      <c r="D123" s="13">
        <f ca="1">_xll.meDateFromTenor(C123,D$14,D$11,D$12)</f>
        <v>42667</v>
      </c>
      <c r="E123" s="98">
        <f ca="1"/>
        <v>-3.8200000000010331E-3</v>
      </c>
      <c r="F123" s="94"/>
      <c r="G123" s="100">
        <f ca="1">_xll.meDateFromTenor(G122,"1D","FOLLOWING",H$12)</f>
        <v>42664</v>
      </c>
      <c r="H123" s="13">
        <f ca="1">_xll.meDateFromTenor(G123,H$14,H$11,H$12)</f>
        <v>42695</v>
      </c>
      <c r="I123" s="98">
        <f ca="1"/>
        <v>-3.6694549940499985E-3</v>
      </c>
      <c r="J123" s="94" t="s">
        <v>4</v>
      </c>
      <c r="K123" s="100">
        <f ca="1">_xll.meDateFromTenor(K122,"1D","FOLLOWING",L$12)</f>
        <v>42664</v>
      </c>
      <c r="L123" s="13">
        <f ca="1">_xll.meDateFromTenor(K123,L$14,L$11,L$12)</f>
        <v>42758</v>
      </c>
      <c r="M123" s="98">
        <f ca="1"/>
        <v>-2.8568216277171364E-3</v>
      </c>
      <c r="N123" s="5" t="s">
        <v>4</v>
      </c>
      <c r="O123" s="100">
        <f ca="1">_xll.meDateFromTenor(O122,"1D","FOLLOWING",P$12)</f>
        <v>42664</v>
      </c>
      <c r="P123" s="13">
        <f ca="1">_xll.meDateFromTenor(O123,P$14,P$11,P$12)</f>
        <v>42846</v>
      </c>
      <c r="Q123" s="98">
        <f ca="1"/>
        <v>-1.4693005894714239E-3</v>
      </c>
      <c r="R123" s="5" t="s">
        <v>4</v>
      </c>
      <c r="S123" s="100">
        <f ca="1">_xll.meDateFromTenor(S122,"1D","FOLLOWING",T$12)</f>
        <v>42664</v>
      </c>
      <c r="T123" s="13">
        <f ca="1">_xll.meDateFromTenor(S123,T$14,T$11,T$12)</f>
        <v>43031</v>
      </c>
      <c r="U123" s="98">
        <f ca="1"/>
        <v>-1.6478044030020738E-4</v>
      </c>
      <c r="V123" s="5" t="s">
        <v>4</v>
      </c>
      <c r="W123" s="84" t="s">
        <v>4</v>
      </c>
    </row>
    <row r="124" spans="1:23" x14ac:dyDescent="0.25">
      <c r="A124" s="90">
        <v>105</v>
      </c>
      <c r="B124" s="83"/>
      <c r="C124" s="100">
        <f ca="1">_xll.meDateFromTenor(C123,"1D","FOLLOWING",D$12)</f>
        <v>42667</v>
      </c>
      <c r="D124" s="13">
        <f ca="1">_xll.meDateFromTenor(C124,D$14,D$11,D$12)</f>
        <v>42668</v>
      </c>
      <c r="E124" s="98">
        <f ca="1"/>
        <v>-3.8200000000010582E-3</v>
      </c>
      <c r="F124" s="94"/>
      <c r="G124" s="100">
        <f ca="1">_xll.meDateFromTenor(G123,"1D","FOLLOWING",H$12)</f>
        <v>42667</v>
      </c>
      <c r="H124" s="13">
        <f ca="1">_xll.meDateFromTenor(G124,H$14,H$11,H$12)</f>
        <v>42698</v>
      </c>
      <c r="I124" s="98">
        <f ca="1"/>
        <v>-3.6734843459648933E-3</v>
      </c>
      <c r="J124" s="94" t="s">
        <v>4</v>
      </c>
      <c r="K124" s="100">
        <f ca="1">_xll.meDateFromTenor(K123,"1D","FOLLOWING",L$12)</f>
        <v>42667</v>
      </c>
      <c r="L124" s="13">
        <f ca="1">_xll.meDateFromTenor(K124,L$14,L$11,L$12)</f>
        <v>42759</v>
      </c>
      <c r="M124" s="98">
        <f ca="1"/>
        <v>-2.8622945473681383E-3</v>
      </c>
      <c r="N124" s="5" t="s">
        <v>4</v>
      </c>
      <c r="O124" s="100">
        <f ca="1">_xll.meDateFromTenor(O123,"1D","FOLLOWING",P$12)</f>
        <v>42667</v>
      </c>
      <c r="P124" s="13">
        <f ca="1">_xll.meDateFromTenor(O124,P$14,P$11,P$12)</f>
        <v>42849</v>
      </c>
      <c r="Q124" s="98">
        <f ca="1"/>
        <v>-1.4698680670231193E-3</v>
      </c>
      <c r="R124" s="5" t="s">
        <v>4</v>
      </c>
      <c r="S124" s="100">
        <f ca="1">_xll.meDateFromTenor(S123,"1D","FOLLOWING",T$12)</f>
        <v>42667</v>
      </c>
      <c r="T124" s="13">
        <f ca="1">_xll.meDateFromTenor(S124,T$14,T$11,T$12)</f>
        <v>43032</v>
      </c>
      <c r="U124" s="98">
        <f ca="1"/>
        <v>-1.6472457450974668E-4</v>
      </c>
      <c r="V124" s="5" t="s">
        <v>4</v>
      </c>
      <c r="W124" s="84" t="s">
        <v>4</v>
      </c>
    </row>
    <row r="125" spans="1:23" x14ac:dyDescent="0.25">
      <c r="A125" s="90">
        <v>106</v>
      </c>
      <c r="B125" s="83"/>
      <c r="C125" s="100">
        <f ca="1">_xll.meDateFromTenor(C124,"1D","FOLLOWING",D$12)</f>
        <v>42668</v>
      </c>
      <c r="D125" s="13">
        <f ca="1">_xll.meDateFromTenor(C125,D$14,D$11,D$12)</f>
        <v>42669</v>
      </c>
      <c r="E125" s="98">
        <f ca="1"/>
        <v>-3.8200000000010582E-3</v>
      </c>
      <c r="F125" s="94"/>
      <c r="G125" s="100">
        <f ca="1">_xll.meDateFromTenor(G124,"1D","FOLLOWING",H$12)</f>
        <v>42668</v>
      </c>
      <c r="H125" s="13">
        <f ca="1">_xll.meDateFromTenor(G125,H$14,H$11,H$12)</f>
        <v>42699</v>
      </c>
      <c r="I125" s="98">
        <f ca="1"/>
        <v>-3.6748241098472374E-3</v>
      </c>
      <c r="J125" s="94" t="s">
        <v>4</v>
      </c>
      <c r="K125" s="100">
        <f ca="1">_xll.meDateFromTenor(K124,"1D","FOLLOWING",L$12)</f>
        <v>42668</v>
      </c>
      <c r="L125" s="13">
        <f ca="1">_xll.meDateFromTenor(K125,L$14,L$11,L$12)</f>
        <v>42760</v>
      </c>
      <c r="M125" s="98">
        <f ca="1"/>
        <v>-2.8641189343494538E-3</v>
      </c>
      <c r="N125" s="5" t="s">
        <v>4</v>
      </c>
      <c r="O125" s="100">
        <f ca="1">_xll.meDateFromTenor(O124,"1D","FOLLOWING",P$12)</f>
        <v>42668</v>
      </c>
      <c r="P125" s="13">
        <f ca="1">_xll.meDateFromTenor(O125,P$14,P$11,P$12)</f>
        <v>42850</v>
      </c>
      <c r="Q125" s="98">
        <f ca="1"/>
        <v>-1.4700831960043062E-3</v>
      </c>
      <c r="R125" s="5" t="s">
        <v>4</v>
      </c>
      <c r="S125" s="100">
        <f ca="1">_xll.meDateFromTenor(S124,"1D","FOLLOWING",T$12)</f>
        <v>42668</v>
      </c>
      <c r="T125" s="13">
        <f ca="1">_xll.meDateFromTenor(S125,T$14,T$11,T$12)</f>
        <v>43033</v>
      </c>
      <c r="U125" s="98">
        <f ca="1"/>
        <v>-1.647007788334338E-4</v>
      </c>
      <c r="V125" s="5" t="s">
        <v>4</v>
      </c>
      <c r="W125" s="84" t="s">
        <v>4</v>
      </c>
    </row>
    <row r="126" spans="1:23" x14ac:dyDescent="0.25">
      <c r="A126" s="90">
        <v>107</v>
      </c>
      <c r="B126" s="83"/>
      <c r="C126" s="100">
        <f ca="1">_xll.meDateFromTenor(C125,"1D","FOLLOWING",D$12)</f>
        <v>42669</v>
      </c>
      <c r="D126" s="13">
        <f ca="1">_xll.meDateFromTenor(C126,D$14,D$11,D$12)</f>
        <v>42670</v>
      </c>
      <c r="E126" s="98">
        <f ca="1"/>
        <v>-3.8199999999610902E-3</v>
      </c>
      <c r="F126" s="94"/>
      <c r="G126" s="100">
        <f ca="1">_xll.meDateFromTenor(G125,"1D","FOLLOWING",H$12)</f>
        <v>42669</v>
      </c>
      <c r="H126" s="13">
        <f ca="1">_xll.meDateFromTenor(G126,H$14,H$11,H$12)</f>
        <v>42702</v>
      </c>
      <c r="I126" s="98">
        <f ca="1"/>
        <v>-3.676161892860603E-3</v>
      </c>
      <c r="J126" s="94" t="s">
        <v>4</v>
      </c>
      <c r="K126" s="100">
        <f ca="1">_xll.meDateFromTenor(K125,"1D","FOLLOWING",L$12)</f>
        <v>42669</v>
      </c>
      <c r="L126" s="13">
        <f ca="1">_xll.meDateFromTenor(K126,L$14,L$11,L$12)</f>
        <v>42761</v>
      </c>
      <c r="M126" s="98">
        <f ca="1"/>
        <v>-2.8659432772708319E-3</v>
      </c>
      <c r="N126" s="5" t="s">
        <v>4</v>
      </c>
      <c r="O126" s="100">
        <f ca="1">_xll.meDateFromTenor(O125,"1D","FOLLOWING",P$12)</f>
        <v>42669</v>
      </c>
      <c r="P126" s="13">
        <f ca="1">_xll.meDateFromTenor(O126,P$14,P$11,P$12)</f>
        <v>42851</v>
      </c>
      <c r="Q126" s="98">
        <f ca="1"/>
        <v>-1.4703114608713309E-3</v>
      </c>
      <c r="R126" s="5" t="s">
        <v>4</v>
      </c>
      <c r="S126" s="100">
        <f ca="1">_xll.meDateFromTenor(S125,"1D","FOLLOWING",T$12)</f>
        <v>42669</v>
      </c>
      <c r="T126" s="13">
        <f ca="1">_xll.meDateFromTenor(S126,T$14,T$11,T$12)</f>
        <v>43034</v>
      </c>
      <c r="U126" s="98">
        <f ca="1"/>
        <v>-1.6467436620412178E-4</v>
      </c>
      <c r="V126" s="5" t="s">
        <v>4</v>
      </c>
      <c r="W126" s="84" t="s">
        <v>4</v>
      </c>
    </row>
    <row r="127" spans="1:23" x14ac:dyDescent="0.25">
      <c r="A127" s="90">
        <v>108</v>
      </c>
      <c r="B127" s="83"/>
      <c r="C127" s="100">
        <f ca="1">_xll.meDateFromTenor(C126,"1D","FOLLOWING",D$12)</f>
        <v>42670</v>
      </c>
      <c r="D127" s="13">
        <f ca="1">_xll.meDateFromTenor(C127,D$14,D$11,D$12)</f>
        <v>42671</v>
      </c>
      <c r="E127" s="98">
        <f ca="1"/>
        <v>-3.8199999999610139E-3</v>
      </c>
      <c r="F127" s="94"/>
      <c r="G127" s="100">
        <f ca="1">_xll.meDateFromTenor(G126,"1D","FOLLOWING",H$12)</f>
        <v>42670</v>
      </c>
      <c r="H127" s="13">
        <f ca="1">_xll.meDateFromTenor(G127,H$14,H$11,H$12)</f>
        <v>42702</v>
      </c>
      <c r="I127" s="98">
        <f ca="1"/>
        <v>-3.6774975125103875E-3</v>
      </c>
      <c r="J127" s="94" t="s">
        <v>4</v>
      </c>
      <c r="K127" s="100">
        <f ca="1">_xll.meDateFromTenor(K126,"1D","FOLLOWING",L$12)</f>
        <v>42670</v>
      </c>
      <c r="L127" s="13">
        <f ca="1">_xll.meDateFromTenor(K127,L$14,L$11,L$12)</f>
        <v>42762</v>
      </c>
      <c r="M127" s="98">
        <f ca="1"/>
        <v>-2.8677675876656126E-3</v>
      </c>
      <c r="N127" s="5" t="s">
        <v>4</v>
      </c>
      <c r="O127" s="100">
        <f ca="1">_xll.meDateFromTenor(O126,"1D","FOLLOWING",P$12)</f>
        <v>42670</v>
      </c>
      <c r="P127" s="13">
        <f ca="1">_xll.meDateFromTenor(O127,P$14,P$11,P$12)</f>
        <v>42852</v>
      </c>
      <c r="Q127" s="98">
        <f ca="1"/>
        <v>-1.4705529522165094E-3</v>
      </c>
      <c r="R127" s="5" t="s">
        <v>4</v>
      </c>
      <c r="S127" s="100">
        <f ca="1">_xll.meDateFromTenor(S126,"1D","FOLLOWING",T$12)</f>
        <v>42670</v>
      </c>
      <c r="T127" s="13">
        <f ca="1">_xll.meDateFromTenor(S127,T$14,T$11,T$12)</f>
        <v>43035</v>
      </c>
      <c r="U127" s="98">
        <f ca="1"/>
        <v>-1.6464531857385891E-4</v>
      </c>
      <c r="V127" s="5" t="s">
        <v>4</v>
      </c>
      <c r="W127" s="84" t="s">
        <v>4</v>
      </c>
    </row>
    <row r="128" spans="1:23" x14ac:dyDescent="0.25">
      <c r="A128" s="90">
        <v>109</v>
      </c>
      <c r="B128" s="83"/>
      <c r="C128" s="100">
        <f ca="1">_xll.meDateFromTenor(C127,"1D","FOLLOWING",D$12)</f>
        <v>42671</v>
      </c>
      <c r="D128" s="13">
        <f ca="1">_xll.meDateFromTenor(C128,D$14,D$11,D$12)</f>
        <v>42674</v>
      </c>
      <c r="E128" s="98">
        <f ca="1"/>
        <v>-3.8200000000143809E-3</v>
      </c>
      <c r="F128" s="94"/>
      <c r="G128" s="100">
        <f ca="1">_xll.meDateFromTenor(G127,"1D","FOLLOWING",H$12)</f>
        <v>42671</v>
      </c>
      <c r="H128" s="13">
        <f ca="1">_xll.meDateFromTenor(G128,H$14,H$11,H$12)</f>
        <v>42702</v>
      </c>
      <c r="I128" s="98">
        <f ca="1"/>
        <v>-3.6788307863019898E-3</v>
      </c>
      <c r="J128" s="94" t="s">
        <v>4</v>
      </c>
      <c r="K128" s="100">
        <f ca="1">_xll.meDateFromTenor(K127,"1D","FOLLOWING",L$12)</f>
        <v>42671</v>
      </c>
      <c r="L128" s="13">
        <f ca="1">_xll.meDateFromTenor(K128,L$14,L$11,L$12)</f>
        <v>42765</v>
      </c>
      <c r="M128" s="98">
        <f ca="1"/>
        <v>-2.869591909593734E-3</v>
      </c>
      <c r="N128" s="5" t="s">
        <v>4</v>
      </c>
      <c r="O128" s="100">
        <f ca="1">_xll.meDateFromTenor(O127,"1D","FOLLOWING",P$12)</f>
        <v>42671</v>
      </c>
      <c r="P128" s="13">
        <f ca="1">_xll.meDateFromTenor(O128,P$14,P$11,P$12)</f>
        <v>42853</v>
      </c>
      <c r="Q128" s="98">
        <f ca="1"/>
        <v>-1.4708077606321579E-3</v>
      </c>
      <c r="R128" s="5" t="s">
        <v>4</v>
      </c>
      <c r="S128" s="100">
        <f ca="1">_xll.meDateFromTenor(S127,"1D","FOLLOWING",T$12)</f>
        <v>42671</v>
      </c>
      <c r="T128" s="13">
        <f ca="1">_xll.meDateFromTenor(S128,T$14,T$11,T$12)</f>
        <v>43038</v>
      </c>
      <c r="U128" s="98">
        <f ca="1"/>
        <v>-1.6461361789469345E-4</v>
      </c>
      <c r="V128" s="5" t="s">
        <v>4</v>
      </c>
      <c r="W128" s="84" t="s">
        <v>4</v>
      </c>
    </row>
    <row r="129" spans="1:23" x14ac:dyDescent="0.25">
      <c r="A129" s="90">
        <v>110</v>
      </c>
      <c r="B129" s="83"/>
      <c r="C129" s="100">
        <f ca="1">_xll.meDateFromTenor(C128,"1D","FOLLOWING",D$12)</f>
        <v>42674</v>
      </c>
      <c r="D129" s="13">
        <f ca="1">_xll.meDateFromTenor(C129,D$14,D$11,D$12)</f>
        <v>42675</v>
      </c>
      <c r="E129" s="98">
        <f ca="1"/>
        <v>-3.8200000000010582E-3</v>
      </c>
      <c r="F129" s="94"/>
      <c r="G129" s="100">
        <f ca="1">_xll.meDateFromTenor(G128,"1D","FOLLOWING",H$12)</f>
        <v>42674</v>
      </c>
      <c r="H129" s="13">
        <f ca="1">_xll.meDateFromTenor(G129,H$14,H$11,H$12)</f>
        <v>42704</v>
      </c>
      <c r="I129" s="98">
        <f ca="1"/>
        <v>-3.6828147075816924E-3</v>
      </c>
      <c r="J129" s="94" t="s">
        <v>4</v>
      </c>
      <c r="K129" s="100">
        <f ca="1">_xll.meDateFromTenor(K128,"1D","FOLLOWING",L$12)</f>
        <v>42674</v>
      </c>
      <c r="L129" s="13">
        <f ca="1">_xll.meDateFromTenor(K129,L$14,L$11,L$12)</f>
        <v>42766</v>
      </c>
      <c r="M129" s="98">
        <f ca="1"/>
        <v>-2.8750648942979301E-3</v>
      </c>
      <c r="N129" s="5" t="s">
        <v>4</v>
      </c>
      <c r="O129" s="100">
        <f ca="1">_xll.meDateFromTenor(O128,"1D","FOLLOWING",P$12)</f>
        <v>42674</v>
      </c>
      <c r="P129" s="13">
        <f ca="1">_xll.meDateFromTenor(O129,P$14,P$11,P$12)</f>
        <v>42853</v>
      </c>
      <c r="Q129" s="98">
        <f ca="1"/>
        <v>-1.4716529942250846E-3</v>
      </c>
      <c r="R129" s="5" t="s">
        <v>4</v>
      </c>
      <c r="S129" s="100">
        <f ca="1">_xll.meDateFromTenor(S128,"1D","FOLLOWING",T$12)</f>
        <v>42674</v>
      </c>
      <c r="T129" s="13">
        <f ca="1">_xll.meDateFromTenor(S129,T$14,T$11,T$12)</f>
        <v>43039</v>
      </c>
      <c r="U129" s="98">
        <f ca="1"/>
        <v>-1.6450241708426412E-4</v>
      </c>
      <c r="V129" s="5" t="s">
        <v>4</v>
      </c>
      <c r="W129" s="84" t="s">
        <v>4</v>
      </c>
    </row>
    <row r="130" spans="1:23" x14ac:dyDescent="0.25">
      <c r="A130" s="90">
        <v>111</v>
      </c>
      <c r="B130" s="83"/>
      <c r="C130" s="100">
        <f ca="1">_xll.meDateFromTenor(C129,"1D","FOLLOWING",D$12)</f>
        <v>42675</v>
      </c>
      <c r="D130" s="13">
        <f ca="1">_xll.meDateFromTenor(C130,D$14,D$11,D$12)</f>
        <v>42676</v>
      </c>
      <c r="E130" s="98">
        <f ca="1"/>
        <v>-3.8199999999210458E-3</v>
      </c>
      <c r="F130" s="94"/>
      <c r="G130" s="100">
        <f ca="1">_xll.meDateFromTenor(G129,"1D","FOLLOWING",H$12)</f>
        <v>42675</v>
      </c>
      <c r="H130" s="13">
        <f ca="1">_xll.meDateFromTenor(G130,H$14,H$11,H$12)</f>
        <v>42705</v>
      </c>
      <c r="I130" s="98">
        <f ca="1"/>
        <v>-3.6841367729945544E-3</v>
      </c>
      <c r="J130" s="94" t="s">
        <v>4</v>
      </c>
      <c r="K130" s="100">
        <f ca="1">_xll.meDateFromTenor(K129,"1D","FOLLOWING",L$12)</f>
        <v>42675</v>
      </c>
      <c r="L130" s="13">
        <f ca="1">_xll.meDateFromTenor(K130,L$14,L$11,L$12)</f>
        <v>42767</v>
      </c>
      <c r="M130" s="98">
        <f ca="1"/>
        <v>-2.8768892150598351E-3</v>
      </c>
      <c r="N130" s="5" t="s">
        <v>4</v>
      </c>
      <c r="O130" s="100">
        <f ca="1">_xll.meDateFromTenor(O129,"1D","FOLLOWING",P$12)</f>
        <v>42675</v>
      </c>
      <c r="P130" s="13">
        <f ca="1">_xll.meDateFromTenor(O130,P$14,P$11,P$12)</f>
        <v>42857</v>
      </c>
      <c r="Q130" s="98">
        <f ca="1"/>
        <v>-1.4719619768457741E-3</v>
      </c>
      <c r="R130" s="5" t="s">
        <v>4</v>
      </c>
      <c r="S130" s="100">
        <f ca="1">_xll.meDateFromTenor(S129,"1D","FOLLOWING",T$12)</f>
        <v>42675</v>
      </c>
      <c r="T130" s="13">
        <f ca="1">_xll.meDateFromTenor(S130,T$14,T$11,T$12)</f>
        <v>43040</v>
      </c>
      <c r="U130" s="98">
        <f ca="1"/>
        <v>-1.6445992372997103E-4</v>
      </c>
      <c r="V130" s="5" t="s">
        <v>4</v>
      </c>
      <c r="W130" s="84" t="s">
        <v>4</v>
      </c>
    </row>
    <row r="131" spans="1:23" x14ac:dyDescent="0.25">
      <c r="A131" s="90">
        <v>112</v>
      </c>
      <c r="B131" s="83"/>
      <c r="C131" s="100">
        <f ca="1">_xll.meDateFromTenor(C130,"1D","FOLLOWING",D$12)</f>
        <v>42676</v>
      </c>
      <c r="D131" s="13">
        <f ca="1">_xll.meDateFromTenor(C131,D$14,D$11,D$12)</f>
        <v>42677</v>
      </c>
      <c r="E131" s="98">
        <f ca="1"/>
        <v>-3.8200000000010582E-3</v>
      </c>
      <c r="F131" s="94"/>
      <c r="G131" s="100">
        <f ca="1">_xll.meDateFromTenor(G130,"1D","FOLLOWING",H$12)</f>
        <v>42676</v>
      </c>
      <c r="H131" s="13">
        <f ca="1">_xll.meDateFromTenor(G131,H$14,H$11,H$12)</f>
        <v>42706</v>
      </c>
      <c r="I131" s="98">
        <f ca="1"/>
        <v>-3.6854555800762273E-3</v>
      </c>
      <c r="J131" s="94" t="s">
        <v>4</v>
      </c>
      <c r="K131" s="100">
        <f ca="1">_xll.meDateFromTenor(K130,"1D","FOLLOWING",L$12)</f>
        <v>42676</v>
      </c>
      <c r="L131" s="13">
        <f ca="1">_xll.meDateFromTenor(K131,L$14,L$11,L$12)</f>
        <v>42768</v>
      </c>
      <c r="M131" s="98">
        <f ca="1"/>
        <v>-2.8787135476140888E-3</v>
      </c>
      <c r="N131" s="5" t="s">
        <v>4</v>
      </c>
      <c r="O131" s="100">
        <f ca="1">_xll.meDateFromTenor(O130,"1D","FOLLOWING",P$12)</f>
        <v>42676</v>
      </c>
      <c r="P131" s="13">
        <f ca="1">_xll.meDateFromTenor(O131,P$14,P$11,P$12)</f>
        <v>42857</v>
      </c>
      <c r="Q131" s="98">
        <f ca="1"/>
        <v>-1.4722847294985145E-3</v>
      </c>
      <c r="R131" s="5" t="s">
        <v>4</v>
      </c>
      <c r="S131" s="100">
        <f ca="1">_xll.meDateFromTenor(S130,"1D","FOLLOWING",T$12)</f>
        <v>42676</v>
      </c>
      <c r="T131" s="13">
        <f ca="1">_xll.meDateFromTenor(S131,T$14,T$11,T$12)</f>
        <v>43041</v>
      </c>
      <c r="U131" s="98">
        <f ca="1"/>
        <v>-1.6441468708701675E-4</v>
      </c>
      <c r="V131" s="5" t="s">
        <v>4</v>
      </c>
      <c r="W131" s="84" t="s">
        <v>4</v>
      </c>
    </row>
    <row r="132" spans="1:23" x14ac:dyDescent="0.25">
      <c r="A132" s="90">
        <v>113</v>
      </c>
      <c r="B132" s="83"/>
      <c r="C132" s="100">
        <f ca="1">_xll.meDateFromTenor(C131,"1D","FOLLOWING",D$12)</f>
        <v>42677</v>
      </c>
      <c r="D132" s="13">
        <f ca="1">_xll.meDateFromTenor(C132,D$14,D$11,D$12)</f>
        <v>42678</v>
      </c>
      <c r="E132" s="98">
        <f ca="1"/>
        <v>-3.8199999999610902E-3</v>
      </c>
      <c r="F132" s="94"/>
      <c r="G132" s="100">
        <f ca="1">_xll.meDateFromTenor(G131,"1D","FOLLOWING",H$12)</f>
        <v>42677</v>
      </c>
      <c r="H132" s="13">
        <f ca="1">_xll.meDateFromTenor(G132,H$14,H$11,H$12)</f>
        <v>42709</v>
      </c>
      <c r="I132" s="98">
        <f ca="1"/>
        <v>-3.6867711149856379E-3</v>
      </c>
      <c r="J132" s="94" t="s">
        <v>4</v>
      </c>
      <c r="K132" s="100">
        <f ca="1">_xll.meDateFromTenor(K131,"1D","FOLLOWING",L$12)</f>
        <v>42677</v>
      </c>
      <c r="L132" s="13">
        <f ca="1">_xll.meDateFromTenor(K132,L$14,L$11,L$12)</f>
        <v>42769</v>
      </c>
      <c r="M132" s="98">
        <f ca="1"/>
        <v>-2.8805378952003339E-3</v>
      </c>
      <c r="N132" s="5" t="s">
        <v>4</v>
      </c>
      <c r="O132" s="100">
        <f ca="1">_xll.meDateFromTenor(O131,"1D","FOLLOWING",P$12)</f>
        <v>42677</v>
      </c>
      <c r="P132" s="13">
        <f ca="1">_xll.meDateFromTenor(O132,P$14,P$11,P$12)</f>
        <v>42858</v>
      </c>
      <c r="Q132" s="98">
        <f ca="1"/>
        <v>-1.4726213427756214E-3</v>
      </c>
      <c r="R132" s="5" t="s">
        <v>4</v>
      </c>
      <c r="S132" s="100">
        <f ca="1">_xll.meDateFromTenor(S131,"1D","FOLLOWING",T$12)</f>
        <v>42677</v>
      </c>
      <c r="T132" s="13">
        <f ca="1">_xll.meDateFromTenor(S132,T$14,T$11,T$12)</f>
        <v>43042</v>
      </c>
      <c r="U132" s="98">
        <f ca="1"/>
        <v>-1.6436668910744956E-4</v>
      </c>
      <c r="V132" s="5" t="s">
        <v>4</v>
      </c>
      <c r="W132" s="84" t="s">
        <v>4</v>
      </c>
    </row>
    <row r="133" spans="1:23" x14ac:dyDescent="0.25">
      <c r="A133" s="90">
        <v>114</v>
      </c>
      <c r="B133" s="83"/>
      <c r="C133" s="100">
        <f ca="1">_xll.meDateFromTenor(C132,"1D","FOLLOWING",D$12)</f>
        <v>42678</v>
      </c>
      <c r="D133" s="13">
        <f ca="1">_xll.meDateFromTenor(C133,D$14,D$11,D$12)</f>
        <v>42681</v>
      </c>
      <c r="E133" s="98">
        <f ca="1"/>
        <v>-3.8199999999877355E-3</v>
      </c>
      <c r="F133" s="94"/>
      <c r="G133" s="100">
        <f ca="1">_xll.meDateFromTenor(G132,"1D","FOLLOWING",H$12)</f>
        <v>42678</v>
      </c>
      <c r="H133" s="13">
        <f ca="1">_xll.meDateFromTenor(G133,H$14,H$11,H$12)</f>
        <v>42709</v>
      </c>
      <c r="I133" s="98">
        <f ca="1"/>
        <v>-3.6880840384958245E-3</v>
      </c>
      <c r="J133" s="94" t="s">
        <v>4</v>
      </c>
      <c r="K133" s="100">
        <f ca="1">_xll.meDateFromTenor(K132,"1D","FOLLOWING",L$12)</f>
        <v>42678</v>
      </c>
      <c r="L133" s="13">
        <f ca="1">_xll.meDateFromTenor(K133,L$14,L$11,L$12)</f>
        <v>42772</v>
      </c>
      <c r="M133" s="98">
        <f ca="1"/>
        <v>-2.8823622009302476E-3</v>
      </c>
      <c r="N133" s="5" t="s">
        <v>4</v>
      </c>
      <c r="O133" s="100">
        <f ca="1">_xll.meDateFromTenor(O132,"1D","FOLLOWING",P$12)</f>
        <v>42678</v>
      </c>
      <c r="P133" s="13">
        <f ca="1">_xll.meDateFromTenor(O133,P$14,P$11,P$12)</f>
        <v>42859</v>
      </c>
      <c r="Q133" s="98">
        <f ca="1"/>
        <v>-1.4729719072694113E-3</v>
      </c>
      <c r="R133" s="5" t="s">
        <v>4</v>
      </c>
      <c r="S133" s="100">
        <f ca="1">_xll.meDateFromTenor(S132,"1D","FOLLOWING",T$12)</f>
        <v>42678</v>
      </c>
      <c r="T133" s="13">
        <f ca="1">_xll.meDateFromTenor(S133,T$14,T$11,T$12)</f>
        <v>43045</v>
      </c>
      <c r="U133" s="98">
        <f ca="1"/>
        <v>-1.6431591174331773E-4</v>
      </c>
      <c r="V133" s="5" t="s">
        <v>4</v>
      </c>
      <c r="W133" s="84" t="s">
        <v>4</v>
      </c>
    </row>
    <row r="134" spans="1:23" x14ac:dyDescent="0.25">
      <c r="A134" s="90">
        <v>115</v>
      </c>
      <c r="B134" s="83"/>
      <c r="C134" s="100">
        <f ca="1">_xll.meDateFromTenor(C133,"1D","FOLLOWING",D$12)</f>
        <v>42681</v>
      </c>
      <c r="D134" s="13">
        <f ca="1">_xll.meDateFromTenor(C134,D$14,D$11,D$12)</f>
        <v>42682</v>
      </c>
      <c r="E134" s="98">
        <f ca="1"/>
        <v>-3.8199999999610139E-3</v>
      </c>
      <c r="F134" s="94"/>
      <c r="G134" s="100">
        <f ca="1">_xll.meDateFromTenor(G133,"1D","FOLLOWING",H$12)</f>
        <v>42681</v>
      </c>
      <c r="H134" s="13">
        <f ca="1">_xll.meDateFromTenor(G134,H$14,H$11,H$12)</f>
        <v>42711</v>
      </c>
      <c r="I134" s="98">
        <f ca="1"/>
        <v>-3.6920154348966941E-3</v>
      </c>
      <c r="J134" s="94" t="s">
        <v>4</v>
      </c>
      <c r="K134" s="100">
        <f ca="1">_xll.meDateFromTenor(K133,"1D","FOLLOWING",L$12)</f>
        <v>42681</v>
      </c>
      <c r="L134" s="13">
        <f ca="1">_xll.meDateFromTenor(K134,L$14,L$11,L$12)</f>
        <v>42773</v>
      </c>
      <c r="M134" s="98">
        <f ca="1"/>
        <v>-2.8878354712422675E-3</v>
      </c>
      <c r="N134" s="5" t="s">
        <v>4</v>
      </c>
      <c r="O134" s="100">
        <f ca="1">_xll.meDateFromTenor(O133,"1D","FOLLOWING",P$12)</f>
        <v>42681</v>
      </c>
      <c r="P134" s="13">
        <f ca="1">_xll.meDateFromTenor(O134,P$14,P$11,P$12)</f>
        <v>42863</v>
      </c>
      <c r="Q134" s="98">
        <f ca="1"/>
        <v>-1.4741082139740395E-3</v>
      </c>
      <c r="R134" s="5" t="s">
        <v>4</v>
      </c>
      <c r="S134" s="100">
        <f ca="1">_xll.meDateFromTenor(S133,"1D","FOLLOWING",T$12)</f>
        <v>42681</v>
      </c>
      <c r="T134" s="13">
        <f ca="1">_xll.meDateFromTenor(S134,T$14,T$11,T$12)</f>
        <v>43046</v>
      </c>
      <c r="U134" s="98">
        <f ca="1"/>
        <v>-1.6414672286401728E-4</v>
      </c>
      <c r="V134" s="5" t="s">
        <v>4</v>
      </c>
      <c r="W134" s="84" t="s">
        <v>4</v>
      </c>
    </row>
    <row r="135" spans="1:23" x14ac:dyDescent="0.25">
      <c r="A135" s="90">
        <v>116</v>
      </c>
      <c r="B135" s="83"/>
      <c r="C135" s="100">
        <f ca="1">_xll.meDateFromTenor(C134,"1D","FOLLOWING",D$12)</f>
        <v>42682</v>
      </c>
      <c r="D135" s="13">
        <f ca="1">_xll.meDateFromTenor(C135,D$14,D$11,D$12)</f>
        <v>42683</v>
      </c>
      <c r="E135" s="98">
        <f ca="1"/>
        <v>-3.8200000000010582E-3</v>
      </c>
      <c r="F135" s="94"/>
      <c r="G135" s="100">
        <f ca="1">_xll.meDateFromTenor(G134,"1D","FOLLOWING",H$12)</f>
        <v>42682</v>
      </c>
      <c r="H135" s="13">
        <f ca="1">_xll.meDateFromTenor(G135,H$14,H$11,H$12)</f>
        <v>42712</v>
      </c>
      <c r="I135" s="98">
        <f ca="1"/>
        <v>-3.6933262070756407E-3</v>
      </c>
      <c r="J135" s="94" t="s">
        <v>4</v>
      </c>
      <c r="K135" s="100">
        <f ca="1">_xll.meDateFromTenor(K134,"1D","FOLLOWING",L$12)</f>
        <v>42682</v>
      </c>
      <c r="L135" s="13">
        <f ca="1">_xll.meDateFromTenor(K135,L$14,L$11,L$12)</f>
        <v>42774</v>
      </c>
      <c r="M135" s="98">
        <f ca="1"/>
        <v>-2.889659507562565E-3</v>
      </c>
      <c r="N135" s="5" t="s">
        <v>4</v>
      </c>
      <c r="O135" s="100">
        <f ca="1">_xll.meDateFromTenor(O134,"1D","FOLLOWING",P$12)</f>
        <v>42682</v>
      </c>
      <c r="P135" s="13">
        <f ca="1">_xll.meDateFromTenor(O135,P$14,P$11,P$12)</f>
        <v>42863</v>
      </c>
      <c r="Q135" s="98">
        <f ca="1"/>
        <v>-1.4745154892577218E-3</v>
      </c>
      <c r="R135" s="5" t="s">
        <v>4</v>
      </c>
      <c r="S135" s="100">
        <f ca="1">_xll.meDateFromTenor(S134,"1D","FOLLOWING",T$12)</f>
        <v>42682</v>
      </c>
      <c r="T135" s="13">
        <f ca="1">_xll.meDateFromTenor(S135,T$14,T$11,T$12)</f>
        <v>43047</v>
      </c>
      <c r="U135" s="98">
        <f ca="1"/>
        <v>-1.6408464748210975E-4</v>
      </c>
      <c r="V135" s="5" t="s">
        <v>4</v>
      </c>
      <c r="W135" s="84" t="s">
        <v>4</v>
      </c>
    </row>
    <row r="136" spans="1:23" x14ac:dyDescent="0.25">
      <c r="A136" s="90">
        <v>117</v>
      </c>
      <c r="B136" s="83"/>
      <c r="C136" s="100">
        <f ca="1">_xll.meDateFromTenor(C135,"1D","FOLLOWING",D$12)</f>
        <v>42683</v>
      </c>
      <c r="D136" s="13">
        <f ca="1">_xll.meDateFromTenor(C136,D$14,D$11,D$12)</f>
        <v>42684</v>
      </c>
      <c r="E136" s="98">
        <f ca="1"/>
        <v>-3.8200000000010582E-3</v>
      </c>
      <c r="F136" s="94"/>
      <c r="G136" s="100">
        <f ca="1">_xll.meDateFromTenor(G135,"1D","FOLLOWING",H$12)</f>
        <v>42683</v>
      </c>
      <c r="H136" s="13">
        <f ca="1">_xll.meDateFromTenor(G136,H$14,H$11,H$12)</f>
        <v>42713</v>
      </c>
      <c r="I136" s="98">
        <f ca="1"/>
        <v>-3.6946385149881902E-3</v>
      </c>
      <c r="J136" s="94" t="s">
        <v>4</v>
      </c>
      <c r="K136" s="100">
        <f ca="1">_xll.meDateFromTenor(K135,"1D","FOLLOWING",L$12)</f>
        <v>42683</v>
      </c>
      <c r="L136" s="13">
        <f ca="1">_xll.meDateFromTenor(K136,L$14,L$11,L$12)</f>
        <v>42775</v>
      </c>
      <c r="M136" s="98">
        <f ca="1"/>
        <v>-2.8914827506860055E-3</v>
      </c>
      <c r="N136" s="5" t="s">
        <v>4</v>
      </c>
      <c r="O136" s="100">
        <f ca="1">_xll.meDateFromTenor(O135,"1D","FOLLOWING",P$12)</f>
        <v>42683</v>
      </c>
      <c r="P136" s="13">
        <f ca="1">_xll.meDateFromTenor(O136,P$14,P$11,P$12)</f>
        <v>42864</v>
      </c>
      <c r="Q136" s="98">
        <f ca="1"/>
        <v>-1.4749371687196677E-3</v>
      </c>
      <c r="R136" s="5" t="s">
        <v>4</v>
      </c>
      <c r="S136" s="100">
        <f ca="1">_xll.meDateFromTenor(S135,"1D","FOLLOWING",T$12)</f>
        <v>42683</v>
      </c>
      <c r="T136" s="13">
        <f ca="1">_xll.meDateFromTenor(S136,T$14,T$11,T$12)</f>
        <v>43048</v>
      </c>
      <c r="U136" s="98">
        <f ca="1"/>
        <v>-1.6401970247587901E-4</v>
      </c>
      <c r="V136" s="5" t="s">
        <v>4</v>
      </c>
      <c r="W136" s="84" t="s">
        <v>4</v>
      </c>
    </row>
    <row r="137" spans="1:23" x14ac:dyDescent="0.25">
      <c r="A137" s="90">
        <v>118</v>
      </c>
      <c r="B137" s="83"/>
      <c r="C137" s="100">
        <f ca="1">_xll.meDateFromTenor(C136,"1D","FOLLOWING",D$12)</f>
        <v>42684</v>
      </c>
      <c r="D137" s="13">
        <f ca="1">_xll.meDateFromTenor(C137,D$14,D$11,D$12)</f>
        <v>42685</v>
      </c>
      <c r="E137" s="98">
        <f ca="1"/>
        <v>-3.8200000000010582E-3</v>
      </c>
      <c r="F137" s="94"/>
      <c r="G137" s="100">
        <f ca="1">_xll.meDateFromTenor(G136,"1D","FOLLOWING",H$12)</f>
        <v>42684</v>
      </c>
      <c r="H137" s="13">
        <f ca="1">_xll.meDateFromTenor(G137,H$14,H$11,H$12)</f>
        <v>42716</v>
      </c>
      <c r="I137" s="98">
        <f ca="1"/>
        <v>-3.6959531880609094E-3</v>
      </c>
      <c r="J137" s="94" t="s">
        <v>4</v>
      </c>
      <c r="K137" s="100">
        <f ca="1">_xll.meDateFromTenor(K136,"1D","FOLLOWING",L$12)</f>
        <v>42684</v>
      </c>
      <c r="L137" s="13">
        <f ca="1">_xll.meDateFromTenor(K137,L$14,L$11,L$12)</f>
        <v>42776</v>
      </c>
      <c r="M137" s="98">
        <f ca="1"/>
        <v>-2.8933081608787238E-3</v>
      </c>
      <c r="N137" s="5" t="s">
        <v>4</v>
      </c>
      <c r="O137" s="100">
        <f ca="1">_xll.meDateFromTenor(O136,"1D","FOLLOWING",P$12)</f>
        <v>42684</v>
      </c>
      <c r="P137" s="13">
        <f ca="1">_xll.meDateFromTenor(O137,P$14,P$11,P$12)</f>
        <v>42865</v>
      </c>
      <c r="Q137" s="98">
        <f ca="1"/>
        <v>-1.4753733429521934E-3</v>
      </c>
      <c r="R137" s="5" t="s">
        <v>4</v>
      </c>
      <c r="S137" s="100">
        <f ca="1">_xll.meDateFromTenor(S136,"1D","FOLLOWING",T$12)</f>
        <v>42684</v>
      </c>
      <c r="T137" s="13">
        <f ca="1">_xll.meDateFromTenor(S137,T$14,T$11,T$12)</f>
        <v>43049</v>
      </c>
      <c r="U137" s="98">
        <f ca="1"/>
        <v>-1.6395186979737328E-4</v>
      </c>
      <c r="V137" s="5" t="s">
        <v>4</v>
      </c>
      <c r="W137" s="84" t="s">
        <v>4</v>
      </c>
    </row>
    <row r="138" spans="1:23" x14ac:dyDescent="0.25">
      <c r="A138" s="90">
        <v>119</v>
      </c>
      <c r="B138" s="83"/>
      <c r="C138" s="100">
        <f ca="1">_xll.meDateFromTenor(C137,"1D","FOLLOWING",D$12)</f>
        <v>42685</v>
      </c>
      <c r="D138" s="13">
        <f ca="1">_xll.meDateFromTenor(C138,D$14,D$11,D$12)</f>
        <v>42688</v>
      </c>
      <c r="E138" s="98">
        <f ca="1"/>
        <v>-3.8200000000010331E-3</v>
      </c>
      <c r="F138" s="94"/>
      <c r="G138" s="100">
        <f ca="1">_xll.meDateFromTenor(G137,"1D","FOLLOWING",H$12)</f>
        <v>42685</v>
      </c>
      <c r="H138" s="13">
        <f ca="1">_xll.meDateFromTenor(G138,H$14,H$11,H$12)</f>
        <v>42716</v>
      </c>
      <c r="I138" s="98">
        <f ca="1"/>
        <v>-3.6972710557203648E-3</v>
      </c>
      <c r="J138" s="94" t="s">
        <v>4</v>
      </c>
      <c r="K138" s="100">
        <f ca="1">_xll.meDateFromTenor(K137,"1D","FOLLOWING",L$12)</f>
        <v>42685</v>
      </c>
      <c r="L138" s="13">
        <f ca="1">_xll.meDateFromTenor(K138,L$14,L$11,L$12)</f>
        <v>42779</v>
      </c>
      <c r="M138" s="98">
        <f ca="1"/>
        <v>-2.8951365313375772E-3</v>
      </c>
      <c r="N138" s="5" t="s">
        <v>4</v>
      </c>
      <c r="O138" s="100">
        <f ca="1">_xll.meDateFromTenor(O137,"1D","FOLLOWING",P$12)</f>
        <v>42685</v>
      </c>
      <c r="P138" s="13">
        <f ca="1">_xll.meDateFromTenor(O138,P$14,P$11,P$12)</f>
        <v>42866</v>
      </c>
      <c r="Q138" s="98">
        <f ca="1"/>
        <v>-1.4758241025476149E-3</v>
      </c>
      <c r="R138" s="5" t="s">
        <v>4</v>
      </c>
      <c r="S138" s="100">
        <f ca="1">_xll.meDateFromTenor(S137,"1D","FOLLOWING",T$12)</f>
        <v>42685</v>
      </c>
      <c r="T138" s="13">
        <f ca="1">_xll.meDateFromTenor(S138,T$14,T$11,T$12)</f>
        <v>43052</v>
      </c>
      <c r="U138" s="98">
        <f ca="1"/>
        <v>-1.6388113139864094E-4</v>
      </c>
      <c r="V138" s="5" t="s">
        <v>4</v>
      </c>
      <c r="W138" s="84" t="s">
        <v>4</v>
      </c>
    </row>
    <row r="139" spans="1:23" x14ac:dyDescent="0.25">
      <c r="A139" s="90">
        <v>120</v>
      </c>
      <c r="B139" s="83"/>
      <c r="C139" s="100">
        <f ca="1">_xll.meDateFromTenor(C138,"1D","FOLLOWING",D$12)</f>
        <v>42688</v>
      </c>
      <c r="D139" s="13">
        <f ca="1">_xll.meDateFromTenor(C139,D$14,D$11,D$12)</f>
        <v>42689</v>
      </c>
      <c r="E139" s="98">
        <f ca="1"/>
        <v>-3.8200000000410263E-3</v>
      </c>
      <c r="F139" s="94"/>
      <c r="G139" s="100">
        <f ca="1">_xll.meDateFromTenor(G138,"1D","FOLLOWING",H$12)</f>
        <v>42688</v>
      </c>
      <c r="H139" s="13">
        <f ca="1">_xll.meDateFromTenor(G139,H$14,H$11,H$12)</f>
        <v>42718</v>
      </c>
      <c r="I139" s="98">
        <f ca="1"/>
        <v>-3.7012521204847978E-3</v>
      </c>
      <c r="J139" s="94" t="s">
        <v>4</v>
      </c>
      <c r="K139" s="100">
        <f ca="1">_xll.meDateFromTenor(K138,"1D","FOLLOWING",L$12)</f>
        <v>42688</v>
      </c>
      <c r="L139" s="13">
        <f ca="1">_xll.meDateFromTenor(K139,L$14,L$11,L$12)</f>
        <v>42780</v>
      </c>
      <c r="M139" s="98">
        <f ca="1"/>
        <v>-2.9006054675110413E-3</v>
      </c>
      <c r="N139" s="5" t="s">
        <v>4</v>
      </c>
      <c r="O139" s="100">
        <f ca="1">_xll.meDateFromTenor(O138,"1D","FOLLOWING",P$12)</f>
        <v>42688</v>
      </c>
      <c r="P139" s="13">
        <f ca="1">_xll.meDateFromTenor(O139,P$14,P$11,P$12)</f>
        <v>42870</v>
      </c>
      <c r="Q139" s="98">
        <f ca="1"/>
        <v>-1.4772647994344137E-3</v>
      </c>
      <c r="R139" s="5" t="s">
        <v>4</v>
      </c>
      <c r="S139" s="100">
        <f ca="1">_xll.meDateFromTenor(S138,"1D","FOLLOWING",T$12)</f>
        <v>42688</v>
      </c>
      <c r="T139" s="13">
        <f ca="1">_xll.meDateFromTenor(S139,T$14,T$11,T$12)</f>
        <v>43053</v>
      </c>
      <c r="U139" s="98">
        <f ca="1"/>
        <v>-1.6365130140156672E-4</v>
      </c>
      <c r="V139" s="5" t="s">
        <v>4</v>
      </c>
      <c r="W139" s="84" t="s">
        <v>4</v>
      </c>
    </row>
    <row r="140" spans="1:23" x14ac:dyDescent="0.25">
      <c r="A140" s="90">
        <v>121</v>
      </c>
      <c r="B140" s="83"/>
      <c r="C140" s="100">
        <f ca="1">_xll.meDateFromTenor(C139,"1D","FOLLOWING",D$12)</f>
        <v>42689</v>
      </c>
      <c r="D140" s="13">
        <f ca="1">_xll.meDateFromTenor(C140,D$14,D$11,D$12)</f>
        <v>42690</v>
      </c>
      <c r="E140" s="98">
        <f ca="1"/>
        <v>-3.8200000000010582E-3</v>
      </c>
      <c r="F140" s="94"/>
      <c r="G140" s="100">
        <f ca="1">_xll.meDateFromTenor(G139,"1D","FOLLOWING",H$12)</f>
        <v>42689</v>
      </c>
      <c r="H140" s="13">
        <f ca="1">_xll.meDateFromTenor(G140,H$14,H$11,H$12)</f>
        <v>42719</v>
      </c>
      <c r="I140" s="98">
        <f ca="1"/>
        <v>-3.7025910607568504E-3</v>
      </c>
      <c r="J140" s="94" t="s">
        <v>4</v>
      </c>
      <c r="K140" s="100">
        <f ca="1">_xll.meDateFromTenor(K139,"1D","FOLLOWING",L$12)</f>
        <v>42689</v>
      </c>
      <c r="L140" s="13">
        <f ca="1">_xll.meDateFromTenor(K140,L$14,L$11,L$12)</f>
        <v>42781</v>
      </c>
      <c r="M140" s="98">
        <f ca="1"/>
        <v>-2.9024861170421756E-3</v>
      </c>
      <c r="N140" s="5" t="s">
        <v>4</v>
      </c>
      <c r="O140" s="100">
        <f ca="1">_xll.meDateFromTenor(O139,"1D","FOLLOWING",P$12)</f>
        <v>42689</v>
      </c>
      <c r="P140" s="13">
        <f ca="1">_xll.meDateFromTenor(O140,P$14,P$11,P$12)</f>
        <v>42870</v>
      </c>
      <c r="Q140" s="98">
        <f ca="1"/>
        <v>-1.4777748064045792E-3</v>
      </c>
      <c r="R140" s="5" t="s">
        <v>4</v>
      </c>
      <c r="S140" s="100">
        <f ca="1">_xll.meDateFromTenor(S139,"1D","FOLLOWING",T$12)</f>
        <v>42689</v>
      </c>
      <c r="T140" s="13">
        <f ca="1">_xll.meDateFromTenor(S140,T$14,T$11,T$12)</f>
        <v>43054</v>
      </c>
      <c r="U140" s="98">
        <f ca="1"/>
        <v>-1.6356875964241056E-4</v>
      </c>
      <c r="V140" s="5" t="s">
        <v>4</v>
      </c>
      <c r="W140" s="84" t="s">
        <v>4</v>
      </c>
    </row>
    <row r="141" spans="1:23" x14ac:dyDescent="0.25">
      <c r="A141" s="90">
        <v>122</v>
      </c>
      <c r="B141" s="83"/>
      <c r="C141" s="100">
        <f ca="1">_xll.meDateFromTenor(C140,"1D","FOLLOWING",D$12)</f>
        <v>42690</v>
      </c>
      <c r="D141" s="13">
        <f ca="1">_xll.meDateFromTenor(C141,D$14,D$11,D$12)</f>
        <v>42691</v>
      </c>
      <c r="E141" s="98">
        <f ca="1"/>
        <v>-3.8199999999610902E-3</v>
      </c>
      <c r="F141" s="94"/>
      <c r="G141" s="100">
        <f ca="1">_xll.meDateFromTenor(G140,"1D","FOLLOWING",H$12)</f>
        <v>42690</v>
      </c>
      <c r="H141" s="13">
        <f ca="1">_xll.meDateFromTenor(G141,H$14,H$11,H$12)</f>
        <v>42720</v>
      </c>
      <c r="I141" s="98">
        <f ca="1"/>
        <v>-3.7039373427484672E-3</v>
      </c>
      <c r="J141" s="94" t="s">
        <v>4</v>
      </c>
      <c r="K141" s="100">
        <f ca="1">_xll.meDateFromTenor(K140,"1D","FOLLOWING",L$12)</f>
        <v>42690</v>
      </c>
      <c r="L141" s="13">
        <f ca="1">_xll.meDateFromTenor(K141,L$14,L$11,L$12)</f>
        <v>42782</v>
      </c>
      <c r="M141" s="98">
        <f ca="1"/>
        <v>-2.9042541208272E-3</v>
      </c>
      <c r="N141" s="5" t="s">
        <v>4</v>
      </c>
      <c r="O141" s="100">
        <f ca="1">_xll.meDateFromTenor(O140,"1D","FOLLOWING",P$12)</f>
        <v>42690</v>
      </c>
      <c r="P141" s="13">
        <f ca="1">_xll.meDateFromTenor(O141,P$14,P$11,P$12)</f>
        <v>42871</v>
      </c>
      <c r="Q141" s="98">
        <f ca="1"/>
        <v>-1.4782998516992209E-3</v>
      </c>
      <c r="R141" s="5" t="s">
        <v>4</v>
      </c>
      <c r="S141" s="100">
        <f ca="1">_xll.meDateFromTenor(S140,"1D","FOLLOWING",T$12)</f>
        <v>42690</v>
      </c>
      <c r="T141" s="13">
        <f ca="1">_xll.meDateFromTenor(S141,T$14,T$11,T$12)</f>
        <v>43055</v>
      </c>
      <c r="U141" s="98">
        <f ca="1"/>
        <v>-1.6348322192326912E-4</v>
      </c>
      <c r="V141" s="5" t="s">
        <v>4</v>
      </c>
      <c r="W141" s="84" t="s">
        <v>4</v>
      </c>
    </row>
    <row r="142" spans="1:23" x14ac:dyDescent="0.25">
      <c r="A142" s="90">
        <v>123</v>
      </c>
      <c r="B142" s="83"/>
      <c r="C142" s="100">
        <f ca="1">_xll.meDateFromTenor(C141,"1D","FOLLOWING",D$12)</f>
        <v>42691</v>
      </c>
      <c r="D142" s="13">
        <f ca="1">_xll.meDateFromTenor(C142,D$14,D$11,D$12)</f>
        <v>42692</v>
      </c>
      <c r="E142" s="98">
        <f ca="1"/>
        <v>-3.8200000000410263E-3</v>
      </c>
      <c r="F142" s="94"/>
      <c r="G142" s="100">
        <f ca="1">_xll.meDateFromTenor(G141,"1D","FOLLOWING",H$12)</f>
        <v>42691</v>
      </c>
      <c r="H142" s="13">
        <f ca="1">_xll.meDateFromTenor(G142,H$14,H$11,H$12)</f>
        <v>42723</v>
      </c>
      <c r="I142" s="98">
        <f ca="1"/>
        <v>-3.7052917958862132E-3</v>
      </c>
      <c r="J142" s="94" t="s">
        <v>4</v>
      </c>
      <c r="K142" s="100">
        <f ca="1">_xll.meDateFromTenor(K141,"1D","FOLLOWING",L$12)</f>
        <v>42691</v>
      </c>
      <c r="L142" s="13">
        <f ca="1">_xll.meDateFromTenor(K142,L$14,L$11,L$12)</f>
        <v>42783</v>
      </c>
      <c r="M142" s="98">
        <f ca="1"/>
        <v>-2.9057794685046685E-3</v>
      </c>
      <c r="N142" s="5" t="s">
        <v>4</v>
      </c>
      <c r="O142" s="100">
        <f ca="1">_xll.meDateFromTenor(O141,"1D","FOLLOWING",P$12)</f>
        <v>42691</v>
      </c>
      <c r="P142" s="13">
        <f ca="1">_xll.meDateFromTenor(O142,P$14,P$11,P$12)</f>
        <v>42872</v>
      </c>
      <c r="Q142" s="98">
        <f ca="1"/>
        <v>-1.4788400259106548E-3</v>
      </c>
      <c r="R142" s="5" t="s">
        <v>4</v>
      </c>
      <c r="S142" s="100">
        <f ca="1">_xll.meDateFromTenor(S141,"1D","FOLLOWING",T$12)</f>
        <v>42691</v>
      </c>
      <c r="T142" s="13">
        <f ca="1">_xll.meDateFromTenor(S142,T$14,T$11,T$12)</f>
        <v>43056</v>
      </c>
      <c r="U142" s="98">
        <f ca="1"/>
        <v>-1.633946701961907E-4</v>
      </c>
      <c r="V142" s="5" t="s">
        <v>4</v>
      </c>
      <c r="W142" s="84" t="s">
        <v>4</v>
      </c>
    </row>
    <row r="143" spans="1:23" x14ac:dyDescent="0.25">
      <c r="A143" s="90">
        <v>124</v>
      </c>
      <c r="B143" s="83"/>
      <c r="C143" s="100">
        <f ca="1">_xll.meDateFromTenor(C142,"1D","FOLLOWING",D$12)</f>
        <v>42692</v>
      </c>
      <c r="D143" s="13">
        <f ca="1">_xll.meDateFromTenor(C143,D$14,D$11,D$12)</f>
        <v>42695</v>
      </c>
      <c r="E143" s="98">
        <f ca="1"/>
        <v>-3.8199999999877104E-3</v>
      </c>
      <c r="F143" s="94"/>
      <c r="G143" s="100">
        <f ca="1">_xll.meDateFromTenor(G142,"1D","FOLLOWING",H$12)</f>
        <v>42692</v>
      </c>
      <c r="H143" s="13">
        <f ca="1">_xll.meDateFromTenor(G143,H$14,H$11,H$12)</f>
        <v>42723</v>
      </c>
      <c r="I143" s="98">
        <f ca="1"/>
        <v>-3.7066552495966542E-3</v>
      </c>
      <c r="J143" s="94" t="s">
        <v>4</v>
      </c>
      <c r="K143" s="100">
        <f ca="1">_xll.meDateFromTenor(K142,"1D","FOLLOWING",L$12)</f>
        <v>42692</v>
      </c>
      <c r="L143" s="13">
        <f ca="1">_xll.meDateFromTenor(K143,L$14,L$11,L$12)</f>
        <v>42786</v>
      </c>
      <c r="M143" s="98">
        <f ca="1"/>
        <v>-2.9071925408885638E-3</v>
      </c>
      <c r="N143" s="5" t="s">
        <v>4</v>
      </c>
      <c r="O143" s="100">
        <f ca="1">_xll.meDateFromTenor(O142,"1D","FOLLOWING",P$12)</f>
        <v>42692</v>
      </c>
      <c r="P143" s="13">
        <f ca="1">_xll.meDateFromTenor(O143,P$14,P$11,P$12)</f>
        <v>42873</v>
      </c>
      <c r="Q143" s="98">
        <f ca="1"/>
        <v>-1.4793954196311973E-3</v>
      </c>
      <c r="R143" s="5" t="s">
        <v>4</v>
      </c>
      <c r="S143" s="100">
        <f ca="1">_xll.meDateFromTenor(S142,"1D","FOLLOWING",T$12)</f>
        <v>42692</v>
      </c>
      <c r="T143" s="13">
        <f ca="1">_xll.meDateFromTenor(S143,T$14,T$11,T$12)</f>
        <v>43059</v>
      </c>
      <c r="U143" s="98">
        <f ca="1"/>
        <v>-1.6330308641322361E-4</v>
      </c>
      <c r="V143" s="5" t="s">
        <v>4</v>
      </c>
      <c r="W143" s="84" t="s">
        <v>4</v>
      </c>
    </row>
    <row r="144" spans="1:23" x14ac:dyDescent="0.25">
      <c r="A144" s="90">
        <v>125</v>
      </c>
      <c r="B144" s="83"/>
      <c r="C144" s="100">
        <f ca="1">_xll.meDateFromTenor(C143,"1D","FOLLOWING",D$12)</f>
        <v>42695</v>
      </c>
      <c r="D144" s="13">
        <f ca="1">_xll.meDateFromTenor(C144,D$14,D$11,D$12)</f>
        <v>42696</v>
      </c>
      <c r="E144" s="98">
        <f ca="1"/>
        <v>-3.8199999999211222E-3</v>
      </c>
      <c r="F144" s="94"/>
      <c r="G144" s="100">
        <f ca="1">_xll.meDateFromTenor(G143,"1D","FOLLOWING",H$12)</f>
        <v>42695</v>
      </c>
      <c r="H144" s="13">
        <f ca="1">_xll.meDateFromTenor(G144,H$14,H$11,H$12)</f>
        <v>42725</v>
      </c>
      <c r="I144" s="98">
        <f ca="1"/>
        <v>-3.7108079084298032E-3</v>
      </c>
      <c r="J144" s="94" t="s">
        <v>4</v>
      </c>
      <c r="K144" s="100">
        <f ca="1">_xll.meDateFromTenor(K143,"1D","FOLLOWING",L$12)</f>
        <v>42695</v>
      </c>
      <c r="L144" s="13">
        <f ca="1">_xll.meDateFromTenor(K144,L$14,L$11,L$12)</f>
        <v>42787</v>
      </c>
      <c r="M144" s="98">
        <f ca="1"/>
        <v>-2.9116021772924395E-3</v>
      </c>
      <c r="N144" s="5" t="s">
        <v>4</v>
      </c>
      <c r="O144" s="100">
        <f ca="1">_xll.meDateFromTenor(O143,"1D","FOLLOWING",P$12)</f>
        <v>42695</v>
      </c>
      <c r="P144" s="13">
        <f ca="1">_xll.meDateFromTenor(O144,P$14,P$11,P$12)</f>
        <v>42877</v>
      </c>
      <c r="Q144" s="98">
        <f ca="1"/>
        <v>-1.4811538237706381E-3</v>
      </c>
      <c r="R144" s="5" t="s">
        <v>4</v>
      </c>
      <c r="S144" s="100">
        <f ca="1">_xll.meDateFromTenor(S143,"1D","FOLLOWING",T$12)</f>
        <v>42695</v>
      </c>
      <c r="T144" s="13">
        <f ca="1">_xll.meDateFromTenor(S144,T$14,T$11,T$12)</f>
        <v>43060</v>
      </c>
      <c r="U144" s="98">
        <f ca="1"/>
        <v>-1.6300996224947304E-4</v>
      </c>
      <c r="V144" s="5" t="s">
        <v>4</v>
      </c>
      <c r="W144" s="84" t="s">
        <v>4</v>
      </c>
    </row>
    <row r="145" spans="1:23" x14ac:dyDescent="0.25">
      <c r="A145" s="90">
        <v>126</v>
      </c>
      <c r="B145" s="83"/>
      <c r="C145" s="100">
        <f ca="1">_xll.meDateFromTenor(C144,"1D","FOLLOWING",D$12)</f>
        <v>42696</v>
      </c>
      <c r="D145" s="13">
        <f ca="1">_xll.meDateFromTenor(C145,D$14,D$11,D$12)</f>
        <v>42697</v>
      </c>
      <c r="E145" s="98">
        <f ca="1"/>
        <v>-3.8200000000010582E-3</v>
      </c>
      <c r="F145" s="94"/>
      <c r="G145" s="100">
        <f ca="1">_xll.meDateFromTenor(G144,"1D","FOLLOWING",H$12)</f>
        <v>42696</v>
      </c>
      <c r="H145" s="13">
        <f ca="1">_xll.meDateFromTenor(G145,H$14,H$11,H$12)</f>
        <v>42726</v>
      </c>
      <c r="I145" s="98">
        <f ca="1"/>
        <v>-3.7122156586966814E-3</v>
      </c>
      <c r="J145" s="94" t="s">
        <v>4</v>
      </c>
      <c r="K145" s="100">
        <f ca="1">_xll.meDateFromTenor(K144,"1D","FOLLOWING",L$12)</f>
        <v>42696</v>
      </c>
      <c r="L145" s="13">
        <f ca="1">_xll.meDateFromTenor(K145,L$14,L$11,L$12)</f>
        <v>42788</v>
      </c>
      <c r="M145" s="98">
        <f ca="1"/>
        <v>-2.9130693810112914E-3</v>
      </c>
      <c r="N145" s="5" t="s">
        <v>4</v>
      </c>
      <c r="O145" s="100">
        <f ca="1">_xll.meDateFromTenor(O144,"1D","FOLLOWING",P$12)</f>
        <v>42696</v>
      </c>
      <c r="P145" s="13">
        <f ca="1">_xll.meDateFromTenor(O145,P$14,P$11,P$12)</f>
        <v>42877</v>
      </c>
      <c r="Q145" s="98">
        <f ca="1"/>
        <v>-1.4817710014507761E-3</v>
      </c>
      <c r="R145" s="5" t="s">
        <v>4</v>
      </c>
      <c r="S145" s="100">
        <f ca="1">_xll.meDateFromTenor(S144,"1D","FOLLOWING",T$12)</f>
        <v>42696</v>
      </c>
      <c r="T145" s="13">
        <f ca="1">_xll.meDateFromTenor(S145,T$14,T$11,T$12)</f>
        <v>43061</v>
      </c>
      <c r="U145" s="98">
        <f ca="1"/>
        <v>-1.62906069763434E-4</v>
      </c>
      <c r="V145" s="5" t="s">
        <v>4</v>
      </c>
      <c r="W145" s="84" t="s">
        <v>4</v>
      </c>
    </row>
    <row r="146" spans="1:23" x14ac:dyDescent="0.25">
      <c r="A146" s="90">
        <v>127</v>
      </c>
      <c r="B146" s="83"/>
      <c r="C146" s="100">
        <f ca="1">_xll.meDateFromTenor(C145,"1D","FOLLOWING",D$12)</f>
        <v>42697</v>
      </c>
      <c r="D146" s="13">
        <f ca="1">_xll.meDateFromTenor(C146,D$14,D$11,D$12)</f>
        <v>42698</v>
      </c>
      <c r="E146" s="98">
        <f ca="1"/>
        <v>-3.8199999999610902E-3</v>
      </c>
      <c r="F146" s="94"/>
      <c r="G146" s="100">
        <f ca="1">_xll.meDateFromTenor(G145,"1D","FOLLOWING",H$12)</f>
        <v>42697</v>
      </c>
      <c r="H146" s="13">
        <f ca="1">_xll.meDateFromTenor(G146,H$14,H$11,H$12)</f>
        <v>42727</v>
      </c>
      <c r="I146" s="98">
        <f ca="1"/>
        <v>-3.713636556669083E-3</v>
      </c>
      <c r="J146" s="94" t="s">
        <v>4</v>
      </c>
      <c r="K146" s="100">
        <f ca="1">_xll.meDateFromTenor(K145,"1D","FOLLOWING",L$12)</f>
        <v>42697</v>
      </c>
      <c r="L146" s="13">
        <f ca="1">_xll.meDateFromTenor(K146,L$14,L$11,L$12)</f>
        <v>42789</v>
      </c>
      <c r="M146" s="98">
        <f ca="1"/>
        <v>-2.9145451017843077E-3</v>
      </c>
      <c r="N146" s="5" t="s">
        <v>4</v>
      </c>
      <c r="O146" s="100">
        <f ca="1">_xll.meDateFromTenor(O145,"1D","FOLLOWING",P$12)</f>
        <v>42697</v>
      </c>
      <c r="P146" s="13">
        <f ca="1">_xll.meDateFromTenor(O146,P$14,P$11,P$12)</f>
        <v>42878</v>
      </c>
      <c r="Q146" s="98">
        <f ca="1"/>
        <v>-1.4824038516016032E-3</v>
      </c>
      <c r="R146" s="5" t="s">
        <v>4</v>
      </c>
      <c r="S146" s="100">
        <f ca="1">_xll.meDateFromTenor(S145,"1D","FOLLOWING",T$12)</f>
        <v>42697</v>
      </c>
      <c r="T146" s="13">
        <f ca="1">_xll.meDateFromTenor(S146,T$14,T$11,T$12)</f>
        <v>43062</v>
      </c>
      <c r="U146" s="98">
        <f ca="1"/>
        <v>-1.6279905498174771E-4</v>
      </c>
      <c r="V146" s="5" t="s">
        <v>4</v>
      </c>
      <c r="W146" s="84" t="s">
        <v>4</v>
      </c>
    </row>
    <row r="147" spans="1:23" x14ac:dyDescent="0.25">
      <c r="A147" s="90">
        <v>128</v>
      </c>
      <c r="B147" s="83"/>
      <c r="C147" s="100">
        <f ca="1">_xll.meDateFromTenor(C146,"1D","FOLLOWING",D$12)</f>
        <v>42698</v>
      </c>
      <c r="D147" s="13">
        <f ca="1">_xll.meDateFromTenor(C147,D$14,D$11,D$12)</f>
        <v>42699</v>
      </c>
      <c r="E147" s="98">
        <f ca="1"/>
        <v>-3.8200000000409499E-3</v>
      </c>
      <c r="F147" s="94"/>
      <c r="G147" s="100">
        <f ca="1">_xll.meDateFromTenor(G146,"1D","FOLLOWING",H$12)</f>
        <v>42698</v>
      </c>
      <c r="H147" s="13">
        <f ca="1">_xll.meDateFromTenor(G147,H$14,H$11,H$12)</f>
        <v>42731</v>
      </c>
      <c r="I147" s="98">
        <f ca="1"/>
        <v>-3.7150714317735721E-3</v>
      </c>
      <c r="J147" s="94" t="s">
        <v>4</v>
      </c>
      <c r="K147" s="100">
        <f ca="1">_xll.meDateFromTenor(K146,"1D","FOLLOWING",L$12)</f>
        <v>42698</v>
      </c>
      <c r="L147" s="13">
        <f ca="1">_xll.meDateFromTenor(K147,L$14,L$11,L$12)</f>
        <v>42790</v>
      </c>
      <c r="M147" s="98">
        <f ca="1"/>
        <v>-2.9160078010726552E-3</v>
      </c>
      <c r="N147" s="5" t="s">
        <v>4</v>
      </c>
      <c r="O147" s="100">
        <f ca="1">_xll.meDateFromTenor(O146,"1D","FOLLOWING",P$12)</f>
        <v>42698</v>
      </c>
      <c r="P147" s="13">
        <f ca="1">_xll.meDateFromTenor(O147,P$14,P$11,P$12)</f>
        <v>42879</v>
      </c>
      <c r="Q147" s="98">
        <f ca="1"/>
        <v>-1.4830524648154358E-3</v>
      </c>
      <c r="R147" s="5" t="s">
        <v>4</v>
      </c>
      <c r="S147" s="100">
        <f ca="1">_xll.meDateFromTenor(S146,"1D","FOLLOWING",T$12)</f>
        <v>42698</v>
      </c>
      <c r="T147" s="13">
        <f ca="1">_xll.meDateFromTenor(S147,T$14,T$11,T$12)</f>
        <v>43063</v>
      </c>
      <c r="U147" s="98">
        <f ca="1"/>
        <v>-1.626888998564624E-4</v>
      </c>
      <c r="V147" s="5" t="s">
        <v>4</v>
      </c>
      <c r="W147" s="84" t="s">
        <v>4</v>
      </c>
    </row>
    <row r="148" spans="1:23" x14ac:dyDescent="0.25">
      <c r="A148" s="90">
        <v>129</v>
      </c>
      <c r="B148" s="83"/>
      <c r="C148" s="100">
        <f ca="1">_xll.meDateFromTenor(C147,"1D","FOLLOWING",D$12)</f>
        <v>42699</v>
      </c>
      <c r="D148" s="13">
        <f ca="1">_xll.meDateFromTenor(C148,D$14,D$11,D$12)</f>
        <v>42702</v>
      </c>
      <c r="E148" s="98">
        <f ca="1"/>
        <v>-3.8200000000010582E-3</v>
      </c>
      <c r="F148" s="94"/>
      <c r="G148" s="100">
        <f ca="1">_xll.meDateFromTenor(G147,"1D","FOLLOWING",H$12)</f>
        <v>42699</v>
      </c>
      <c r="H148" s="13">
        <f ca="1">_xll.meDateFromTenor(G148,H$14,H$11,H$12)</f>
        <v>42731</v>
      </c>
      <c r="I148" s="98">
        <f ca="1"/>
        <v>-3.716521113436717E-3</v>
      </c>
      <c r="J148" s="94" t="s">
        <v>4</v>
      </c>
      <c r="K148" s="100">
        <f ca="1">_xll.meDateFromTenor(K147,"1D","FOLLOWING",L$12)</f>
        <v>42699</v>
      </c>
      <c r="L148" s="13">
        <f ca="1">_xll.meDateFromTenor(K148,L$14,L$11,L$12)</f>
        <v>42793</v>
      </c>
      <c r="M148" s="98">
        <f ca="1"/>
        <v>-2.9174489618221701E-3</v>
      </c>
      <c r="N148" s="5" t="s">
        <v>4</v>
      </c>
      <c r="O148" s="100">
        <f ca="1">_xll.meDateFromTenor(O147,"1D","FOLLOWING",P$12)</f>
        <v>42699</v>
      </c>
      <c r="P148" s="13">
        <f ca="1">_xll.meDateFromTenor(O148,P$14,P$11,P$12)</f>
        <v>42880</v>
      </c>
      <c r="Q148" s="98">
        <f ca="1"/>
        <v>-1.4837169316845899E-3</v>
      </c>
      <c r="R148" s="5" t="s">
        <v>4</v>
      </c>
      <c r="S148" s="100">
        <f ca="1">_xll.meDateFromTenor(S147,"1D","FOLLOWING",T$12)</f>
        <v>42699</v>
      </c>
      <c r="T148" s="13">
        <f ca="1">_xll.meDateFromTenor(S148,T$14,T$11,T$12)</f>
        <v>43066</v>
      </c>
      <c r="U148" s="98">
        <f ca="1"/>
        <v>-1.6257558633962638E-4</v>
      </c>
      <c r="V148" s="5" t="s">
        <v>4</v>
      </c>
      <c r="W148" s="84" t="s">
        <v>4</v>
      </c>
    </row>
    <row r="149" spans="1:23" x14ac:dyDescent="0.25">
      <c r="A149" s="90">
        <v>130</v>
      </c>
      <c r="B149" s="83"/>
      <c r="C149" s="100">
        <f ca="1">_xll.meDateFromTenor(C148,"1D","FOLLOWING",D$12)</f>
        <v>42702</v>
      </c>
      <c r="D149" s="13">
        <f ca="1">_xll.meDateFromTenor(C149,D$14,D$11,D$12)</f>
        <v>42703</v>
      </c>
      <c r="E149" s="98">
        <f ca="1"/>
        <v>-3.8200000000410263E-3</v>
      </c>
      <c r="F149" s="94"/>
      <c r="G149" s="100">
        <f ca="1">_xll.meDateFromTenor(G148,"1D","FOLLOWING",H$12)</f>
        <v>42702</v>
      </c>
      <c r="H149" s="13">
        <f ca="1">_xll.meDateFromTenor(G149,H$14,H$11,H$12)</f>
        <v>42732</v>
      </c>
      <c r="I149" s="98">
        <f ca="1"/>
        <v>-3.7209672920437364E-3</v>
      </c>
      <c r="J149" s="94" t="s">
        <v>4</v>
      </c>
      <c r="K149" s="100">
        <f ca="1">_xll.meDateFromTenor(K148,"1D","FOLLOWING",L$12)</f>
        <v>42702</v>
      </c>
      <c r="L149" s="13">
        <f ca="1">_xll.meDateFromTenor(K149,L$14,L$11,L$12)</f>
        <v>42794</v>
      </c>
      <c r="M149" s="98">
        <f ca="1"/>
        <v>-2.9218846411953828E-3</v>
      </c>
      <c r="N149" s="5" t="s">
        <v>4</v>
      </c>
      <c r="O149" s="100">
        <f ca="1">_xll.meDateFromTenor(O148,"1D","FOLLOWING",P$12)</f>
        <v>42702</v>
      </c>
      <c r="P149" s="13">
        <f ca="1">_xll.meDateFromTenor(O149,P$14,P$11,P$12)</f>
        <v>42884</v>
      </c>
      <c r="Q149" s="98">
        <f ca="1"/>
        <v>-1.4858063601471414E-3</v>
      </c>
      <c r="R149" s="5" t="s">
        <v>4</v>
      </c>
      <c r="S149" s="100">
        <f ca="1">_xll.meDateFromTenor(S148,"1D","FOLLOWING",T$12)</f>
        <v>42702</v>
      </c>
      <c r="T149" s="13">
        <f ca="1">_xll.meDateFromTenor(S149,T$14,T$11,T$12)</f>
        <v>43067</v>
      </c>
      <c r="U149" s="98">
        <f ca="1"/>
        <v>-1.6221651496029681E-4</v>
      </c>
      <c r="V149" s="5" t="s">
        <v>4</v>
      </c>
      <c r="W149" s="84" t="s">
        <v>4</v>
      </c>
    </row>
    <row r="150" spans="1:23" x14ac:dyDescent="0.25">
      <c r="A150" s="90">
        <v>131</v>
      </c>
      <c r="B150" s="83"/>
      <c r="C150" s="100">
        <f ca="1">_xll.meDateFromTenor(C149,"1D","FOLLOWING",D$12)</f>
        <v>42703</v>
      </c>
      <c r="D150" s="13">
        <f ca="1">_xll.meDateFromTenor(C150,D$14,D$11,D$12)</f>
        <v>42704</v>
      </c>
      <c r="E150" s="98">
        <f ca="1"/>
        <v>-3.8199999999610902E-3</v>
      </c>
      <c r="F150" s="94"/>
      <c r="G150" s="100">
        <f ca="1">_xll.meDateFromTenor(G149,"1D","FOLLOWING",H$12)</f>
        <v>42703</v>
      </c>
      <c r="H150" s="13">
        <f ca="1">_xll.meDateFromTenor(G150,H$14,H$11,H$12)</f>
        <v>42733</v>
      </c>
      <c r="I150" s="98">
        <f ca="1"/>
        <v>-3.722484494207156E-3</v>
      </c>
      <c r="J150" s="94" t="s">
        <v>4</v>
      </c>
      <c r="K150" s="100">
        <f ca="1">_xll.meDateFromTenor(K149,"1D","FOLLOWING",L$12)</f>
        <v>42703</v>
      </c>
      <c r="L150" s="13">
        <f ca="1">_xll.meDateFromTenor(K150,L$14,L$11,L$12)</f>
        <v>42794</v>
      </c>
      <c r="M150" s="98">
        <f ca="1"/>
        <v>-2.9229591549779013E-3</v>
      </c>
      <c r="N150" s="5" t="s">
        <v>4</v>
      </c>
      <c r="O150" s="100">
        <f ca="1">_xll.meDateFromTenor(O149,"1D","FOLLOWING",P$12)</f>
        <v>42703</v>
      </c>
      <c r="P150" s="13">
        <f ca="1">_xll.meDateFromTenor(O150,P$14,P$11,P$12)</f>
        <v>42884</v>
      </c>
      <c r="Q150" s="98">
        <f ca="1"/>
        <v>-1.4865351475607425E-3</v>
      </c>
      <c r="R150" s="5" t="s">
        <v>4</v>
      </c>
      <c r="S150" s="100">
        <f ca="1">_xll.meDateFromTenor(S149,"1D","FOLLOWING",T$12)</f>
        <v>42703</v>
      </c>
      <c r="T150" s="13">
        <f ca="1">_xll.meDateFromTenor(S150,T$14,T$11,T$12)</f>
        <v>43068</v>
      </c>
      <c r="U150" s="98">
        <f ca="1"/>
        <v>-1.6209038739774072E-4</v>
      </c>
      <c r="V150" s="5" t="s">
        <v>4</v>
      </c>
      <c r="W150" s="84" t="s">
        <v>4</v>
      </c>
    </row>
    <row r="151" spans="1:23" x14ac:dyDescent="0.25">
      <c r="A151" s="90">
        <v>132</v>
      </c>
      <c r="B151" s="83"/>
      <c r="C151" s="100">
        <f ca="1">_xll.meDateFromTenor(C150,"1D","FOLLOWING",D$12)</f>
        <v>42704</v>
      </c>
      <c r="D151" s="13">
        <f ca="1">_xll.meDateFromTenor(C151,D$14,D$11,D$12)</f>
        <v>42705</v>
      </c>
      <c r="E151" s="98">
        <f ca="1"/>
        <v>-3.8199999999610902E-3</v>
      </c>
      <c r="F151" s="94"/>
      <c r="G151" s="100">
        <f ca="1">_xll.meDateFromTenor(G150,"1D","FOLLOWING",H$12)</f>
        <v>42704</v>
      </c>
      <c r="H151" s="13">
        <f ca="1">_xll.meDateFromTenor(G151,H$14,H$11,H$12)</f>
        <v>42734</v>
      </c>
      <c r="I151" s="98">
        <f ca="1"/>
        <v>-3.7240206500620595E-3</v>
      </c>
      <c r="J151" s="94" t="s">
        <v>4</v>
      </c>
      <c r="K151" s="100">
        <f ca="1">_xll.meDateFromTenor(K150,"1D","FOLLOWING",L$12)</f>
        <v>42704</v>
      </c>
      <c r="L151" s="13">
        <f ca="1">_xll.meDateFromTenor(K151,L$14,L$11,L$12)</f>
        <v>42794</v>
      </c>
      <c r="M151" s="98">
        <f ca="1"/>
        <v>-2.9248230612567466E-3</v>
      </c>
      <c r="N151" s="5" t="s">
        <v>4</v>
      </c>
      <c r="O151" s="100">
        <f ca="1">_xll.meDateFromTenor(O150,"1D","FOLLOWING",P$12)</f>
        <v>42704</v>
      </c>
      <c r="P151" s="13">
        <f ca="1">_xll.meDateFromTenor(O151,P$14,P$11,P$12)</f>
        <v>42885</v>
      </c>
      <c r="Q151" s="98">
        <f ca="1"/>
        <v>-1.4872802415912456E-3</v>
      </c>
      <c r="R151" s="5" t="s">
        <v>4</v>
      </c>
      <c r="S151" s="100">
        <f ca="1">_xll.meDateFromTenor(S150,"1D","FOLLOWING",T$12)</f>
        <v>42704</v>
      </c>
      <c r="T151" s="13">
        <f ca="1">_xll.meDateFromTenor(S151,T$14,T$11,T$12)</f>
        <v>43069</v>
      </c>
      <c r="U151" s="98">
        <f ca="1"/>
        <v>-1.6196101120387536E-4</v>
      </c>
      <c r="V151" s="5" t="s">
        <v>4</v>
      </c>
      <c r="W151" s="84" t="s">
        <v>4</v>
      </c>
    </row>
    <row r="152" spans="1:23" x14ac:dyDescent="0.25">
      <c r="A152" s="90">
        <v>133</v>
      </c>
      <c r="B152" s="83"/>
      <c r="C152" s="100">
        <f ca="1">_xll.meDateFromTenor(C151,"1D","FOLLOWING",D$12)</f>
        <v>42705</v>
      </c>
      <c r="D152" s="13">
        <f ca="1">_xll.meDateFromTenor(C152,D$14,D$11,D$12)</f>
        <v>42706</v>
      </c>
      <c r="E152" s="98">
        <f ca="1"/>
        <v>-3.8200000000010582E-3</v>
      </c>
      <c r="F152" s="94"/>
      <c r="G152" s="100">
        <f ca="1">_xll.meDateFromTenor(G151,"1D","FOLLOWING",H$12)</f>
        <v>42705</v>
      </c>
      <c r="H152" s="13">
        <f ca="1">_xll.meDateFromTenor(G152,H$14,H$11,H$12)</f>
        <v>42737</v>
      </c>
      <c r="I152" s="98">
        <f ca="1"/>
        <v>-3.7255765890350108E-3</v>
      </c>
      <c r="J152" s="94" t="s">
        <v>4</v>
      </c>
      <c r="K152" s="100">
        <f ca="1">_xll.meDateFromTenor(K151,"1D","FOLLOWING",L$12)</f>
        <v>42705</v>
      </c>
      <c r="L152" s="13">
        <f ca="1">_xll.meDateFromTenor(K152,L$14,L$11,L$12)</f>
        <v>42795</v>
      </c>
      <c r="M152" s="98">
        <f ca="1"/>
        <v>-2.9281526295171509E-3</v>
      </c>
      <c r="N152" s="5" t="s">
        <v>4</v>
      </c>
      <c r="O152" s="100">
        <f ca="1">_xll.meDateFromTenor(O151,"1D","FOLLOWING",P$12)</f>
        <v>42705</v>
      </c>
      <c r="P152" s="13">
        <f ca="1">_xll.meDateFromTenor(O152,P$14,P$11,P$12)</f>
        <v>42887</v>
      </c>
      <c r="Q152" s="98">
        <f ca="1"/>
        <v>-1.4880417328309665E-3</v>
      </c>
      <c r="R152" s="5" t="s">
        <v>4</v>
      </c>
      <c r="S152" s="100">
        <f ca="1">_xll.meDateFromTenor(S151,"1D","FOLLOWING",T$12)</f>
        <v>42705</v>
      </c>
      <c r="T152" s="13">
        <f ca="1">_xll.meDateFromTenor(S152,T$14,T$11,T$12)</f>
        <v>43070</v>
      </c>
      <c r="U152" s="98">
        <f ca="1"/>
        <v>-1.6182836833074894E-4</v>
      </c>
      <c r="V152" s="5" t="s">
        <v>4</v>
      </c>
      <c r="W152" s="84" t="s">
        <v>4</v>
      </c>
    </row>
    <row r="153" spans="1:23" x14ac:dyDescent="0.25">
      <c r="A153" s="90">
        <v>134</v>
      </c>
      <c r="B153" s="83"/>
      <c r="C153" s="100">
        <f ca="1">_xll.meDateFromTenor(C152,"1D","FOLLOWING",D$12)</f>
        <v>42706</v>
      </c>
      <c r="D153" s="13">
        <f ca="1">_xll.meDateFromTenor(C153,D$14,D$11,D$12)</f>
        <v>42709</v>
      </c>
      <c r="E153" s="98">
        <f ca="1"/>
        <v>-3.8200000000010075E-3</v>
      </c>
      <c r="F153" s="94"/>
      <c r="G153" s="100">
        <f ca="1">_xll.meDateFromTenor(G152,"1D","FOLLOWING",H$12)</f>
        <v>42706</v>
      </c>
      <c r="H153" s="13">
        <f ca="1">_xll.meDateFromTenor(G153,H$14,H$11,H$12)</f>
        <v>42737</v>
      </c>
      <c r="I153" s="98">
        <f ca="1"/>
        <v>-3.7271531405525769E-3</v>
      </c>
      <c r="J153" s="94" t="s">
        <v>4</v>
      </c>
      <c r="K153" s="100">
        <f ca="1">_xll.meDateFromTenor(K152,"1D","FOLLOWING",L$12)</f>
        <v>42706</v>
      </c>
      <c r="L153" s="13">
        <f ca="1">_xll.meDateFromTenor(K153,L$14,L$11,L$12)</f>
        <v>42796</v>
      </c>
      <c r="M153" s="98">
        <f ca="1"/>
        <v>-2.9308595582733261E-3</v>
      </c>
      <c r="N153" s="5" t="s">
        <v>4</v>
      </c>
      <c r="O153" s="100">
        <f ca="1">_xll.meDateFromTenor(O152,"1D","FOLLOWING",P$12)</f>
        <v>42706</v>
      </c>
      <c r="P153" s="13">
        <f ca="1">_xll.meDateFromTenor(O153,P$14,P$11,P$12)</f>
        <v>42888</v>
      </c>
      <c r="Q153" s="98">
        <f ca="1"/>
        <v>-1.4888197118722219E-3</v>
      </c>
      <c r="R153" s="5" t="s">
        <v>4</v>
      </c>
      <c r="S153" s="100">
        <f ca="1">_xll.meDateFromTenor(S152,"1D","FOLLOWING",T$12)</f>
        <v>42706</v>
      </c>
      <c r="T153" s="13">
        <f ca="1">_xll.meDateFromTenor(S153,T$14,T$11,T$12)</f>
        <v>43073</v>
      </c>
      <c r="U153" s="98">
        <f ca="1"/>
        <v>-1.6169244073040978E-4</v>
      </c>
      <c r="V153" s="5" t="s">
        <v>4</v>
      </c>
      <c r="W153" s="84" t="s">
        <v>4</v>
      </c>
    </row>
    <row r="154" spans="1:23" x14ac:dyDescent="0.25">
      <c r="A154" s="90">
        <v>135</v>
      </c>
      <c r="B154" s="83"/>
      <c r="C154" s="100">
        <f ca="1">_xll.meDateFromTenor(C153,"1D","FOLLOWING",D$12)</f>
        <v>42709</v>
      </c>
      <c r="D154" s="13">
        <f ca="1">_xll.meDateFromTenor(C154,D$14,D$11,D$12)</f>
        <v>42710</v>
      </c>
      <c r="E154" s="98">
        <f ca="1"/>
        <v>-3.8199999998811541E-3</v>
      </c>
      <c r="F154" s="94"/>
      <c r="G154" s="100">
        <f ca="1">_xll.meDateFromTenor(G153,"1D","FOLLOWING",H$12)</f>
        <v>42709</v>
      </c>
      <c r="H154" s="13">
        <f ca="1">_xll.meDateFromTenor(G154,H$14,H$11,H$12)</f>
        <v>42740</v>
      </c>
      <c r="I154" s="98">
        <f ca="1"/>
        <v>-3.73200386110705E-3</v>
      </c>
      <c r="J154" s="94" t="s">
        <v>4</v>
      </c>
      <c r="K154" s="100">
        <f ca="1">_xll.meDateFromTenor(K153,"1D","FOLLOWING",L$12)</f>
        <v>42709</v>
      </c>
      <c r="L154" s="13">
        <f ca="1">_xll.meDateFromTenor(K154,L$14,L$11,L$12)</f>
        <v>42800</v>
      </c>
      <c r="M154" s="98">
        <f ca="1"/>
        <v>-2.9317747861246097E-3</v>
      </c>
      <c r="N154" s="5" t="s">
        <v>4</v>
      </c>
      <c r="O154" s="100">
        <f ca="1">_xll.meDateFromTenor(O153,"1D","FOLLOWING",P$12)</f>
        <v>42709</v>
      </c>
      <c r="P154" s="13">
        <f ca="1">_xll.meDateFromTenor(O154,P$14,P$11,P$12)</f>
        <v>42891</v>
      </c>
      <c r="Q154" s="98">
        <f ca="1"/>
        <v>-1.4912523095543433E-3</v>
      </c>
      <c r="R154" s="5" t="s">
        <v>4</v>
      </c>
      <c r="S154" s="100">
        <f ca="1">_xll.meDateFromTenor(S153,"1D","FOLLOWING",T$12)</f>
        <v>42709</v>
      </c>
      <c r="T154" s="13">
        <f ca="1">_xll.meDateFromTenor(S154,T$14,T$11,T$12)</f>
        <v>43074</v>
      </c>
      <c r="U154" s="98">
        <f ca="1"/>
        <v>-1.6126476908659865E-4</v>
      </c>
      <c r="V154" s="5" t="s">
        <v>4</v>
      </c>
      <c r="W154" s="84" t="s">
        <v>4</v>
      </c>
    </row>
    <row r="155" spans="1:23" x14ac:dyDescent="0.25">
      <c r="A155" s="90">
        <v>136</v>
      </c>
      <c r="B155" s="83"/>
      <c r="C155" s="100">
        <f ca="1">_xll.meDateFromTenor(C154,"1D","FOLLOWING",D$12)</f>
        <v>42710</v>
      </c>
      <c r="D155" s="13">
        <f ca="1">_xll.meDateFromTenor(C155,D$14,D$11,D$12)</f>
        <v>42711</v>
      </c>
      <c r="E155" s="98">
        <f ca="1"/>
        <v>-3.8200000000010582E-3</v>
      </c>
      <c r="F155" s="94"/>
      <c r="G155" s="100">
        <f ca="1">_xll.meDateFromTenor(G154,"1D","FOLLOWING",H$12)</f>
        <v>42710</v>
      </c>
      <c r="H155" s="13">
        <f ca="1">_xll.meDateFromTenor(G155,H$14,H$11,H$12)</f>
        <v>42741</v>
      </c>
      <c r="I155" s="98">
        <f ca="1"/>
        <v>-3.7336562151921372E-3</v>
      </c>
      <c r="J155" s="94" t="s">
        <v>4</v>
      </c>
      <c r="K155" s="100">
        <f ca="1">_xll.meDateFromTenor(K154,"1D","FOLLOWING",L$12)</f>
        <v>42710</v>
      </c>
      <c r="L155" s="13">
        <f ca="1">_xll.meDateFromTenor(K155,L$14,L$11,L$12)</f>
        <v>42800</v>
      </c>
      <c r="M155" s="98">
        <f ca="1"/>
        <v>-2.9336383214408381E-3</v>
      </c>
      <c r="N155" s="5" t="s">
        <v>4</v>
      </c>
      <c r="O155" s="100">
        <f ca="1">_xll.meDateFromTenor(O154,"1D","FOLLOWING",P$12)</f>
        <v>42710</v>
      </c>
      <c r="P155" s="13">
        <f ca="1">_xll.meDateFromTenor(O155,P$14,P$11,P$12)</f>
        <v>42892</v>
      </c>
      <c r="Q155" s="98">
        <f ca="1"/>
        <v>-1.4920955394123628E-3</v>
      </c>
      <c r="R155" s="5" t="s">
        <v>4</v>
      </c>
      <c r="S155" s="100">
        <f ca="1">_xll.meDateFromTenor(S154,"1D","FOLLOWING",T$12)</f>
        <v>42710</v>
      </c>
      <c r="T155" s="13">
        <f ca="1">_xll.meDateFromTenor(S155,T$14,T$11,T$12)</f>
        <v>43075</v>
      </c>
      <c r="U155" s="98">
        <f ca="1"/>
        <v>-1.6111552209789132E-4</v>
      </c>
      <c r="V155" s="5" t="s">
        <v>4</v>
      </c>
      <c r="W155" s="84" t="s">
        <v>4</v>
      </c>
    </row>
    <row r="156" spans="1:23" x14ac:dyDescent="0.25">
      <c r="A156" s="90">
        <v>137</v>
      </c>
      <c r="B156" s="83"/>
      <c r="C156" s="100">
        <f ca="1">_xll.meDateFromTenor(C155,"1D","FOLLOWING",D$12)</f>
        <v>42711</v>
      </c>
      <c r="D156" s="13">
        <f ca="1">_xll.meDateFromTenor(C156,D$14,D$11,D$12)</f>
        <v>42712</v>
      </c>
      <c r="E156" s="98">
        <f ca="1"/>
        <v>-3.8199999999211222E-3</v>
      </c>
      <c r="F156" s="94"/>
      <c r="G156" s="100">
        <f ca="1">_xll.meDateFromTenor(G155,"1D","FOLLOWING",H$12)</f>
        <v>42711</v>
      </c>
      <c r="H156" s="13">
        <f ca="1">_xll.meDateFromTenor(G156,H$14,H$11,H$12)</f>
        <v>42744</v>
      </c>
      <c r="I156" s="98">
        <f ca="1"/>
        <v>-3.7353236369266074E-3</v>
      </c>
      <c r="J156" s="94" t="s">
        <v>4</v>
      </c>
      <c r="K156" s="100">
        <f ca="1">_xll.meDateFromTenor(K155,"1D","FOLLOWING",L$12)</f>
        <v>42711</v>
      </c>
      <c r="L156" s="13">
        <f ca="1">_xll.meDateFromTenor(K156,L$14,L$11,L$12)</f>
        <v>42801</v>
      </c>
      <c r="M156" s="98">
        <f ca="1"/>
        <v>-2.9352118576575904E-3</v>
      </c>
      <c r="N156" s="5" t="s">
        <v>4</v>
      </c>
      <c r="O156" s="100">
        <f ca="1">_xll.meDateFromTenor(O155,"1D","FOLLOWING",P$12)</f>
        <v>42711</v>
      </c>
      <c r="P156" s="13">
        <f ca="1">_xll.meDateFromTenor(O156,P$14,P$11,P$12)</f>
        <v>42893</v>
      </c>
      <c r="Q156" s="98">
        <f ca="1"/>
        <v>-1.4929546681010423E-3</v>
      </c>
      <c r="R156" s="5" t="s">
        <v>4</v>
      </c>
      <c r="S156" s="100">
        <f ca="1">_xll.meDateFromTenor(S155,"1D","FOLLOWING",T$12)</f>
        <v>42711</v>
      </c>
      <c r="T156" s="13">
        <f ca="1">_xll.meDateFromTenor(S156,T$14,T$11,T$12)</f>
        <v>43076</v>
      </c>
      <c r="U156" s="98">
        <f ca="1"/>
        <v>-1.6096290014221267E-4</v>
      </c>
      <c r="V156" s="5" t="s">
        <v>4</v>
      </c>
      <c r="W156" s="84" t="s">
        <v>4</v>
      </c>
    </row>
    <row r="157" spans="1:23" x14ac:dyDescent="0.25">
      <c r="A157" s="90">
        <v>138</v>
      </c>
      <c r="B157" s="83"/>
      <c r="C157" s="100">
        <f ca="1">_xll.meDateFromTenor(C156,"1D","FOLLOWING",D$12)</f>
        <v>42712</v>
      </c>
      <c r="D157" s="13">
        <f ca="1">_xll.meDateFromTenor(C157,D$14,D$11,D$12)</f>
        <v>42713</v>
      </c>
      <c r="E157" s="98">
        <f ca="1"/>
        <v>-3.8224651227469898E-3</v>
      </c>
      <c r="F157" s="94"/>
      <c r="G157" s="100">
        <f ca="1">_xll.meDateFromTenor(G156,"1D","FOLLOWING",H$12)</f>
        <v>42712</v>
      </c>
      <c r="H157" s="13">
        <f ca="1">_xll.meDateFromTenor(G157,H$14,H$11,H$12)</f>
        <v>42744</v>
      </c>
      <c r="I157" s="98">
        <f ca="1"/>
        <v>-3.7370045327300098E-3</v>
      </c>
      <c r="J157" s="94" t="s">
        <v>4</v>
      </c>
      <c r="K157" s="100">
        <f ca="1">_xll.meDateFromTenor(K156,"1D","FOLLOWING",L$12)</f>
        <v>42712</v>
      </c>
      <c r="L157" s="13">
        <f ca="1">_xll.meDateFromTenor(K157,L$14,L$11,L$12)</f>
        <v>42802</v>
      </c>
      <c r="M157" s="98">
        <f ca="1"/>
        <v>-2.9365767415022019E-3</v>
      </c>
      <c r="N157" s="5" t="s">
        <v>4</v>
      </c>
      <c r="O157" s="100">
        <f ca="1">_xll.meDateFromTenor(O156,"1D","FOLLOWING",P$12)</f>
        <v>42712</v>
      </c>
      <c r="P157" s="13">
        <f ca="1">_xll.meDateFromTenor(O157,P$14,P$11,P$12)</f>
        <v>42894</v>
      </c>
      <c r="Q157" s="98">
        <f ca="1"/>
        <v>-1.4938295257295843E-3</v>
      </c>
      <c r="R157" s="5" t="s">
        <v>4</v>
      </c>
      <c r="S157" s="100">
        <f ca="1">_xll.meDateFromTenor(S156,"1D","FOLLOWING",T$12)</f>
        <v>42712</v>
      </c>
      <c r="T157" s="13">
        <f ca="1">_xll.meDateFromTenor(S157,T$14,T$11,T$12)</f>
        <v>43077</v>
      </c>
      <c r="U157" s="98">
        <f ca="1"/>
        <v>-1.6080688517161097E-4</v>
      </c>
      <c r="V157" s="5" t="s">
        <v>4</v>
      </c>
      <c r="W157" s="84" t="s">
        <v>4</v>
      </c>
    </row>
    <row r="158" spans="1:23" x14ac:dyDescent="0.25">
      <c r="A158" s="90">
        <v>139</v>
      </c>
      <c r="B158" s="83"/>
      <c r="C158" s="100">
        <f ca="1">_xll.meDateFromTenor(C157,"1D","FOLLOWING",D$12)</f>
        <v>42713</v>
      </c>
      <c r="D158" s="13">
        <f ca="1">_xll.meDateFromTenor(C158,D$14,D$11,D$12)</f>
        <v>42716</v>
      </c>
      <c r="E158" s="98">
        <f ca="1"/>
        <v>-3.8286898490547251E-3</v>
      </c>
      <c r="F158" s="94"/>
      <c r="G158" s="100">
        <f ca="1">_xll.meDateFromTenor(G157,"1D","FOLLOWING",H$12)</f>
        <v>42713</v>
      </c>
      <c r="H158" s="13">
        <f ca="1">_xll.meDateFromTenor(G158,H$14,H$11,H$12)</f>
        <v>42744</v>
      </c>
      <c r="I158" s="98">
        <f ca="1"/>
        <v>-3.7386973090218966E-3</v>
      </c>
      <c r="J158" s="94" t="s">
        <v>4</v>
      </c>
      <c r="K158" s="100">
        <f ca="1">_xll.meDateFromTenor(K157,"1D","FOLLOWING",L$12)</f>
        <v>42713</v>
      </c>
      <c r="L158" s="13">
        <f ca="1">_xll.meDateFromTenor(K158,L$14,L$11,L$12)</f>
        <v>42803</v>
      </c>
      <c r="M158" s="98">
        <f ca="1"/>
        <v>-2.9380229720741479E-3</v>
      </c>
      <c r="N158" s="5" t="s">
        <v>4</v>
      </c>
      <c r="O158" s="100">
        <f ca="1">_xll.meDateFromTenor(O157,"1D","FOLLOWING",P$12)</f>
        <v>42713</v>
      </c>
      <c r="P158" s="13">
        <f ca="1">_xll.meDateFromTenor(O158,P$14,P$11,P$12)</f>
        <v>42895</v>
      </c>
      <c r="Q158" s="98">
        <f ca="1"/>
        <v>-1.4947199424071916E-3</v>
      </c>
      <c r="R158" s="5" t="s">
        <v>4</v>
      </c>
      <c r="S158" s="100">
        <f ca="1">_xll.meDateFromTenor(S157,"1D","FOLLOWING",T$12)</f>
        <v>42713</v>
      </c>
      <c r="T158" s="13">
        <f ca="1">_xll.meDateFromTenor(S158,T$14,T$11,T$12)</f>
        <v>43080</v>
      </c>
      <c r="U158" s="98">
        <f ca="1"/>
        <v>-1.6064745913813448E-4</v>
      </c>
      <c r="V158" s="5" t="s">
        <v>4</v>
      </c>
      <c r="W158" s="84" t="s">
        <v>4</v>
      </c>
    </row>
    <row r="159" spans="1:23" x14ac:dyDescent="0.25">
      <c r="A159" s="90">
        <v>140</v>
      </c>
      <c r="B159" s="83"/>
      <c r="C159" s="100">
        <f ca="1">_xll.meDateFromTenor(C158,"1D","FOLLOWING",D$12)</f>
        <v>42716</v>
      </c>
      <c r="D159" s="13">
        <f ca="1">_xll.meDateFromTenor(C159,D$14,D$11,D$12)</f>
        <v>42717</v>
      </c>
      <c r="E159" s="98">
        <f ca="1"/>
        <v>-3.835002393848277E-3</v>
      </c>
      <c r="F159" s="94"/>
      <c r="G159" s="100">
        <f ca="1">_xll.meDateFromTenor(G158,"1D","FOLLOWING",H$12)</f>
        <v>42716</v>
      </c>
      <c r="H159" s="13">
        <f ca="1">_xll.meDateFromTenor(G159,H$14,H$11,H$12)</f>
        <v>42747</v>
      </c>
      <c r="I159" s="98">
        <f ca="1"/>
        <v>-3.7438309850239657E-3</v>
      </c>
      <c r="J159" s="94" t="s">
        <v>4</v>
      </c>
      <c r="K159" s="100">
        <f ca="1">_xll.meDateFromTenor(K158,"1D","FOLLOWING",L$12)</f>
        <v>42716</v>
      </c>
      <c r="L159" s="13">
        <f ca="1">_xll.meDateFromTenor(K159,L$14,L$11,L$12)</f>
        <v>42807</v>
      </c>
      <c r="M159" s="98">
        <f ca="1"/>
        <v>-2.9424535816249295E-3</v>
      </c>
      <c r="N159" s="5" t="s">
        <v>4</v>
      </c>
      <c r="O159" s="100">
        <f ca="1">_xll.meDateFromTenor(O158,"1D","FOLLOWING",P$12)</f>
        <v>42716</v>
      </c>
      <c r="P159" s="13">
        <f ca="1">_xll.meDateFromTenor(O159,P$14,P$11,P$12)</f>
        <v>42898</v>
      </c>
      <c r="Q159" s="98">
        <f ca="1"/>
        <v>-1.4974828478264283E-3</v>
      </c>
      <c r="R159" s="5" t="s">
        <v>4</v>
      </c>
      <c r="S159" s="100">
        <f ca="1">_xll.meDateFromTenor(S158,"1D","FOLLOWING",T$12)</f>
        <v>42716</v>
      </c>
      <c r="T159" s="13">
        <f ca="1">_xll.meDateFromTenor(S159,T$14,T$11,T$12)</f>
        <v>43081</v>
      </c>
      <c r="U159" s="98">
        <f ca="1"/>
        <v>-1.6014853418093916E-4</v>
      </c>
      <c r="V159" s="5" t="s">
        <v>4</v>
      </c>
      <c r="W159" s="84" t="s">
        <v>4</v>
      </c>
    </row>
    <row r="160" spans="1:23" x14ac:dyDescent="0.25">
      <c r="A160" s="90">
        <v>141</v>
      </c>
      <c r="B160" s="83"/>
      <c r="C160" s="100">
        <f ca="1">_xll.meDateFromTenor(C159,"1D","FOLLOWING",D$12)</f>
        <v>42717</v>
      </c>
      <c r="D160" s="13">
        <f ca="1">_xll.meDateFromTenor(C160,D$14,D$11,D$12)</f>
        <v>42718</v>
      </c>
      <c r="E160" s="98">
        <f ca="1"/>
        <v>-3.8381409294395421E-3</v>
      </c>
      <c r="F160" s="94"/>
      <c r="G160" s="100">
        <f ca="1">_xll.meDateFromTenor(G159,"1D","FOLLOWING",H$12)</f>
        <v>42717</v>
      </c>
      <c r="H160" s="13">
        <f ca="1">_xll.meDateFromTenor(G160,H$14,H$11,H$12)</f>
        <v>42748</v>
      </c>
      <c r="I160" s="98">
        <f ca="1"/>
        <v>-3.7455553474652933E-3</v>
      </c>
      <c r="J160" s="94" t="s">
        <v>4</v>
      </c>
      <c r="K160" s="100">
        <f ca="1">_xll.meDateFromTenor(K159,"1D","FOLLOWING",L$12)</f>
        <v>42717</v>
      </c>
      <c r="L160" s="13">
        <f ca="1">_xll.meDateFromTenor(K160,L$14,L$11,L$12)</f>
        <v>42807</v>
      </c>
      <c r="M160" s="98">
        <f ca="1"/>
        <v>-2.9440322878239874E-3</v>
      </c>
      <c r="N160" s="5" t="s">
        <v>4</v>
      </c>
      <c r="O160" s="100">
        <f ca="1">_xll.meDateFromTenor(O159,"1D","FOLLOWING",P$12)</f>
        <v>42717</v>
      </c>
      <c r="P160" s="13">
        <f ca="1">_xll.meDateFromTenor(O160,P$14,P$11,P$12)</f>
        <v>42899</v>
      </c>
      <c r="Q160" s="98">
        <f ca="1"/>
        <v>-1.4984338017923204E-3</v>
      </c>
      <c r="R160" s="5" t="s">
        <v>4</v>
      </c>
      <c r="S160" s="100">
        <f ca="1">_xll.meDateFromTenor(S159,"1D","FOLLOWING",T$12)</f>
        <v>42717</v>
      </c>
      <c r="T160" s="13">
        <f ca="1">_xll.meDateFromTenor(S160,T$14,T$11,T$12)</f>
        <v>43082</v>
      </c>
      <c r="U160" s="98">
        <f ca="1"/>
        <v>-1.599752834164464E-4</v>
      </c>
      <c r="V160" s="5" t="s">
        <v>4</v>
      </c>
      <c r="W160" s="84" t="s">
        <v>4</v>
      </c>
    </row>
    <row r="161" spans="1:23" x14ac:dyDescent="0.25">
      <c r="A161" s="90">
        <v>142</v>
      </c>
      <c r="B161" s="83"/>
      <c r="C161" s="100">
        <f ca="1">_xll.meDateFromTenor(C160,"1D","FOLLOWING",D$12)</f>
        <v>42718</v>
      </c>
      <c r="D161" s="13">
        <f ca="1">_xll.meDateFromTenor(C161,D$14,D$11,D$12)</f>
        <v>42719</v>
      </c>
      <c r="E161" s="98">
        <f ca="1"/>
        <v>-3.8412806987642291E-3</v>
      </c>
      <c r="F161" s="94"/>
      <c r="G161" s="100">
        <f ca="1">_xll.meDateFromTenor(G160,"1D","FOLLOWING",H$12)</f>
        <v>42718</v>
      </c>
      <c r="H161" s="13">
        <f ca="1">_xll.meDateFromTenor(G161,H$14,H$11,H$12)</f>
        <v>42751</v>
      </c>
      <c r="I161" s="98">
        <f ca="1"/>
        <v>-3.7472836224928577E-3</v>
      </c>
      <c r="J161" s="94" t="s">
        <v>4</v>
      </c>
      <c r="K161" s="100">
        <f ca="1">_xll.meDateFromTenor(K160,"1D","FOLLOWING",L$12)</f>
        <v>42718</v>
      </c>
      <c r="L161" s="13">
        <f ca="1">_xll.meDateFromTenor(K161,L$14,L$11,L$12)</f>
        <v>42808</v>
      </c>
      <c r="M161" s="98">
        <f ca="1"/>
        <v>-2.9456870681273772E-3</v>
      </c>
      <c r="N161" s="5" t="s">
        <v>4</v>
      </c>
      <c r="O161" s="100">
        <f ca="1">_xll.meDateFromTenor(O160,"1D","FOLLOWING",P$12)</f>
        <v>42718</v>
      </c>
      <c r="P161" s="13">
        <f ca="1">_xll.meDateFromTenor(O161,P$14,P$11,P$12)</f>
        <v>42900</v>
      </c>
      <c r="Q161" s="98">
        <f ca="1"/>
        <v>-1.4993994653532898E-3</v>
      </c>
      <c r="R161" s="5" t="s">
        <v>4</v>
      </c>
      <c r="S161" s="100">
        <f ca="1">_xll.meDateFromTenor(S160,"1D","FOLLOWING",T$12)</f>
        <v>42718</v>
      </c>
      <c r="T161" s="13">
        <f ca="1">_xll.meDateFromTenor(S161,T$14,T$11,T$12)</f>
        <v>43083</v>
      </c>
      <c r="U161" s="98">
        <f ca="1"/>
        <v>-1.5979853134932023E-4</v>
      </c>
      <c r="V161" s="5" t="s">
        <v>4</v>
      </c>
      <c r="W161" s="84" t="s">
        <v>4</v>
      </c>
    </row>
    <row r="162" spans="1:23" x14ac:dyDescent="0.25">
      <c r="A162" s="90">
        <v>143</v>
      </c>
      <c r="B162" s="83"/>
      <c r="C162" s="100">
        <f ca="1">_xll.meDateFromTenor(C161,"1D","FOLLOWING",D$12)</f>
        <v>42719</v>
      </c>
      <c r="D162" s="13">
        <f ca="1">_xll.meDateFromTenor(C162,D$14,D$11,D$12)</f>
        <v>42720</v>
      </c>
      <c r="E162" s="98">
        <f ca="1"/>
        <v>-3.8444214756028351E-3</v>
      </c>
      <c r="F162" s="94"/>
      <c r="G162" s="100">
        <f ca="1">_xll.meDateFromTenor(G161,"1D","FOLLOWING",H$12)</f>
        <v>42719</v>
      </c>
      <c r="H162" s="13">
        <f ca="1">_xll.meDateFromTenor(G162,H$14,H$11,H$12)</f>
        <v>42751</v>
      </c>
      <c r="I162" s="98">
        <f ca="1"/>
        <v>-3.7490142165262099E-3</v>
      </c>
      <c r="J162" s="94" t="s">
        <v>4</v>
      </c>
      <c r="K162" s="100">
        <f ca="1">_xll.meDateFromTenor(K161,"1D","FOLLOWING",L$12)</f>
        <v>42719</v>
      </c>
      <c r="L162" s="13">
        <f ca="1">_xll.meDateFromTenor(K162,L$14,L$11,L$12)</f>
        <v>42809</v>
      </c>
      <c r="M162" s="98">
        <f ca="1"/>
        <v>-2.9473735876152009E-3</v>
      </c>
      <c r="N162" s="5" t="s">
        <v>4</v>
      </c>
      <c r="O162" s="100">
        <f ca="1">_xll.meDateFromTenor(O161,"1D","FOLLOWING",P$12)</f>
        <v>42719</v>
      </c>
      <c r="P162" s="13">
        <f ca="1">_xll.meDateFromTenor(O162,P$14,P$11,P$12)</f>
        <v>42901</v>
      </c>
      <c r="Q162" s="98">
        <f ca="1"/>
        <v>-1.5003796686185386E-3</v>
      </c>
      <c r="R162" s="5" t="s">
        <v>4</v>
      </c>
      <c r="S162" s="100">
        <f ca="1">_xll.meDateFromTenor(S161,"1D","FOLLOWING",T$12)</f>
        <v>42719</v>
      </c>
      <c r="T162" s="13">
        <f ca="1">_xll.meDateFromTenor(S162,T$14,T$11,T$12)</f>
        <v>43084</v>
      </c>
      <c r="U162" s="98">
        <f ca="1"/>
        <v>-1.5961825993160902E-4</v>
      </c>
      <c r="V162" s="5" t="s">
        <v>4</v>
      </c>
      <c r="W162" s="84" t="s">
        <v>4</v>
      </c>
    </row>
    <row r="163" spans="1:23" x14ac:dyDescent="0.25">
      <c r="A163" s="90">
        <v>144</v>
      </c>
      <c r="B163" s="83"/>
      <c r="C163" s="100">
        <f ca="1">_xll.meDateFromTenor(C162,"1D","FOLLOWING",D$12)</f>
        <v>42720</v>
      </c>
      <c r="D163" s="13">
        <f ca="1">_xll.meDateFromTenor(C163,D$14,D$11,D$12)</f>
        <v>42723</v>
      </c>
      <c r="E163" s="98">
        <f ca="1"/>
        <v>-3.8506640653013374E-3</v>
      </c>
      <c r="F163" s="94"/>
      <c r="G163" s="100">
        <f ca="1">_xll.meDateFromTenor(G162,"1D","FOLLOWING",H$12)</f>
        <v>42720</v>
      </c>
      <c r="H163" s="13">
        <f ca="1">_xll.meDateFromTenor(G163,H$14,H$11,H$12)</f>
        <v>42751</v>
      </c>
      <c r="I163" s="98">
        <f ca="1"/>
        <v>-3.7507455359848995E-3</v>
      </c>
      <c r="J163" s="94" t="s">
        <v>4</v>
      </c>
      <c r="K163" s="100">
        <f ca="1">_xll.meDateFromTenor(K162,"1D","FOLLOWING",L$12)</f>
        <v>42720</v>
      </c>
      <c r="L163" s="13">
        <f ca="1">_xll.meDateFromTenor(K163,L$14,L$11,L$12)</f>
        <v>42810</v>
      </c>
      <c r="M163" s="98">
        <f ca="1"/>
        <v>-2.9490475113675648E-3</v>
      </c>
      <c r="N163" s="5" t="s">
        <v>4</v>
      </c>
      <c r="O163" s="100">
        <f ca="1">_xll.meDateFromTenor(O162,"1D","FOLLOWING",P$12)</f>
        <v>42720</v>
      </c>
      <c r="P163" s="13">
        <f ca="1">_xll.meDateFromTenor(O163,P$14,P$11,P$12)</f>
        <v>42902</v>
      </c>
      <c r="Q163" s="98">
        <f ca="1"/>
        <v>-1.5013742416972698E-3</v>
      </c>
      <c r="R163" s="5" t="s">
        <v>4</v>
      </c>
      <c r="S163" s="100">
        <f ca="1">_xll.meDateFromTenor(S162,"1D","FOLLOWING",T$12)</f>
        <v>42720</v>
      </c>
      <c r="T163" s="13">
        <f ca="1">_xll.meDateFromTenor(S163,T$14,T$11,T$12)</f>
        <v>43087</v>
      </c>
      <c r="U163" s="98">
        <f ca="1"/>
        <v>-1.5943445111536099E-4</v>
      </c>
      <c r="V163" s="5" t="s">
        <v>4</v>
      </c>
      <c r="W163" s="84" t="s">
        <v>4</v>
      </c>
    </row>
    <row r="164" spans="1:23" x14ac:dyDescent="0.25">
      <c r="A164" s="90">
        <v>145</v>
      </c>
      <c r="B164" s="83"/>
      <c r="C164" s="100">
        <f ca="1">_xll.meDateFromTenor(C163,"1D","FOLLOWING",D$12)</f>
        <v>42723</v>
      </c>
      <c r="D164" s="13">
        <f ca="1">_xll.meDateFromTenor(C164,D$14,D$11,D$12)</f>
        <v>42724</v>
      </c>
      <c r="E164" s="98">
        <f ca="1"/>
        <v>-3.8569901238450083E-3</v>
      </c>
      <c r="F164" s="94"/>
      <c r="G164" s="100">
        <f ca="1">_xll.meDateFromTenor(G163,"1D","FOLLOWING",H$12)</f>
        <v>42723</v>
      </c>
      <c r="H164" s="13">
        <f ca="1">_xll.meDateFromTenor(G164,H$14,H$11,H$12)</f>
        <v>42754</v>
      </c>
      <c r="I164" s="98">
        <f ca="1"/>
        <v>-3.7559279111085051E-3</v>
      </c>
      <c r="J164" s="94" t="s">
        <v>4</v>
      </c>
      <c r="K164" s="100">
        <f ca="1">_xll.meDateFromTenor(K163,"1D","FOLLOWING",L$12)</f>
        <v>42723</v>
      </c>
      <c r="L164" s="13">
        <f ca="1">_xll.meDateFromTenor(K164,L$14,L$11,L$12)</f>
        <v>42814</v>
      </c>
      <c r="M164" s="98">
        <f ca="1"/>
        <v>-2.9535503590129154E-3</v>
      </c>
      <c r="N164" s="5" t="s">
        <v>4</v>
      </c>
      <c r="O164" s="100">
        <f ca="1">_xll.meDateFromTenor(O163,"1D","FOLLOWING",P$12)</f>
        <v>42723</v>
      </c>
      <c r="P164" s="13">
        <f ca="1">_xll.meDateFromTenor(O164,P$14,P$11,P$12)</f>
        <v>42905</v>
      </c>
      <c r="Q164" s="98">
        <f ca="1"/>
        <v>-1.5044424809063813E-3</v>
      </c>
      <c r="R164" s="5" t="s">
        <v>4</v>
      </c>
      <c r="S164" s="100">
        <f ca="1">_xll.meDateFromTenor(S163,"1D","FOLLOWING",T$12)</f>
        <v>42723</v>
      </c>
      <c r="T164" s="13">
        <f ca="1">_xll.meDateFromTenor(S164,T$14,T$11,T$12)</f>
        <v>43088</v>
      </c>
      <c r="U164" s="98">
        <f ca="1"/>
        <v>-1.5886161979587892E-4</v>
      </c>
      <c r="V164" s="5" t="s">
        <v>4</v>
      </c>
      <c r="W164" s="84" t="s">
        <v>4</v>
      </c>
    </row>
    <row r="165" spans="1:23" x14ac:dyDescent="0.25">
      <c r="A165" s="90">
        <v>146</v>
      </c>
      <c r="B165" s="83"/>
      <c r="C165" s="100">
        <f ca="1">_xll.meDateFromTenor(C164,"1D","FOLLOWING",D$12)</f>
        <v>42724</v>
      </c>
      <c r="D165" s="13">
        <f ca="1">_xll.meDateFromTenor(C165,D$14,D$11,D$12)</f>
        <v>42725</v>
      </c>
      <c r="E165" s="98">
        <f ca="1"/>
        <v>-3.8601325380938217E-3</v>
      </c>
      <c r="F165" s="94"/>
      <c r="G165" s="100">
        <f ca="1">_xll.meDateFromTenor(G164,"1D","FOLLOWING",H$12)</f>
        <v>42724</v>
      </c>
      <c r="H165" s="13">
        <f ca="1">_xll.meDateFromTenor(G165,H$14,H$11,H$12)</f>
        <v>42755</v>
      </c>
      <c r="I165" s="98">
        <f ca="1"/>
        <v>-3.7576461964640533E-3</v>
      </c>
      <c r="J165" s="94" t="s">
        <v>4</v>
      </c>
      <c r="K165" s="100">
        <f ca="1">_xll.meDateFromTenor(K164,"1D","FOLLOWING",L$12)</f>
        <v>42724</v>
      </c>
      <c r="L165" s="13">
        <f ca="1">_xll.meDateFromTenor(K165,L$14,L$11,L$12)</f>
        <v>42814</v>
      </c>
      <c r="M165" s="98">
        <f ca="1"/>
        <v>-2.954730550624464E-3</v>
      </c>
      <c r="N165" s="5" t="s">
        <v>4</v>
      </c>
      <c r="O165" s="100">
        <f ca="1">_xll.meDateFromTenor(O164,"1D","FOLLOWING",P$12)</f>
        <v>42724</v>
      </c>
      <c r="P165" s="13">
        <f ca="1">_xll.meDateFromTenor(O165,P$14,P$11,P$12)</f>
        <v>42906</v>
      </c>
      <c r="Q165" s="98">
        <f ca="1"/>
        <v>-1.5054928343310658E-3</v>
      </c>
      <c r="R165" s="5" t="s">
        <v>4</v>
      </c>
      <c r="S165" s="100">
        <f ca="1">_xll.meDateFromTenor(S164,"1D","FOLLOWING",T$12)</f>
        <v>42724</v>
      </c>
      <c r="T165" s="13">
        <f ca="1">_xll.meDateFromTenor(S165,T$14,T$11,T$12)</f>
        <v>43089</v>
      </c>
      <c r="U165" s="98">
        <f ca="1"/>
        <v>-1.5866348090596649E-4</v>
      </c>
      <c r="V165" s="5" t="s">
        <v>4</v>
      </c>
      <c r="W165" s="84" t="s">
        <v>4</v>
      </c>
    </row>
    <row r="166" spans="1:23" x14ac:dyDescent="0.25">
      <c r="A166" s="90">
        <v>147</v>
      </c>
      <c r="B166" s="83"/>
      <c r="C166" s="100">
        <f ca="1">_xll.meDateFromTenor(C165,"1D","FOLLOWING",D$12)</f>
        <v>42725</v>
      </c>
      <c r="D166" s="13">
        <f ca="1">_xll.meDateFromTenor(C166,D$14,D$11,D$12)</f>
        <v>42726</v>
      </c>
      <c r="E166" s="98">
        <f ca="1"/>
        <v>-3.8632746002243007E-3</v>
      </c>
      <c r="F166" s="94"/>
      <c r="G166" s="100">
        <f ca="1">_xll.meDateFromTenor(G165,"1D","FOLLOWING",H$12)</f>
        <v>42725</v>
      </c>
      <c r="H166" s="13">
        <f ca="1">_xll.meDateFromTenor(G166,H$14,H$11,H$12)</f>
        <v>42758</v>
      </c>
      <c r="I166" s="98">
        <f ca="1"/>
        <v>-3.7593572393426929E-3</v>
      </c>
      <c r="J166" s="94" t="s">
        <v>4</v>
      </c>
      <c r="K166" s="100">
        <f ca="1">_xll.meDateFromTenor(K165,"1D","FOLLOWING",L$12)</f>
        <v>42725</v>
      </c>
      <c r="L166" s="13">
        <f ca="1">_xll.meDateFromTenor(K166,L$14,L$11,L$12)</f>
        <v>42815</v>
      </c>
      <c r="M166" s="98">
        <f ca="1"/>
        <v>-2.9556764719010668E-3</v>
      </c>
      <c r="N166" s="5" t="s">
        <v>4</v>
      </c>
      <c r="O166" s="100">
        <f ca="1">_xll.meDateFromTenor(O165,"1D","FOLLOWING",P$12)</f>
        <v>42725</v>
      </c>
      <c r="P166" s="13">
        <f ca="1">_xll.meDateFromTenor(O166,P$14,P$11,P$12)</f>
        <v>42907</v>
      </c>
      <c r="Q166" s="98">
        <f ca="1"/>
        <v>-1.5065567081152447E-3</v>
      </c>
      <c r="R166" s="5" t="s">
        <v>4</v>
      </c>
      <c r="S166" s="100">
        <f ca="1">_xll.meDateFromTenor(S165,"1D","FOLLOWING",T$12)</f>
        <v>42725</v>
      </c>
      <c r="T166" s="13">
        <f ca="1">_xll.meDateFromTenor(S166,T$14,T$11,T$12)</f>
        <v>43090</v>
      </c>
      <c r="U166" s="98">
        <f ca="1"/>
        <v>-1.5846171437775868E-4</v>
      </c>
      <c r="V166" s="5" t="s">
        <v>4</v>
      </c>
      <c r="W166" s="84" t="s">
        <v>4</v>
      </c>
    </row>
    <row r="167" spans="1:23" x14ac:dyDescent="0.25">
      <c r="A167" s="90">
        <v>148</v>
      </c>
      <c r="B167" s="83"/>
      <c r="C167" s="100">
        <f ca="1">_xll.meDateFromTenor(C166,"1D","FOLLOWING",D$12)</f>
        <v>42726</v>
      </c>
      <c r="D167" s="13">
        <f ca="1">_xll.meDateFromTenor(C167,D$14,D$11,D$12)</f>
        <v>42727</v>
      </c>
      <c r="E167" s="98">
        <f ca="1"/>
        <v>-3.8664160834578493E-3</v>
      </c>
      <c r="F167" s="94"/>
      <c r="G167" s="100">
        <f ca="1">_xll.meDateFromTenor(G166,"1D","FOLLOWING",H$12)</f>
        <v>42726</v>
      </c>
      <c r="H167" s="13">
        <f ca="1">_xll.meDateFromTenor(G167,H$14,H$11,H$12)</f>
        <v>42758</v>
      </c>
      <c r="I167" s="98">
        <f ca="1"/>
        <v>-3.761059446163974E-3</v>
      </c>
      <c r="J167" s="94" t="s">
        <v>4</v>
      </c>
      <c r="K167" s="100">
        <f ca="1">_xll.meDateFromTenor(K166,"1D","FOLLOWING",L$12)</f>
        <v>42726</v>
      </c>
      <c r="L167" s="13">
        <f ca="1">_xll.meDateFromTenor(K167,L$14,L$11,L$12)</f>
        <v>42816</v>
      </c>
      <c r="M167" s="98">
        <f ca="1"/>
        <v>-2.9563806151849236E-3</v>
      </c>
      <c r="N167" s="5" t="s">
        <v>4</v>
      </c>
      <c r="O167" s="100">
        <f ca="1">_xll.meDateFromTenor(O166,"1D","FOLLOWING",P$12)</f>
        <v>42726</v>
      </c>
      <c r="P167" s="13">
        <f ca="1">_xll.meDateFromTenor(O167,P$14,P$11,P$12)</f>
        <v>42908</v>
      </c>
      <c r="Q167" s="98">
        <f ca="1"/>
        <v>-1.5076339323681204E-3</v>
      </c>
      <c r="R167" s="5" t="s">
        <v>4</v>
      </c>
      <c r="S167" s="100">
        <f ca="1">_xll.meDateFromTenor(S166,"1D","FOLLOWING",T$12)</f>
        <v>42726</v>
      </c>
      <c r="T167" s="13">
        <f ca="1">_xll.meDateFromTenor(S167,T$14,T$11,T$12)</f>
        <v>43091</v>
      </c>
      <c r="U167" s="98">
        <f ca="1"/>
        <v>-1.5825630216330375E-4</v>
      </c>
      <c r="V167" s="5" t="s">
        <v>4</v>
      </c>
      <c r="W167" s="84" t="s">
        <v>4</v>
      </c>
    </row>
    <row r="168" spans="1:23" x14ac:dyDescent="0.25">
      <c r="A168" s="90">
        <v>149</v>
      </c>
      <c r="B168" s="83"/>
      <c r="C168" s="100">
        <f ca="1">_xll.meDateFromTenor(C167,"1D","FOLLOWING",D$12)</f>
        <v>42727</v>
      </c>
      <c r="D168" s="13">
        <f ca="1">_xll.meDateFromTenor(C168,D$14,D$11,D$12)</f>
        <v>42731</v>
      </c>
      <c r="E168" s="98">
        <f ca="1"/>
        <v>-3.874202373560484E-3</v>
      </c>
      <c r="F168" s="94"/>
      <c r="G168" s="100">
        <f ca="1">_xll.meDateFromTenor(G167,"1D","FOLLOWING",H$12)</f>
        <v>42727</v>
      </c>
      <c r="H168" s="13">
        <f ca="1">_xll.meDateFromTenor(G168,H$14,H$11,H$12)</f>
        <v>42758</v>
      </c>
      <c r="I168" s="98">
        <f ca="1"/>
        <v>-3.7627512233474481E-3</v>
      </c>
      <c r="J168" s="94" t="s">
        <v>4</v>
      </c>
      <c r="K168" s="100">
        <f ca="1">_xll.meDateFromTenor(K167,"1D","FOLLOWING",L$12)</f>
        <v>42727</v>
      </c>
      <c r="L168" s="13">
        <f ca="1">_xll.meDateFromTenor(K168,L$14,L$11,L$12)</f>
        <v>42817</v>
      </c>
      <c r="M168" s="98">
        <f ca="1"/>
        <v>-2.9569827818666217E-3</v>
      </c>
      <c r="N168" s="5" t="s">
        <v>4</v>
      </c>
      <c r="O168" s="100">
        <f ca="1">_xll.meDateFromTenor(O167,"1D","FOLLOWING",P$12)</f>
        <v>42727</v>
      </c>
      <c r="P168" s="13">
        <f ca="1">_xll.meDateFromTenor(O168,P$14,P$11,P$12)</f>
        <v>42909</v>
      </c>
      <c r="Q168" s="98">
        <f ca="1"/>
        <v>-1.5087243371988957E-3</v>
      </c>
      <c r="R168" s="5" t="s">
        <v>4</v>
      </c>
      <c r="S168" s="100">
        <f ca="1">_xll.meDateFromTenor(S167,"1D","FOLLOWING",T$12)</f>
        <v>42727</v>
      </c>
      <c r="T168" s="13">
        <f ca="1">_xll.meDateFromTenor(S168,T$14,T$11,T$12)</f>
        <v>43096</v>
      </c>
      <c r="U168" s="98">
        <f ca="1"/>
        <v>-1.5804722621464998E-4</v>
      </c>
      <c r="V168" s="5" t="s">
        <v>4</v>
      </c>
      <c r="W168" s="84" t="s">
        <v>4</v>
      </c>
    </row>
    <row r="169" spans="1:23" x14ac:dyDescent="0.25">
      <c r="A169" s="90">
        <v>150</v>
      </c>
      <c r="B169" s="83"/>
      <c r="C169" s="100">
        <f ca="1">_xll.meDateFromTenor(C168,"1D","FOLLOWING",D$12)</f>
        <v>42731</v>
      </c>
      <c r="D169" s="13">
        <f ca="1">_xll.meDateFromTenor(C169,D$14,D$11,D$12)</f>
        <v>42732</v>
      </c>
      <c r="E169" s="98">
        <f ca="1"/>
        <v>-3.8821068857553126E-3</v>
      </c>
      <c r="F169" s="94"/>
      <c r="G169" s="100">
        <f ca="1">_xll.meDateFromTenor(G168,"1D","FOLLOWING",H$12)</f>
        <v>42731</v>
      </c>
      <c r="H169" s="13">
        <f ca="1">_xll.meDateFromTenor(G169,H$14,H$11,H$12)</f>
        <v>42762</v>
      </c>
      <c r="I169" s="98">
        <f ca="1"/>
        <v>-3.7693821640942802E-3</v>
      </c>
      <c r="J169" s="94" t="s">
        <v>4</v>
      </c>
      <c r="K169" s="100">
        <f ca="1">_xll.meDateFromTenor(K168,"1D","FOLLOWING",L$12)</f>
        <v>42731</v>
      </c>
      <c r="L169" s="13">
        <f ca="1">_xll.meDateFromTenor(K169,L$14,L$11,L$12)</f>
        <v>42821</v>
      </c>
      <c r="M169" s="98">
        <f ca="1"/>
        <v>-2.959595401797732E-3</v>
      </c>
      <c r="N169" s="5" t="s">
        <v>4</v>
      </c>
      <c r="O169" s="100">
        <f ca="1">_xll.meDateFromTenor(O168,"1D","FOLLOWING",P$12)</f>
        <v>42731</v>
      </c>
      <c r="P169" s="13">
        <f ca="1">_xll.meDateFromTenor(O169,P$14,P$11,P$12)</f>
        <v>42913</v>
      </c>
      <c r="Q169" s="98">
        <f ca="1"/>
        <v>-1.5132143644850382E-3</v>
      </c>
      <c r="R169" s="5" t="s">
        <v>4</v>
      </c>
      <c r="S169" s="100">
        <f ca="1">_xll.meDateFromTenor(S168,"1D","FOLLOWING",T$12)</f>
        <v>42731</v>
      </c>
      <c r="T169" s="13">
        <f ca="1">_xll.meDateFromTenor(S169,T$14,T$11,T$12)</f>
        <v>43096</v>
      </c>
      <c r="U169" s="98">
        <f ca="1"/>
        <v>-1.5717392411901222E-4</v>
      </c>
      <c r="V169" s="5" t="s">
        <v>4</v>
      </c>
      <c r="W169" s="84" t="s">
        <v>4</v>
      </c>
    </row>
    <row r="170" spans="1:23" x14ac:dyDescent="0.25">
      <c r="A170" s="90">
        <v>151</v>
      </c>
      <c r="B170" s="83"/>
      <c r="C170" s="100">
        <f ca="1">_xll.meDateFromTenor(C169,"1D","FOLLOWING",D$12)</f>
        <v>42732</v>
      </c>
      <c r="D170" s="13">
        <f ca="1">_xll.meDateFromTenor(C170,D$14,D$11,D$12)</f>
        <v>42733</v>
      </c>
      <c r="E170" s="98">
        <f ca="1"/>
        <v>-3.8852401372535678E-3</v>
      </c>
      <c r="F170" s="94"/>
      <c r="G170" s="100">
        <f ca="1">_xll.meDateFromTenor(G169,"1D","FOLLOWING",H$12)</f>
        <v>42732</v>
      </c>
      <c r="H170" s="13">
        <f ca="1">_xll.meDateFromTenor(G170,H$14,H$11,H$12)</f>
        <v>42765</v>
      </c>
      <c r="I170" s="98">
        <f ca="1"/>
        <v>-3.7709978893819755E-3</v>
      </c>
      <c r="J170" s="94" t="s">
        <v>4</v>
      </c>
      <c r="K170" s="100">
        <f ca="1">_xll.meDateFromTenor(K169,"1D","FOLLOWING",L$12)</f>
        <v>42732</v>
      </c>
      <c r="L170" s="13">
        <f ca="1">_xll.meDateFromTenor(K170,L$14,L$11,L$12)</f>
        <v>42822</v>
      </c>
      <c r="M170" s="98">
        <f ca="1"/>
        <v>-2.9602475758475568E-3</v>
      </c>
      <c r="N170" s="5" t="s">
        <v>4</v>
      </c>
      <c r="O170" s="100">
        <f ca="1">_xll.meDateFromTenor(O169,"1D","FOLLOWING",P$12)</f>
        <v>42732</v>
      </c>
      <c r="P170" s="13">
        <f ca="1">_xll.meDateFromTenor(O170,P$14,P$11,P$12)</f>
        <v>42914</v>
      </c>
      <c r="Q170" s="98">
        <f ca="1"/>
        <v>-1.5143681238433467E-3</v>
      </c>
      <c r="R170" s="5" t="s">
        <v>4</v>
      </c>
      <c r="S170" s="100">
        <f ca="1">_xll.meDateFromTenor(S169,"1D","FOLLOWING",T$12)</f>
        <v>42732</v>
      </c>
      <c r="T170" s="13">
        <f ca="1">_xll.meDateFromTenor(S170,T$14,T$11,T$12)</f>
        <v>43097</v>
      </c>
      <c r="U170" s="98">
        <f ca="1"/>
        <v>-1.5694625878008854E-4</v>
      </c>
      <c r="V170" s="5" t="s">
        <v>4</v>
      </c>
      <c r="W170" s="84" t="s">
        <v>4</v>
      </c>
    </row>
    <row r="171" spans="1:23" x14ac:dyDescent="0.25">
      <c r="A171" s="90">
        <v>152</v>
      </c>
      <c r="B171" s="83"/>
      <c r="C171" s="100">
        <f ca="1">_xll.meDateFromTenor(C170,"1D","FOLLOWING",D$12)</f>
        <v>42733</v>
      </c>
      <c r="D171" s="13">
        <f ca="1">_xll.meDateFromTenor(C171,D$14,D$11,D$12)</f>
        <v>42734</v>
      </c>
      <c r="E171" s="98">
        <f ca="1"/>
        <v>-3.8883712236037621E-3</v>
      </c>
      <c r="F171" s="94"/>
      <c r="G171" s="100">
        <f ca="1">_xll.meDateFromTenor(G170,"1D","FOLLOWING",H$12)</f>
        <v>42733</v>
      </c>
      <c r="H171" s="13">
        <f ca="1">_xll.meDateFromTenor(G171,H$14,H$11,H$12)</f>
        <v>42765</v>
      </c>
      <c r="I171" s="98">
        <f ca="1"/>
        <v>-3.772593623549167E-3</v>
      </c>
      <c r="J171" s="94" t="s">
        <v>4</v>
      </c>
      <c r="K171" s="100">
        <f ca="1">_xll.meDateFromTenor(K170,"1D","FOLLOWING",L$12)</f>
        <v>42733</v>
      </c>
      <c r="L171" s="13">
        <f ca="1">_xll.meDateFromTenor(K171,L$14,L$11,L$12)</f>
        <v>42823</v>
      </c>
      <c r="M171" s="98">
        <f ca="1"/>
        <v>-2.9609017117632869E-3</v>
      </c>
      <c r="N171" s="5" t="s">
        <v>4</v>
      </c>
      <c r="O171" s="100">
        <f ca="1">_xll.meDateFromTenor(O170,"1D","FOLLOWING",P$12)</f>
        <v>42733</v>
      </c>
      <c r="P171" s="13">
        <f ca="1">_xll.meDateFromTenor(O171,P$14,P$11,P$12)</f>
        <v>42915</v>
      </c>
      <c r="Q171" s="98">
        <f ca="1"/>
        <v>-1.5155340444347688E-3</v>
      </c>
      <c r="R171" s="5" t="s">
        <v>4</v>
      </c>
      <c r="S171" s="100">
        <f ca="1">_xll.meDateFromTenor(S170,"1D","FOLLOWING",T$12)</f>
        <v>42733</v>
      </c>
      <c r="T171" s="13">
        <f ca="1">_xll.meDateFromTenor(S171,T$14,T$11,T$12)</f>
        <v>43098</v>
      </c>
      <c r="U171" s="98">
        <f ca="1"/>
        <v>-1.5671482141925571E-4</v>
      </c>
      <c r="V171" s="5" t="s">
        <v>4</v>
      </c>
      <c r="W171" s="84" t="s">
        <v>4</v>
      </c>
    </row>
    <row r="172" spans="1:23" x14ac:dyDescent="0.25">
      <c r="A172" s="90">
        <v>153</v>
      </c>
      <c r="B172" s="83"/>
      <c r="C172" s="100">
        <f ca="1">_xll.meDateFromTenor(C171,"1D","FOLLOWING",D$12)</f>
        <v>42734</v>
      </c>
      <c r="D172" s="13">
        <f ca="1">_xll.meDateFromTenor(C172,D$14,D$11,D$12)</f>
        <v>42737</v>
      </c>
      <c r="E172" s="98">
        <f ca="1"/>
        <v>-3.9017047633160967E-3</v>
      </c>
      <c r="F172" s="94"/>
      <c r="G172" s="100">
        <f ca="1">_xll.meDateFromTenor(G171,"1D","FOLLOWING",H$12)</f>
        <v>42734</v>
      </c>
      <c r="H172" s="13">
        <f ca="1">_xll.meDateFromTenor(G172,H$14,H$11,H$12)</f>
        <v>42765</v>
      </c>
      <c r="I172" s="98">
        <f ca="1"/>
        <v>-3.774167773015404E-3</v>
      </c>
      <c r="J172" s="94" t="s">
        <v>4</v>
      </c>
      <c r="K172" s="100">
        <f ca="1">_xll.meDateFromTenor(K171,"1D","FOLLOWING",L$12)</f>
        <v>42734</v>
      </c>
      <c r="L172" s="13">
        <f ca="1">_xll.meDateFromTenor(K172,L$14,L$11,L$12)</f>
        <v>42824</v>
      </c>
      <c r="M172" s="98">
        <f ca="1"/>
        <v>-2.9615551296756819E-3</v>
      </c>
      <c r="N172" s="5" t="s">
        <v>4</v>
      </c>
      <c r="O172" s="100">
        <f ca="1">_xll.meDateFromTenor(O171,"1D","FOLLOWING",P$12)</f>
        <v>42734</v>
      </c>
      <c r="P172" s="13">
        <f ca="1">_xll.meDateFromTenor(O172,P$14,P$11,P$12)</f>
        <v>42916</v>
      </c>
      <c r="Q172" s="98">
        <f ca="1"/>
        <v>-1.5167119563685078E-3</v>
      </c>
      <c r="R172" s="5" t="s">
        <v>4</v>
      </c>
      <c r="S172" s="100">
        <f ca="1">_xll.meDateFromTenor(S171,"1D","FOLLOWING",T$12)</f>
        <v>42734</v>
      </c>
      <c r="T172" s="13">
        <f ca="1">_xll.meDateFromTenor(S172,T$14,T$11,T$12)</f>
        <v>43098</v>
      </c>
      <c r="U172" s="98">
        <f ca="1"/>
        <v>-1.5647959398856201E-4</v>
      </c>
      <c r="V172" s="5" t="s">
        <v>4</v>
      </c>
      <c r="W172" s="84" t="s">
        <v>4</v>
      </c>
    </row>
    <row r="173" spans="1:23" x14ac:dyDescent="0.25">
      <c r="A173" s="90">
        <v>154</v>
      </c>
      <c r="B173" s="83"/>
      <c r="C173" s="100">
        <f ca="1">_xll.meDateFromTenor(C172,"1D","FOLLOWING",D$12)</f>
        <v>42737</v>
      </c>
      <c r="D173" s="13">
        <f ca="1">_xll.meDateFromTenor(C173,D$14,D$11,D$12)</f>
        <v>42738</v>
      </c>
      <c r="E173" s="98">
        <f ca="1"/>
        <v>-3.9115780602561184E-3</v>
      </c>
      <c r="F173" s="94"/>
      <c r="G173" s="100">
        <f ca="1">_xll.meDateFromTenor(G172,"1D","FOLLOWING",H$12)</f>
        <v>42737</v>
      </c>
      <c r="H173" s="13">
        <f ca="1">_xll.meDateFromTenor(G173,H$14,H$11,H$12)</f>
        <v>42768</v>
      </c>
      <c r="I173" s="98">
        <f ca="1"/>
        <v>-3.7787529201072367E-3</v>
      </c>
      <c r="J173" s="94" t="s">
        <v>4</v>
      </c>
      <c r="K173" s="100">
        <f ca="1">_xll.meDateFromTenor(K172,"1D","FOLLOWING",L$12)</f>
        <v>42737</v>
      </c>
      <c r="L173" s="13">
        <f ca="1">_xll.meDateFromTenor(K173,L$14,L$11,L$12)</f>
        <v>42828</v>
      </c>
      <c r="M173" s="98">
        <f ca="1"/>
        <v>-2.9635179106258093E-3</v>
      </c>
      <c r="N173" s="5" t="s">
        <v>4</v>
      </c>
      <c r="O173" s="100">
        <f ca="1">_xll.meDateFromTenor(O172,"1D","FOLLOWING",P$12)</f>
        <v>42737</v>
      </c>
      <c r="P173" s="13">
        <f ca="1">_xll.meDateFromTenor(O173,P$14,P$11,P$12)</f>
        <v>42919</v>
      </c>
      <c r="Q173" s="98">
        <f ca="1"/>
        <v>-1.520322618476255E-3</v>
      </c>
      <c r="R173" s="5" t="s">
        <v>4</v>
      </c>
      <c r="S173" s="100">
        <f ca="1">_xll.meDateFromTenor(S172,"1D","FOLLOWING",T$12)</f>
        <v>42737</v>
      </c>
      <c r="T173" s="13">
        <f ca="1">_xll.meDateFromTenor(S173,T$14,T$11,T$12)</f>
        <v>43102</v>
      </c>
      <c r="U173" s="98">
        <f ca="1"/>
        <v>-1.5574962836145635E-4</v>
      </c>
      <c r="V173" s="5" t="s">
        <v>4</v>
      </c>
      <c r="W173" s="84" t="s">
        <v>4</v>
      </c>
    </row>
    <row r="174" spans="1:23" x14ac:dyDescent="0.25">
      <c r="A174" s="90">
        <v>155</v>
      </c>
      <c r="B174" s="83"/>
      <c r="C174" s="100">
        <f ca="1">_xll.meDateFromTenor(C173,"1D","FOLLOWING",D$12)</f>
        <v>42738</v>
      </c>
      <c r="D174" s="13">
        <f ca="1">_xll.meDateFromTenor(C174,D$14,D$11,D$12)</f>
        <v>42739</v>
      </c>
      <c r="E174" s="98">
        <f ca="1"/>
        <v>-3.9147119960869642E-3</v>
      </c>
      <c r="F174" s="94"/>
      <c r="G174" s="100">
        <f ca="1">_xll.meDateFromTenor(G173,"1D","FOLLOWING",H$12)</f>
        <v>42738</v>
      </c>
      <c r="H174" s="13">
        <f ca="1">_xll.meDateFromTenor(G174,H$14,H$11,H$12)</f>
        <v>42769</v>
      </c>
      <c r="I174" s="98">
        <f ca="1"/>
        <v>-3.780229152052022E-3</v>
      </c>
      <c r="J174" s="94" t="s">
        <v>4</v>
      </c>
      <c r="K174" s="100">
        <f ca="1">_xll.meDateFromTenor(K173,"1D","FOLLOWING",L$12)</f>
        <v>42738</v>
      </c>
      <c r="L174" s="13">
        <f ca="1">_xll.meDateFromTenor(K174,L$14,L$11,L$12)</f>
        <v>42828</v>
      </c>
      <c r="M174" s="98">
        <f ca="1"/>
        <v>-2.9641728740224592E-3</v>
      </c>
      <c r="N174" s="5" t="s">
        <v>4</v>
      </c>
      <c r="O174" s="100">
        <f ca="1">_xll.meDateFromTenor(O173,"1D","FOLLOWING",P$12)</f>
        <v>42738</v>
      </c>
      <c r="P174" s="13">
        <f ca="1">_xll.meDateFromTenor(O174,P$14,P$11,P$12)</f>
        <v>42919</v>
      </c>
      <c r="Q174" s="98">
        <f ca="1"/>
        <v>-1.5215502278485473E-3</v>
      </c>
      <c r="R174" s="5" t="s">
        <v>4</v>
      </c>
      <c r="S174" s="100">
        <f ca="1">_xll.meDateFromTenor(S173,"1D","FOLLOWING",T$12)</f>
        <v>42738</v>
      </c>
      <c r="T174" s="13">
        <f ca="1">_xll.meDateFromTenor(S174,T$14,T$11,T$12)</f>
        <v>43103</v>
      </c>
      <c r="U174" s="98">
        <f ca="1"/>
        <v>-1.5549834709074848E-4</v>
      </c>
      <c r="V174" s="5" t="s">
        <v>4</v>
      </c>
      <c r="W174" s="84" t="s">
        <v>4</v>
      </c>
    </row>
    <row r="175" spans="1:23" x14ac:dyDescent="0.25">
      <c r="A175" s="90">
        <v>156</v>
      </c>
      <c r="B175" s="83"/>
      <c r="C175" s="100">
        <f ca="1">_xll.meDateFromTenor(C174,"1D","FOLLOWING",D$12)</f>
        <v>42739</v>
      </c>
      <c r="D175" s="13">
        <f ca="1">_xll.meDateFromTenor(C175,D$14,D$11,D$12)</f>
        <v>42740</v>
      </c>
      <c r="E175" s="98">
        <f ca="1"/>
        <v>-3.9178423762820241E-3</v>
      </c>
      <c r="F175" s="94"/>
      <c r="G175" s="100">
        <f ca="1">_xll.meDateFromTenor(G174,"1D","FOLLOWING",H$12)</f>
        <v>42739</v>
      </c>
      <c r="H175" s="13">
        <f ca="1">_xll.meDateFromTenor(G175,H$14,H$11,H$12)</f>
        <v>42772</v>
      </c>
      <c r="I175" s="98">
        <f ca="1"/>
        <v>-3.7816787907881595E-3</v>
      </c>
      <c r="J175" s="94" t="s">
        <v>4</v>
      </c>
      <c r="K175" s="100">
        <f ca="1">_xll.meDateFromTenor(K174,"1D","FOLLOWING",L$12)</f>
        <v>42739</v>
      </c>
      <c r="L175" s="13">
        <f ca="1">_xll.meDateFromTenor(K175,L$14,L$11,L$12)</f>
        <v>42829</v>
      </c>
      <c r="M175" s="98">
        <f ca="1"/>
        <v>-2.9648277995227772E-3</v>
      </c>
      <c r="N175" s="5" t="s">
        <v>4</v>
      </c>
      <c r="O175" s="100">
        <f ca="1">_xll.meDateFromTenor(O174,"1D","FOLLOWING",P$12)</f>
        <v>42739</v>
      </c>
      <c r="P175" s="13">
        <f ca="1">_xll.meDateFromTenor(O175,P$14,P$11,P$12)</f>
        <v>42920</v>
      </c>
      <c r="Q175" s="98">
        <f ca="1"/>
        <v>-1.5227890388402189E-3</v>
      </c>
      <c r="R175" s="5" t="s">
        <v>4</v>
      </c>
      <c r="S175" s="100">
        <f ca="1">_xll.meDateFromTenor(S174,"1D","FOLLOWING",T$12)</f>
        <v>42739</v>
      </c>
      <c r="T175" s="13">
        <f ca="1">_xll.meDateFromTenor(S175,T$14,T$11,T$12)</f>
        <v>43104</v>
      </c>
      <c r="U175" s="98">
        <f ca="1"/>
        <v>-1.5524316407017138E-4</v>
      </c>
      <c r="V175" s="5" t="s">
        <v>4</v>
      </c>
      <c r="W175" s="84" t="s">
        <v>4</v>
      </c>
    </row>
    <row r="176" spans="1:23" x14ac:dyDescent="0.25">
      <c r="A176" s="90">
        <v>157</v>
      </c>
      <c r="B176" s="83"/>
      <c r="C176" s="100">
        <f ca="1">_xll.meDateFromTenor(C175,"1D","FOLLOWING",D$12)</f>
        <v>42740</v>
      </c>
      <c r="D176" s="13">
        <f ca="1">_xll.meDateFromTenor(C176,D$14,D$11,D$12)</f>
        <v>42741</v>
      </c>
      <c r="E176" s="98">
        <f ca="1"/>
        <v>-3.9209689715445596E-3</v>
      </c>
      <c r="F176" s="94"/>
      <c r="G176" s="100">
        <f ca="1">_xll.meDateFromTenor(G175,"1D","FOLLOWING",H$12)</f>
        <v>42740</v>
      </c>
      <c r="H176" s="13">
        <f ca="1">_xll.meDateFromTenor(G176,H$14,H$11,H$12)</f>
        <v>42772</v>
      </c>
      <c r="I176" s="98">
        <f ca="1"/>
        <v>-3.7831033643195978E-3</v>
      </c>
      <c r="J176" s="94" t="s">
        <v>4</v>
      </c>
      <c r="K176" s="100">
        <f ca="1">_xll.meDateFromTenor(K175,"1D","FOLLOWING",L$12)</f>
        <v>42740</v>
      </c>
      <c r="L176" s="13">
        <f ca="1">_xll.meDateFromTenor(K176,L$14,L$11,L$12)</f>
        <v>42830</v>
      </c>
      <c r="M176" s="98">
        <f ca="1"/>
        <v>-2.9654827388941149E-3</v>
      </c>
      <c r="N176" s="5" t="s">
        <v>4</v>
      </c>
      <c r="O176" s="100">
        <f ca="1">_xll.meDateFromTenor(O175,"1D","FOLLOWING",P$12)</f>
        <v>42740</v>
      </c>
      <c r="P176" s="13">
        <f ca="1">_xll.meDateFromTenor(O176,P$14,P$11,P$12)</f>
        <v>42921</v>
      </c>
      <c r="Q176" s="98">
        <f ca="1"/>
        <v>-1.5240388801602803E-3</v>
      </c>
      <c r="R176" s="5" t="s">
        <v>4</v>
      </c>
      <c r="S176" s="100">
        <f ca="1">_xll.meDateFromTenor(S175,"1D","FOLLOWING",T$12)</f>
        <v>42740</v>
      </c>
      <c r="T176" s="13">
        <f ca="1">_xll.meDateFromTenor(S176,T$14,T$11,T$12)</f>
        <v>43105</v>
      </c>
      <c r="U176" s="98">
        <f ca="1"/>
        <v>-1.5498406110302725E-4</v>
      </c>
      <c r="V176" s="5" t="s">
        <v>4</v>
      </c>
      <c r="W176" s="84" t="s">
        <v>4</v>
      </c>
    </row>
    <row r="177" spans="1:23" x14ac:dyDescent="0.25">
      <c r="A177" s="90">
        <v>158</v>
      </c>
      <c r="B177" s="83"/>
      <c r="C177" s="100">
        <f ca="1">_xll.meDateFromTenor(C176,"1D","FOLLOWING",D$12)</f>
        <v>42741</v>
      </c>
      <c r="D177" s="13">
        <f ca="1">_xll.meDateFromTenor(C177,D$14,D$11,D$12)</f>
        <v>42744</v>
      </c>
      <c r="E177" s="98">
        <f ca="1"/>
        <v>-3.9271655586148452E-3</v>
      </c>
      <c r="F177" s="94"/>
      <c r="G177" s="100">
        <f ca="1">_xll.meDateFromTenor(G176,"1D","FOLLOWING",H$12)</f>
        <v>42741</v>
      </c>
      <c r="H177" s="13">
        <f ca="1">_xll.meDateFromTenor(G177,H$14,H$11,H$12)</f>
        <v>42772</v>
      </c>
      <c r="I177" s="98">
        <f ca="1"/>
        <v>-3.7845044006502892E-3</v>
      </c>
      <c r="J177" s="94" t="s">
        <v>4</v>
      </c>
      <c r="K177" s="100">
        <f ca="1">_xll.meDateFromTenor(K176,"1D","FOLLOWING",L$12)</f>
        <v>42741</v>
      </c>
      <c r="L177" s="13">
        <f ca="1">_xll.meDateFromTenor(K177,L$14,L$11,L$12)</f>
        <v>42831</v>
      </c>
      <c r="M177" s="98">
        <f ca="1"/>
        <v>-2.9661376884197446E-3</v>
      </c>
      <c r="N177" s="5" t="s">
        <v>4</v>
      </c>
      <c r="O177" s="100">
        <f ca="1">_xll.meDateFromTenor(O176,"1D","FOLLOWING",P$12)</f>
        <v>42741</v>
      </c>
      <c r="P177" s="13">
        <f ca="1">_xll.meDateFromTenor(O177,P$14,P$11,P$12)</f>
        <v>42922</v>
      </c>
      <c r="Q177" s="98">
        <f ca="1"/>
        <v>-1.5252995805177419E-3</v>
      </c>
      <c r="R177" s="5" t="s">
        <v>4</v>
      </c>
      <c r="S177" s="100">
        <f ca="1">_xll.meDateFromTenor(S176,"1D","FOLLOWING",T$12)</f>
        <v>42741</v>
      </c>
      <c r="T177" s="13">
        <f ca="1">_xll.meDateFromTenor(S177,T$14,T$11,T$12)</f>
        <v>43108</v>
      </c>
      <c r="U177" s="98">
        <f ca="1"/>
        <v>-1.5472101999261824E-4</v>
      </c>
      <c r="V177" s="5" t="s">
        <v>4</v>
      </c>
      <c r="W177" s="84" t="s">
        <v>4</v>
      </c>
    </row>
    <row r="178" spans="1:23" x14ac:dyDescent="0.25">
      <c r="A178" s="90">
        <v>159</v>
      </c>
      <c r="B178" s="83"/>
      <c r="C178" s="100">
        <f ca="1">_xll.meDateFromTenor(C177,"1D","FOLLOWING",D$12)</f>
        <v>42744</v>
      </c>
      <c r="D178" s="13">
        <f ca="1">_xll.meDateFromTenor(C178,D$14,D$11,D$12)</f>
        <v>42745</v>
      </c>
      <c r="E178" s="98">
        <f ca="1"/>
        <v>-3.9334329210572033E-3</v>
      </c>
      <c r="F178" s="94"/>
      <c r="G178" s="100">
        <f ca="1">_xll.meDateFromTenor(G177,"1D","FOLLOWING",H$12)</f>
        <v>42744</v>
      </c>
      <c r="H178" s="13">
        <f ca="1">_xll.meDateFromTenor(G178,H$14,H$11,H$12)</f>
        <v>42775</v>
      </c>
      <c r="I178" s="98">
        <f ca="1"/>
        <v>-3.7885815664773759E-3</v>
      </c>
      <c r="J178" s="94" t="s">
        <v>4</v>
      </c>
      <c r="K178" s="100">
        <f ca="1">_xll.meDateFromTenor(K177,"1D","FOLLOWING",L$12)</f>
        <v>42744</v>
      </c>
      <c r="L178" s="13">
        <f ca="1">_xll.meDateFromTenor(K178,L$14,L$11,L$12)</f>
        <v>42835</v>
      </c>
      <c r="M178" s="98">
        <f ca="1"/>
        <v>-2.9681025214006729E-3</v>
      </c>
      <c r="N178" s="5" t="s">
        <v>4</v>
      </c>
      <c r="O178" s="100">
        <f ca="1">_xll.meDateFromTenor(O177,"1D","FOLLOWING",P$12)</f>
        <v>42744</v>
      </c>
      <c r="P178" s="13">
        <f ca="1">_xll.meDateFromTenor(O178,P$14,P$11,P$12)</f>
        <v>42926</v>
      </c>
      <c r="Q178" s="98">
        <f ca="1"/>
        <v>-1.5291451229046348E-3</v>
      </c>
      <c r="R178" s="5" t="s">
        <v>4</v>
      </c>
      <c r="S178" s="100">
        <f ca="1">_xll.meDateFromTenor(S177,"1D","FOLLOWING",T$12)</f>
        <v>42744</v>
      </c>
      <c r="T178" s="13">
        <f ca="1">_xll.meDateFromTenor(S178,T$14,T$11,T$12)</f>
        <v>43109</v>
      </c>
      <c r="U178" s="98">
        <f ca="1"/>
        <v>-1.539080858348237E-4</v>
      </c>
      <c r="V178" s="5" t="s">
        <v>4</v>
      </c>
      <c r="W178" s="84" t="s">
        <v>4</v>
      </c>
    </row>
    <row r="179" spans="1:23" x14ac:dyDescent="0.25">
      <c r="A179" s="90">
        <v>160</v>
      </c>
      <c r="B179" s="83"/>
      <c r="C179" s="100">
        <f ca="1">_xll.meDateFromTenor(C178,"1D","FOLLOWING",D$12)</f>
        <v>42745</v>
      </c>
      <c r="D179" s="13">
        <f ca="1">_xll.meDateFromTenor(C179,D$14,D$11,D$12)</f>
        <v>42746</v>
      </c>
      <c r="E179" s="98">
        <f ca="1"/>
        <v>-3.9365371551269984E-3</v>
      </c>
      <c r="F179" s="94"/>
      <c r="G179" s="100">
        <f ca="1">_xll.meDateFromTenor(G178,"1D","FOLLOWING",H$12)</f>
        <v>42745</v>
      </c>
      <c r="H179" s="13">
        <f ca="1">_xll.meDateFromTenor(G179,H$14,H$11,H$12)</f>
        <v>42776</v>
      </c>
      <c r="I179" s="98">
        <f ca="1"/>
        <v>-3.7899037340445767E-3</v>
      </c>
      <c r="J179" s="94" t="s">
        <v>4</v>
      </c>
      <c r="K179" s="100">
        <f ca="1">_xll.meDateFromTenor(K178,"1D","FOLLOWING",L$12)</f>
        <v>42745</v>
      </c>
      <c r="L179" s="13">
        <f ca="1">_xll.meDateFromTenor(K179,L$14,L$11,L$12)</f>
        <v>42835</v>
      </c>
      <c r="M179" s="98">
        <f ca="1"/>
        <v>-2.9687574662136795E-3</v>
      </c>
      <c r="N179" s="5" t="s">
        <v>4</v>
      </c>
      <c r="O179" s="100">
        <f ca="1">_xll.meDateFromTenor(O178,"1D","FOLLOWING",P$12)</f>
        <v>42745</v>
      </c>
      <c r="P179" s="13">
        <f ca="1">_xll.meDateFromTenor(O179,P$14,P$11,P$12)</f>
        <v>42926</v>
      </c>
      <c r="Q179" s="98">
        <f ca="1"/>
        <v>-1.5304475465018035E-3</v>
      </c>
      <c r="R179" s="5" t="s">
        <v>4</v>
      </c>
      <c r="S179" s="100">
        <f ca="1">_xll.meDateFromTenor(S178,"1D","FOLLOWING",T$12)</f>
        <v>42745</v>
      </c>
      <c r="T179" s="13">
        <f ca="1">_xll.meDateFromTenor(S179,T$14,T$11,T$12)</f>
        <v>43110</v>
      </c>
      <c r="U179" s="98">
        <f ca="1"/>
        <v>-1.5362911018437691E-4</v>
      </c>
      <c r="V179" s="5" t="s">
        <v>4</v>
      </c>
      <c r="W179" s="84" t="s">
        <v>4</v>
      </c>
    </row>
    <row r="180" spans="1:23" x14ac:dyDescent="0.25">
      <c r="A180" s="90">
        <v>161</v>
      </c>
      <c r="B180" s="83"/>
      <c r="C180" s="100">
        <f ca="1">_xll.meDateFromTenor(C179,"1D","FOLLOWING",D$12)</f>
        <v>42746</v>
      </c>
      <c r="D180" s="13">
        <f ca="1">_xll.meDateFromTenor(C180,D$14,D$11,D$12)</f>
        <v>42747</v>
      </c>
      <c r="E180" s="98">
        <f ca="1"/>
        <v>-3.9396362298438486E-3</v>
      </c>
      <c r="F180" s="94"/>
      <c r="G180" s="100">
        <f ca="1">_xll.meDateFromTenor(G179,"1D","FOLLOWING",H$12)</f>
        <v>42746</v>
      </c>
      <c r="H180" s="13">
        <f ca="1">_xll.meDateFromTenor(G180,H$14,H$11,H$12)</f>
        <v>42779</v>
      </c>
      <c r="I180" s="98">
        <f ca="1"/>
        <v>-3.7912100044307797E-3</v>
      </c>
      <c r="J180" s="94" t="s">
        <v>4</v>
      </c>
      <c r="K180" s="100">
        <f ca="1">_xll.meDateFromTenor(K179,"1D","FOLLOWING",L$12)</f>
        <v>42746</v>
      </c>
      <c r="L180" s="13">
        <f ca="1">_xll.meDateFromTenor(K180,L$14,L$11,L$12)</f>
        <v>42836</v>
      </c>
      <c r="M180" s="98">
        <f ca="1"/>
        <v>-2.9694124107598374E-3</v>
      </c>
      <c r="N180" s="5" t="s">
        <v>4</v>
      </c>
      <c r="O180" s="100">
        <f ca="1">_xll.meDateFromTenor(O179,"1D","FOLLOWING",P$12)</f>
        <v>42746</v>
      </c>
      <c r="P180" s="13">
        <f ca="1">_xll.meDateFromTenor(O180,P$14,P$11,P$12)</f>
        <v>42927</v>
      </c>
      <c r="Q180" s="98">
        <f ca="1"/>
        <v>-1.5317599726814254E-3</v>
      </c>
      <c r="R180" s="5" t="s">
        <v>4</v>
      </c>
      <c r="S180" s="100">
        <f ca="1">_xll.meDateFromTenor(S179,"1D","FOLLOWING",T$12)</f>
        <v>42746</v>
      </c>
      <c r="T180" s="13">
        <f ca="1">_xll.meDateFromTenor(S180,T$14,T$11,T$12)</f>
        <v>43111</v>
      </c>
      <c r="U180" s="98">
        <f ca="1"/>
        <v>-1.5334610540717613E-4</v>
      </c>
      <c r="V180" s="5" t="s">
        <v>4</v>
      </c>
      <c r="W180" s="84" t="s">
        <v>4</v>
      </c>
    </row>
    <row r="181" spans="1:23" x14ac:dyDescent="0.25">
      <c r="A181" s="90">
        <v>162</v>
      </c>
      <c r="B181" s="83"/>
      <c r="C181" s="100">
        <f ca="1">_xll.meDateFromTenor(C180,"1D","FOLLOWING",D$12)</f>
        <v>42747</v>
      </c>
      <c r="D181" s="13">
        <f ca="1">_xll.meDateFromTenor(C181,D$14,D$11,D$12)</f>
        <v>42748</v>
      </c>
      <c r="E181" s="98">
        <f ca="1"/>
        <v>-3.9427299158312362E-3</v>
      </c>
      <c r="F181" s="94"/>
      <c r="G181" s="100">
        <f ca="1">_xll.meDateFromTenor(G180,"1D","FOLLOWING",H$12)</f>
        <v>42747</v>
      </c>
      <c r="H181" s="13">
        <f ca="1">_xll.meDateFromTenor(G181,H$14,H$11,H$12)</f>
        <v>42779</v>
      </c>
      <c r="I181" s="98">
        <f ca="1"/>
        <v>-3.7925019056399348E-3</v>
      </c>
      <c r="J181" s="94" t="s">
        <v>4</v>
      </c>
      <c r="K181" s="100">
        <f ca="1">_xll.meDateFromTenor(K180,"1D","FOLLOWING",L$12)</f>
        <v>42747</v>
      </c>
      <c r="L181" s="13">
        <f ca="1">_xll.meDateFromTenor(K181,L$14,L$11,L$12)</f>
        <v>42837</v>
      </c>
      <c r="M181" s="98">
        <f ca="1"/>
        <v>-2.9700673551106469E-3</v>
      </c>
      <c r="N181" s="5" t="s">
        <v>4</v>
      </c>
      <c r="O181" s="100">
        <f ca="1">_xll.meDateFromTenor(O180,"1D","FOLLOWING",P$12)</f>
        <v>42747</v>
      </c>
      <c r="P181" s="13">
        <f ca="1">_xll.meDateFromTenor(O181,P$14,P$11,P$12)</f>
        <v>42928</v>
      </c>
      <c r="Q181" s="98">
        <f ca="1"/>
        <v>-1.5330822301525113E-3</v>
      </c>
      <c r="R181" s="5" t="s">
        <v>4</v>
      </c>
      <c r="S181" s="100">
        <f ca="1">_xll.meDateFromTenor(S180,"1D","FOLLOWING",T$12)</f>
        <v>42747</v>
      </c>
      <c r="T181" s="13">
        <f ca="1">_xll.meDateFromTenor(S181,T$14,T$11,T$12)</f>
        <v>43112</v>
      </c>
      <c r="U181" s="98">
        <f ca="1"/>
        <v>-1.5305905330652351E-4</v>
      </c>
      <c r="V181" s="5" t="s">
        <v>4</v>
      </c>
      <c r="W181" s="84" t="s">
        <v>4</v>
      </c>
    </row>
    <row r="182" spans="1:23" x14ac:dyDescent="0.25">
      <c r="A182" s="90">
        <v>163</v>
      </c>
      <c r="B182" s="83"/>
      <c r="C182" s="100">
        <f ca="1">_xll.meDateFromTenor(C181,"1D","FOLLOWING",D$12)</f>
        <v>42748</v>
      </c>
      <c r="D182" s="13">
        <f ca="1">_xll.meDateFromTenor(C182,D$14,D$11,D$12)</f>
        <v>42751</v>
      </c>
      <c r="E182" s="98">
        <f ca="1"/>
        <v>-3.9488548645927463E-3</v>
      </c>
      <c r="F182" s="94"/>
      <c r="G182" s="100">
        <f ca="1">_xll.meDateFromTenor(G181,"1D","FOLLOWING",H$12)</f>
        <v>42748</v>
      </c>
      <c r="H182" s="13">
        <f ca="1">_xll.meDateFromTenor(G182,H$14,H$11,H$12)</f>
        <v>42779</v>
      </c>
      <c r="I182" s="98">
        <f ca="1"/>
        <v>-3.7937809656759928E-3</v>
      </c>
      <c r="J182" s="94" t="s">
        <v>4</v>
      </c>
      <c r="K182" s="100">
        <f ca="1">_xll.meDateFromTenor(K181,"1D","FOLLOWING",L$12)</f>
        <v>42748</v>
      </c>
      <c r="L182" s="13">
        <f ca="1">_xll.meDateFromTenor(K182,L$14,L$11,L$12)</f>
        <v>42838</v>
      </c>
      <c r="M182" s="98">
        <f ca="1"/>
        <v>-2.9707222995329578E-3</v>
      </c>
      <c r="N182" s="5" t="s">
        <v>4</v>
      </c>
      <c r="O182" s="100">
        <f ca="1">_xll.meDateFromTenor(O181,"1D","FOLLOWING",P$12)</f>
        <v>42748</v>
      </c>
      <c r="P182" s="13">
        <f ca="1">_xll.meDateFromTenor(O182,P$14,P$11,P$12)</f>
        <v>42929</v>
      </c>
      <c r="Q182" s="98">
        <f ca="1"/>
        <v>-1.5344141476240718E-3</v>
      </c>
      <c r="R182" s="5" t="s">
        <v>4</v>
      </c>
      <c r="S182" s="100">
        <f ca="1">_xll.meDateFromTenor(S181,"1D","FOLLOWING",T$12)</f>
        <v>42748</v>
      </c>
      <c r="T182" s="13">
        <f ca="1">_xll.meDateFromTenor(S182,T$14,T$11,T$12)</f>
        <v>43115</v>
      </c>
      <c r="U182" s="98">
        <f ca="1"/>
        <v>-1.527679356857212E-4</v>
      </c>
      <c r="V182" s="5" t="s">
        <v>4</v>
      </c>
      <c r="W182" s="84" t="s">
        <v>4</v>
      </c>
    </row>
    <row r="183" spans="1:23" x14ac:dyDescent="0.25">
      <c r="A183" s="90">
        <v>164</v>
      </c>
      <c r="B183" s="83"/>
      <c r="C183" s="100">
        <f ca="1">_xll.meDateFromTenor(C182,"1D","FOLLOWING",D$12)</f>
        <v>42751</v>
      </c>
      <c r="D183" s="13">
        <f ca="1">_xll.meDateFromTenor(C183,D$14,D$11,D$12)</f>
        <v>42752</v>
      </c>
      <c r="E183" s="98">
        <f ca="1"/>
        <v>-3.9550461924296679E-3</v>
      </c>
      <c r="F183" s="94"/>
      <c r="G183" s="100">
        <f ca="1">_xll.meDateFromTenor(G182,"1D","FOLLOWING",H$12)</f>
        <v>42751</v>
      </c>
      <c r="H183" s="13">
        <f ca="1">_xll.meDateFromTenor(G183,H$14,H$11,H$12)</f>
        <v>42782</v>
      </c>
      <c r="I183" s="98">
        <f ca="1"/>
        <v>-3.7975563787850824E-3</v>
      </c>
      <c r="J183" s="94" t="s">
        <v>4</v>
      </c>
      <c r="K183" s="100">
        <f ca="1">_xll.meDateFromTenor(K182,"1D","FOLLOWING",L$12)</f>
        <v>42751</v>
      </c>
      <c r="L183" s="13">
        <f ca="1">_xll.meDateFromTenor(K183,L$14,L$11,L$12)</f>
        <v>42843</v>
      </c>
      <c r="M183" s="98">
        <f ca="1"/>
        <v>-2.9726871329045822E-3</v>
      </c>
      <c r="N183" s="5" t="s">
        <v>4</v>
      </c>
      <c r="O183" s="100">
        <f ca="1">_xll.meDateFromTenor(O182,"1D","FOLLOWING",P$12)</f>
        <v>42751</v>
      </c>
      <c r="P183" s="13">
        <f ca="1">_xll.meDateFromTenor(O183,P$14,P$11,P$12)</f>
        <v>42933</v>
      </c>
      <c r="Q183" s="98">
        <f ca="1"/>
        <v>-1.5384661471317047E-3</v>
      </c>
      <c r="R183" s="5" t="s">
        <v>4</v>
      </c>
      <c r="S183" s="100">
        <f ca="1">_xll.meDateFromTenor(S182,"1D","FOLLOWING",T$12)</f>
        <v>42751</v>
      </c>
      <c r="T183" s="13">
        <f ca="1">_xll.meDateFromTenor(S183,T$14,T$11,T$12)</f>
        <v>43116</v>
      </c>
      <c r="U183" s="98">
        <f ca="1"/>
        <v>-1.5187000773543799E-4</v>
      </c>
      <c r="V183" s="5" t="s">
        <v>4</v>
      </c>
      <c r="W183" s="84" t="s">
        <v>4</v>
      </c>
    </row>
    <row r="184" spans="1:23" x14ac:dyDescent="0.25">
      <c r="A184" s="90">
        <v>165</v>
      </c>
      <c r="B184" s="83"/>
      <c r="C184" s="100">
        <f ca="1">_xll.meDateFromTenor(C183,"1D","FOLLOWING",D$12)</f>
        <v>42752</v>
      </c>
      <c r="D184" s="13">
        <f ca="1">_xll.meDateFromTenor(C184,D$14,D$11,D$12)</f>
        <v>42753</v>
      </c>
      <c r="E184" s="98">
        <f ca="1"/>
        <v>-3.9581094992380411E-3</v>
      </c>
      <c r="F184" s="94"/>
      <c r="G184" s="100">
        <f ca="1">_xll.meDateFromTenor(G183,"1D","FOLLOWING",H$12)</f>
        <v>42752</v>
      </c>
      <c r="H184" s="13">
        <f ca="1">_xll.meDateFromTenor(G184,H$14,H$11,H$12)</f>
        <v>42783</v>
      </c>
      <c r="I184" s="98">
        <f ca="1"/>
        <v>-3.7987993541682514E-3</v>
      </c>
      <c r="J184" s="94" t="s">
        <v>4</v>
      </c>
      <c r="K184" s="100">
        <f ca="1">_xll.meDateFromTenor(K183,"1D","FOLLOWING",L$12)</f>
        <v>42752</v>
      </c>
      <c r="L184" s="13">
        <f ca="1">_xll.meDateFromTenor(K184,L$14,L$11,L$12)</f>
        <v>42843</v>
      </c>
      <c r="M184" s="98">
        <f ca="1"/>
        <v>-2.9733420773511653E-3</v>
      </c>
      <c r="N184" s="5" t="s">
        <v>4</v>
      </c>
      <c r="O184" s="100">
        <f ca="1">_xll.meDateFromTenor(O183,"1D","FOLLOWING",P$12)</f>
        <v>42752</v>
      </c>
      <c r="P184" s="13">
        <f ca="1">_xll.meDateFromTenor(O184,P$14,P$11,P$12)</f>
        <v>42933</v>
      </c>
      <c r="Q184" s="98">
        <f ca="1"/>
        <v>-1.5398349916952686E-3</v>
      </c>
      <c r="R184" s="5" t="s">
        <v>4</v>
      </c>
      <c r="S184" s="100">
        <f ca="1">_xll.meDateFromTenor(S183,"1D","FOLLOWING",T$12)</f>
        <v>42752</v>
      </c>
      <c r="T184" s="13">
        <f ca="1">_xll.meDateFromTenor(S184,T$14,T$11,T$12)</f>
        <v>43117</v>
      </c>
      <c r="U184" s="98">
        <f ca="1"/>
        <v>-1.5156244606705875E-4</v>
      </c>
      <c r="V184" s="5" t="s">
        <v>4</v>
      </c>
      <c r="W184" s="84" t="s">
        <v>4</v>
      </c>
    </row>
    <row r="185" spans="1:23" x14ac:dyDescent="0.25">
      <c r="A185" s="90">
        <v>166</v>
      </c>
      <c r="B185" s="83"/>
      <c r="C185" s="100">
        <f ca="1">_xll.meDateFromTenor(C184,"1D","FOLLOWING",D$12)</f>
        <v>42753</v>
      </c>
      <c r="D185" s="13">
        <f ca="1">_xll.meDateFromTenor(C185,D$14,D$11,D$12)</f>
        <v>42754</v>
      </c>
      <c r="E185" s="98">
        <f ca="1"/>
        <v>-3.9611660429361845E-3</v>
      </c>
      <c r="F185" s="94"/>
      <c r="G185" s="100">
        <f ca="1">_xll.meDateFromTenor(G184,"1D","FOLLOWING",H$12)</f>
        <v>42753</v>
      </c>
      <c r="H185" s="13">
        <f ca="1">_xll.meDateFromTenor(G185,H$14,H$11,H$12)</f>
        <v>42786</v>
      </c>
      <c r="I185" s="98">
        <f ca="1"/>
        <v>-3.8000371283980739E-3</v>
      </c>
      <c r="J185" s="94" t="s">
        <v>4</v>
      </c>
      <c r="K185" s="100">
        <f ca="1">_xll.meDateFromTenor(K184,"1D","FOLLOWING",L$12)</f>
        <v>42753</v>
      </c>
      <c r="L185" s="13">
        <f ca="1">_xll.meDateFromTenor(K185,L$14,L$11,L$12)</f>
        <v>42843</v>
      </c>
      <c r="M185" s="98">
        <f ca="1"/>
        <v>-2.9739970218015496E-3</v>
      </c>
      <c r="N185" s="5" t="s">
        <v>4</v>
      </c>
      <c r="O185" s="100">
        <f ca="1">_xll.meDateFromTenor(O184,"1D","FOLLOWING",P$12)</f>
        <v>42753</v>
      </c>
      <c r="P185" s="13">
        <f ca="1">_xll.meDateFromTenor(O185,P$14,P$11,P$12)</f>
        <v>42934</v>
      </c>
      <c r="Q185" s="98">
        <f ca="1"/>
        <v>-1.5412126398043596E-3</v>
      </c>
      <c r="R185" s="5" t="s">
        <v>4</v>
      </c>
      <c r="S185" s="100">
        <f ca="1">_xll.meDateFromTenor(S184,"1D","FOLLOWING",T$12)</f>
        <v>42753</v>
      </c>
      <c r="T185" s="13">
        <f ca="1">_xll.meDateFromTenor(S185,T$14,T$11,T$12)</f>
        <v>43118</v>
      </c>
      <c r="U185" s="98">
        <f ca="1"/>
        <v>-1.512507278950407E-4</v>
      </c>
      <c r="V185" s="5" t="s">
        <v>4</v>
      </c>
      <c r="W185" s="84" t="s">
        <v>4</v>
      </c>
    </row>
    <row r="186" spans="1:23" x14ac:dyDescent="0.25">
      <c r="A186" s="90">
        <v>167</v>
      </c>
      <c r="B186" s="83"/>
      <c r="C186" s="100">
        <f ca="1">_xll.meDateFromTenor(C185,"1D","FOLLOWING",D$12)</f>
        <v>42754</v>
      </c>
      <c r="D186" s="13">
        <f ca="1">_xll.meDateFromTenor(C186,D$14,D$11,D$12)</f>
        <v>42755</v>
      </c>
      <c r="E186" s="98">
        <f ca="1"/>
        <v>-3.9642155944674823E-3</v>
      </c>
      <c r="F186" s="94"/>
      <c r="G186" s="100">
        <f ca="1">_xll.meDateFromTenor(G185,"1D","FOLLOWING",H$12)</f>
        <v>42754</v>
      </c>
      <c r="H186" s="13">
        <f ca="1">_xll.meDateFromTenor(G186,H$14,H$11,H$12)</f>
        <v>42786</v>
      </c>
      <c r="I186" s="98">
        <f ca="1"/>
        <v>-3.8012712294784989E-3</v>
      </c>
      <c r="J186" s="94" t="s">
        <v>4</v>
      </c>
      <c r="K186" s="100">
        <f ca="1">_xll.meDateFromTenor(K185,"1D","FOLLOWING",L$12)</f>
        <v>42754</v>
      </c>
      <c r="L186" s="13">
        <f ca="1">_xll.meDateFromTenor(K186,L$14,L$11,L$12)</f>
        <v>42844</v>
      </c>
      <c r="M186" s="98">
        <f ca="1"/>
        <v>-2.9746519662506177E-3</v>
      </c>
      <c r="N186" s="5" t="s">
        <v>4</v>
      </c>
      <c r="O186" s="100">
        <f ca="1">_xll.meDateFromTenor(O185,"1D","FOLLOWING",P$12)</f>
        <v>42754</v>
      </c>
      <c r="P186" s="13">
        <f ca="1">_xll.meDateFromTenor(O186,P$14,P$11,P$12)</f>
        <v>42935</v>
      </c>
      <c r="Q186" s="98">
        <f ca="1"/>
        <v>-1.5425989201679885E-3</v>
      </c>
      <c r="R186" s="5" t="s">
        <v>4</v>
      </c>
      <c r="S186" s="100">
        <f ca="1">_xll.meDateFromTenor(S185,"1D","FOLLOWING",T$12)</f>
        <v>42754</v>
      </c>
      <c r="T186" s="13">
        <f ca="1">_xll.meDateFromTenor(S186,T$14,T$11,T$12)</f>
        <v>43119</v>
      </c>
      <c r="U186" s="98">
        <f ca="1"/>
        <v>-1.5093483502268601E-4</v>
      </c>
      <c r="V186" s="5" t="s">
        <v>4</v>
      </c>
      <c r="W186" s="84" t="s">
        <v>4</v>
      </c>
    </row>
    <row r="187" spans="1:23" x14ac:dyDescent="0.25">
      <c r="A187" s="90">
        <v>168</v>
      </c>
      <c r="B187" s="83"/>
      <c r="C187" s="100">
        <f ca="1">_xll.meDateFromTenor(C186,"1D","FOLLOWING",D$12)</f>
        <v>42755</v>
      </c>
      <c r="D187" s="13">
        <f ca="1">_xll.meDateFromTenor(C187,D$14,D$11,D$12)</f>
        <v>42758</v>
      </c>
      <c r="E187" s="98">
        <f ca="1"/>
        <v>-3.9702464580093771E-3</v>
      </c>
      <c r="F187" s="94"/>
      <c r="G187" s="100">
        <f ca="1">_xll.meDateFromTenor(G186,"1D","FOLLOWING",H$12)</f>
        <v>42755</v>
      </c>
      <c r="H187" s="13">
        <f ca="1">_xll.meDateFromTenor(G187,H$14,H$11,H$12)</f>
        <v>42786</v>
      </c>
      <c r="I187" s="98">
        <f ca="1"/>
        <v>-3.8025031854134776E-3</v>
      </c>
      <c r="J187" s="94" t="s">
        <v>4</v>
      </c>
      <c r="K187" s="100">
        <f ca="1">_xll.meDateFromTenor(K186,"1D","FOLLOWING",L$12)</f>
        <v>42755</v>
      </c>
      <c r="L187" s="13">
        <f ca="1">_xll.meDateFromTenor(K187,L$14,L$11,L$12)</f>
        <v>42845</v>
      </c>
      <c r="M187" s="98">
        <f ca="1"/>
        <v>-2.9753069106985171E-3</v>
      </c>
      <c r="N187" s="5" t="s">
        <v>4</v>
      </c>
      <c r="O187" s="100">
        <f ca="1">_xll.meDateFromTenor(O186,"1D","FOLLOWING",P$12)</f>
        <v>42755</v>
      </c>
      <c r="P187" s="13">
        <f ca="1">_xll.meDateFromTenor(O187,P$14,P$11,P$12)</f>
        <v>42936</v>
      </c>
      <c r="Q187" s="98">
        <f ca="1"/>
        <v>-1.5439936614951662E-3</v>
      </c>
      <c r="R187" s="5" t="s">
        <v>4</v>
      </c>
      <c r="S187" s="100">
        <f ca="1">_xll.meDateFromTenor(S186,"1D","FOLLOWING",T$12)</f>
        <v>42755</v>
      </c>
      <c r="T187" s="13">
        <f ca="1">_xll.meDateFromTenor(S187,T$14,T$11,T$12)</f>
        <v>43122</v>
      </c>
      <c r="U187" s="98">
        <f ca="1"/>
        <v>-1.5061474925329683E-4</v>
      </c>
      <c r="V187" s="5" t="s">
        <v>4</v>
      </c>
      <c r="W187" s="84" t="s">
        <v>4</v>
      </c>
    </row>
    <row r="188" spans="1:23" x14ac:dyDescent="0.25">
      <c r="A188" s="90">
        <v>169</v>
      </c>
      <c r="B188" s="83"/>
      <c r="C188" s="100">
        <f ca="1">_xll.meDateFromTenor(C187,"1D","FOLLOWING",D$12)</f>
        <v>42758</v>
      </c>
      <c r="D188" s="13">
        <f ca="1">_xll.meDateFromTenor(C188,D$14,D$11,D$12)</f>
        <v>42759</v>
      </c>
      <c r="E188" s="98">
        <f ca="1"/>
        <v>-3.9763392964698024E-3</v>
      </c>
      <c r="F188" s="94"/>
      <c r="G188" s="100">
        <f ca="1">_xll.meDateFromTenor(G187,"1D","FOLLOWING",H$12)</f>
        <v>42758</v>
      </c>
      <c r="H188" s="13">
        <f ca="1">_xll.meDateFromTenor(G188,H$14,H$11,H$12)</f>
        <v>42789</v>
      </c>
      <c r="I188" s="98">
        <f ca="1"/>
        <v>-3.8062014623852307E-3</v>
      </c>
      <c r="J188" s="94" t="s">
        <v>4</v>
      </c>
      <c r="K188" s="100">
        <f ca="1">_xll.meDateFromTenor(K187,"1D","FOLLOWING",L$12)</f>
        <v>42758</v>
      </c>
      <c r="L188" s="13">
        <f ca="1">_xll.meDateFromTenor(K188,L$14,L$11,L$12)</f>
        <v>42849</v>
      </c>
      <c r="M188" s="98">
        <f ca="1"/>
        <v>-2.9772717440451359E-3</v>
      </c>
      <c r="N188" s="5" t="s">
        <v>4</v>
      </c>
      <c r="O188" s="100">
        <f ca="1">_xll.meDateFromTenor(O187,"1D","FOLLOWING",P$12)</f>
        <v>42758</v>
      </c>
      <c r="P188" s="13">
        <f ca="1">_xll.meDateFromTenor(O188,P$14,P$11,P$12)</f>
        <v>42940</v>
      </c>
      <c r="Q188" s="98">
        <f ca="1"/>
        <v>-1.5482269383480947E-3</v>
      </c>
      <c r="R188" s="5" t="s">
        <v>4</v>
      </c>
      <c r="S188" s="100">
        <f ca="1">_xll.meDateFromTenor(S187,"1D","FOLLOWING",T$12)</f>
        <v>42758</v>
      </c>
      <c r="T188" s="13">
        <f ca="1">_xll.meDateFromTenor(S188,T$14,T$11,T$12)</f>
        <v>43123</v>
      </c>
      <c r="U188" s="98">
        <f ca="1"/>
        <v>-1.4962915259594429E-4</v>
      </c>
      <c r="V188" s="5" t="s">
        <v>4</v>
      </c>
      <c r="W188" s="84" t="s">
        <v>4</v>
      </c>
    </row>
    <row r="189" spans="1:23" x14ac:dyDescent="0.25">
      <c r="A189" s="90">
        <v>170</v>
      </c>
      <c r="B189" s="83"/>
      <c r="C189" s="100">
        <f ca="1">_xll.meDateFromTenor(C188,"1D","FOLLOWING",D$12)</f>
        <v>42759</v>
      </c>
      <c r="D189" s="13">
        <f ca="1">_xll.meDateFromTenor(C189,D$14,D$11,D$12)</f>
        <v>42760</v>
      </c>
      <c r="E189" s="98">
        <f ca="1"/>
        <v>-3.9793504504759408E-3</v>
      </c>
      <c r="F189" s="94"/>
      <c r="G189" s="100">
        <f ca="1">_xll.meDateFromTenor(G188,"1D","FOLLOWING",H$12)</f>
        <v>42759</v>
      </c>
      <c r="H189" s="13">
        <f ca="1">_xll.meDateFromTenor(G189,H$14,H$11,H$12)</f>
        <v>42790</v>
      </c>
      <c r="I189" s="98">
        <f ca="1"/>
        <v>-3.8074401177779233E-3</v>
      </c>
      <c r="J189" s="94" t="s">
        <v>4</v>
      </c>
      <c r="K189" s="100">
        <f ca="1">_xll.meDateFromTenor(K188,"1D","FOLLOWING",L$12)</f>
        <v>42759</v>
      </c>
      <c r="L189" s="13">
        <f ca="1">_xll.meDateFromTenor(K189,L$14,L$11,L$12)</f>
        <v>42849</v>
      </c>
      <c r="M189" s="98">
        <f ca="1"/>
        <v>-2.9779266884924524E-3</v>
      </c>
      <c r="N189" s="5" t="s">
        <v>4</v>
      </c>
      <c r="O189" s="100">
        <f ca="1">_xll.meDateFromTenor(O188,"1D","FOLLOWING",P$12)</f>
        <v>42759</v>
      </c>
      <c r="P189" s="13">
        <f ca="1">_xll.meDateFromTenor(O189,P$14,P$11,P$12)</f>
        <v>42940</v>
      </c>
      <c r="Q189" s="98">
        <f ca="1"/>
        <v>-1.5496538106195719E-3</v>
      </c>
      <c r="R189" s="5" t="s">
        <v>4</v>
      </c>
      <c r="S189" s="100">
        <f ca="1">_xll.meDateFromTenor(S188,"1D","FOLLOWING",T$12)</f>
        <v>42759</v>
      </c>
      <c r="T189" s="13">
        <f ca="1">_xll.meDateFromTenor(S189,T$14,T$11,T$12)</f>
        <v>43124</v>
      </c>
      <c r="U189" s="98">
        <f ca="1"/>
        <v>-1.49292113271439E-4</v>
      </c>
      <c r="V189" s="5" t="s">
        <v>4</v>
      </c>
      <c r="W189" s="84" t="s">
        <v>4</v>
      </c>
    </row>
    <row r="190" spans="1:23" x14ac:dyDescent="0.25">
      <c r="A190" s="90">
        <v>171</v>
      </c>
      <c r="B190" s="83"/>
      <c r="C190" s="100">
        <f ca="1">_xll.meDateFromTenor(C189,"1D","FOLLOWING",D$12)</f>
        <v>42760</v>
      </c>
      <c r="D190" s="13">
        <f ca="1">_xll.meDateFromTenor(C190,D$14,D$11,D$12)</f>
        <v>42761</v>
      </c>
      <c r="E190" s="98">
        <f ca="1"/>
        <v>-3.9823532378946563E-3</v>
      </c>
      <c r="F190" s="94"/>
      <c r="G190" s="100">
        <f ca="1">_xll.meDateFromTenor(G189,"1D","FOLLOWING",H$12)</f>
        <v>42760</v>
      </c>
      <c r="H190" s="13">
        <f ca="1">_xll.meDateFromTenor(G190,H$14,H$11,H$12)</f>
        <v>42793</v>
      </c>
      <c r="I190" s="98">
        <f ca="1"/>
        <v>-3.8086842680449175E-3</v>
      </c>
      <c r="J190" s="94" t="s">
        <v>4</v>
      </c>
      <c r="K190" s="100">
        <f ca="1">_xll.meDateFromTenor(K189,"1D","FOLLOWING",L$12)</f>
        <v>42760</v>
      </c>
      <c r="L190" s="13">
        <f ca="1">_xll.meDateFromTenor(K190,L$14,L$11,L$12)</f>
        <v>42850</v>
      </c>
      <c r="M190" s="98">
        <f ca="1"/>
        <v>-2.9785816329367045E-3</v>
      </c>
      <c r="N190" s="5" t="s">
        <v>4</v>
      </c>
      <c r="O190" s="100">
        <f ca="1">_xll.meDateFromTenor(O189,"1D","FOLLOWING",P$12)</f>
        <v>42760</v>
      </c>
      <c r="P190" s="13">
        <f ca="1">_xll.meDateFromTenor(O190,P$14,P$11,P$12)</f>
        <v>42941</v>
      </c>
      <c r="Q190" s="98">
        <f ca="1"/>
        <v>-1.5510882873996502E-3</v>
      </c>
      <c r="R190" s="5" t="s">
        <v>4</v>
      </c>
      <c r="S190" s="100">
        <f ca="1">_xll.meDateFromTenor(S189,"1D","FOLLOWING",T$12)</f>
        <v>42760</v>
      </c>
      <c r="T190" s="13">
        <f ca="1">_xll.meDateFromTenor(S190,T$14,T$11,T$12)</f>
        <v>43125</v>
      </c>
      <c r="U190" s="98">
        <f ca="1"/>
        <v>-1.489507900664101E-4</v>
      </c>
      <c r="V190" s="5" t="s">
        <v>4</v>
      </c>
      <c r="W190" s="84" t="s">
        <v>4</v>
      </c>
    </row>
    <row r="191" spans="1:23" x14ac:dyDescent="0.25">
      <c r="A191" s="90">
        <v>172</v>
      </c>
      <c r="B191" s="83"/>
      <c r="C191" s="100">
        <f ca="1">_xll.meDateFromTenor(C190,"1D","FOLLOWING",D$12)</f>
        <v>42761</v>
      </c>
      <c r="D191" s="13">
        <f ca="1">_xll.meDateFromTenor(C191,D$14,D$11,D$12)</f>
        <v>42762</v>
      </c>
      <c r="E191" s="98">
        <f ca="1"/>
        <v>-3.9853474294693353E-3</v>
      </c>
      <c r="F191" s="94"/>
      <c r="G191" s="100">
        <f ca="1">_xll.meDateFromTenor(G190,"1D","FOLLOWING",H$12)</f>
        <v>42761</v>
      </c>
      <c r="H191" s="13">
        <f ca="1">_xll.meDateFromTenor(G191,H$14,H$11,H$12)</f>
        <v>42793</v>
      </c>
      <c r="I191" s="98">
        <f ca="1"/>
        <v>-3.8099354411901664E-3</v>
      </c>
      <c r="J191" s="94" t="s">
        <v>4</v>
      </c>
      <c r="K191" s="100">
        <f ca="1">_xll.meDateFromTenor(K190,"1D","FOLLOWING",L$12)</f>
        <v>42761</v>
      </c>
      <c r="L191" s="13">
        <f ca="1">_xll.meDateFromTenor(K191,L$14,L$11,L$12)</f>
        <v>42851</v>
      </c>
      <c r="M191" s="98">
        <f ca="1"/>
        <v>-2.9792365773894198E-3</v>
      </c>
      <c r="N191" s="5" t="s">
        <v>4</v>
      </c>
      <c r="O191" s="100">
        <f ca="1">_xll.meDateFromTenor(O190,"1D","FOLLOWING",P$12)</f>
        <v>42761</v>
      </c>
      <c r="P191" s="13">
        <f ca="1">_xll.meDateFromTenor(O191,P$14,P$11,P$12)</f>
        <v>42942</v>
      </c>
      <c r="Q191" s="98">
        <f ca="1"/>
        <v>-1.5525301973973408E-3</v>
      </c>
      <c r="R191" s="5" t="s">
        <v>4</v>
      </c>
      <c r="S191" s="100">
        <f ca="1">_xll.meDateFromTenor(S190,"1D","FOLLOWING",T$12)</f>
        <v>42761</v>
      </c>
      <c r="T191" s="13">
        <f ca="1">_xll.meDateFromTenor(S191,T$14,T$11,T$12)</f>
        <v>43126</v>
      </c>
      <c r="U191" s="98">
        <f ca="1"/>
        <v>-1.4860516478415979E-4</v>
      </c>
      <c r="V191" s="5" t="s">
        <v>4</v>
      </c>
      <c r="W191" s="84" t="s">
        <v>4</v>
      </c>
    </row>
    <row r="192" spans="1:23" x14ac:dyDescent="0.25">
      <c r="A192" s="90">
        <v>173</v>
      </c>
      <c r="B192" s="83"/>
      <c r="C192" s="100">
        <f ca="1">_xll.meDateFromTenor(C191,"1D","FOLLOWING",D$12)</f>
        <v>42762</v>
      </c>
      <c r="D192" s="13">
        <f ca="1">_xll.meDateFromTenor(C192,D$14,D$11,D$12)</f>
        <v>42765</v>
      </c>
      <c r="E192" s="98">
        <f ca="1"/>
        <v>-3.9912617629189349E-3</v>
      </c>
      <c r="F192" s="94"/>
      <c r="G192" s="100">
        <f ca="1">_xll.meDateFromTenor(G191,"1D","FOLLOWING",H$12)</f>
        <v>42762</v>
      </c>
      <c r="H192" s="13">
        <f ca="1">_xll.meDateFromTenor(G192,H$14,H$11,H$12)</f>
        <v>42793</v>
      </c>
      <c r="I192" s="98">
        <f ca="1"/>
        <v>-3.8111951652176185E-3</v>
      </c>
      <c r="J192" s="94" t="s">
        <v>4</v>
      </c>
      <c r="K192" s="100">
        <f ca="1">_xll.meDateFromTenor(K191,"1D","FOLLOWING",L$12)</f>
        <v>42762</v>
      </c>
      <c r="L192" s="13">
        <f ca="1">_xll.meDateFromTenor(K192,L$14,L$11,L$12)</f>
        <v>42852</v>
      </c>
      <c r="M192" s="98">
        <f ca="1"/>
        <v>-2.9798915218536629E-3</v>
      </c>
      <c r="N192" s="5" t="s">
        <v>4</v>
      </c>
      <c r="O192" s="100">
        <f ca="1">_xll.meDateFromTenor(O191,"1D","FOLLOWING",P$12)</f>
        <v>42762</v>
      </c>
      <c r="P192" s="13">
        <f ca="1">_xll.meDateFromTenor(O192,P$14,P$11,P$12)</f>
        <v>42943</v>
      </c>
      <c r="Q192" s="98">
        <f ca="1"/>
        <v>-1.5539793693216534E-3</v>
      </c>
      <c r="R192" s="5" t="s">
        <v>4</v>
      </c>
      <c r="S192" s="100">
        <f ca="1">_xll.meDateFromTenor(S191,"1D","FOLLOWING",T$12)</f>
        <v>42762</v>
      </c>
      <c r="T192" s="13">
        <f ca="1">_xll.meDateFromTenor(S192,T$14,T$11,T$12)</f>
        <v>43129</v>
      </c>
      <c r="U192" s="98">
        <f ca="1"/>
        <v>-1.482552192279902E-4</v>
      </c>
      <c r="V192" s="5" t="s">
        <v>4</v>
      </c>
      <c r="W192" s="84" t="s">
        <v>4</v>
      </c>
    </row>
    <row r="193" spans="1:23" x14ac:dyDescent="0.25">
      <c r="A193" s="90">
        <v>174</v>
      </c>
      <c r="B193" s="83"/>
      <c r="C193" s="100">
        <f ca="1">_xll.meDateFromTenor(C192,"1D","FOLLOWING",D$12)</f>
        <v>42765</v>
      </c>
      <c r="D193" s="13">
        <f ca="1">_xll.meDateFromTenor(C193,D$14,D$11,D$12)</f>
        <v>42766</v>
      </c>
      <c r="E193" s="98">
        <f ca="1"/>
        <v>-3.9972336553129179E-3</v>
      </c>
      <c r="F193" s="94"/>
      <c r="G193" s="100">
        <f ca="1">_xll.meDateFromTenor(G192,"1D","FOLLOWING",H$12)</f>
        <v>42765</v>
      </c>
      <c r="H193" s="13">
        <f ca="1">_xll.meDateFromTenor(G193,H$14,H$11,H$12)</f>
        <v>42794</v>
      </c>
      <c r="I193" s="98">
        <f ca="1"/>
        <v>-3.8150409226326977E-3</v>
      </c>
      <c r="J193" s="94" t="s">
        <v>4</v>
      </c>
      <c r="K193" s="100">
        <f ca="1">_xll.meDateFromTenor(K192,"1D","FOLLOWING",L$12)</f>
        <v>42765</v>
      </c>
      <c r="L193" s="13">
        <f ca="1">_xll.meDateFromTenor(K193,L$14,L$11,L$12)</f>
        <v>42853</v>
      </c>
      <c r="M193" s="98">
        <f ca="1"/>
        <v>-2.9818563551833547E-3</v>
      </c>
      <c r="N193" s="5" t="s">
        <v>4</v>
      </c>
      <c r="O193" s="100">
        <f ca="1">_xll.meDateFromTenor(O192,"1D","FOLLOWING",P$12)</f>
        <v>42765</v>
      </c>
      <c r="P193" s="13">
        <f ca="1">_xll.meDateFromTenor(O193,P$14,P$11,P$12)</f>
        <v>42947</v>
      </c>
      <c r="Q193" s="98">
        <f ca="1"/>
        <v>-1.5583687437444335E-3</v>
      </c>
      <c r="R193" s="5" t="s">
        <v>4</v>
      </c>
      <c r="S193" s="100">
        <f ca="1">_xll.meDateFromTenor(S192,"1D","FOLLOWING",T$12)</f>
        <v>42765</v>
      </c>
      <c r="T193" s="13">
        <f ca="1">_xll.meDateFromTenor(S193,T$14,T$11,T$12)</f>
        <v>43130</v>
      </c>
      <c r="U193" s="98">
        <f ca="1"/>
        <v>-1.4717927894898766E-4</v>
      </c>
      <c r="V193" s="5" t="s">
        <v>4</v>
      </c>
      <c r="W193" s="84" t="s">
        <v>4</v>
      </c>
    </row>
    <row r="194" spans="1:23" x14ac:dyDescent="0.25">
      <c r="A194" s="90">
        <v>175</v>
      </c>
      <c r="B194" s="83"/>
      <c r="C194" s="100">
        <f ca="1">_xll.meDateFromTenor(C193,"1D","FOLLOWING",D$12)</f>
        <v>42766</v>
      </c>
      <c r="D194" s="13">
        <f ca="1">_xll.meDateFromTenor(C194,D$14,D$11,D$12)</f>
        <v>42767</v>
      </c>
      <c r="E194" s="98">
        <f ca="1"/>
        <v>-4.0001814312962264E-3</v>
      </c>
      <c r="F194" s="94"/>
      <c r="G194" s="100">
        <f ca="1">_xll.meDateFromTenor(G193,"1D","FOLLOWING",H$12)</f>
        <v>42766</v>
      </c>
      <c r="H194" s="13">
        <f ca="1">_xll.meDateFromTenor(G194,H$14,H$11,H$12)</f>
        <v>42794</v>
      </c>
      <c r="I194" s="98">
        <f ca="1"/>
        <v>-3.8163501302284652E-3</v>
      </c>
      <c r="J194" s="94" t="s">
        <v>4</v>
      </c>
      <c r="K194" s="100">
        <f ca="1">_xll.meDateFromTenor(K193,"1D","FOLLOWING",L$12)</f>
        <v>42766</v>
      </c>
      <c r="L194" s="13">
        <f ca="1">_xll.meDateFromTenor(K194,L$14,L$11,L$12)</f>
        <v>42853</v>
      </c>
      <c r="M194" s="98">
        <f ca="1"/>
        <v>-2.9825112998512985E-3</v>
      </c>
      <c r="N194" s="5" t="s">
        <v>4</v>
      </c>
      <c r="O194" s="100">
        <f ca="1">_xll.meDateFromTenor(O193,"1D","FOLLOWING",P$12)</f>
        <v>42766</v>
      </c>
      <c r="P194" s="13">
        <f ca="1">_xll.meDateFromTenor(O194,P$14,P$11,P$12)</f>
        <v>42947</v>
      </c>
      <c r="Q194" s="98">
        <f ca="1"/>
        <v>-1.5598452504653425E-3</v>
      </c>
      <c r="R194" s="5" t="s">
        <v>4</v>
      </c>
      <c r="S194" s="100">
        <f ca="1">_xll.meDateFromTenor(S193,"1D","FOLLOWING",T$12)</f>
        <v>42766</v>
      </c>
      <c r="T194" s="13">
        <f ca="1">_xll.meDateFromTenor(S194,T$14,T$11,T$12)</f>
        <v>43131</v>
      </c>
      <c r="U194" s="98">
        <f ca="1"/>
        <v>-1.4681187033016276E-4</v>
      </c>
      <c r="V194" s="5" t="s">
        <v>4</v>
      </c>
      <c r="W194" s="84" t="s">
        <v>4</v>
      </c>
    </row>
    <row r="195" spans="1:23" x14ac:dyDescent="0.25">
      <c r="A195" s="90">
        <v>176</v>
      </c>
      <c r="B195" s="83"/>
      <c r="C195" s="100">
        <f ca="1">_xll.meDateFromTenor(C194,"1D","FOLLOWING",D$12)</f>
        <v>42767</v>
      </c>
      <c r="D195" s="13">
        <f ca="1">_xll.meDateFromTenor(C195,D$14,D$11,D$12)</f>
        <v>42768</v>
      </c>
      <c r="E195" s="98">
        <f ca="1"/>
        <v>-4.0031192368950169E-3</v>
      </c>
      <c r="F195" s="94"/>
      <c r="G195" s="100">
        <f ca="1">_xll.meDateFromTenor(G194,"1D","FOLLOWING",H$12)</f>
        <v>42767</v>
      </c>
      <c r="H195" s="13">
        <f ca="1">_xll.meDateFromTenor(G195,H$14,H$11,H$12)</f>
        <v>42795</v>
      </c>
      <c r="I195" s="98">
        <f ca="1"/>
        <v>-3.8176755287261861E-3</v>
      </c>
      <c r="J195" s="94" t="s">
        <v>4</v>
      </c>
      <c r="K195" s="100">
        <f ca="1">_xll.meDateFromTenor(K194,"1D","FOLLOWING",L$12)</f>
        <v>42767</v>
      </c>
      <c r="L195" s="13">
        <f ca="1">_xll.meDateFromTenor(K195,L$14,L$11,L$12)</f>
        <v>42857</v>
      </c>
      <c r="M195" s="98">
        <f ca="1"/>
        <v>-2.9831662440803221E-3</v>
      </c>
      <c r="N195" s="5" t="s">
        <v>4</v>
      </c>
      <c r="O195" s="100">
        <f ca="1">_xll.meDateFromTenor(O194,"1D","FOLLOWING",P$12)</f>
        <v>42767</v>
      </c>
      <c r="P195" s="13">
        <f ca="1">_xll.meDateFromTenor(O195,P$14,P$11,P$12)</f>
        <v>42948</v>
      </c>
      <c r="Q195" s="98">
        <f ca="1"/>
        <v>-1.5613281626579269E-3</v>
      </c>
      <c r="R195" s="5" t="s">
        <v>4</v>
      </c>
      <c r="S195" s="100">
        <f ca="1">_xll.meDateFromTenor(S194,"1D","FOLLOWING",T$12)</f>
        <v>42767</v>
      </c>
      <c r="T195" s="13">
        <f ca="1">_xll.meDateFromTenor(S195,T$14,T$11,T$12)</f>
        <v>43132</v>
      </c>
      <c r="U195" s="98">
        <f ca="1"/>
        <v>-1.4644005045392946E-4</v>
      </c>
      <c r="V195" s="5" t="s">
        <v>4</v>
      </c>
      <c r="W195" s="84" t="s">
        <v>4</v>
      </c>
    </row>
    <row r="196" spans="1:23" x14ac:dyDescent="0.25">
      <c r="A196" s="90">
        <v>177</v>
      </c>
      <c r="B196" s="83"/>
      <c r="C196" s="100">
        <f ca="1">_xll.meDateFromTenor(C195,"1D","FOLLOWING",D$12)</f>
        <v>42768</v>
      </c>
      <c r="D196" s="13">
        <f ca="1">_xll.meDateFromTenor(C196,D$14,D$11,D$12)</f>
        <v>42769</v>
      </c>
      <c r="E196" s="98">
        <f ca="1"/>
        <v>-4.0060468430525159E-3</v>
      </c>
      <c r="F196" s="94"/>
      <c r="G196" s="100">
        <f ca="1">_xll.meDateFromTenor(G195,"1D","FOLLOWING",H$12)</f>
        <v>42768</v>
      </c>
      <c r="H196" s="13">
        <f ca="1">_xll.meDateFromTenor(G196,H$14,H$11,H$12)</f>
        <v>42796</v>
      </c>
      <c r="I196" s="98">
        <f ca="1"/>
        <v>-3.8190186461298115E-3</v>
      </c>
      <c r="J196" s="94" t="s">
        <v>4</v>
      </c>
      <c r="K196" s="100">
        <f ca="1">_xll.meDateFromTenor(K195,"1D","FOLLOWING",L$12)</f>
        <v>42768</v>
      </c>
      <c r="L196" s="13">
        <f ca="1">_xll.meDateFromTenor(K196,L$14,L$11,L$12)</f>
        <v>42857</v>
      </c>
      <c r="M196" s="98">
        <f ca="1"/>
        <v>-2.9838211877097707E-3</v>
      </c>
      <c r="N196" s="5" t="s">
        <v>4</v>
      </c>
      <c r="O196" s="100">
        <f ca="1">_xll.meDateFromTenor(O195,"1D","FOLLOWING",P$12)</f>
        <v>42768</v>
      </c>
      <c r="P196" s="13">
        <f ca="1">_xll.meDateFromTenor(O196,P$14,P$11,P$12)</f>
        <v>42949</v>
      </c>
      <c r="Q196" s="98">
        <f ca="1"/>
        <v>-1.5628173090311971E-3</v>
      </c>
      <c r="R196" s="5" t="s">
        <v>4</v>
      </c>
      <c r="S196" s="100">
        <f ca="1">_xll.meDateFromTenor(S195,"1D","FOLLOWING",T$12)</f>
        <v>42768</v>
      </c>
      <c r="T196" s="13">
        <f ca="1">_xll.meDateFromTenor(S196,T$14,T$11,T$12)</f>
        <v>43133</v>
      </c>
      <c r="U196" s="98">
        <f ca="1"/>
        <v>-1.4606380112358995E-4</v>
      </c>
      <c r="V196" s="5" t="s">
        <v>4</v>
      </c>
      <c r="W196" s="84" t="s">
        <v>4</v>
      </c>
    </row>
    <row r="197" spans="1:23" x14ac:dyDescent="0.25">
      <c r="A197" s="90">
        <v>178</v>
      </c>
      <c r="B197" s="83"/>
      <c r="C197" s="100">
        <f ca="1">_xll.meDateFromTenor(C196,"1D","FOLLOWING",D$12)</f>
        <v>42769</v>
      </c>
      <c r="D197" s="13">
        <f ca="1">_xll.meDateFromTenor(C197,D$14,D$11,D$12)</f>
        <v>42772</v>
      </c>
      <c r="E197" s="98">
        <f ca="1"/>
        <v>-4.0118222033225376E-3</v>
      </c>
      <c r="F197" s="94"/>
      <c r="G197" s="100">
        <f ca="1">_xll.meDateFromTenor(G196,"1D","FOLLOWING",H$12)</f>
        <v>42769</v>
      </c>
      <c r="H197" s="13">
        <f ca="1">_xll.meDateFromTenor(G197,H$14,H$11,H$12)</f>
        <v>42797</v>
      </c>
      <c r="I197" s="98">
        <f ca="1"/>
        <v>-3.8203805522665532E-3</v>
      </c>
      <c r="J197" s="94" t="s">
        <v>4</v>
      </c>
      <c r="K197" s="100">
        <f ca="1">_xll.meDateFromTenor(K196,"1D","FOLLOWING",L$12)</f>
        <v>42769</v>
      </c>
      <c r="L197" s="13">
        <f ca="1">_xll.meDateFromTenor(K197,L$14,L$11,L$12)</f>
        <v>42858</v>
      </c>
      <c r="M197" s="98">
        <f ca="1"/>
        <v>-2.9844761329772896E-3</v>
      </c>
      <c r="N197" s="5" t="s">
        <v>4</v>
      </c>
      <c r="O197" s="100">
        <f ca="1">_xll.meDateFromTenor(O196,"1D","FOLLOWING",P$12)</f>
        <v>42769</v>
      </c>
      <c r="P197" s="13">
        <f ca="1">_xll.meDateFromTenor(O197,P$14,P$11,P$12)</f>
        <v>42950</v>
      </c>
      <c r="Q197" s="98">
        <f ca="1"/>
        <v>-1.5643125182941643E-3</v>
      </c>
      <c r="R197" s="5" t="s">
        <v>4</v>
      </c>
      <c r="S197" s="100">
        <f ca="1">_xll.meDateFromTenor(S196,"1D","FOLLOWING",T$12)</f>
        <v>42769</v>
      </c>
      <c r="T197" s="13">
        <f ca="1">_xll.meDateFromTenor(S197,T$14,T$11,T$12)</f>
        <v>43136</v>
      </c>
      <c r="U197" s="98">
        <f ca="1"/>
        <v>-1.4568310414244637E-4</v>
      </c>
      <c r="V197" s="5" t="s">
        <v>4</v>
      </c>
      <c r="W197" s="84" t="s">
        <v>4</v>
      </c>
    </row>
    <row r="198" spans="1:23" x14ac:dyDescent="0.25">
      <c r="A198" s="90">
        <v>179</v>
      </c>
      <c r="B198" s="83"/>
      <c r="C198" s="100">
        <f ca="1">_xll.meDateFromTenor(C197,"1D","FOLLOWING",D$12)</f>
        <v>42772</v>
      </c>
      <c r="D198" s="13">
        <f ca="1">_xll.meDateFromTenor(C198,D$14,D$11,D$12)</f>
        <v>42773</v>
      </c>
      <c r="E198" s="98">
        <f ca="1"/>
        <v>-4.0176506912148607E-3</v>
      </c>
      <c r="F198" s="94"/>
      <c r="G198" s="100">
        <f ca="1">_xll.meDateFromTenor(G197,"1D","FOLLOWING",H$12)</f>
        <v>42772</v>
      </c>
      <c r="H198" s="13">
        <f ca="1">_xll.meDateFromTenor(G198,H$14,H$11,H$12)</f>
        <v>42800</v>
      </c>
      <c r="I198" s="98">
        <f ca="1"/>
        <v>-3.824569541571073E-3</v>
      </c>
      <c r="J198" s="94" t="s">
        <v>4</v>
      </c>
      <c r="K198" s="100">
        <f ca="1">_xll.meDateFromTenor(K197,"1D","FOLLOWING",L$12)</f>
        <v>42772</v>
      </c>
      <c r="L198" s="13">
        <f ca="1">_xll.meDateFromTenor(K198,L$14,L$11,L$12)</f>
        <v>42863</v>
      </c>
      <c r="M198" s="98">
        <f ca="1"/>
        <v>-2.9864409549150588E-3</v>
      </c>
      <c r="N198" s="5" t="s">
        <v>4</v>
      </c>
      <c r="O198" s="100">
        <f ca="1">_xll.meDateFromTenor(O197,"1D","FOLLOWING",P$12)</f>
        <v>42772</v>
      </c>
      <c r="P198" s="13">
        <f ca="1">_xll.meDateFromTenor(O198,P$14,P$11,P$12)</f>
        <v>42954</v>
      </c>
      <c r="Q198" s="98">
        <f ca="1"/>
        <v>-1.5688328105113508E-3</v>
      </c>
      <c r="R198" s="5" t="s">
        <v>4</v>
      </c>
      <c r="S198" s="100">
        <f ca="1">_xll.meDateFromTenor(S197,"1D","FOLLOWING",T$12)</f>
        <v>42772</v>
      </c>
      <c r="T198" s="13">
        <f ca="1">_xll.meDateFromTenor(S198,T$14,T$11,T$12)</f>
        <v>43137</v>
      </c>
      <c r="U198" s="98">
        <f ca="1"/>
        <v>-1.4451414532721307E-4</v>
      </c>
      <c r="V198" s="5" t="s">
        <v>4</v>
      </c>
      <c r="W198" s="84" t="s">
        <v>4</v>
      </c>
    </row>
    <row r="199" spans="1:23" x14ac:dyDescent="0.25">
      <c r="A199" s="90">
        <v>180</v>
      </c>
      <c r="B199" s="83"/>
      <c r="C199" s="100">
        <f ca="1">_xll.meDateFromTenor(C198,"1D","FOLLOWING",D$12)</f>
        <v>42773</v>
      </c>
      <c r="D199" s="13">
        <f ca="1">_xll.meDateFromTenor(C199,D$14,D$11,D$12)</f>
        <v>42774</v>
      </c>
      <c r="E199" s="98">
        <f ca="1"/>
        <v>-4.0205238637547464E-3</v>
      </c>
      <c r="F199" s="94"/>
      <c r="G199" s="100">
        <f ca="1">_xll.meDateFromTenor(G198,"1D","FOLLOWING",H$12)</f>
        <v>42773</v>
      </c>
      <c r="H199" s="13">
        <f ca="1">_xll.meDateFromTenor(G199,H$14,H$11,H$12)</f>
        <v>42801</v>
      </c>
      <c r="I199" s="98">
        <f ca="1"/>
        <v>-3.8259962247824022E-3</v>
      </c>
      <c r="J199" s="94" t="s">
        <v>4</v>
      </c>
      <c r="K199" s="100">
        <f ca="1">_xll.meDateFromTenor(K198,"1D","FOLLOWING",L$12)</f>
        <v>42773</v>
      </c>
      <c r="L199" s="13">
        <f ca="1">_xll.meDateFromTenor(K199,L$14,L$11,L$12)</f>
        <v>42863</v>
      </c>
      <c r="M199" s="98">
        <f ca="1"/>
        <v>-2.9870959107712249E-3</v>
      </c>
      <c r="N199" s="5" t="s">
        <v>4</v>
      </c>
      <c r="O199" s="100">
        <f ca="1">_xll.meDateFromTenor(O198,"1D","FOLLOWING",P$12)</f>
        <v>42773</v>
      </c>
      <c r="P199" s="13">
        <f ca="1">_xll.meDateFromTenor(O199,P$14,P$11,P$12)</f>
        <v>42954</v>
      </c>
      <c r="Q199" s="98">
        <f ca="1"/>
        <v>-1.5703505584232101E-3</v>
      </c>
      <c r="R199" s="5" t="s">
        <v>4</v>
      </c>
      <c r="S199" s="100">
        <f ca="1">_xll.meDateFromTenor(S198,"1D","FOLLOWING",T$12)</f>
        <v>42773</v>
      </c>
      <c r="T199" s="13">
        <f ca="1">_xll.meDateFromTenor(S199,T$14,T$11,T$12)</f>
        <v>43138</v>
      </c>
      <c r="U199" s="98">
        <f ca="1"/>
        <v>-1.4411547577587502E-4</v>
      </c>
      <c r="V199" s="5" t="s">
        <v>4</v>
      </c>
      <c r="W199" s="84" t="s">
        <v>4</v>
      </c>
    </row>
    <row r="200" spans="1:23" x14ac:dyDescent="0.25">
      <c r="A200" s="90">
        <v>181</v>
      </c>
      <c r="B200" s="83"/>
      <c r="C200" s="100">
        <f ca="1">_xll.meDateFromTenor(C199,"1D","FOLLOWING",D$12)</f>
        <v>42774</v>
      </c>
      <c r="D200" s="13">
        <f ca="1">_xll.meDateFromTenor(C200,D$14,D$11,D$12)</f>
        <v>42775</v>
      </c>
      <c r="E200" s="98">
        <f ca="1"/>
        <v>-4.0233854621528264E-3</v>
      </c>
      <c r="F200" s="94"/>
      <c r="G200" s="100">
        <f ca="1">_xll.meDateFromTenor(G199,"1D","FOLLOWING",H$12)</f>
        <v>42774</v>
      </c>
      <c r="H200" s="13">
        <f ca="1">_xll.meDateFromTenor(G200,H$14,H$11,H$12)</f>
        <v>42802</v>
      </c>
      <c r="I200" s="98">
        <f ca="1"/>
        <v>-3.8274360496211731E-3</v>
      </c>
      <c r="J200" s="94" t="s">
        <v>4</v>
      </c>
      <c r="K200" s="100">
        <f ca="1">_xll.meDateFromTenor(K199,"1D","FOLLOWING",L$12)</f>
        <v>42774</v>
      </c>
      <c r="L200" s="13">
        <f ca="1">_xll.meDateFromTenor(K200,L$14,L$11,L$12)</f>
        <v>42863</v>
      </c>
      <c r="M200" s="98">
        <f ca="1"/>
        <v>-2.9877508977937586E-3</v>
      </c>
      <c r="N200" s="5" t="s">
        <v>4</v>
      </c>
      <c r="O200" s="100">
        <f ca="1">_xll.meDateFromTenor(O199,"1D","FOLLOWING",P$12)</f>
        <v>42774</v>
      </c>
      <c r="P200" s="13">
        <f ca="1">_xll.meDateFromTenor(O200,P$14,P$11,P$12)</f>
        <v>42955</v>
      </c>
      <c r="Q200" s="98">
        <f ca="1"/>
        <v>-1.5718735127698187E-3</v>
      </c>
      <c r="R200" s="5" t="s">
        <v>4</v>
      </c>
      <c r="S200" s="100">
        <f ca="1">_xll.meDateFromTenor(S199,"1D","FOLLOWING",T$12)</f>
        <v>42774</v>
      </c>
      <c r="T200" s="13">
        <f ca="1">_xll.meDateFromTenor(S200,T$14,T$11,T$12)</f>
        <v>43139</v>
      </c>
      <c r="U200" s="98">
        <f ca="1"/>
        <v>-1.4371226759024374E-4</v>
      </c>
      <c r="V200" s="5" t="s">
        <v>4</v>
      </c>
      <c r="W200" s="84" t="s">
        <v>4</v>
      </c>
    </row>
    <row r="201" spans="1:23" x14ac:dyDescent="0.25">
      <c r="A201" s="90">
        <v>182</v>
      </c>
      <c r="B201" s="83"/>
      <c r="C201" s="100">
        <f ca="1">_xll.meDateFromTenor(C200,"1D","FOLLOWING",D$12)</f>
        <v>42775</v>
      </c>
      <c r="D201" s="13">
        <f ca="1">_xll.meDateFromTenor(C201,D$14,D$11,D$12)</f>
        <v>42776</v>
      </c>
      <c r="E201" s="98">
        <f ca="1"/>
        <v>-4.0262352575926169E-3</v>
      </c>
      <c r="F201" s="94"/>
      <c r="G201" s="100">
        <f ca="1">_xll.meDateFromTenor(G200,"1D","FOLLOWING",H$12)</f>
        <v>42775</v>
      </c>
      <c r="H201" s="13">
        <f ca="1">_xll.meDateFromTenor(G201,H$14,H$11,H$12)</f>
        <v>42803</v>
      </c>
      <c r="I201" s="98">
        <f ca="1"/>
        <v>-3.8288877950309018E-3</v>
      </c>
      <c r="J201" s="94" t="s">
        <v>4</v>
      </c>
      <c r="K201" s="100">
        <f ca="1">_xll.meDateFromTenor(K200,"1D","FOLLOWING",L$12)</f>
        <v>42775</v>
      </c>
      <c r="L201" s="13">
        <f ca="1">_xll.meDateFromTenor(K201,L$14,L$11,L$12)</f>
        <v>42864</v>
      </c>
      <c r="M201" s="98">
        <f ca="1"/>
        <v>-2.9884057996681923E-3</v>
      </c>
      <c r="N201" s="5" t="s">
        <v>4</v>
      </c>
      <c r="O201" s="100">
        <f ca="1">_xll.meDateFromTenor(O200,"1D","FOLLOWING",P$12)</f>
        <v>42775</v>
      </c>
      <c r="P201" s="13">
        <f ca="1">_xll.meDateFromTenor(O201,P$14,P$11,P$12)</f>
        <v>42956</v>
      </c>
      <c r="Q201" s="98">
        <f ca="1"/>
        <v>-1.5734015022601875E-3</v>
      </c>
      <c r="R201" s="5" t="s">
        <v>4</v>
      </c>
      <c r="S201" s="100">
        <f ca="1">_xll.meDateFromTenor(S200,"1D","FOLLOWING",T$12)</f>
        <v>42775</v>
      </c>
      <c r="T201" s="13">
        <f ca="1">_xll.meDateFromTenor(S201,T$14,T$11,T$12)</f>
        <v>43140</v>
      </c>
      <c r="U201" s="98">
        <f ca="1"/>
        <v>-1.4330450257362149E-4</v>
      </c>
      <c r="V201" s="5" t="s">
        <v>4</v>
      </c>
      <c r="W201" s="84" t="s">
        <v>4</v>
      </c>
    </row>
    <row r="202" spans="1:23" x14ac:dyDescent="0.25">
      <c r="A202" s="90">
        <v>183</v>
      </c>
      <c r="B202" s="83"/>
      <c r="C202" s="100">
        <f ca="1">_xll.meDateFromTenor(C201,"1D","FOLLOWING",D$12)</f>
        <v>42776</v>
      </c>
      <c r="D202" s="13">
        <f ca="1">_xll.meDateFromTenor(C202,D$14,D$11,D$12)</f>
        <v>42779</v>
      </c>
      <c r="E202" s="98">
        <f ca="1"/>
        <v>-4.0318492034075041E-3</v>
      </c>
      <c r="F202" s="94"/>
      <c r="G202" s="100">
        <f ca="1">_xll.meDateFromTenor(G201,"1D","FOLLOWING",H$12)</f>
        <v>42776</v>
      </c>
      <c r="H202" s="13">
        <f ca="1">_xll.meDateFromTenor(G202,H$14,H$11,H$12)</f>
        <v>42804</v>
      </c>
      <c r="I202" s="98">
        <f ca="1"/>
        <v>-3.8303502399551037E-3</v>
      </c>
      <c r="J202" s="94" t="s">
        <v>4</v>
      </c>
      <c r="K202" s="100">
        <f ca="1">_xll.meDateFromTenor(K201,"1D","FOLLOWING",L$12)</f>
        <v>42776</v>
      </c>
      <c r="L202" s="13">
        <f ca="1">_xll.meDateFromTenor(K202,L$14,L$11,L$12)</f>
        <v>42865</v>
      </c>
      <c r="M202" s="98">
        <f ca="1"/>
        <v>-2.9890605852281576E-3</v>
      </c>
      <c r="N202" s="5" t="s">
        <v>4</v>
      </c>
      <c r="O202" s="100">
        <f ca="1">_xll.meDateFromTenor(O201,"1D","FOLLOWING",P$12)</f>
        <v>42776</v>
      </c>
      <c r="P202" s="13">
        <f ca="1">_xll.meDateFromTenor(O202,P$14,P$11,P$12)</f>
        <v>42957</v>
      </c>
      <c r="Q202" s="98">
        <f ca="1"/>
        <v>-1.5749343556033272E-3</v>
      </c>
      <c r="R202" s="5" t="s">
        <v>4</v>
      </c>
      <c r="S202" s="100">
        <f ca="1">_xll.meDateFromTenor(S201,"1D","FOLLOWING",T$12)</f>
        <v>42776</v>
      </c>
      <c r="T202" s="13">
        <f ca="1">_xll.meDateFromTenor(S202,T$14,T$11,T$12)</f>
        <v>43143</v>
      </c>
      <c r="U202" s="98">
        <f ca="1"/>
        <v>-1.4289216252931036E-4</v>
      </c>
      <c r="V202" s="5" t="s">
        <v>4</v>
      </c>
      <c r="W202" s="84" t="s">
        <v>4</v>
      </c>
    </row>
    <row r="203" spans="1:23" x14ac:dyDescent="0.25">
      <c r="A203" s="90">
        <v>184</v>
      </c>
      <c r="B203" s="83"/>
      <c r="C203" s="100">
        <f ca="1">_xll.meDateFromTenor(C202,"1D","FOLLOWING",D$12)</f>
        <v>42779</v>
      </c>
      <c r="D203" s="13">
        <f ca="1">_xll.meDateFromTenor(C203,D$14,D$11,D$12)</f>
        <v>42780</v>
      </c>
      <c r="E203" s="98">
        <f ca="1"/>
        <v>-4.0375118264313207E-3</v>
      </c>
      <c r="F203" s="94"/>
      <c r="G203" s="100">
        <f ca="1">_xll.meDateFromTenor(G202,"1D","FOLLOWING",H$12)</f>
        <v>42779</v>
      </c>
      <c r="H203" s="13">
        <f ca="1">_xll.meDateFromTenor(G203,H$14,H$11,H$12)</f>
        <v>42807</v>
      </c>
      <c r="I203" s="98">
        <f ca="1"/>
        <v>-3.8347895612497345E-3</v>
      </c>
      <c r="J203" s="94" t="s">
        <v>4</v>
      </c>
      <c r="K203" s="100">
        <f ca="1">_xll.meDateFromTenor(K202,"1D","FOLLOWING",L$12)</f>
        <v>42779</v>
      </c>
      <c r="L203" s="13">
        <f ca="1">_xll.meDateFromTenor(K203,L$14,L$11,L$12)</f>
        <v>42870</v>
      </c>
      <c r="M203" s="98">
        <f ca="1"/>
        <v>-2.9910255774621272E-3</v>
      </c>
      <c r="N203" s="5" t="s">
        <v>4</v>
      </c>
      <c r="O203" s="100">
        <f ca="1">_xll.meDateFromTenor(O202,"1D","FOLLOWING",P$12)</f>
        <v>42779</v>
      </c>
      <c r="P203" s="13">
        <f ca="1">_xll.meDateFromTenor(O203,P$14,P$11,P$12)</f>
        <v>42961</v>
      </c>
      <c r="Q203" s="98">
        <f ca="1"/>
        <v>-1.5795603858394759E-3</v>
      </c>
      <c r="R203" s="5" t="s">
        <v>4</v>
      </c>
      <c r="S203" s="100">
        <f ca="1">_xll.meDateFromTenor(S202,"1D","FOLLOWING",T$12)</f>
        <v>42779</v>
      </c>
      <c r="T203" s="13">
        <f ca="1">_xll.meDateFromTenor(S203,T$14,T$11,T$12)</f>
        <v>43144</v>
      </c>
      <c r="U203" s="98">
        <f ca="1"/>
        <v>-1.4162751026326563E-4</v>
      </c>
      <c r="V203" s="5" t="s">
        <v>4</v>
      </c>
      <c r="W203" s="84" t="s">
        <v>4</v>
      </c>
    </row>
    <row r="204" spans="1:23" x14ac:dyDescent="0.25">
      <c r="A204" s="90">
        <v>185</v>
      </c>
      <c r="B204" s="83"/>
      <c r="C204" s="100">
        <f ca="1">_xll.meDateFromTenor(C203,"1D","FOLLOWING",D$12)</f>
        <v>42780</v>
      </c>
      <c r="D204" s="13">
        <f ca="1">_xll.meDateFromTenor(C204,D$14,D$11,D$12)</f>
        <v>42781</v>
      </c>
      <c r="E204" s="98">
        <f ca="1"/>
        <v>-4.0402991700272542E-3</v>
      </c>
      <c r="F204" s="94"/>
      <c r="G204" s="100">
        <f ca="1">_xll.meDateFromTenor(G203,"1D","FOLLOWING",H$12)</f>
        <v>42780</v>
      </c>
      <c r="H204" s="13">
        <f ca="1">_xll.meDateFromTenor(G204,H$14,H$11,H$12)</f>
        <v>42808</v>
      </c>
      <c r="I204" s="98">
        <f ca="1"/>
        <v>-3.8362825936670082E-3</v>
      </c>
      <c r="J204" s="94" t="s">
        <v>4</v>
      </c>
      <c r="K204" s="100">
        <f ca="1">_xll.meDateFromTenor(K203,"1D","FOLLOWING",L$12)</f>
        <v>42780</v>
      </c>
      <c r="L204" s="13">
        <f ca="1">_xll.meDateFromTenor(K204,L$14,L$11,L$12)</f>
        <v>42870</v>
      </c>
      <c r="M204" s="98">
        <f ca="1"/>
        <v>-2.9916783088790345E-3</v>
      </c>
      <c r="N204" s="5" t="s">
        <v>4</v>
      </c>
      <c r="O204" s="100">
        <f ca="1">_xll.meDateFromTenor(O203,"1D","FOLLOWING",P$12)</f>
        <v>42780</v>
      </c>
      <c r="P204" s="13">
        <f ca="1">_xll.meDateFromTenor(O204,P$14,P$11,P$12)</f>
        <v>42961</v>
      </c>
      <c r="Q204" s="98">
        <f ca="1"/>
        <v>-1.5811109816838036E-3</v>
      </c>
      <c r="R204" s="5" t="s">
        <v>4</v>
      </c>
      <c r="S204" s="100">
        <f ca="1">_xll.meDateFromTenor(S203,"1D","FOLLOWING",T$12)</f>
        <v>42780</v>
      </c>
      <c r="T204" s="13">
        <f ca="1">_xll.meDateFromTenor(S204,T$14,T$11,T$12)</f>
        <v>43145</v>
      </c>
      <c r="U204" s="98">
        <f ca="1"/>
        <v>-1.4119668814122083E-4</v>
      </c>
      <c r="V204" s="5" t="s">
        <v>4</v>
      </c>
      <c r="W204" s="84" t="s">
        <v>4</v>
      </c>
    </row>
    <row r="205" spans="1:23" x14ac:dyDescent="0.25">
      <c r="A205" s="90">
        <v>186</v>
      </c>
      <c r="B205" s="83"/>
      <c r="C205" s="100">
        <f ca="1">_xll.meDateFromTenor(C204,"1D","FOLLOWING",D$12)</f>
        <v>42781</v>
      </c>
      <c r="D205" s="13">
        <f ca="1">_xll.meDateFromTenor(C205,D$14,D$11,D$12)</f>
        <v>42782</v>
      </c>
      <c r="E205" s="98">
        <f ca="1"/>
        <v>-4.0430733360041918E-3</v>
      </c>
      <c r="F205" s="94"/>
      <c r="G205" s="100">
        <f ca="1">_xll.meDateFromTenor(G204,"1D","FOLLOWING",H$12)</f>
        <v>42781</v>
      </c>
      <c r="H205" s="13">
        <f ca="1">_xll.meDateFromTenor(G205,H$14,H$11,H$12)</f>
        <v>42809</v>
      </c>
      <c r="I205" s="98">
        <f ca="1"/>
        <v>-3.8377802203163444E-3</v>
      </c>
      <c r="J205" s="94" t="s">
        <v>4</v>
      </c>
      <c r="K205" s="100">
        <f ca="1">_xll.meDateFromTenor(K204,"1D","FOLLOWING",L$12)</f>
        <v>42781</v>
      </c>
      <c r="L205" s="13">
        <f ca="1">_xll.meDateFromTenor(K205,L$14,L$11,L$12)</f>
        <v>42870</v>
      </c>
      <c r="M205" s="98">
        <f ca="1"/>
        <v>-2.9923354663590946E-3</v>
      </c>
      <c r="N205" s="5" t="s">
        <v>4</v>
      </c>
      <c r="O205" s="100">
        <f ca="1">_xll.meDateFromTenor(O204,"1D","FOLLOWING",P$12)</f>
        <v>42781</v>
      </c>
      <c r="P205" s="13">
        <f ca="1">_xll.meDateFromTenor(O205,P$14,P$11,P$12)</f>
        <v>42962</v>
      </c>
      <c r="Q205" s="98">
        <f ca="1"/>
        <v>-1.5826655849259554E-3</v>
      </c>
      <c r="R205" s="5" t="s">
        <v>4</v>
      </c>
      <c r="S205" s="100">
        <f ca="1">_xll.meDateFromTenor(S204,"1D","FOLLOWING",T$12)</f>
        <v>42781</v>
      </c>
      <c r="T205" s="13">
        <f ca="1">_xll.meDateFromTenor(S205,T$14,T$11,T$12)</f>
        <v>43146</v>
      </c>
      <c r="U205" s="98">
        <f ca="1"/>
        <v>-1.4076120000799808E-4</v>
      </c>
      <c r="V205" s="5" t="s">
        <v>4</v>
      </c>
      <c r="W205" s="84" t="s">
        <v>4</v>
      </c>
    </row>
    <row r="206" spans="1:23" x14ac:dyDescent="0.25">
      <c r="A206" s="90">
        <v>187</v>
      </c>
      <c r="B206" s="83"/>
      <c r="C206" s="100">
        <f ca="1">_xll.meDateFromTenor(C205,"1D","FOLLOWING",D$12)</f>
        <v>42782</v>
      </c>
      <c r="D206" s="13">
        <f ca="1">_xll.meDateFromTenor(C206,D$14,D$11,D$12)</f>
        <v>42783</v>
      </c>
      <c r="E206" s="98">
        <f ca="1"/>
        <v>-4.0458340951454877E-3</v>
      </c>
      <c r="F206" s="94"/>
      <c r="G206" s="100">
        <f ca="1">_xll.meDateFromTenor(G205,"1D","FOLLOWING",H$12)</f>
        <v>42782</v>
      </c>
      <c r="H206" s="13">
        <f ca="1">_xll.meDateFromTenor(G206,H$14,H$11,H$12)</f>
        <v>42810</v>
      </c>
      <c r="I206" s="98">
        <f ca="1"/>
        <v>-3.8392812201412585E-3</v>
      </c>
      <c r="J206" s="94" t="s">
        <v>4</v>
      </c>
      <c r="K206" s="100">
        <f ca="1">_xll.meDateFromTenor(K205,"1D","FOLLOWING",L$12)</f>
        <v>42782</v>
      </c>
      <c r="L206" s="13">
        <f ca="1">_xll.meDateFromTenor(K206,L$14,L$11,L$12)</f>
        <v>42871</v>
      </c>
      <c r="M206" s="98">
        <f ca="1"/>
        <v>-2.9929986699538604E-3</v>
      </c>
      <c r="N206" s="5" t="s">
        <v>4</v>
      </c>
      <c r="O206" s="100">
        <f ca="1">_xll.meDateFromTenor(O205,"1D","FOLLOWING",P$12)</f>
        <v>42782</v>
      </c>
      <c r="P206" s="13">
        <f ca="1">_xll.meDateFromTenor(O206,P$14,P$11,P$12)</f>
        <v>42963</v>
      </c>
      <c r="Q206" s="98">
        <f ca="1"/>
        <v>-1.5842240242749412E-3</v>
      </c>
      <c r="R206" s="5" t="s">
        <v>4</v>
      </c>
      <c r="S206" s="100">
        <f ca="1">_xll.meDateFromTenor(S205,"1D","FOLLOWING",T$12)</f>
        <v>42782</v>
      </c>
      <c r="T206" s="13">
        <f ca="1">_xll.meDateFromTenor(S206,T$14,T$11,T$12)</f>
        <v>43147</v>
      </c>
      <c r="U206" s="98">
        <f ca="1"/>
        <v>-1.4032102766689948E-4</v>
      </c>
      <c r="V206" s="5" t="s">
        <v>4</v>
      </c>
      <c r="W206" s="84" t="s">
        <v>4</v>
      </c>
    </row>
    <row r="207" spans="1:23" x14ac:dyDescent="0.25">
      <c r="A207" s="90">
        <v>188</v>
      </c>
      <c r="B207" s="83"/>
      <c r="C207" s="100">
        <f ca="1">_xll.meDateFromTenor(C206,"1D","FOLLOWING",D$12)</f>
        <v>42783</v>
      </c>
      <c r="D207" s="13">
        <f ca="1">_xll.meDateFromTenor(C207,D$14,D$11,D$12)</f>
        <v>42786</v>
      </c>
      <c r="E207" s="98">
        <f ca="1"/>
        <v>-4.051264187427921E-3</v>
      </c>
      <c r="F207" s="94"/>
      <c r="G207" s="100">
        <f ca="1">_xll.meDateFromTenor(G206,"1D","FOLLOWING",H$12)</f>
        <v>42783</v>
      </c>
      <c r="H207" s="13">
        <f ca="1">_xll.meDateFromTenor(G207,H$14,H$11,H$12)</f>
        <v>42811</v>
      </c>
      <c r="I207" s="98">
        <f ca="1"/>
        <v>-3.8407843720852683E-3</v>
      </c>
      <c r="J207" s="94" t="s">
        <v>4</v>
      </c>
      <c r="K207" s="100">
        <f ca="1">_xll.meDateFromTenor(K206,"1D","FOLLOWING",L$12)</f>
        <v>42783</v>
      </c>
      <c r="L207" s="13">
        <f ca="1">_xll.meDateFromTenor(K207,L$14,L$11,L$12)</f>
        <v>42872</v>
      </c>
      <c r="M207" s="98">
        <f ca="1"/>
        <v>-2.9936453552560625E-3</v>
      </c>
      <c r="N207" s="5" t="s">
        <v>4</v>
      </c>
      <c r="O207" s="100">
        <f ca="1">_xll.meDateFromTenor(O206,"1D","FOLLOWING",P$12)</f>
        <v>42783</v>
      </c>
      <c r="P207" s="13">
        <f ca="1">_xll.meDateFromTenor(O207,P$14,P$11,P$12)</f>
        <v>42964</v>
      </c>
      <c r="Q207" s="98">
        <f ca="1"/>
        <v>-1.5857861284397719E-3</v>
      </c>
      <c r="R207" s="5" t="s">
        <v>4</v>
      </c>
      <c r="S207" s="100">
        <f ca="1">_xll.meDateFromTenor(S206,"1D","FOLLOWING",T$12)</f>
        <v>42783</v>
      </c>
      <c r="T207" s="13">
        <f ca="1">_xll.meDateFromTenor(S207,T$14,T$11,T$12)</f>
        <v>43150</v>
      </c>
      <c r="U207" s="98">
        <f ca="1"/>
        <v>-1.3987615292122724E-4</v>
      </c>
      <c r="V207" s="5" t="s">
        <v>4</v>
      </c>
      <c r="W207" s="84" t="s">
        <v>4</v>
      </c>
    </row>
    <row r="208" spans="1:23" x14ac:dyDescent="0.25">
      <c r="A208" s="90">
        <v>189</v>
      </c>
      <c r="B208" s="83"/>
      <c r="C208" s="100">
        <f ca="1">_xll.meDateFromTenor(C207,"1D","FOLLOWING",D$12)</f>
        <v>42786</v>
      </c>
      <c r="D208" s="13">
        <f ca="1">_xll.meDateFromTenor(C208,D$14,D$11,D$12)</f>
        <v>42787</v>
      </c>
      <c r="E208" s="98">
        <f ca="1"/>
        <v>-4.0567384831380485E-3</v>
      </c>
      <c r="F208" s="94"/>
      <c r="G208" s="100">
        <f ca="1">_xll.meDateFromTenor(G207,"1D","FOLLOWING",H$12)</f>
        <v>42786</v>
      </c>
      <c r="H208" s="13">
        <f ca="1">_xll.meDateFromTenor(G208,H$14,H$11,H$12)</f>
        <v>42814</v>
      </c>
      <c r="I208" s="98">
        <f ca="1"/>
        <v>-3.8452945300670432E-3</v>
      </c>
      <c r="J208" s="94" t="s">
        <v>4</v>
      </c>
      <c r="K208" s="100">
        <f ca="1">_xll.meDateFromTenor(K207,"1D","FOLLOWING",L$12)</f>
        <v>42786</v>
      </c>
      <c r="L208" s="13">
        <f ca="1">_xll.meDateFromTenor(K208,L$14,L$11,L$12)</f>
        <v>42877</v>
      </c>
      <c r="M208" s="98">
        <f ca="1"/>
        <v>-2.9957252236694387E-3</v>
      </c>
      <c r="N208" s="5" t="s">
        <v>4</v>
      </c>
      <c r="O208" s="100">
        <f ca="1">_xll.meDateFromTenor(O207,"1D","FOLLOWING",P$12)</f>
        <v>42786</v>
      </c>
      <c r="P208" s="13">
        <f ca="1">_xll.meDateFromTenor(O208,P$14,P$11,P$12)</f>
        <v>42968</v>
      </c>
      <c r="Q208" s="98">
        <f ca="1"/>
        <v>-1.5904927169194379E-3</v>
      </c>
      <c r="R208" s="5" t="s">
        <v>4</v>
      </c>
      <c r="S208" s="100">
        <f ca="1">_xll.meDateFromTenor(S207,"1D","FOLLOWING",T$12)</f>
        <v>42786</v>
      </c>
      <c r="T208" s="13">
        <f ca="1">_xll.meDateFromTenor(S208,T$14,T$11,T$12)</f>
        <v>43151</v>
      </c>
      <c r="U208" s="98">
        <f ca="1"/>
        <v>-1.3851313228979039E-4</v>
      </c>
      <c r="V208" s="5" t="s">
        <v>4</v>
      </c>
      <c r="W208" s="84" t="s">
        <v>4</v>
      </c>
    </row>
    <row r="209" spans="1:23" x14ac:dyDescent="0.25">
      <c r="A209" s="90">
        <v>190</v>
      </c>
      <c r="B209" s="83"/>
      <c r="C209" s="100">
        <f ca="1">_xll.meDateFromTenor(C208,"1D","FOLLOWING",D$12)</f>
        <v>42787</v>
      </c>
      <c r="D209" s="13">
        <f ca="1">_xll.meDateFromTenor(C209,D$14,D$11,D$12)</f>
        <v>42788</v>
      </c>
      <c r="E209" s="98">
        <f ca="1"/>
        <v>-4.0594287724893411E-3</v>
      </c>
      <c r="F209" s="94"/>
      <c r="G209" s="100">
        <f ca="1">_xll.meDateFromTenor(G208,"1D","FOLLOWING",H$12)</f>
        <v>42787</v>
      </c>
      <c r="H209" s="13">
        <f ca="1">_xll.meDateFromTenor(G209,H$14,H$11,H$12)</f>
        <v>42815</v>
      </c>
      <c r="I209" s="98">
        <f ca="1"/>
        <v>-3.8467940799226078E-3</v>
      </c>
      <c r="J209" s="94" t="s">
        <v>4</v>
      </c>
      <c r="K209" s="100">
        <f ca="1">_xll.meDateFromTenor(K208,"1D","FOLLOWING",L$12)</f>
        <v>42787</v>
      </c>
      <c r="L209" s="13">
        <f ca="1">_xll.meDateFromTenor(K209,L$14,L$11,L$12)</f>
        <v>42877</v>
      </c>
      <c r="M209" s="98">
        <f ca="1"/>
        <v>-2.9962651330499974E-3</v>
      </c>
      <c r="N209" s="5" t="s">
        <v>4</v>
      </c>
      <c r="O209" s="100">
        <f ca="1">_xll.meDateFromTenor(O208,"1D","FOLLOWING",P$12)</f>
        <v>42787</v>
      </c>
      <c r="P209" s="13">
        <f ca="1">_xll.meDateFromTenor(O209,P$14,P$11,P$12)</f>
        <v>42968</v>
      </c>
      <c r="Q209" s="98">
        <f ca="1"/>
        <v>-1.5920677674377531E-3</v>
      </c>
      <c r="R209" s="5" t="s">
        <v>4</v>
      </c>
      <c r="S209" s="100">
        <f ca="1">_xll.meDateFromTenor(S208,"1D","FOLLOWING",T$12)</f>
        <v>42787</v>
      </c>
      <c r="T209" s="13">
        <f ca="1">_xll.meDateFromTenor(S209,T$14,T$11,T$12)</f>
        <v>43152</v>
      </c>
      <c r="U209" s="98">
        <f ca="1"/>
        <v>-1.3804926595884531E-4</v>
      </c>
      <c r="V209" s="5" t="s">
        <v>4</v>
      </c>
      <c r="W209" s="84" t="s">
        <v>4</v>
      </c>
    </row>
    <row r="210" spans="1:23" x14ac:dyDescent="0.25">
      <c r="A210" s="90">
        <v>191</v>
      </c>
      <c r="B210" s="83"/>
      <c r="C210" s="100">
        <f ca="1">_xll.meDateFromTenor(C209,"1D","FOLLOWING",D$12)</f>
        <v>42788</v>
      </c>
      <c r="D210" s="13">
        <f ca="1">_xll.meDateFromTenor(C210,D$14,D$11,D$12)</f>
        <v>42789</v>
      </c>
      <c r="E210" s="98">
        <f ca="1"/>
        <v>-4.0621042805444466E-3</v>
      </c>
      <c r="F210" s="94"/>
      <c r="G210" s="100">
        <f ca="1">_xll.meDateFromTenor(G209,"1D","FOLLOWING",H$12)</f>
        <v>42788</v>
      </c>
      <c r="H210" s="13">
        <f ca="1">_xll.meDateFromTenor(G210,H$14,H$11,H$12)</f>
        <v>42816</v>
      </c>
      <c r="I210" s="98">
        <f ca="1"/>
        <v>-3.848289676614854E-3</v>
      </c>
      <c r="J210" s="94" t="s">
        <v>4</v>
      </c>
      <c r="K210" s="100">
        <f ca="1">_xll.meDateFromTenor(K209,"1D","FOLLOWING",L$12)</f>
        <v>42788</v>
      </c>
      <c r="L210" s="13">
        <f ca="1">_xll.meDateFromTenor(K210,L$14,L$11,L$12)</f>
        <v>42877</v>
      </c>
      <c r="M210" s="98">
        <f ca="1"/>
        <v>-2.9964907607803338E-3</v>
      </c>
      <c r="N210" s="5" t="s">
        <v>4</v>
      </c>
      <c r="O210" s="100">
        <f ca="1">_xll.meDateFromTenor(O209,"1D","FOLLOWING",P$12)</f>
        <v>42788</v>
      </c>
      <c r="P210" s="13">
        <f ca="1">_xll.meDateFromTenor(O210,P$14,P$11,P$12)</f>
        <v>42969</v>
      </c>
      <c r="Q210" s="98">
        <f ca="1"/>
        <v>-1.5936456263169663E-3</v>
      </c>
      <c r="R210" s="5" t="s">
        <v>4</v>
      </c>
      <c r="S210" s="100">
        <f ca="1">_xll.meDateFromTenor(S209,"1D","FOLLOWING",T$12)</f>
        <v>42788</v>
      </c>
      <c r="T210" s="13">
        <f ca="1">_xll.meDateFromTenor(S210,T$14,T$11,T$12)</f>
        <v>43153</v>
      </c>
      <c r="U210" s="98">
        <f ca="1"/>
        <v>-1.3758060623983743E-4</v>
      </c>
      <c r="V210" s="5" t="s">
        <v>4</v>
      </c>
      <c r="W210" s="84" t="s">
        <v>4</v>
      </c>
    </row>
    <row r="211" spans="1:23" x14ac:dyDescent="0.25">
      <c r="A211" s="90">
        <v>192</v>
      </c>
      <c r="B211" s="83"/>
      <c r="C211" s="100">
        <f ca="1">_xll.meDateFromTenor(C210,"1D","FOLLOWING",D$12)</f>
        <v>42789</v>
      </c>
      <c r="D211" s="13">
        <f ca="1">_xll.meDateFromTenor(C211,D$14,D$11,D$12)</f>
        <v>42790</v>
      </c>
      <c r="E211" s="98">
        <f ca="1"/>
        <v>-4.0647647781666555E-3</v>
      </c>
      <c r="F211" s="94"/>
      <c r="G211" s="100">
        <f ca="1">_xll.meDateFromTenor(G210,"1D","FOLLOWING",H$12)</f>
        <v>42789</v>
      </c>
      <c r="H211" s="13">
        <f ca="1">_xll.meDateFromTenor(G211,H$14,H$11,H$12)</f>
        <v>42817</v>
      </c>
      <c r="I211" s="98">
        <f ca="1"/>
        <v>-3.8497800990872997E-3</v>
      </c>
      <c r="J211" s="94" t="s">
        <v>4</v>
      </c>
      <c r="K211" s="100">
        <f ca="1">_xll.meDateFromTenor(K210,"1D","FOLLOWING",L$12)</f>
        <v>42789</v>
      </c>
      <c r="L211" s="13">
        <f ca="1">_xll.meDateFromTenor(K211,L$14,L$11,L$12)</f>
        <v>42878</v>
      </c>
      <c r="M211" s="98">
        <f ca="1"/>
        <v>-2.9975750219469648E-3</v>
      </c>
      <c r="N211" s="5" t="s">
        <v>4</v>
      </c>
      <c r="O211" s="100">
        <f ca="1">_xll.meDateFromTenor(O210,"1D","FOLLOWING",P$12)</f>
        <v>42789</v>
      </c>
      <c r="P211" s="13">
        <f ca="1">_xll.meDateFromTenor(O211,P$14,P$11,P$12)</f>
        <v>42970</v>
      </c>
      <c r="Q211" s="98">
        <f ca="1"/>
        <v>-1.5952261222660876E-3</v>
      </c>
      <c r="R211" s="5" t="s">
        <v>4</v>
      </c>
      <c r="S211" s="100">
        <f ca="1">_xll.meDateFromTenor(S210,"1D","FOLLOWING",T$12)</f>
        <v>42789</v>
      </c>
      <c r="T211" s="13">
        <f ca="1">_xll.meDateFromTenor(S211,T$14,T$11,T$12)</f>
        <v>43154</v>
      </c>
      <c r="U211" s="98">
        <f ca="1"/>
        <v>-1.3710713493606896E-4</v>
      </c>
      <c r="V211" s="5" t="s">
        <v>4</v>
      </c>
      <c r="W211" s="84" t="s">
        <v>4</v>
      </c>
    </row>
    <row r="212" spans="1:23" x14ac:dyDescent="0.25">
      <c r="A212" s="90">
        <v>193</v>
      </c>
      <c r="B212" s="83"/>
      <c r="C212" s="100">
        <f ca="1">_xll.meDateFromTenor(C211,"1D","FOLLOWING",D$12)</f>
        <v>42790</v>
      </c>
      <c r="D212" s="13">
        <f ca="1">_xll.meDateFromTenor(C212,D$14,D$11,D$12)</f>
        <v>42793</v>
      </c>
      <c r="E212" s="98">
        <f ca="1"/>
        <v>-4.0699885794648486E-3</v>
      </c>
      <c r="F212" s="94"/>
      <c r="G212" s="100">
        <f ca="1">_xll.meDateFromTenor(G211,"1D","FOLLOWING",H$12)</f>
        <v>42790</v>
      </c>
      <c r="H212" s="13">
        <f ca="1">_xll.meDateFromTenor(G212,H$14,H$11,H$12)</f>
        <v>42818</v>
      </c>
      <c r="I212" s="98">
        <f ca="1"/>
        <v>-3.8512641262834608E-3</v>
      </c>
      <c r="J212" s="94" t="s">
        <v>4</v>
      </c>
      <c r="K212" s="100">
        <f ca="1">_xll.meDateFromTenor(K211,"1D","FOLLOWING",L$12)</f>
        <v>42790</v>
      </c>
      <c r="L212" s="13">
        <f ca="1">_xll.meDateFromTenor(K212,L$14,L$11,L$12)</f>
        <v>42879</v>
      </c>
      <c r="M212" s="98">
        <f ca="1"/>
        <v>-2.9998321982001126E-3</v>
      </c>
      <c r="N212" s="5" t="s">
        <v>4</v>
      </c>
      <c r="O212" s="100">
        <f ca="1">_xll.meDateFromTenor(O211,"1D","FOLLOWING",P$12)</f>
        <v>42790</v>
      </c>
      <c r="P212" s="13">
        <f ca="1">_xll.meDateFromTenor(O212,P$14,P$11,P$12)</f>
        <v>42971</v>
      </c>
      <c r="Q212" s="98">
        <f ca="1"/>
        <v>-1.5968090839941274E-3</v>
      </c>
      <c r="R212" s="5" t="s">
        <v>4</v>
      </c>
      <c r="S212" s="100">
        <f ca="1">_xll.meDateFromTenor(S211,"1D","FOLLOWING",T$12)</f>
        <v>42790</v>
      </c>
      <c r="T212" s="13">
        <f ca="1">_xll.meDateFromTenor(S212,T$14,T$11,T$12)</f>
        <v>43157</v>
      </c>
      <c r="U212" s="98">
        <f ca="1"/>
        <v>-1.3662883385084205E-4</v>
      </c>
      <c r="V212" s="5" t="s">
        <v>4</v>
      </c>
      <c r="W212" s="84" t="s">
        <v>4</v>
      </c>
    </row>
    <row r="213" spans="1:23" x14ac:dyDescent="0.25">
      <c r="A213" s="90">
        <v>194</v>
      </c>
      <c r="B213" s="83"/>
      <c r="C213" s="100">
        <f ca="1">_xll.meDateFromTenor(C212,"1D","FOLLOWING",D$12)</f>
        <v>42793</v>
      </c>
      <c r="D213" s="13">
        <f ca="1">_xll.meDateFromTenor(C213,D$14,D$11,D$12)</f>
        <v>42794</v>
      </c>
      <c r="E213" s="98">
        <f ca="1"/>
        <v>-4.0752520837106379E-3</v>
      </c>
      <c r="F213" s="94"/>
      <c r="G213" s="100">
        <f ca="1">_xll.meDateFromTenor(G212,"1D","FOLLOWING",H$12)</f>
        <v>42793</v>
      </c>
      <c r="H213" s="13">
        <f ca="1">_xll.meDateFromTenor(G213,H$14,H$11,H$12)</f>
        <v>42821</v>
      </c>
      <c r="I213" s="98">
        <f ca="1"/>
        <v>-3.8556656256494158E-3</v>
      </c>
      <c r="J213" s="94" t="s">
        <v>4</v>
      </c>
      <c r="K213" s="100">
        <f ca="1">_xll.meDateFromTenor(K212,"1D","FOLLOWING",L$12)</f>
        <v>42793</v>
      </c>
      <c r="L213" s="13">
        <f ca="1">_xll.meDateFromTenor(K213,L$14,L$11,L$12)</f>
        <v>42884</v>
      </c>
      <c r="M213" s="98">
        <f ca="1"/>
        <v>-3.0001947997409001E-3</v>
      </c>
      <c r="N213" s="5" t="s">
        <v>4</v>
      </c>
      <c r="O213" s="100">
        <f ca="1">_xll.meDateFromTenor(O212,"1D","FOLLOWING",P$12)</f>
        <v>42793</v>
      </c>
      <c r="P213" s="13">
        <f ca="1">_xll.meDateFromTenor(O213,P$14,P$11,P$12)</f>
        <v>42975</v>
      </c>
      <c r="Q213" s="98">
        <f ca="1"/>
        <v>-1.6015710509418664E-3</v>
      </c>
      <c r="R213" s="5" t="s">
        <v>4</v>
      </c>
      <c r="S213" s="100">
        <f ca="1">_xll.meDateFromTenor(S212,"1D","FOLLOWING",T$12)</f>
        <v>42793</v>
      </c>
      <c r="T213" s="13">
        <f ca="1">_xll.meDateFromTenor(S213,T$14,T$11,T$12)</f>
        <v>43158</v>
      </c>
      <c r="U213" s="98">
        <f ca="1"/>
        <v>-1.3516476993943237E-4</v>
      </c>
      <c r="V213" s="5" t="s">
        <v>4</v>
      </c>
      <c r="W213" s="84" t="s">
        <v>4</v>
      </c>
    </row>
    <row r="214" spans="1:23" x14ac:dyDescent="0.25">
      <c r="A214" s="90">
        <v>195</v>
      </c>
      <c r="B214" s="83"/>
      <c r="C214" s="100">
        <f ca="1">_xll.meDateFromTenor(C213,"1D","FOLLOWING",D$12)</f>
        <v>42794</v>
      </c>
      <c r="D214" s="13">
        <f ca="1">_xll.meDateFromTenor(C214,D$14,D$11,D$12)</f>
        <v>42795</v>
      </c>
      <c r="E214" s="98">
        <f ca="1"/>
        <v>-4.0778340933567284E-3</v>
      </c>
      <c r="F214" s="94"/>
      <c r="G214" s="100">
        <f ca="1">_xll.meDateFromTenor(G213,"1D","FOLLOWING",H$12)</f>
        <v>42794</v>
      </c>
      <c r="H214" s="13">
        <f ca="1">_xll.meDateFromTenor(G214,H$14,H$11,H$12)</f>
        <v>42822</v>
      </c>
      <c r="I214" s="98">
        <f ca="1"/>
        <v>-3.8571118611756151E-3</v>
      </c>
      <c r="J214" s="94" t="s">
        <v>4</v>
      </c>
      <c r="K214" s="100">
        <f ca="1">_xll.meDateFromTenor(K213,"1D","FOLLOWING",L$12)</f>
        <v>42794</v>
      </c>
      <c r="L214" s="13">
        <f ca="1">_xll.meDateFromTenor(K214,L$14,L$11,L$12)</f>
        <v>42884</v>
      </c>
      <c r="M214" s="98">
        <f ca="1"/>
        <v>-3.0231659543867523E-3</v>
      </c>
      <c r="N214" s="5" t="s">
        <v>4</v>
      </c>
      <c r="O214" s="100">
        <f ca="1">_xll.meDateFromTenor(O213,"1D","FOLLOWING",P$12)</f>
        <v>42794</v>
      </c>
      <c r="P214" s="13">
        <f ca="1">_xll.meDateFromTenor(O214,P$14,P$11,P$12)</f>
        <v>42975</v>
      </c>
      <c r="Q214" s="98">
        <f ca="1"/>
        <v>-1.6031621628756873E-3</v>
      </c>
      <c r="R214" s="5" t="s">
        <v>4</v>
      </c>
      <c r="S214" s="100">
        <f ca="1">_xll.meDateFromTenor(S213,"1D","FOLLOWING",T$12)</f>
        <v>42794</v>
      </c>
      <c r="T214" s="13">
        <f ca="1">_xll.meDateFromTenor(S214,T$14,T$11,T$12)</f>
        <v>43159</v>
      </c>
      <c r="U214" s="98">
        <f ca="1"/>
        <v>-1.3466696776139343E-4</v>
      </c>
      <c r="V214" s="5" t="s">
        <v>4</v>
      </c>
      <c r="W214" s="84" t="s">
        <v>4</v>
      </c>
    </row>
    <row r="215" spans="1:23" x14ac:dyDescent="0.25">
      <c r="A215" s="90">
        <v>196</v>
      </c>
      <c r="B215" s="83"/>
      <c r="C215" s="100">
        <f ca="1">_xll.meDateFromTenor(C214,"1D","FOLLOWING",D$12)</f>
        <v>42795</v>
      </c>
      <c r="D215" s="13">
        <f ca="1">_xll.meDateFromTenor(C215,D$14,D$11,D$12)</f>
        <v>42796</v>
      </c>
      <c r="E215" s="98">
        <f ca="1"/>
        <v>-4.0803997181093768E-3</v>
      </c>
      <c r="F215" s="94"/>
      <c r="G215" s="100">
        <f ca="1">_xll.meDateFromTenor(G214,"1D","FOLLOWING",H$12)</f>
        <v>42795</v>
      </c>
      <c r="H215" s="13">
        <f ca="1">_xll.meDateFromTenor(G215,H$14,H$11,H$12)</f>
        <v>42828</v>
      </c>
      <c r="I215" s="98">
        <f ca="1"/>
        <v>-3.8585455961431168E-3</v>
      </c>
      <c r="J215" s="94" t="s">
        <v>4</v>
      </c>
      <c r="K215" s="100">
        <f ca="1">_xll.meDateFromTenor(K214,"1D","FOLLOWING",L$12)</f>
        <v>42795</v>
      </c>
      <c r="L215" s="13">
        <f ca="1">_xll.meDateFromTenor(K215,L$14,L$11,L$12)</f>
        <v>42887</v>
      </c>
      <c r="M215" s="98">
        <f ca="1"/>
        <v>-3.0015046886378675E-3</v>
      </c>
      <c r="N215" s="5" t="s">
        <v>4</v>
      </c>
      <c r="O215" s="100">
        <f ca="1">_xll.meDateFromTenor(O214,"1D","FOLLOWING",P$12)</f>
        <v>42795</v>
      </c>
      <c r="P215" s="13">
        <f ca="1">_xll.meDateFromTenor(O215,P$14,P$11,P$12)</f>
        <v>42979</v>
      </c>
      <c r="Q215" s="98">
        <f ca="1"/>
        <v>-1.6047548841334801E-3</v>
      </c>
      <c r="R215" s="5" t="s">
        <v>4</v>
      </c>
      <c r="S215" s="100">
        <f ca="1">_xll.meDateFromTenor(S214,"1D","FOLLOWING",T$12)</f>
        <v>42795</v>
      </c>
      <c r="T215" s="13">
        <f ca="1">_xll.meDateFromTenor(S215,T$14,T$11,T$12)</f>
        <v>43160</v>
      </c>
      <c r="U215" s="98">
        <f ca="1"/>
        <v>-1.3416424481840691E-4</v>
      </c>
      <c r="V215" s="5" t="s">
        <v>4</v>
      </c>
      <c r="W215" s="84" t="s">
        <v>4</v>
      </c>
    </row>
    <row r="216" spans="1:23" x14ac:dyDescent="0.25">
      <c r="A216" s="90">
        <v>197</v>
      </c>
      <c r="B216" s="83"/>
      <c r="C216" s="100">
        <f ca="1">_xll.meDateFromTenor(C215,"1D","FOLLOWING",D$12)</f>
        <v>42796</v>
      </c>
      <c r="D216" s="13">
        <f ca="1">_xll.meDateFromTenor(C216,D$14,D$11,D$12)</f>
        <v>42797</v>
      </c>
      <c r="E216" s="98">
        <f ca="1"/>
        <v>-4.0829487287118065E-3</v>
      </c>
      <c r="F216" s="94"/>
      <c r="G216" s="100">
        <f ca="1">_xll.meDateFromTenor(G215,"1D","FOLLOWING",H$12)</f>
        <v>42796</v>
      </c>
      <c r="H216" s="13">
        <f ca="1">_xll.meDateFromTenor(G216,H$14,H$11,H$12)</f>
        <v>42828</v>
      </c>
      <c r="I216" s="98">
        <f ca="1"/>
        <v>-3.8599656094954384E-3</v>
      </c>
      <c r="J216" s="94" t="s">
        <v>4</v>
      </c>
      <c r="K216" s="100">
        <f ca="1">_xll.meDateFromTenor(K215,"1D","FOLLOWING",L$12)</f>
        <v>42796</v>
      </c>
      <c r="L216" s="13">
        <f ca="1">_xll.meDateFromTenor(K216,L$14,L$11,L$12)</f>
        <v>42888</v>
      </c>
      <c r="M216" s="98">
        <f ca="1"/>
        <v>-2.9349026536801379E-3</v>
      </c>
      <c r="N216" s="5" t="s">
        <v>4</v>
      </c>
      <c r="O216" s="100">
        <f ca="1">_xll.meDateFromTenor(O215,"1D","FOLLOWING",P$12)</f>
        <v>42796</v>
      </c>
      <c r="P216" s="13">
        <f ca="1">_xll.meDateFromTenor(O216,P$14,P$11,P$12)</f>
        <v>42982</v>
      </c>
      <c r="Q216" s="98">
        <f ca="1"/>
        <v>-1.6063490434242553E-3</v>
      </c>
      <c r="R216" s="5" t="s">
        <v>4</v>
      </c>
      <c r="S216" s="100">
        <f ca="1">_xll.meDateFromTenor(S215,"1D","FOLLOWING",T$12)</f>
        <v>42796</v>
      </c>
      <c r="T216" s="13">
        <f ca="1">_xll.meDateFromTenor(S216,T$14,T$11,T$12)</f>
        <v>43161</v>
      </c>
      <c r="U216" s="98">
        <f ca="1"/>
        <v>-1.3365658291377498E-4</v>
      </c>
      <c r="V216" s="5" t="s">
        <v>4</v>
      </c>
      <c r="W216" s="84" t="s">
        <v>4</v>
      </c>
    </row>
    <row r="217" spans="1:23" x14ac:dyDescent="0.25">
      <c r="A217" s="90">
        <v>198</v>
      </c>
      <c r="B217" s="83"/>
      <c r="C217" s="100">
        <f ca="1">_xll.meDateFromTenor(C216,"1D","FOLLOWING",D$12)</f>
        <v>42797</v>
      </c>
      <c r="D217" s="13">
        <f ca="1">_xll.meDateFromTenor(C217,D$14,D$11,D$12)</f>
        <v>42800</v>
      </c>
      <c r="E217" s="98">
        <f ca="1"/>
        <v>-4.0879438022933959E-3</v>
      </c>
      <c r="F217" s="94"/>
      <c r="G217" s="100">
        <f ca="1">_xll.meDateFromTenor(G216,"1D","FOLLOWING",H$12)</f>
        <v>42797</v>
      </c>
      <c r="H217" s="13">
        <f ca="1">_xll.meDateFromTenor(G217,H$14,H$11,H$12)</f>
        <v>42828</v>
      </c>
      <c r="I217" s="98">
        <f ca="1"/>
        <v>-3.8613710167194385E-3</v>
      </c>
      <c r="J217" s="94" t="s">
        <v>4</v>
      </c>
      <c r="K217" s="100">
        <f ca="1">_xll.meDateFromTenor(K216,"1D","FOLLOWING",L$12)</f>
        <v>42797</v>
      </c>
      <c r="L217" s="13">
        <f ca="1">_xll.meDateFromTenor(K217,L$14,L$11,L$12)</f>
        <v>42891</v>
      </c>
      <c r="M217" s="98">
        <f ca="1"/>
        <v>-3.002814577534835E-3</v>
      </c>
      <c r="N217" s="5" t="s">
        <v>4</v>
      </c>
      <c r="O217" s="100">
        <f ca="1">_xll.meDateFromTenor(O216,"1D","FOLLOWING",P$12)</f>
        <v>42797</v>
      </c>
      <c r="P217" s="13">
        <f ca="1">_xll.meDateFromTenor(O217,P$14,P$11,P$12)</f>
        <v>42982</v>
      </c>
      <c r="Q217" s="98">
        <f ca="1"/>
        <v>-1.6079444694570232E-3</v>
      </c>
      <c r="R217" s="5" t="s">
        <v>4</v>
      </c>
      <c r="S217" s="100">
        <f ca="1">_xll.meDateFromTenor(S216,"1D","FOLLOWING",T$12)</f>
        <v>42797</v>
      </c>
      <c r="T217" s="13">
        <f ca="1">_xll.meDateFromTenor(S217,T$14,T$11,T$12)</f>
        <v>43164</v>
      </c>
      <c r="U217" s="98">
        <f ca="1"/>
        <v>-1.3314396385079986E-4</v>
      </c>
      <c r="V217" s="5" t="s">
        <v>4</v>
      </c>
      <c r="W217" s="84" t="s">
        <v>4</v>
      </c>
    </row>
    <row r="218" spans="1:23" x14ac:dyDescent="0.25">
      <c r="A218" s="90">
        <v>199</v>
      </c>
      <c r="B218" s="83"/>
      <c r="C218" s="100">
        <f ca="1">_xll.meDateFromTenor(C217,"1D","FOLLOWING",D$12)</f>
        <v>42800</v>
      </c>
      <c r="D218" s="13">
        <f ca="1">_xll.meDateFromTenor(C218,D$14,D$11,D$12)</f>
        <v>42801</v>
      </c>
      <c r="E218" s="98">
        <f ca="1"/>
        <v>-4.0929740457285183E-3</v>
      </c>
      <c r="F218" s="94"/>
      <c r="G218" s="100">
        <f ca="1">_xll.meDateFromTenor(G217,"1D","FOLLOWING",H$12)</f>
        <v>42800</v>
      </c>
      <c r="H218" s="13">
        <f ca="1">_xll.meDateFromTenor(G218,H$14,H$11,H$12)</f>
        <v>42831</v>
      </c>
      <c r="I218" s="98">
        <f ca="1"/>
        <v>-3.8655055643971492E-3</v>
      </c>
      <c r="J218" s="94" t="s">
        <v>4</v>
      </c>
      <c r="K218" s="100">
        <f ca="1">_xll.meDateFromTenor(K217,"1D","FOLLOWING",L$12)</f>
        <v>42800</v>
      </c>
      <c r="L218" s="13">
        <f ca="1">_xll.meDateFromTenor(K218,L$14,L$11,L$12)</f>
        <v>42892</v>
      </c>
      <c r="M218" s="98">
        <f ca="1"/>
        <v>-2.9987998608934788E-3</v>
      </c>
      <c r="N218" s="5" t="s">
        <v>4</v>
      </c>
      <c r="O218" s="100">
        <f ca="1">_xll.meDateFromTenor(O217,"1D","FOLLOWING",P$12)</f>
        <v>42800</v>
      </c>
      <c r="P218" s="13">
        <f ca="1">_xll.meDateFromTenor(O218,P$14,P$11,P$12)</f>
        <v>42984</v>
      </c>
      <c r="Q218" s="98">
        <f ca="1"/>
        <v>-1.6127366350973905E-3</v>
      </c>
      <c r="R218" s="5" t="s">
        <v>4</v>
      </c>
      <c r="S218" s="100">
        <f ca="1">_xll.meDateFromTenor(S217,"1D","FOLLOWING",T$12)</f>
        <v>42800</v>
      </c>
      <c r="T218" s="13">
        <f ca="1">_xll.meDateFromTenor(S218,T$14,T$11,T$12)</f>
        <v>43165</v>
      </c>
      <c r="U218" s="98">
        <f ca="1"/>
        <v>-1.3157618174483666E-4</v>
      </c>
      <c r="V218" s="5" t="s">
        <v>4</v>
      </c>
      <c r="W218" s="84" t="s">
        <v>4</v>
      </c>
    </row>
    <row r="219" spans="1:23" x14ac:dyDescent="0.25">
      <c r="A219" s="90">
        <v>200</v>
      </c>
      <c r="B219" s="83"/>
      <c r="C219" s="100">
        <f ca="1">_xll.meDateFromTenor(C218,"1D","FOLLOWING",D$12)</f>
        <v>42801</v>
      </c>
      <c r="D219" s="13">
        <f ca="1">_xll.meDateFromTenor(C219,D$14,D$11,D$12)</f>
        <v>42802</v>
      </c>
      <c r="E219" s="98">
        <f ca="1"/>
        <v>-4.0954365478906999E-3</v>
      </c>
      <c r="F219" s="94"/>
      <c r="G219" s="100">
        <f ca="1">_xll.meDateFromTenor(G218,"1D","FOLLOWING",H$12)</f>
        <v>42801</v>
      </c>
      <c r="H219" s="13">
        <f ca="1">_xll.meDateFromTenor(G219,H$14,H$11,H$12)</f>
        <v>42832</v>
      </c>
      <c r="I219" s="98">
        <f ca="1"/>
        <v>-3.8668591829701857E-3</v>
      </c>
      <c r="J219" s="94" t="s">
        <v>4</v>
      </c>
      <c r="K219" s="100">
        <f ca="1">_xll.meDateFromTenor(K218,"1D","FOLLOWING",L$12)</f>
        <v>42801</v>
      </c>
      <c r="L219" s="13">
        <f ca="1">_xll.meDateFromTenor(K219,L$14,L$11,L$12)</f>
        <v>42893</v>
      </c>
      <c r="M219" s="98">
        <f ca="1"/>
        <v>-3.0054343553287698E-3</v>
      </c>
      <c r="N219" s="5" t="s">
        <v>4</v>
      </c>
      <c r="O219" s="100">
        <f ca="1">_xll.meDateFromTenor(O218,"1D","FOLLOWING",P$12)</f>
        <v>42801</v>
      </c>
      <c r="P219" s="13">
        <f ca="1">_xll.meDateFromTenor(O219,P$14,P$11,P$12)</f>
        <v>42985</v>
      </c>
      <c r="Q219" s="98">
        <f ca="1"/>
        <v>-1.614335415188236E-3</v>
      </c>
      <c r="R219" s="5" t="s">
        <v>4</v>
      </c>
      <c r="S219" s="100">
        <f ca="1">_xll.meDateFromTenor(S218,"1D","FOLLOWING",T$12)</f>
        <v>42801</v>
      </c>
      <c r="T219" s="13">
        <f ca="1">_xll.meDateFromTenor(S219,T$14,T$11,T$12)</f>
        <v>43166</v>
      </c>
      <c r="U219" s="98">
        <f ca="1"/>
        <v>-1.3104355208151029E-4</v>
      </c>
      <c r="V219" s="5" t="s">
        <v>4</v>
      </c>
      <c r="W219" s="84" t="s">
        <v>4</v>
      </c>
    </row>
    <row r="220" spans="1:23" x14ac:dyDescent="0.25">
      <c r="A220" s="90">
        <v>201</v>
      </c>
      <c r="B220" s="83"/>
      <c r="C220" s="100">
        <f ca="1">_xll.meDateFromTenor(C219,"1D","FOLLOWING",D$12)</f>
        <v>42802</v>
      </c>
      <c r="D220" s="13">
        <f ca="1">_xll.meDateFromTenor(C220,D$14,D$11,D$12)</f>
        <v>42803</v>
      </c>
      <c r="E220" s="98">
        <f ca="1"/>
        <v>-4.0978810610426001E-3</v>
      </c>
      <c r="F220" s="94"/>
      <c r="G220" s="100">
        <f ca="1">_xll.meDateFromTenor(G219,"1D","FOLLOWING",H$12)</f>
        <v>42802</v>
      </c>
      <c r="H220" s="13">
        <f ca="1">_xll.meDateFromTenor(G220,H$14,H$11,H$12)</f>
        <v>42835</v>
      </c>
      <c r="I220" s="98">
        <f ca="1"/>
        <v>-3.8682018498894018E-3</v>
      </c>
      <c r="J220" s="94" t="s">
        <v>4</v>
      </c>
      <c r="K220" s="100">
        <f ca="1">_xll.meDateFromTenor(K219,"1D","FOLLOWING",L$12)</f>
        <v>42802</v>
      </c>
      <c r="L220" s="13">
        <f ca="1">_xll.meDateFromTenor(K220,L$14,L$11,L$12)</f>
        <v>42894</v>
      </c>
      <c r="M220" s="98">
        <f ca="1"/>
        <v>-3.0076913046555402E-3</v>
      </c>
      <c r="N220" s="5" t="s">
        <v>4</v>
      </c>
      <c r="O220" s="100">
        <f ca="1">_xll.meDateFromTenor(O219,"1D","FOLLOWING",P$12)</f>
        <v>42802</v>
      </c>
      <c r="P220" s="13">
        <f ca="1">_xll.meDateFromTenor(O220,P$14,P$11,P$12)</f>
        <v>42986</v>
      </c>
      <c r="Q220" s="98">
        <f ca="1"/>
        <v>-1.6159346055661271E-3</v>
      </c>
      <c r="R220" s="5" t="s">
        <v>4</v>
      </c>
      <c r="S220" s="100">
        <f ca="1">_xll.meDateFromTenor(S219,"1D","FOLLOWING",T$12)</f>
        <v>42802</v>
      </c>
      <c r="T220" s="13">
        <f ca="1">_xll.meDateFromTenor(S220,T$14,T$11,T$12)</f>
        <v>43167</v>
      </c>
      <c r="U220" s="98">
        <f ca="1"/>
        <v>-1.3050587427635156E-4</v>
      </c>
      <c r="V220" s="5" t="s">
        <v>4</v>
      </c>
      <c r="W220" s="84" t="s">
        <v>4</v>
      </c>
    </row>
    <row r="221" spans="1:23" x14ac:dyDescent="0.25">
      <c r="A221" s="90">
        <v>202</v>
      </c>
      <c r="B221" s="83"/>
      <c r="C221" s="100">
        <f ca="1">_xll.meDateFromTenor(C220,"1D","FOLLOWING",D$12)</f>
        <v>42803</v>
      </c>
      <c r="D221" s="13">
        <f ca="1">_xll.meDateFromTenor(C221,D$14,D$11,D$12)</f>
        <v>42804</v>
      </c>
      <c r="E221" s="98">
        <f ca="1"/>
        <v>-4.1003073562473494E-3</v>
      </c>
      <c r="F221" s="94"/>
      <c r="G221" s="100">
        <f ca="1">_xll.meDateFromTenor(G220,"1D","FOLLOWING",H$12)</f>
        <v>42803</v>
      </c>
      <c r="H221" s="13">
        <f ca="1">_xll.meDateFromTenor(G221,H$14,H$11,H$12)</f>
        <v>42835</v>
      </c>
      <c r="I221" s="98">
        <f ca="1"/>
        <v>-3.8695343633583681E-3</v>
      </c>
      <c r="J221" s="94" t="s">
        <v>4</v>
      </c>
      <c r="K221" s="100">
        <f ca="1">_xll.meDateFromTenor(K220,"1D","FOLLOWING",L$12)</f>
        <v>42803</v>
      </c>
      <c r="L221" s="13">
        <f ca="1">_xll.meDateFromTenor(K221,L$14,L$11,L$12)</f>
        <v>42895</v>
      </c>
      <c r="M221" s="98">
        <f ca="1"/>
        <v>-3.0067442442257373E-3</v>
      </c>
      <c r="N221" s="5" t="s">
        <v>4</v>
      </c>
      <c r="O221" s="100">
        <f ca="1">_xll.meDateFromTenor(O220,"1D","FOLLOWING",P$12)</f>
        <v>42803</v>
      </c>
      <c r="P221" s="13">
        <f ca="1">_xll.meDateFromTenor(O221,P$14,P$11,P$12)</f>
        <v>42989</v>
      </c>
      <c r="Q221" s="98">
        <f ca="1"/>
        <v>-1.6175340349400744E-3</v>
      </c>
      <c r="R221" s="5" t="s">
        <v>4</v>
      </c>
      <c r="S221" s="100">
        <f ca="1">_xll.meDateFromTenor(S220,"1D","FOLLOWING",T$12)</f>
        <v>42803</v>
      </c>
      <c r="T221" s="13">
        <f ca="1">_xll.meDateFromTenor(S221,T$14,T$11,T$12)</f>
        <v>43168</v>
      </c>
      <c r="U221" s="98">
        <f ca="1"/>
        <v>-1.2996313013266262E-4</v>
      </c>
      <c r="V221" s="5" t="s">
        <v>4</v>
      </c>
      <c r="W221" s="84" t="s">
        <v>4</v>
      </c>
    </row>
    <row r="222" spans="1:23" x14ac:dyDescent="0.25">
      <c r="A222" s="90">
        <v>203</v>
      </c>
      <c r="B222" s="83"/>
      <c r="C222" s="100">
        <f ca="1">_xll.meDateFromTenor(C221,"1D","FOLLOWING",D$12)</f>
        <v>42804</v>
      </c>
      <c r="D222" s="13">
        <f ca="1">_xll.meDateFromTenor(C222,D$14,D$11,D$12)</f>
        <v>42807</v>
      </c>
      <c r="E222" s="98">
        <f ca="1"/>
        <v>-4.1050512635410078E-3</v>
      </c>
      <c r="F222" s="94"/>
      <c r="G222" s="100">
        <f ca="1">_xll.meDateFromTenor(G221,"1D","FOLLOWING",H$12)</f>
        <v>42804</v>
      </c>
      <c r="H222" s="13">
        <f ca="1">_xll.meDateFromTenor(G222,H$14,H$11,H$12)</f>
        <v>42835</v>
      </c>
      <c r="I222" s="98">
        <f ca="1"/>
        <v>-3.8708575215806525E-3</v>
      </c>
      <c r="J222" s="94" t="s">
        <v>4</v>
      </c>
      <c r="K222" s="100">
        <f ca="1">_xll.meDateFromTenor(K221,"1D","FOLLOWING",L$12)</f>
        <v>42804</v>
      </c>
      <c r="L222" s="13">
        <f ca="1">_xll.meDateFromTenor(K222,L$14,L$11,L$12)</f>
        <v>42898</v>
      </c>
      <c r="M222" s="98">
        <f ca="1"/>
        <v>-3.0069707191478817E-3</v>
      </c>
      <c r="N222" s="5" t="s">
        <v>4</v>
      </c>
      <c r="O222" s="100">
        <f ca="1">_xll.meDateFromTenor(O221,"1D","FOLLOWING",P$12)</f>
        <v>42804</v>
      </c>
      <c r="P222" s="13">
        <f ca="1">_xll.meDateFromTenor(O222,P$14,P$11,P$12)</f>
        <v>42989</v>
      </c>
      <c r="Q222" s="98">
        <f ca="1"/>
        <v>-1.619133532019089E-3</v>
      </c>
      <c r="R222" s="5" t="s">
        <v>4</v>
      </c>
      <c r="S222" s="100">
        <f ca="1">_xll.meDateFromTenor(S221,"1D","FOLLOWING",T$12)</f>
        <v>42804</v>
      </c>
      <c r="T222" s="13">
        <f ca="1">_xll.meDateFromTenor(S222,T$14,T$11,T$12)</f>
        <v>43171</v>
      </c>
      <c r="U222" s="98">
        <f ca="1"/>
        <v>-1.2941530145374564E-4</v>
      </c>
      <c r="V222" s="5" t="s">
        <v>4</v>
      </c>
      <c r="W222" s="84" t="s">
        <v>4</v>
      </c>
    </row>
    <row r="223" spans="1:23" x14ac:dyDescent="0.25">
      <c r="A223" s="90">
        <v>204</v>
      </c>
      <c r="B223" s="83"/>
      <c r="C223" s="100">
        <f ca="1">_xll.meDateFromTenor(C222,"1D","FOLLOWING",D$12)</f>
        <v>42807</v>
      </c>
      <c r="D223" s="13">
        <f ca="1">_xll.meDateFromTenor(C223,D$14,D$11,D$12)</f>
        <v>42808</v>
      </c>
      <c r="E223" s="98">
        <f ca="1"/>
        <v>-4.1100557043759088E-3</v>
      </c>
      <c r="F223" s="94"/>
      <c r="G223" s="100">
        <f ca="1">_xll.meDateFromTenor(G222,"1D","FOLLOWING",H$12)</f>
        <v>42807</v>
      </c>
      <c r="H223" s="13">
        <f ca="1">_xll.meDateFromTenor(G223,H$14,H$11,H$12)</f>
        <v>42838</v>
      </c>
      <c r="I223" s="98">
        <f ca="1"/>
        <v>-3.8747788468031018E-3</v>
      </c>
      <c r="J223" s="94" t="s">
        <v>4</v>
      </c>
      <c r="K223" s="100">
        <f ca="1">_xll.meDateFromTenor(K222,"1D","FOLLOWING",L$12)</f>
        <v>42807</v>
      </c>
      <c r="L223" s="13">
        <f ca="1">_xll.meDateFromTenor(K223,L$14,L$11,L$12)</f>
        <v>42899</v>
      </c>
      <c r="M223" s="98">
        <f ca="1"/>
        <v>-3.009364022019673E-3</v>
      </c>
      <c r="N223" s="5" t="s">
        <v>4</v>
      </c>
      <c r="O223" s="100">
        <f ca="1">_xll.meDateFromTenor(O222,"1D","FOLLOWING",P$12)</f>
        <v>42807</v>
      </c>
      <c r="P223" s="13">
        <f ca="1">_xll.meDateFromTenor(O223,P$14,P$11,P$12)</f>
        <v>42991</v>
      </c>
      <c r="Q223" s="98">
        <f ca="1"/>
        <v>-1.6239307165766398E-3</v>
      </c>
      <c r="R223" s="5" t="s">
        <v>4</v>
      </c>
      <c r="S223" s="100">
        <f ca="1">_xll.meDateFromTenor(S222,"1D","FOLLOWING",T$12)</f>
        <v>42807</v>
      </c>
      <c r="T223" s="13">
        <f ca="1">_xll.meDateFromTenor(S223,T$14,T$11,T$12)</f>
        <v>43172</v>
      </c>
      <c r="U223" s="98">
        <f ca="1"/>
        <v>-1.2774112623864829E-4</v>
      </c>
      <c r="V223" s="5" t="s">
        <v>4</v>
      </c>
      <c r="W223" s="84" t="s">
        <v>4</v>
      </c>
    </row>
    <row r="224" spans="1:23" x14ac:dyDescent="0.25">
      <c r="A224" s="90">
        <v>205</v>
      </c>
      <c r="B224" s="83"/>
      <c r="C224" s="100">
        <f ca="1">_xll.meDateFromTenor(C223,"1D","FOLLOWING",D$12)</f>
        <v>42808</v>
      </c>
      <c r="D224" s="13">
        <f ca="1">_xll.meDateFromTenor(C224,D$14,D$11,D$12)</f>
        <v>42809</v>
      </c>
      <c r="E224" s="98">
        <f ca="1"/>
        <v>-4.1125538493069916E-3</v>
      </c>
      <c r="F224" s="94"/>
      <c r="G224" s="100">
        <f ca="1">_xll.meDateFromTenor(G223,"1D","FOLLOWING",H$12)</f>
        <v>42808</v>
      </c>
      <c r="H224" s="13">
        <f ca="1">_xll.meDateFromTenor(G224,H$14,H$11,H$12)</f>
        <v>42843</v>
      </c>
      <c r="I224" s="98">
        <f ca="1"/>
        <v>-3.8760725660743471E-3</v>
      </c>
      <c r="J224" s="94" t="s">
        <v>4</v>
      </c>
      <c r="K224" s="100">
        <f ca="1">_xll.meDateFromTenor(K223,"1D","FOLLOWING",L$12)</f>
        <v>42808</v>
      </c>
      <c r="L224" s="13">
        <f ca="1">_xll.meDateFromTenor(K224,L$14,L$11,L$12)</f>
        <v>42900</v>
      </c>
      <c r="M224" s="98">
        <f ca="1"/>
        <v>-3.00999994308621E-3</v>
      </c>
      <c r="N224" s="5" t="s">
        <v>4</v>
      </c>
      <c r="O224" s="100">
        <f ca="1">_xll.meDateFromTenor(O223,"1D","FOLLOWING",P$12)</f>
        <v>42808</v>
      </c>
      <c r="P224" s="13">
        <f ca="1">_xll.meDateFromTenor(O224,P$14,P$11,P$12)</f>
        <v>42992</v>
      </c>
      <c r="Q224" s="98">
        <f ca="1"/>
        <v>-1.6255287715660281E-3</v>
      </c>
      <c r="R224" s="5" t="s">
        <v>4</v>
      </c>
      <c r="S224" s="100">
        <f ca="1">_xll.meDateFromTenor(S223,"1D","FOLLOWING",T$12)</f>
        <v>42808</v>
      </c>
      <c r="T224" s="13">
        <f ca="1">_xll.meDateFromTenor(S224,T$14,T$11,T$12)</f>
        <v>43173</v>
      </c>
      <c r="U224" s="98">
        <f ca="1"/>
        <v>-1.2717277745184091E-4</v>
      </c>
      <c r="V224" s="5" t="s">
        <v>4</v>
      </c>
      <c r="W224" s="84" t="s">
        <v>4</v>
      </c>
    </row>
    <row r="225" spans="1:23" x14ac:dyDescent="0.25">
      <c r="A225" s="90">
        <v>206</v>
      </c>
      <c r="B225" s="83"/>
      <c r="C225" s="100">
        <f ca="1">_xll.meDateFromTenor(C224,"1D","FOLLOWING",D$12)</f>
        <v>42809</v>
      </c>
      <c r="D225" s="13">
        <f ca="1">_xll.meDateFromTenor(C225,D$14,D$11,D$12)</f>
        <v>42810</v>
      </c>
      <c r="E225" s="98">
        <f ca="1"/>
        <v>-4.1150213710938891E-3</v>
      </c>
      <c r="F225" s="94"/>
      <c r="G225" s="100">
        <f ca="1">_xll.meDateFromTenor(G224,"1D","FOLLOWING",H$12)</f>
        <v>42809</v>
      </c>
      <c r="H225" s="13">
        <f ca="1">_xll.meDateFromTenor(G225,H$14,H$11,H$12)</f>
        <v>42843</v>
      </c>
      <c r="I225" s="98">
        <f ca="1"/>
        <v>-3.8773609211167539E-3</v>
      </c>
      <c r="J225" s="94" t="s">
        <v>4</v>
      </c>
      <c r="K225" s="100">
        <f ca="1">_xll.meDateFromTenor(K224,"1D","FOLLOWING",L$12)</f>
        <v>42809</v>
      </c>
      <c r="L225" s="13">
        <f ca="1">_xll.meDateFromTenor(K225,L$14,L$11,L$12)</f>
        <v>42901</v>
      </c>
      <c r="M225" s="98">
        <f ca="1"/>
        <v>-3.01067391091664E-3</v>
      </c>
      <c r="N225" s="5" t="s">
        <v>4</v>
      </c>
      <c r="O225" s="100">
        <f ca="1">_xll.meDateFromTenor(O224,"1D","FOLLOWING",P$12)</f>
        <v>42809</v>
      </c>
      <c r="P225" s="13">
        <f ca="1">_xll.meDateFromTenor(O225,P$14,P$11,P$12)</f>
        <v>42993</v>
      </c>
      <c r="Q225" s="98">
        <f ca="1"/>
        <v>-1.6271260378055356E-3</v>
      </c>
      <c r="R225" s="5" t="s">
        <v>4</v>
      </c>
      <c r="S225" s="100">
        <f ca="1">_xll.meDateFromTenor(S224,"1D","FOLLOWING",T$12)</f>
        <v>42809</v>
      </c>
      <c r="T225" s="13">
        <f ca="1">_xll.meDateFromTenor(S225,T$14,T$11,T$12)</f>
        <v>43174</v>
      </c>
      <c r="U225" s="98">
        <f ca="1"/>
        <v>-1.2659925314631638E-4</v>
      </c>
      <c r="V225" s="5" t="s">
        <v>4</v>
      </c>
      <c r="W225" s="84" t="s">
        <v>4</v>
      </c>
    </row>
    <row r="226" spans="1:23" x14ac:dyDescent="0.25">
      <c r="A226" s="90">
        <v>207</v>
      </c>
      <c r="B226" s="83"/>
      <c r="C226" s="100">
        <f ca="1">_xll.meDateFromTenor(C225,"1D","FOLLOWING",D$12)</f>
        <v>42810</v>
      </c>
      <c r="D226" s="13">
        <f ca="1">_xll.meDateFromTenor(C226,D$14,D$11,D$12)</f>
        <v>42811</v>
      </c>
      <c r="E226" s="98">
        <f ca="1"/>
        <v>-4.1174582708159027E-3</v>
      </c>
      <c r="F226" s="94"/>
      <c r="G226" s="100">
        <f ca="1">_xll.meDateFromTenor(G225,"1D","FOLLOWING",H$12)</f>
        <v>42810</v>
      </c>
      <c r="H226" s="13">
        <f ca="1">_xll.meDateFromTenor(G226,H$14,H$11,H$12)</f>
        <v>42843</v>
      </c>
      <c r="I226" s="98">
        <f ca="1"/>
        <v>-3.8786447101338915E-3</v>
      </c>
      <c r="J226" s="94" t="s">
        <v>4</v>
      </c>
      <c r="K226" s="100">
        <f ca="1">_xll.meDateFromTenor(K225,"1D","FOLLOWING",L$12)</f>
        <v>42810</v>
      </c>
      <c r="L226" s="13">
        <f ca="1">_xll.meDateFromTenor(K226,L$14,L$11,L$12)</f>
        <v>42902</v>
      </c>
      <c r="M226" s="98">
        <f ca="1"/>
        <v>-3.0112744626594281E-3</v>
      </c>
      <c r="N226" s="5" t="s">
        <v>4</v>
      </c>
      <c r="O226" s="100">
        <f ca="1">_xll.meDateFromTenor(O225,"1D","FOLLOWING",P$12)</f>
        <v>42810</v>
      </c>
      <c r="P226" s="13">
        <f ca="1">_xll.meDateFromTenor(O226,P$14,P$11,P$12)</f>
        <v>42996</v>
      </c>
      <c r="Q226" s="98">
        <f ca="1"/>
        <v>-1.6287223440041743E-3</v>
      </c>
      <c r="R226" s="5" t="s">
        <v>4</v>
      </c>
      <c r="S226" s="100">
        <f ca="1">_xll.meDateFromTenor(S225,"1D","FOLLOWING",T$12)</f>
        <v>42810</v>
      </c>
      <c r="T226" s="13">
        <f ca="1">_xll.meDateFromTenor(S226,T$14,T$11,T$12)</f>
        <v>43175</v>
      </c>
      <c r="U226" s="98">
        <f ca="1"/>
        <v>-1.2602053512537686E-4</v>
      </c>
      <c r="V226" s="5" t="s">
        <v>4</v>
      </c>
      <c r="W226" s="84" t="s">
        <v>4</v>
      </c>
    </row>
    <row r="227" spans="1:23" x14ac:dyDescent="0.25">
      <c r="A227" s="90">
        <v>208</v>
      </c>
      <c r="B227" s="83"/>
      <c r="C227" s="100">
        <f ca="1">_xll.meDateFromTenor(C226,"1D","FOLLOWING",D$12)</f>
        <v>42811</v>
      </c>
      <c r="D227" s="13">
        <f ca="1">_xll.meDateFromTenor(C227,D$14,D$11,D$12)</f>
        <v>42814</v>
      </c>
      <c r="E227" s="98">
        <f ca="1"/>
        <v>-4.1221828023019361E-3</v>
      </c>
      <c r="F227" s="94"/>
      <c r="G227" s="100">
        <f ca="1">_xll.meDateFromTenor(G226,"1D","FOLLOWING",H$12)</f>
        <v>42811</v>
      </c>
      <c r="H227" s="13">
        <f ca="1">_xll.meDateFromTenor(G227,H$14,H$11,H$12)</f>
        <v>42843</v>
      </c>
      <c r="I227" s="98">
        <f ca="1"/>
        <v>-3.8799247313293281E-3</v>
      </c>
      <c r="J227" s="94" t="s">
        <v>4</v>
      </c>
      <c r="K227" s="100">
        <f ca="1">_xll.meDateFromTenor(K226,"1D","FOLLOWING",L$12)</f>
        <v>42811</v>
      </c>
      <c r="L227" s="13">
        <f ca="1">_xll.meDateFromTenor(K227,L$14,L$11,L$12)</f>
        <v>42905</v>
      </c>
      <c r="M227" s="98">
        <f ca="1"/>
        <v>-3.0118348957623416E-3</v>
      </c>
      <c r="N227" s="5" t="s">
        <v>4</v>
      </c>
      <c r="O227" s="100">
        <f ca="1">_xll.meDateFromTenor(O226,"1D","FOLLOWING",P$12)</f>
        <v>42811</v>
      </c>
      <c r="P227" s="13">
        <f ca="1">_xll.meDateFromTenor(O227,P$14,P$11,P$12)</f>
        <v>42996</v>
      </c>
      <c r="Q227" s="98">
        <f ca="1"/>
        <v>-1.6303175188709536E-3</v>
      </c>
      <c r="R227" s="5" t="s">
        <v>4</v>
      </c>
      <c r="S227" s="100">
        <f ca="1">_xll.meDateFromTenor(S226,"1D","FOLLOWING",T$12)</f>
        <v>42811</v>
      </c>
      <c r="T227" s="13">
        <f ca="1">_xll.meDateFromTenor(S227,T$14,T$11,T$12)</f>
        <v>43178</v>
      </c>
      <c r="U227" s="98">
        <f ca="1"/>
        <v>-1.2543660519232451E-4</v>
      </c>
      <c r="V227" s="5" t="s">
        <v>4</v>
      </c>
      <c r="W227" s="84" t="s">
        <v>4</v>
      </c>
    </row>
    <row r="228" spans="1:23" x14ac:dyDescent="0.25">
      <c r="A228" s="90">
        <v>209</v>
      </c>
      <c r="B228" s="83"/>
      <c r="C228" s="100">
        <f ca="1">_xll.meDateFromTenor(C227,"1D","FOLLOWING",D$12)</f>
        <v>42814</v>
      </c>
      <c r="D228" s="13">
        <f ca="1">_xll.meDateFromTenor(C228,D$14,D$11,D$12)</f>
        <v>42815</v>
      </c>
      <c r="E228" s="98">
        <f ca="1"/>
        <v>-4.1268996783117165E-3</v>
      </c>
      <c r="F228" s="94"/>
      <c r="G228" s="100">
        <f ca="1">_xll.meDateFromTenor(G227,"1D","FOLLOWING",H$12)</f>
        <v>42814</v>
      </c>
      <c r="H228" s="13">
        <f ca="1">_xll.meDateFromTenor(G228,H$14,H$11,H$12)</f>
        <v>42845</v>
      </c>
      <c r="I228" s="98">
        <f ca="1"/>
        <v>-3.8837501700211227E-3</v>
      </c>
      <c r="J228" s="94" t="s">
        <v>4</v>
      </c>
      <c r="K228" s="100">
        <f ca="1">_xll.meDateFromTenor(K227,"1D","FOLLOWING",L$12)</f>
        <v>42814</v>
      </c>
      <c r="L228" s="13">
        <f ca="1">_xll.meDateFromTenor(K228,L$14,L$11,L$12)</f>
        <v>42906</v>
      </c>
      <c r="M228" s="98">
        <f ca="1"/>
        <v>-3.0135778132252683E-3</v>
      </c>
      <c r="N228" s="5" t="s">
        <v>4</v>
      </c>
      <c r="O228" s="100">
        <f ca="1">_xll.meDateFromTenor(O227,"1D","FOLLOWING",P$12)</f>
        <v>42814</v>
      </c>
      <c r="P228" s="13">
        <f ca="1">_xll.meDateFromTenor(O228,P$14,P$11,P$12)</f>
        <v>42998</v>
      </c>
      <c r="Q228" s="98">
        <f ca="1"/>
        <v>-1.6350945425702434E-3</v>
      </c>
      <c r="R228" s="5" t="s">
        <v>4</v>
      </c>
      <c r="S228" s="100">
        <f ca="1">_xll.meDateFromTenor(S227,"1D","FOLLOWING",T$12)</f>
        <v>42814</v>
      </c>
      <c r="T228" s="13">
        <f ca="1">_xll.meDateFromTenor(S228,T$14,T$11,T$12)</f>
        <v>43179</v>
      </c>
      <c r="U228" s="98">
        <f ca="1"/>
        <v>-1.2365336195351226E-4</v>
      </c>
      <c r="V228" s="5" t="s">
        <v>4</v>
      </c>
      <c r="W228" s="84" t="s">
        <v>4</v>
      </c>
    </row>
    <row r="229" spans="1:23" x14ac:dyDescent="0.25">
      <c r="A229" s="90">
        <v>210</v>
      </c>
      <c r="B229" s="83"/>
      <c r="C229" s="100">
        <f ca="1">_xll.meDateFromTenor(C228,"1D","FOLLOWING",D$12)</f>
        <v>42815</v>
      </c>
      <c r="D229" s="13">
        <f ca="1">_xll.meDateFromTenor(C229,D$14,D$11,D$12)</f>
        <v>42816</v>
      </c>
      <c r="E229" s="98">
        <f ca="1"/>
        <v>-4.1291834890122706E-3</v>
      </c>
      <c r="F229" s="94"/>
      <c r="G229" s="100">
        <f ca="1">_xll.meDateFromTenor(G228,"1D","FOLLOWING",H$12)</f>
        <v>42815</v>
      </c>
      <c r="H229" s="13">
        <f ca="1">_xll.meDateFromTenor(G229,H$14,H$11,H$12)</f>
        <v>42846</v>
      </c>
      <c r="I229" s="98">
        <f ca="1"/>
        <v>-3.8850231019654457E-3</v>
      </c>
      <c r="J229" s="94" t="s">
        <v>4</v>
      </c>
      <c r="K229" s="100">
        <f ca="1">_xll.meDateFromTenor(K228,"1D","FOLLOWING",L$12)</f>
        <v>42815</v>
      </c>
      <c r="L229" s="13">
        <f ca="1">_xll.meDateFromTenor(K229,L$14,L$11,L$12)</f>
        <v>42907</v>
      </c>
      <c r="M229" s="98">
        <f ca="1"/>
        <v>-3.0141568654537443E-3</v>
      </c>
      <c r="N229" s="5" t="s">
        <v>4</v>
      </c>
      <c r="O229" s="100">
        <f ca="1">_xll.meDateFromTenor(O228,"1D","FOLLOWING",P$12)</f>
        <v>42815</v>
      </c>
      <c r="P229" s="13">
        <f ca="1">_xll.meDateFromTenor(O229,P$14,P$11,P$12)</f>
        <v>42999</v>
      </c>
      <c r="Q229" s="98">
        <f ca="1"/>
        <v>-1.6366834791996928E-3</v>
      </c>
      <c r="R229" s="5" t="s">
        <v>4</v>
      </c>
      <c r="S229" s="100">
        <f ca="1">_xll.meDateFromTenor(S228,"1D","FOLLOWING",T$12)</f>
        <v>42815</v>
      </c>
      <c r="T229" s="13">
        <f ca="1">_xll.meDateFromTenor(S229,T$14,T$11,T$12)</f>
        <v>43180</v>
      </c>
      <c r="U229" s="98">
        <f ca="1"/>
        <v>-1.2304840240503036E-4</v>
      </c>
      <c r="V229" s="5" t="s">
        <v>4</v>
      </c>
      <c r="W229" s="84" t="s">
        <v>4</v>
      </c>
    </row>
    <row r="230" spans="1:23" x14ac:dyDescent="0.25">
      <c r="A230" s="90">
        <v>211</v>
      </c>
      <c r="B230" s="83"/>
      <c r="C230" s="100">
        <f ca="1">_xll.meDateFromTenor(C229,"1D","FOLLOWING",D$12)</f>
        <v>42816</v>
      </c>
      <c r="D230" s="13">
        <f ca="1">_xll.meDateFromTenor(C230,D$14,D$11,D$12)</f>
        <v>42817</v>
      </c>
      <c r="E230" s="98">
        <f ca="1"/>
        <v>-4.1314366860412269E-3</v>
      </c>
      <c r="F230" s="94"/>
      <c r="G230" s="100">
        <f ca="1">_xll.meDateFromTenor(G229,"1D","FOLLOWING",H$12)</f>
        <v>42816</v>
      </c>
      <c r="H230" s="13">
        <f ca="1">_xll.meDateFromTenor(G230,H$14,H$11,H$12)</f>
        <v>42849</v>
      </c>
      <c r="I230" s="98">
        <f ca="1"/>
        <v>-3.8862962571059104E-3</v>
      </c>
      <c r="J230" s="94" t="s">
        <v>4</v>
      </c>
      <c r="K230" s="100">
        <f ca="1">_xll.meDateFromTenor(K229,"1D","FOLLOWING",L$12)</f>
        <v>42816</v>
      </c>
      <c r="L230" s="13">
        <f ca="1">_xll.meDateFromTenor(K230,L$14,L$11,L$12)</f>
        <v>42908</v>
      </c>
      <c r="M230" s="98">
        <f ca="1"/>
        <v>-3.0147369719776755E-3</v>
      </c>
      <c r="N230" s="5" t="s">
        <v>4</v>
      </c>
      <c r="O230" s="100">
        <f ca="1">_xll.meDateFromTenor(O229,"1D","FOLLOWING",P$12)</f>
        <v>42816</v>
      </c>
      <c r="P230" s="13">
        <f ca="1">_xll.meDateFromTenor(O230,P$14,P$11,P$12)</f>
        <v>43000</v>
      </c>
      <c r="Q230" s="98">
        <f ca="1"/>
        <v>-1.638270428042336E-3</v>
      </c>
      <c r="R230" s="5" t="s">
        <v>4</v>
      </c>
      <c r="S230" s="100">
        <f ca="1">_xll.meDateFromTenor(S229,"1D","FOLLOWING",T$12)</f>
        <v>42816</v>
      </c>
      <c r="T230" s="13">
        <f ca="1">_xll.meDateFromTenor(S230,T$14,T$11,T$12)</f>
        <v>43181</v>
      </c>
      <c r="U230" s="98">
        <f ca="1"/>
        <v>-1.2243813996094647E-4</v>
      </c>
      <c r="V230" s="5" t="s">
        <v>4</v>
      </c>
      <c r="W230" s="84" t="s">
        <v>4</v>
      </c>
    </row>
    <row r="231" spans="1:23" x14ac:dyDescent="0.25">
      <c r="A231" s="90">
        <v>212</v>
      </c>
      <c r="B231" s="83"/>
      <c r="C231" s="100">
        <f ca="1">_xll.meDateFromTenor(C230,"1D","FOLLOWING",D$12)</f>
        <v>42817</v>
      </c>
      <c r="D231" s="13">
        <f ca="1">_xll.meDateFromTenor(C231,D$14,D$11,D$12)</f>
        <v>42818</v>
      </c>
      <c r="E231" s="98">
        <f ca="1"/>
        <v>-4.1336592704377543E-3</v>
      </c>
      <c r="F231" s="94"/>
      <c r="G231" s="100">
        <f ca="1">_xll.meDateFromTenor(G230,"1D","FOLLOWING",H$12)</f>
        <v>42817</v>
      </c>
      <c r="H231" s="13">
        <f ca="1">_xll.meDateFromTenor(G231,H$14,H$11,H$12)</f>
        <v>42849</v>
      </c>
      <c r="I231" s="98">
        <f ca="1"/>
        <v>-3.8875704336460881E-3</v>
      </c>
      <c r="J231" s="94" t="s">
        <v>4</v>
      </c>
      <c r="K231" s="100">
        <f ca="1">_xll.meDateFromTenor(K230,"1D","FOLLOWING",L$12)</f>
        <v>42817</v>
      </c>
      <c r="L231" s="13">
        <f ca="1">_xll.meDateFromTenor(K231,L$14,L$11,L$12)</f>
        <v>42909</v>
      </c>
      <c r="M231" s="98">
        <f ca="1"/>
        <v>-3.0153178502994463E-3</v>
      </c>
      <c r="N231" s="5" t="s">
        <v>4</v>
      </c>
      <c r="O231" s="100">
        <f ca="1">_xll.meDateFromTenor(O230,"1D","FOLLOWING",P$12)</f>
        <v>42817</v>
      </c>
      <c r="P231" s="13">
        <f ca="1">_xll.meDateFromTenor(O231,P$14,P$11,P$12)</f>
        <v>43003</v>
      </c>
      <c r="Q231" s="98">
        <f ca="1"/>
        <v>-1.6398552178071835E-3</v>
      </c>
      <c r="R231" s="5" t="s">
        <v>4</v>
      </c>
      <c r="S231" s="100">
        <f ca="1">_xll.meDateFromTenor(S230,"1D","FOLLOWING",T$12)</f>
        <v>42817</v>
      </c>
      <c r="T231" s="13">
        <f ca="1">_xll.meDateFromTenor(S231,T$14,T$11,T$12)</f>
        <v>43182</v>
      </c>
      <c r="U231" s="98">
        <f ca="1"/>
        <v>-1.2182255642456284E-4</v>
      </c>
      <c r="V231" s="5" t="s">
        <v>4</v>
      </c>
      <c r="W231" s="84" t="s">
        <v>4</v>
      </c>
    </row>
    <row r="232" spans="1:23" x14ac:dyDescent="0.25">
      <c r="A232" s="90">
        <v>213</v>
      </c>
      <c r="B232" s="83"/>
      <c r="C232" s="100">
        <f ca="1">_xll.meDateFromTenor(C231,"1D","FOLLOWING",D$12)</f>
        <v>42818</v>
      </c>
      <c r="D232" s="13">
        <f ca="1">_xll.meDateFromTenor(C232,D$14,D$11,D$12)</f>
        <v>42821</v>
      </c>
      <c r="E232" s="98">
        <f ca="1"/>
        <v>-4.1379548412567449E-3</v>
      </c>
      <c r="F232" s="94"/>
      <c r="G232" s="100">
        <f ca="1">_xll.meDateFromTenor(G231,"1D","FOLLOWING",H$12)</f>
        <v>42818</v>
      </c>
      <c r="H232" s="13">
        <f ca="1">_xll.meDateFromTenor(G232,H$14,H$11,H$12)</f>
        <v>42849</v>
      </c>
      <c r="I232" s="98">
        <f ca="1"/>
        <v>-3.8888464297895465E-3</v>
      </c>
      <c r="J232" s="94" t="s">
        <v>4</v>
      </c>
      <c r="K232" s="100">
        <f ca="1">_xll.meDateFromTenor(K231,"1D","FOLLOWING",L$12)</f>
        <v>42818</v>
      </c>
      <c r="L232" s="13">
        <f ca="1">_xll.meDateFromTenor(K232,L$14,L$11,L$12)</f>
        <v>42912</v>
      </c>
      <c r="M232" s="98">
        <f ca="1"/>
        <v>-3.0158984461236007E-3</v>
      </c>
      <c r="N232" s="5" t="s">
        <v>4</v>
      </c>
      <c r="O232" s="100">
        <f ca="1">_xll.meDateFromTenor(O231,"1D","FOLLOWING",P$12)</f>
        <v>42818</v>
      </c>
      <c r="P232" s="13">
        <f ca="1">_xll.meDateFromTenor(O232,P$14,P$11,P$12)</f>
        <v>43003</v>
      </c>
      <c r="Q232" s="98">
        <f ca="1"/>
        <v>-1.6414376772032463E-3</v>
      </c>
      <c r="R232" s="5" t="s">
        <v>4</v>
      </c>
      <c r="S232" s="100">
        <f ca="1">_xll.meDateFromTenor(S231,"1D","FOLLOWING",T$12)</f>
        <v>42818</v>
      </c>
      <c r="T232" s="13">
        <f ca="1">_xll.meDateFromTenor(S232,T$14,T$11,T$12)</f>
        <v>43185</v>
      </c>
      <c r="U232" s="98">
        <f ca="1"/>
        <v>-1.2120163359918152E-4</v>
      </c>
      <c r="V232" s="5" t="s">
        <v>4</v>
      </c>
      <c r="W232" s="84" t="s">
        <v>4</v>
      </c>
    </row>
    <row r="233" spans="1:23" x14ac:dyDescent="0.25">
      <c r="A233" s="90">
        <v>214</v>
      </c>
      <c r="B233" s="83"/>
      <c r="C233" s="100">
        <f ca="1">_xll.meDateFromTenor(C232,"1D","FOLLOWING",D$12)</f>
        <v>42821</v>
      </c>
      <c r="D233" s="13">
        <f ca="1">_xll.meDateFromTenor(C233,D$14,D$11,D$12)</f>
        <v>42822</v>
      </c>
      <c r="E233" s="98">
        <f ca="1"/>
        <v>-4.1422435120353077E-3</v>
      </c>
      <c r="F233" s="94"/>
      <c r="G233" s="100">
        <f ca="1">_xll.meDateFromTenor(G232,"1D","FOLLOWING",H$12)</f>
        <v>42821</v>
      </c>
      <c r="H233" s="13">
        <f ca="1">_xll.meDateFromTenor(G233,H$14,H$11,H$12)</f>
        <v>42852</v>
      </c>
      <c r="I233" s="98">
        <f ca="1"/>
        <v>-3.8926933178752925E-3</v>
      </c>
      <c r="J233" s="94" t="s">
        <v>4</v>
      </c>
      <c r="K233" s="100">
        <f ca="1">_xll.meDateFromTenor(K232,"1D","FOLLOWING",L$12)</f>
        <v>42821</v>
      </c>
      <c r="L233" s="13">
        <f ca="1">_xll.meDateFromTenor(K233,L$14,L$11,L$12)</f>
        <v>42913</v>
      </c>
      <c r="M233" s="98">
        <f ca="1"/>
        <v>-3.017639819990849E-3</v>
      </c>
      <c r="N233" s="5" t="s">
        <v>4</v>
      </c>
      <c r="O233" s="100">
        <f ca="1">_xll.meDateFromTenor(O232,"1D","FOLLOWING",P$12)</f>
        <v>42821</v>
      </c>
      <c r="P233" s="13">
        <f ca="1">_xll.meDateFromTenor(O233,P$14,P$11,P$12)</f>
        <v>43005</v>
      </c>
      <c r="Q233" s="98">
        <f ca="1"/>
        <v>-1.6461693602688313E-3</v>
      </c>
      <c r="R233" s="5" t="s">
        <v>4</v>
      </c>
      <c r="S233" s="100">
        <f ca="1">_xll.meDateFromTenor(S232,"1D","FOLLOWING",T$12)</f>
        <v>42821</v>
      </c>
      <c r="T233" s="13">
        <f ca="1">_xll.meDateFromTenor(S233,T$14,T$11,T$12)</f>
        <v>43186</v>
      </c>
      <c r="U233" s="98">
        <f ca="1"/>
        <v>-1.193066474220737E-4</v>
      </c>
      <c r="V233" s="5" t="s">
        <v>4</v>
      </c>
      <c r="W233" s="84" t="s">
        <v>4</v>
      </c>
    </row>
    <row r="234" spans="1:23" x14ac:dyDescent="0.25">
      <c r="A234" s="90">
        <v>215</v>
      </c>
      <c r="B234" s="83"/>
      <c r="C234" s="100">
        <f ca="1">_xll.meDateFromTenor(C233,"1D","FOLLOWING",D$12)</f>
        <v>42822</v>
      </c>
      <c r="D234" s="13">
        <f ca="1">_xll.meDateFromTenor(C234,D$14,D$11,D$12)</f>
        <v>42823</v>
      </c>
      <c r="E234" s="98">
        <f ca="1"/>
        <v>-4.1443130551322019E-3</v>
      </c>
      <c r="F234" s="94"/>
      <c r="G234" s="100">
        <f ca="1">_xll.meDateFromTenor(G233,"1D","FOLLOWING",H$12)</f>
        <v>42822</v>
      </c>
      <c r="H234" s="13">
        <f ca="1">_xll.meDateFromTenor(G234,H$14,H$11,H$12)</f>
        <v>42853</v>
      </c>
      <c r="I234" s="98">
        <f ca="1"/>
        <v>-3.8939845744675608E-3</v>
      </c>
      <c r="J234" s="94" t="s">
        <v>4</v>
      </c>
      <c r="K234" s="100">
        <f ca="1">_xll.meDateFromTenor(K233,"1D","FOLLOWING",L$12)</f>
        <v>42822</v>
      </c>
      <c r="L234" s="13">
        <f ca="1">_xll.meDateFromTenor(K234,L$14,L$11,L$12)</f>
        <v>42914</v>
      </c>
      <c r="M234" s="98">
        <f ca="1"/>
        <v>-3.0182203198375794E-3</v>
      </c>
      <c r="N234" s="5" t="s">
        <v>4</v>
      </c>
      <c r="O234" s="100">
        <f ca="1">_xll.meDateFromTenor(O233,"1D","FOLLOWING",P$12)</f>
        <v>42822</v>
      </c>
      <c r="P234" s="13">
        <f ca="1">_xll.meDateFromTenor(O234,P$14,P$11,P$12)</f>
        <v>43006</v>
      </c>
      <c r="Q234" s="98">
        <f ca="1"/>
        <v>-1.6477407852798602E-3</v>
      </c>
      <c r="R234" s="5" t="s">
        <v>4</v>
      </c>
      <c r="S234" s="100">
        <f ca="1">_xll.meDateFromTenor(S233,"1D","FOLLOWING",T$12)</f>
        <v>42822</v>
      </c>
      <c r="T234" s="13">
        <f ca="1">_xll.meDateFromTenor(S234,T$14,T$11,T$12)</f>
        <v>43187</v>
      </c>
      <c r="U234" s="98">
        <f ca="1"/>
        <v>-1.1866418547372369E-4</v>
      </c>
      <c r="V234" s="5" t="s">
        <v>4</v>
      </c>
      <c r="W234" s="84" t="s">
        <v>4</v>
      </c>
    </row>
    <row r="235" spans="1:23" x14ac:dyDescent="0.25">
      <c r="A235" s="90">
        <v>216</v>
      </c>
      <c r="B235" s="83"/>
      <c r="C235" s="100">
        <f ca="1">_xll.meDateFromTenor(C234,"1D","FOLLOWING",D$12)</f>
        <v>42823</v>
      </c>
      <c r="D235" s="13">
        <f ca="1">_xll.meDateFromTenor(C235,D$14,D$11,D$12)</f>
        <v>42824</v>
      </c>
      <c r="E235" s="98">
        <f ca="1"/>
        <v>-4.1463519939899532E-3</v>
      </c>
      <c r="F235" s="94"/>
      <c r="G235" s="100">
        <f ca="1">_xll.meDateFromTenor(G234,"1D","FOLLOWING",H$12)</f>
        <v>42823</v>
      </c>
      <c r="H235" s="13">
        <f ca="1">_xll.meDateFromTenor(G235,H$14,H$11,H$12)</f>
        <v>42853</v>
      </c>
      <c r="I235" s="98">
        <f ca="1"/>
        <v>-3.8952816416809532E-3</v>
      </c>
      <c r="J235" s="94" t="s">
        <v>4</v>
      </c>
      <c r="K235" s="100">
        <f ca="1">_xll.meDateFromTenor(K234,"1D","FOLLOWING",L$12)</f>
        <v>42823</v>
      </c>
      <c r="L235" s="13">
        <f ca="1">_xll.meDateFromTenor(K235,L$14,L$11,L$12)</f>
        <v>42915</v>
      </c>
      <c r="M235" s="98">
        <f ca="1"/>
        <v>-3.0188008048365506E-3</v>
      </c>
      <c r="N235" s="5" t="s">
        <v>4</v>
      </c>
      <c r="O235" s="100">
        <f ca="1">_xll.meDateFromTenor(O234,"1D","FOLLOWING",P$12)</f>
        <v>42823</v>
      </c>
      <c r="P235" s="13">
        <f ca="1">_xll.meDateFromTenor(O235,P$14,P$11,P$12)</f>
        <v>43007</v>
      </c>
      <c r="Q235" s="98">
        <f ca="1"/>
        <v>-1.6493090234671571E-3</v>
      </c>
      <c r="R235" s="5" t="s">
        <v>4</v>
      </c>
      <c r="S235" s="100">
        <f ca="1">_xll.meDateFromTenor(S234,"1D","FOLLOWING",T$12)</f>
        <v>42823</v>
      </c>
      <c r="T235" s="13">
        <f ca="1">_xll.meDateFromTenor(S235,T$14,T$11,T$12)</f>
        <v>43188</v>
      </c>
      <c r="U235" s="98">
        <f ca="1"/>
        <v>-1.180162932528869E-4</v>
      </c>
      <c r="V235" s="5" t="s">
        <v>4</v>
      </c>
      <c r="W235" s="84" t="s">
        <v>4</v>
      </c>
    </row>
    <row r="236" spans="1:23" x14ac:dyDescent="0.25">
      <c r="A236" s="90">
        <v>217</v>
      </c>
      <c r="B236" s="83"/>
      <c r="C236" s="100">
        <f ca="1">_xll.meDateFromTenor(C235,"1D","FOLLOWING",D$12)</f>
        <v>42824</v>
      </c>
      <c r="D236" s="13">
        <f ca="1">_xll.meDateFromTenor(C236,D$14,D$11,D$12)</f>
        <v>42825</v>
      </c>
      <c r="E236" s="98">
        <f ca="1"/>
        <v>-4.1483603301673147E-3</v>
      </c>
      <c r="F236" s="94"/>
      <c r="G236" s="100">
        <f ca="1">_xll.meDateFromTenor(G235,"1D","FOLLOWING",H$12)</f>
        <v>42824</v>
      </c>
      <c r="H236" s="13">
        <f ca="1">_xll.meDateFromTenor(G236,H$14,H$11,H$12)</f>
        <v>42853</v>
      </c>
      <c r="I236" s="98">
        <f ca="1"/>
        <v>-3.8965853177190392E-3</v>
      </c>
      <c r="J236" s="94" t="s">
        <v>4</v>
      </c>
      <c r="K236" s="100">
        <f ca="1">_xll.meDateFromTenor(K235,"1D","FOLLOWING",L$12)</f>
        <v>42824</v>
      </c>
      <c r="L236" s="13">
        <f ca="1">_xll.meDateFromTenor(K236,L$14,L$11,L$12)</f>
        <v>42916</v>
      </c>
      <c r="M236" s="98">
        <f ca="1"/>
        <v>-3.0193812952701788E-3</v>
      </c>
      <c r="N236" s="5" t="s">
        <v>4</v>
      </c>
      <c r="O236" s="100">
        <f ca="1">_xll.meDateFromTenor(O235,"1D","FOLLOWING",P$12)</f>
        <v>42824</v>
      </c>
      <c r="P236" s="13">
        <f ca="1">_xll.meDateFromTenor(O236,P$14,P$11,P$12)</f>
        <v>43007</v>
      </c>
      <c r="Q236" s="98">
        <f ca="1"/>
        <v>-1.6508739035397324E-3</v>
      </c>
      <c r="R236" s="5" t="s">
        <v>4</v>
      </c>
      <c r="S236" s="100">
        <f ca="1">_xll.meDateFromTenor(S235,"1D","FOLLOWING",T$12)</f>
        <v>42824</v>
      </c>
      <c r="T236" s="13">
        <f ca="1">_xll.meDateFromTenor(S236,T$14,T$11,T$12)</f>
        <v>43188</v>
      </c>
      <c r="U236" s="98">
        <f ca="1"/>
        <v>-1.1736295256286551E-4</v>
      </c>
      <c r="V236" s="5" t="s">
        <v>4</v>
      </c>
      <c r="W236" s="84" t="s">
        <v>4</v>
      </c>
    </row>
    <row r="237" spans="1:23" x14ac:dyDescent="0.25">
      <c r="A237" s="90">
        <v>218</v>
      </c>
      <c r="B237" s="83"/>
      <c r="C237" s="100">
        <f ca="1">_xll.meDateFromTenor(C236,"1D","FOLLOWING",D$12)</f>
        <v>42825</v>
      </c>
      <c r="D237" s="13">
        <f ca="1">_xll.meDateFromTenor(C237,D$14,D$11,D$12)</f>
        <v>42828</v>
      </c>
      <c r="E237" s="98">
        <f ca="1"/>
        <v>-4.1522271072391851E-3</v>
      </c>
      <c r="F237" s="94"/>
      <c r="G237" s="100">
        <f ca="1">_xll.meDateFromTenor(G236,"1D","FOLLOWING",H$12)</f>
        <v>42825</v>
      </c>
      <c r="H237" s="13">
        <f ca="1">_xll.meDateFromTenor(G237,H$14,H$11,H$12)</f>
        <v>42853</v>
      </c>
      <c r="I237" s="98">
        <f ca="1"/>
        <v>-3.8978964007853872E-3</v>
      </c>
      <c r="J237" s="94" t="s">
        <v>4</v>
      </c>
      <c r="K237" s="100">
        <f ca="1">_xll.meDateFromTenor(K236,"1D","FOLLOWING",L$12)</f>
        <v>42825</v>
      </c>
      <c r="L237" s="13">
        <f ca="1">_xll.meDateFromTenor(K237,L$14,L$11,L$12)</f>
        <v>42916</v>
      </c>
      <c r="M237" s="98">
        <f ca="1"/>
        <v>-3.0199617896822521E-3</v>
      </c>
      <c r="N237" s="5" t="s">
        <v>4</v>
      </c>
      <c r="O237" s="100">
        <f ca="1">_xll.meDateFromTenor(O236,"1D","FOLLOWING",P$12)</f>
        <v>42825</v>
      </c>
      <c r="P237" s="13">
        <f ca="1">_xll.meDateFromTenor(O237,P$14,P$11,P$12)</f>
        <v>43007</v>
      </c>
      <c r="Q237" s="98">
        <f ca="1"/>
        <v>-1.6524352542065972E-3</v>
      </c>
      <c r="R237" s="5" t="s">
        <v>4</v>
      </c>
      <c r="S237" s="100">
        <f ca="1">_xll.meDateFromTenor(S236,"1D","FOLLOWING",T$12)</f>
        <v>42825</v>
      </c>
      <c r="T237" s="13">
        <f ca="1">_xll.meDateFromTenor(S237,T$14,T$11,T$12)</f>
        <v>43188</v>
      </c>
      <c r="U237" s="98">
        <f ca="1"/>
        <v>-1.1670414520696174E-4</v>
      </c>
      <c r="V237" s="5" t="s">
        <v>4</v>
      </c>
      <c r="W237" s="84" t="s">
        <v>4</v>
      </c>
    </row>
    <row r="238" spans="1:23" x14ac:dyDescent="0.25">
      <c r="A238" s="90">
        <v>219</v>
      </c>
      <c r="B238" s="83"/>
      <c r="C238" s="100">
        <f ca="1">_xll.meDateFromTenor(C237,"1D","FOLLOWING",D$12)</f>
        <v>42828</v>
      </c>
      <c r="D238" s="13">
        <f ca="1">_xll.meDateFromTenor(C238,D$14,D$11,D$12)</f>
        <v>42829</v>
      </c>
      <c r="E238" s="98">
        <f ca="1"/>
        <v>-4.1560876738522415E-3</v>
      </c>
      <c r="F238" s="94"/>
      <c r="G238" s="100">
        <f ca="1">_xll.meDateFromTenor(G237,"1D","FOLLOWING",H$12)</f>
        <v>42828</v>
      </c>
      <c r="H238" s="13">
        <f ca="1">_xll.meDateFromTenor(G238,H$14,H$11,H$12)</f>
        <v>42858</v>
      </c>
      <c r="I238" s="98">
        <f ca="1"/>
        <v>-3.9018820741896902E-3</v>
      </c>
      <c r="J238" s="94" t="s">
        <v>4</v>
      </c>
      <c r="K238" s="100">
        <f ca="1">_xll.meDateFromTenor(K237,"1D","FOLLOWING",L$12)</f>
        <v>42828</v>
      </c>
      <c r="L238" s="13">
        <f ca="1">_xll.meDateFromTenor(K238,L$14,L$11,L$12)</f>
        <v>42919</v>
      </c>
      <c r="M238" s="98">
        <f ca="1"/>
        <v>-3.0217032668079843E-3</v>
      </c>
      <c r="N238" s="5" t="s">
        <v>4</v>
      </c>
      <c r="O238" s="100">
        <f ca="1">_xll.meDateFromTenor(O237,"1D","FOLLOWING",P$12)</f>
        <v>42828</v>
      </c>
      <c r="P238" s="13">
        <f ca="1">_xll.meDateFromTenor(O238,P$14,P$11,P$12)</f>
        <v>43011</v>
      </c>
      <c r="Q238" s="98">
        <f ca="1"/>
        <v>-1.6570964168630318E-3</v>
      </c>
      <c r="R238" s="5" t="s">
        <v>4</v>
      </c>
      <c r="S238" s="100">
        <f ca="1">_xll.meDateFromTenor(S237,"1D","FOLLOWING",T$12)</f>
        <v>42828</v>
      </c>
      <c r="T238" s="13">
        <f ca="1">_xll.meDateFromTenor(S238,T$14,T$11,T$12)</f>
        <v>43193</v>
      </c>
      <c r="U238" s="98">
        <f ca="1"/>
        <v>-1.146947411769776E-4</v>
      </c>
      <c r="V238" s="5" t="s">
        <v>4</v>
      </c>
      <c r="W238" s="84" t="s">
        <v>4</v>
      </c>
    </row>
    <row r="239" spans="1:23" x14ac:dyDescent="0.25">
      <c r="A239" s="90">
        <v>220</v>
      </c>
      <c r="B239" s="83"/>
      <c r="C239" s="100">
        <f ca="1">_xll.meDateFromTenor(C238,"1D","FOLLOWING",D$12)</f>
        <v>42829</v>
      </c>
      <c r="D239" s="13">
        <f ca="1">_xll.meDateFromTenor(C239,D$14,D$11,D$12)</f>
        <v>42830</v>
      </c>
      <c r="E239" s="98">
        <f ca="1"/>
        <v>-4.1579430165317325E-3</v>
      </c>
      <c r="F239" s="94"/>
      <c r="G239" s="100">
        <f ca="1">_xll.meDateFromTenor(G238,"1D","FOLLOWING",H$12)</f>
        <v>42829</v>
      </c>
      <c r="H239" s="13">
        <f ca="1">_xll.meDateFromTenor(G239,H$14,H$11,H$12)</f>
        <v>42859</v>
      </c>
      <c r="I239" s="98">
        <f ca="1"/>
        <v>-3.9032305464983294E-3</v>
      </c>
      <c r="J239" s="94" t="s">
        <v>4</v>
      </c>
      <c r="K239" s="100">
        <f ca="1">_xll.meDateFromTenor(K238,"1D","FOLLOWING",L$12)</f>
        <v>42829</v>
      </c>
      <c r="L239" s="13">
        <f ca="1">_xll.meDateFromTenor(K239,L$14,L$11,L$12)</f>
        <v>42920</v>
      </c>
      <c r="M239" s="98">
        <f ca="1"/>
        <v>-3.0222837593736548E-3</v>
      </c>
      <c r="N239" s="5" t="s">
        <v>4</v>
      </c>
      <c r="O239" s="100">
        <f ca="1">_xll.meDateFromTenor(O238,"1D","FOLLOWING",P$12)</f>
        <v>42829</v>
      </c>
      <c r="P239" s="13">
        <f ca="1">_xll.meDateFromTenor(O239,P$14,P$11,P$12)</f>
        <v>43012</v>
      </c>
      <c r="Q239" s="98">
        <f ca="1"/>
        <v>-1.6586419369971591E-3</v>
      </c>
      <c r="R239" s="5" t="s">
        <v>4</v>
      </c>
      <c r="S239" s="100">
        <f ca="1">_xll.meDateFromTenor(S238,"1D","FOLLOWING",T$12)</f>
        <v>42829</v>
      </c>
      <c r="T239" s="13">
        <f ca="1">_xll.meDateFromTenor(S239,T$14,T$11,T$12)</f>
        <v>43194</v>
      </c>
      <c r="U239" s="98">
        <f ca="1"/>
        <v>-1.140138851905659E-4</v>
      </c>
      <c r="V239" s="5" t="s">
        <v>4</v>
      </c>
      <c r="W239" s="84" t="s">
        <v>4</v>
      </c>
    </row>
    <row r="240" spans="1:23" x14ac:dyDescent="0.25">
      <c r="A240" s="90">
        <v>221</v>
      </c>
      <c r="B240" s="83"/>
      <c r="C240" s="100">
        <f ca="1">_xll.meDateFromTenor(C239,"1D","FOLLOWING",D$12)</f>
        <v>42830</v>
      </c>
      <c r="D240" s="13">
        <f ca="1">_xll.meDateFromTenor(C240,D$14,D$11,D$12)</f>
        <v>42831</v>
      </c>
      <c r="E240" s="98">
        <f ca="1"/>
        <v>-4.159767764684145E-3</v>
      </c>
      <c r="F240" s="94"/>
      <c r="G240" s="100">
        <f ca="1">_xll.meDateFromTenor(G239,"1D","FOLLOWING",H$12)</f>
        <v>42830</v>
      </c>
      <c r="H240" s="13">
        <f ca="1">_xll.meDateFromTenor(G240,H$14,H$11,H$12)</f>
        <v>42860</v>
      </c>
      <c r="I240" s="98">
        <f ca="1"/>
        <v>-3.904589091414409E-3</v>
      </c>
      <c r="J240" s="94" t="s">
        <v>4</v>
      </c>
      <c r="K240" s="100">
        <f ca="1">_xll.meDateFromTenor(K239,"1D","FOLLOWING",L$12)</f>
        <v>42830</v>
      </c>
      <c r="L240" s="13">
        <f ca="1">_xll.meDateFromTenor(K240,L$14,L$11,L$12)</f>
        <v>42921</v>
      </c>
      <c r="M240" s="98">
        <f ca="1"/>
        <v>-3.0228642518347741E-3</v>
      </c>
      <c r="N240" s="5" t="s">
        <v>4</v>
      </c>
      <c r="O240" s="100">
        <f ca="1">_xll.meDateFromTenor(O239,"1D","FOLLOWING",P$12)</f>
        <v>42830</v>
      </c>
      <c r="P240" s="13">
        <f ca="1">_xll.meDateFromTenor(O240,P$14,P$11,P$12)</f>
        <v>43013</v>
      </c>
      <c r="Q240" s="98">
        <f ca="1"/>
        <v>-1.660183071270628E-3</v>
      </c>
      <c r="R240" s="5" t="s">
        <v>4</v>
      </c>
      <c r="S240" s="100">
        <f ca="1">_xll.meDateFromTenor(S239,"1D","FOLLOWING",T$12)</f>
        <v>42830</v>
      </c>
      <c r="T240" s="13">
        <f ca="1">_xll.meDateFromTenor(S240,T$14,T$11,T$12)</f>
        <v>43195</v>
      </c>
      <c r="U240" s="98">
        <f ca="1"/>
        <v>-1.1332747155478264E-4</v>
      </c>
      <c r="V240" s="5" t="s">
        <v>4</v>
      </c>
      <c r="W240" s="84" t="s">
        <v>4</v>
      </c>
    </row>
    <row r="241" spans="1:23" x14ac:dyDescent="0.25">
      <c r="A241" s="90">
        <v>222</v>
      </c>
      <c r="B241" s="83"/>
      <c r="C241" s="100">
        <f ca="1">_xll.meDateFromTenor(C240,"1D","FOLLOWING",D$12)</f>
        <v>42831</v>
      </c>
      <c r="D241" s="13">
        <f ca="1">_xll.meDateFromTenor(C241,D$14,D$11,D$12)</f>
        <v>42832</v>
      </c>
      <c r="E241" s="98">
        <f ca="1"/>
        <v>-4.1615619197088597E-3</v>
      </c>
      <c r="F241" s="94"/>
      <c r="G241" s="100">
        <f ca="1">_xll.meDateFromTenor(G240,"1D","FOLLOWING",H$12)</f>
        <v>42831</v>
      </c>
      <c r="H241" s="13">
        <f ca="1">_xll.meDateFromTenor(G241,H$14,H$11,H$12)</f>
        <v>42863</v>
      </c>
      <c r="I241" s="98">
        <f ca="1"/>
        <v>-3.9059571817028336E-3</v>
      </c>
      <c r="J241" s="94" t="s">
        <v>4</v>
      </c>
      <c r="K241" s="100">
        <f ca="1">_xll.meDateFromTenor(K240,"1D","FOLLOWING",L$12)</f>
        <v>42831</v>
      </c>
      <c r="L241" s="13">
        <f ca="1">_xll.meDateFromTenor(K241,L$14,L$11,L$12)</f>
        <v>42922</v>
      </c>
      <c r="M241" s="98">
        <f ca="1"/>
        <v>-3.0234447442193564E-3</v>
      </c>
      <c r="N241" s="5" t="s">
        <v>4</v>
      </c>
      <c r="O241" s="100">
        <f ca="1">_xll.meDateFromTenor(O240,"1D","FOLLOWING",P$12)</f>
        <v>42831</v>
      </c>
      <c r="P241" s="13">
        <f ca="1">_xll.meDateFromTenor(O241,P$14,P$11,P$12)</f>
        <v>43014</v>
      </c>
      <c r="Q241" s="98">
        <f ca="1"/>
        <v>-1.6617196483924498E-3</v>
      </c>
      <c r="R241" s="5" t="s">
        <v>4</v>
      </c>
      <c r="S241" s="100">
        <f ca="1">_xll.meDateFromTenor(S240,"1D","FOLLOWING",T$12)</f>
        <v>42831</v>
      </c>
      <c r="T241" s="13">
        <f ca="1">_xll.meDateFromTenor(S241,T$14,T$11,T$12)</f>
        <v>43196</v>
      </c>
      <c r="U241" s="98">
        <f ca="1"/>
        <v>-1.1263548207293E-4</v>
      </c>
      <c r="V241" s="5" t="s">
        <v>4</v>
      </c>
      <c r="W241" s="84" t="s">
        <v>4</v>
      </c>
    </row>
    <row r="242" spans="1:23" x14ac:dyDescent="0.25">
      <c r="A242" s="90">
        <v>223</v>
      </c>
      <c r="B242" s="83"/>
      <c r="C242" s="100">
        <f ca="1">_xll.meDateFromTenor(C241,"1D","FOLLOWING",D$12)</f>
        <v>42832</v>
      </c>
      <c r="D242" s="13">
        <f ca="1">_xll.meDateFromTenor(C242,D$14,D$11,D$12)</f>
        <v>42835</v>
      </c>
      <c r="E242" s="98">
        <f ca="1"/>
        <v>-4.1650000717918948E-3</v>
      </c>
      <c r="F242" s="94"/>
      <c r="G242" s="100">
        <f ca="1">_xll.meDateFromTenor(G241,"1D","FOLLOWING",H$12)</f>
        <v>42832</v>
      </c>
      <c r="H242" s="13">
        <f ca="1">_xll.meDateFromTenor(G242,H$14,H$11,H$12)</f>
        <v>42863</v>
      </c>
      <c r="I242" s="98">
        <f ca="1"/>
        <v>-3.9073342901285073E-3</v>
      </c>
      <c r="J242" s="94" t="s">
        <v>4</v>
      </c>
      <c r="K242" s="100">
        <f ca="1">_xll.meDateFromTenor(K241,"1D","FOLLOWING",L$12)</f>
        <v>42832</v>
      </c>
      <c r="L242" s="13">
        <f ca="1">_xll.meDateFromTenor(K242,L$14,L$11,L$12)</f>
        <v>42923</v>
      </c>
      <c r="M242" s="98">
        <f ca="1"/>
        <v>-3.0240252366319532E-3</v>
      </c>
      <c r="N242" s="5" t="s">
        <v>4</v>
      </c>
      <c r="O242" s="100">
        <f ca="1">_xll.meDateFromTenor(O241,"1D","FOLLOWING",P$12)</f>
        <v>42832</v>
      </c>
      <c r="P242" s="13">
        <f ca="1">_xll.meDateFromTenor(O242,P$14,P$11,P$12)</f>
        <v>43017</v>
      </c>
      <c r="Q242" s="98">
        <f ca="1"/>
        <v>-1.6632514970716351E-3</v>
      </c>
      <c r="R242" s="5" t="s">
        <v>4</v>
      </c>
      <c r="S242" s="100">
        <f ca="1">_xll.meDateFromTenor(S241,"1D","FOLLOWING",T$12)</f>
        <v>42832</v>
      </c>
      <c r="T242" s="13">
        <f ca="1">_xll.meDateFromTenor(S242,T$14,T$11,T$12)</f>
        <v>43199</v>
      </c>
      <c r="U242" s="98">
        <f ca="1"/>
        <v>-1.1193789854831015E-4</v>
      </c>
      <c r="V242" s="5" t="s">
        <v>4</v>
      </c>
      <c r="W242" s="84" t="s">
        <v>4</v>
      </c>
    </row>
    <row r="243" spans="1:23" x14ac:dyDescent="0.25">
      <c r="A243" s="90">
        <v>224</v>
      </c>
      <c r="B243" s="83"/>
      <c r="C243" s="100">
        <f ca="1">_xll.meDateFromTenor(C242,"1D","FOLLOWING",D$12)</f>
        <v>42835</v>
      </c>
      <c r="D243" s="13">
        <f ca="1">_xll.meDateFromTenor(C243,D$14,D$11,D$12)</f>
        <v>42836</v>
      </c>
      <c r="E243" s="98">
        <f ca="1"/>
        <v>-4.1684326359448113E-3</v>
      </c>
      <c r="F243" s="94"/>
      <c r="G243" s="100">
        <f ca="1">_xll.meDateFromTenor(G242,"1D","FOLLOWING",H$12)</f>
        <v>42835</v>
      </c>
      <c r="H243" s="13">
        <f ca="1">_xll.meDateFromTenor(G243,H$14,H$11,H$12)</f>
        <v>42865</v>
      </c>
      <c r="I243" s="98">
        <f ca="1"/>
        <v>-3.911514451878058E-3</v>
      </c>
      <c r="J243" s="94" t="s">
        <v>4</v>
      </c>
      <c r="K243" s="100">
        <f ca="1">_xll.meDateFromTenor(K242,"1D","FOLLOWING",L$12)</f>
        <v>42835</v>
      </c>
      <c r="L243" s="13">
        <f ca="1">_xll.meDateFromTenor(K243,L$14,L$11,L$12)</f>
        <v>42926</v>
      </c>
      <c r="M243" s="98">
        <f ca="1"/>
        <v>-3.0257667139107595E-3</v>
      </c>
      <c r="N243" s="5" t="s">
        <v>4</v>
      </c>
      <c r="O243" s="100">
        <f ca="1">_xll.meDateFromTenor(O242,"1D","FOLLOWING",P$12)</f>
        <v>42835</v>
      </c>
      <c r="P243" s="13">
        <f ca="1">_xll.meDateFromTenor(O243,P$14,P$11,P$12)</f>
        <v>43018</v>
      </c>
      <c r="Q243" s="98">
        <f ca="1"/>
        <v>-1.667816959543475E-3</v>
      </c>
      <c r="R243" s="5" t="s">
        <v>4</v>
      </c>
      <c r="S243" s="100">
        <f ca="1">_xll.meDateFromTenor(S242,"1D","FOLLOWING",T$12)</f>
        <v>42835</v>
      </c>
      <c r="T243" s="13">
        <f ca="1">_xll.meDateFromTenor(S243,T$14,T$11,T$12)</f>
        <v>43200</v>
      </c>
      <c r="U243" s="98">
        <f ca="1"/>
        <v>-1.0981140175086909E-4</v>
      </c>
      <c r="V243" s="5" t="s">
        <v>4</v>
      </c>
      <c r="W243" s="84" t="s">
        <v>4</v>
      </c>
    </row>
    <row r="244" spans="1:23" x14ac:dyDescent="0.25">
      <c r="A244" s="90">
        <v>225</v>
      </c>
      <c r="B244" s="83"/>
      <c r="C244" s="100">
        <f ca="1">_xll.meDateFromTenor(C243,"1D","FOLLOWING",D$12)</f>
        <v>42836</v>
      </c>
      <c r="D244" s="13">
        <f ca="1">_xll.meDateFromTenor(C244,D$14,D$11,D$12)</f>
        <v>42837</v>
      </c>
      <c r="E244" s="98">
        <f ca="1"/>
        <v>-4.170073846072612E-3</v>
      </c>
      <c r="F244" s="94"/>
      <c r="G244" s="100">
        <f ca="1">_xll.meDateFromTenor(G243,"1D","FOLLOWING",H$12)</f>
        <v>42836</v>
      </c>
      <c r="H244" s="13">
        <f ca="1">_xll.meDateFromTenor(G244,H$14,H$11,H$12)</f>
        <v>42866</v>
      </c>
      <c r="I244" s="98">
        <f ca="1"/>
        <v>-3.9129223605017657E-3</v>
      </c>
      <c r="J244" s="94" t="s">
        <v>4</v>
      </c>
      <c r="K244" s="100">
        <f ca="1">_xll.meDateFromTenor(K243,"1D","FOLLOWING",L$12)</f>
        <v>42836</v>
      </c>
      <c r="L244" s="13">
        <f ca="1">_xll.meDateFromTenor(K244,L$14,L$11,L$12)</f>
        <v>42927</v>
      </c>
      <c r="M244" s="98">
        <f ca="1"/>
        <v>-3.0263472063328744E-3</v>
      </c>
      <c r="N244" s="5" t="s">
        <v>4</v>
      </c>
      <c r="O244" s="100">
        <f ca="1">_xll.meDateFromTenor(O243,"1D","FOLLOWING",P$12)</f>
        <v>42836</v>
      </c>
      <c r="P244" s="13">
        <f ca="1">_xll.meDateFromTenor(O244,P$14,P$11,P$12)</f>
        <v>43019</v>
      </c>
      <c r="Q244" s="98">
        <f ca="1"/>
        <v>-1.6693281815422188E-3</v>
      </c>
      <c r="R244" s="5" t="s">
        <v>4</v>
      </c>
      <c r="S244" s="100">
        <f ca="1">_xll.meDateFromTenor(S243,"1D","FOLLOWING",T$12)</f>
        <v>42836</v>
      </c>
      <c r="T244" s="13">
        <f ca="1">_xll.meDateFromTenor(S244,T$14,T$11,T$12)</f>
        <v>43201</v>
      </c>
      <c r="U244" s="98">
        <f ca="1"/>
        <v>-1.0909126008820212E-4</v>
      </c>
      <c r="V244" s="5" t="s">
        <v>4</v>
      </c>
      <c r="W244" s="84" t="s">
        <v>4</v>
      </c>
    </row>
    <row r="245" spans="1:23" x14ac:dyDescent="0.25">
      <c r="A245" s="90">
        <v>226</v>
      </c>
      <c r="B245" s="83"/>
      <c r="C245" s="100">
        <f ca="1">_xll.meDateFromTenor(C244,"1D","FOLLOWING",D$12)</f>
        <v>42837</v>
      </c>
      <c r="D245" s="13">
        <f ca="1">_xll.meDateFromTenor(C245,D$14,D$11,D$12)</f>
        <v>42838</v>
      </c>
      <c r="E245" s="98">
        <f ca="1"/>
        <v>-4.1716844712658277E-3</v>
      </c>
      <c r="F245" s="94"/>
      <c r="G245" s="100">
        <f ca="1">_xll.meDateFromTenor(G244,"1D","FOLLOWING",H$12)</f>
        <v>42837</v>
      </c>
      <c r="H245" s="13">
        <f ca="1">_xll.meDateFromTenor(G245,H$14,H$11,H$12)</f>
        <v>42867</v>
      </c>
      <c r="I245" s="98">
        <f ca="1"/>
        <v>-3.9143366510872414E-3</v>
      </c>
      <c r="J245" s="94" t="s">
        <v>4</v>
      </c>
      <c r="K245" s="100">
        <f ca="1">_xll.meDateFromTenor(K244,"1D","FOLLOWING",L$12)</f>
        <v>42837</v>
      </c>
      <c r="L245" s="13">
        <f ca="1">_xll.meDateFromTenor(K245,L$14,L$11,L$12)</f>
        <v>42928</v>
      </c>
      <c r="M245" s="98">
        <f ca="1"/>
        <v>-3.0269276987564611E-3</v>
      </c>
      <c r="N245" s="5" t="s">
        <v>4</v>
      </c>
      <c r="O245" s="100">
        <f ca="1">_xll.meDateFromTenor(O244,"1D","FOLLOWING",P$12)</f>
        <v>42837</v>
      </c>
      <c r="P245" s="13">
        <f ca="1">_xll.meDateFromTenor(O245,P$14,P$11,P$12)</f>
        <v>43020</v>
      </c>
      <c r="Q245" s="98">
        <f ca="1"/>
        <v>-1.6708338186433788E-3</v>
      </c>
      <c r="R245" s="5" t="s">
        <v>4</v>
      </c>
      <c r="S245" s="100">
        <f ca="1">_xll.meDateFromTenor(S244,"1D","FOLLOWING",T$12)</f>
        <v>42837</v>
      </c>
      <c r="T245" s="13">
        <f ca="1">_xll.meDateFromTenor(S245,T$14,T$11,T$12)</f>
        <v>43202</v>
      </c>
      <c r="U245" s="98">
        <f ca="1"/>
        <v>-1.0836543339927881E-4</v>
      </c>
      <c r="V245" s="5" t="s">
        <v>4</v>
      </c>
      <c r="W245" s="84" t="s">
        <v>4</v>
      </c>
    </row>
    <row r="246" spans="1:23" x14ac:dyDescent="0.25">
      <c r="A246" s="90">
        <v>227</v>
      </c>
      <c r="B246" s="83"/>
      <c r="C246" s="100">
        <f ca="1">_xll.meDateFromTenor(C245,"1D","FOLLOWING",D$12)</f>
        <v>42838</v>
      </c>
      <c r="D246" s="13">
        <f ca="1">_xll.meDateFromTenor(C246,D$14,D$11,D$12)</f>
        <v>42843</v>
      </c>
      <c r="E246" s="98">
        <f ca="1"/>
        <v>-4.1762053768756675E-3</v>
      </c>
      <c r="F246" s="94"/>
      <c r="G246" s="100">
        <f ca="1">_xll.meDateFromTenor(G245,"1D","FOLLOWING",H$12)</f>
        <v>42838</v>
      </c>
      <c r="H246" s="13">
        <f ca="1">_xll.meDateFromTenor(G246,H$14,H$11,H$12)</f>
        <v>42870</v>
      </c>
      <c r="I246" s="98">
        <f ca="1"/>
        <v>-3.9157567963993903E-3</v>
      </c>
      <c r="J246" s="94" t="s">
        <v>4</v>
      </c>
      <c r="K246" s="100">
        <f ca="1">_xll.meDateFromTenor(K245,"1D","FOLLOWING",L$12)</f>
        <v>42838</v>
      </c>
      <c r="L246" s="13">
        <f ca="1">_xll.meDateFromTenor(K246,L$14,L$11,L$12)</f>
        <v>42929</v>
      </c>
      <c r="M246" s="98">
        <f ca="1"/>
        <v>-3.0275081911795088E-3</v>
      </c>
      <c r="N246" s="5" t="s">
        <v>4</v>
      </c>
      <c r="O246" s="100">
        <f ca="1">_xll.meDateFromTenor(O245,"1D","FOLLOWING",P$12)</f>
        <v>42838</v>
      </c>
      <c r="P246" s="13">
        <f ca="1">_xll.meDateFromTenor(O246,P$14,P$11,P$12)</f>
        <v>43021</v>
      </c>
      <c r="Q246" s="98">
        <f ca="1"/>
        <v>-1.6723336995559653E-3</v>
      </c>
      <c r="R246" s="5" t="s">
        <v>4</v>
      </c>
      <c r="S246" s="100">
        <f ca="1">_xll.meDateFromTenor(S245,"1D","FOLLOWING",T$12)</f>
        <v>42838</v>
      </c>
      <c r="T246" s="13">
        <f ca="1">_xll.meDateFromTenor(S246,T$14,T$11,T$12)</f>
        <v>43203</v>
      </c>
      <c r="U246" s="98">
        <f ca="1"/>
        <v>-1.0763390348740131E-4</v>
      </c>
      <c r="V246" s="5" t="s">
        <v>4</v>
      </c>
      <c r="W246" s="84" t="s">
        <v>4</v>
      </c>
    </row>
    <row r="247" spans="1:23" x14ac:dyDescent="0.25">
      <c r="A247" s="90">
        <v>228</v>
      </c>
      <c r="B247" s="83"/>
      <c r="C247" s="100">
        <f ca="1">_xll.meDateFromTenor(C246,"1D","FOLLOWING",D$12)</f>
        <v>42843</v>
      </c>
      <c r="D247" s="13">
        <f ca="1">_xll.meDateFromTenor(C247,D$14,D$11,D$12)</f>
        <v>42844</v>
      </c>
      <c r="E247" s="98">
        <f ca="1"/>
        <v>-4.1807060201337768E-3</v>
      </c>
      <c r="F247" s="94"/>
      <c r="G247" s="100">
        <f ca="1">_xll.meDateFromTenor(G246,"1D","FOLLOWING",H$12)</f>
        <v>42843</v>
      </c>
      <c r="H247" s="13">
        <f ca="1">_xll.meDateFromTenor(G247,H$14,H$11,H$12)</f>
        <v>42873</v>
      </c>
      <c r="I247" s="98">
        <f ca="1"/>
        <v>-3.9229268906318532E-3</v>
      </c>
      <c r="J247" s="94" t="s">
        <v>4</v>
      </c>
      <c r="K247" s="100">
        <f ca="1">_xll.meDateFromTenor(K246,"1D","FOLLOWING",L$12)</f>
        <v>42843</v>
      </c>
      <c r="L247" s="13">
        <f ca="1">_xll.meDateFromTenor(K247,L$14,L$11,L$12)</f>
        <v>42934</v>
      </c>
      <c r="M247" s="98">
        <f ca="1"/>
        <v>-3.0304106532935654E-3</v>
      </c>
      <c r="N247" s="5" t="s">
        <v>4</v>
      </c>
      <c r="O247" s="100">
        <f ca="1">_xll.meDateFromTenor(O246,"1D","FOLLOWING",P$12)</f>
        <v>42843</v>
      </c>
      <c r="P247" s="13">
        <f ca="1">_xll.meDateFromTenor(O247,P$14,P$11,P$12)</f>
        <v>43026</v>
      </c>
      <c r="Q247" s="98">
        <f ca="1"/>
        <v>-1.679740766105669E-3</v>
      </c>
      <c r="R247" s="5" t="s">
        <v>4</v>
      </c>
      <c r="S247" s="100">
        <f ca="1">_xll.meDateFromTenor(S246,"1D","FOLLOWING",T$12)</f>
        <v>42843</v>
      </c>
      <c r="T247" s="13">
        <f ca="1">_xll.meDateFromTenor(S247,T$14,T$11,T$12)</f>
        <v>43208</v>
      </c>
      <c r="U247" s="98">
        <f ca="1"/>
        <v>-1.0389006869927733E-4</v>
      </c>
      <c r="V247" s="5" t="s">
        <v>4</v>
      </c>
      <c r="W247" s="84" t="s">
        <v>4</v>
      </c>
    </row>
    <row r="248" spans="1:23" x14ac:dyDescent="0.25">
      <c r="A248" s="90">
        <v>229</v>
      </c>
      <c r="B248" s="83"/>
      <c r="C248" s="100">
        <f ca="1">_xll.meDateFromTenor(C247,"1D","FOLLOWING",D$12)</f>
        <v>42844</v>
      </c>
      <c r="D248" s="13">
        <f ca="1">_xll.meDateFromTenor(C248,D$14,D$11,D$12)</f>
        <v>42845</v>
      </c>
      <c r="E248" s="98">
        <f ca="1"/>
        <v>-4.1821025908328627E-3</v>
      </c>
      <c r="F248" s="94"/>
      <c r="G248" s="100">
        <f ca="1">_xll.meDateFromTenor(G247,"1D","FOLLOWING",H$12)</f>
        <v>42844</v>
      </c>
      <c r="H248" s="13">
        <f ca="1">_xll.meDateFromTenor(G248,H$14,H$11,H$12)</f>
        <v>42874</v>
      </c>
      <c r="I248" s="98">
        <f ca="1"/>
        <v>-3.9243710923670171E-3</v>
      </c>
      <c r="J248" s="94" t="s">
        <v>4</v>
      </c>
      <c r="K248" s="100">
        <f ca="1">_xll.meDateFromTenor(K247,"1D","FOLLOWING",L$12)</f>
        <v>42844</v>
      </c>
      <c r="L248" s="13">
        <f ca="1">_xll.meDateFromTenor(K248,L$14,L$11,L$12)</f>
        <v>42935</v>
      </c>
      <c r="M248" s="98">
        <f ca="1"/>
        <v>-3.0309911457164257E-3</v>
      </c>
      <c r="N248" s="5" t="s">
        <v>4</v>
      </c>
      <c r="O248" s="100">
        <f ca="1">_xll.meDateFromTenor(O247,"1D","FOLLOWING",P$12)</f>
        <v>42844</v>
      </c>
      <c r="P248" s="13">
        <f ca="1">_xll.meDateFromTenor(O248,P$14,P$11,P$12)</f>
        <v>43027</v>
      </c>
      <c r="Q248" s="98">
        <f ca="1"/>
        <v>-1.6812025127760377E-3</v>
      </c>
      <c r="R248" s="5" t="s">
        <v>4</v>
      </c>
      <c r="S248" s="100">
        <f ca="1">_xll.meDateFromTenor(S247,"1D","FOLLOWING",T$12)</f>
        <v>42844</v>
      </c>
      <c r="T248" s="13">
        <f ca="1">_xll.meDateFromTenor(S248,T$14,T$11,T$12)</f>
        <v>43209</v>
      </c>
      <c r="U248" s="98">
        <f ca="1"/>
        <v>-1.031239373190204E-4</v>
      </c>
      <c r="V248" s="5" t="s">
        <v>4</v>
      </c>
      <c r="W248" s="84" t="s">
        <v>4</v>
      </c>
    </row>
    <row r="249" spans="1:23" x14ac:dyDescent="0.25">
      <c r="A249" s="90">
        <v>230</v>
      </c>
      <c r="B249" s="83"/>
      <c r="C249" s="100">
        <f ca="1">_xll.meDateFromTenor(C248,"1D","FOLLOWING",D$12)</f>
        <v>42845</v>
      </c>
      <c r="D249" s="13">
        <f ca="1">_xll.meDateFromTenor(C249,D$14,D$11,D$12)</f>
        <v>42846</v>
      </c>
      <c r="E249" s="98">
        <f ca="1"/>
        <v>-4.1834685878683478E-3</v>
      </c>
      <c r="F249" s="94"/>
      <c r="G249" s="100">
        <f ca="1">_xll.meDateFromTenor(G248,"1D","FOLLOWING",H$12)</f>
        <v>42845</v>
      </c>
      <c r="H249" s="13">
        <f ca="1">_xll.meDateFromTenor(G249,H$14,H$11,H$12)</f>
        <v>42877</v>
      </c>
      <c r="I249" s="98">
        <f ca="1"/>
        <v>-3.9258174581831813E-3</v>
      </c>
      <c r="J249" s="94" t="s">
        <v>4</v>
      </c>
      <c r="K249" s="100">
        <f ca="1">_xll.meDateFromTenor(K248,"1D","FOLLOWING",L$12)</f>
        <v>42845</v>
      </c>
      <c r="L249" s="13">
        <f ca="1">_xll.meDateFromTenor(K249,L$14,L$11,L$12)</f>
        <v>42936</v>
      </c>
      <c r="M249" s="98">
        <f ca="1"/>
        <v>-3.031571638139267E-3</v>
      </c>
      <c r="N249" s="5" t="s">
        <v>4</v>
      </c>
      <c r="O249" s="100">
        <f ca="1">_xll.meDateFromTenor(O248,"1D","FOLLOWING",P$12)</f>
        <v>42845</v>
      </c>
      <c r="P249" s="13">
        <f ca="1">_xll.meDateFromTenor(O249,P$14,P$11,P$12)</f>
        <v>43028</v>
      </c>
      <c r="Q249" s="98">
        <f ca="1"/>
        <v>-1.6826573042209075E-3</v>
      </c>
      <c r="R249" s="5" t="s">
        <v>4</v>
      </c>
      <c r="S249" s="100">
        <f ca="1">_xll.meDateFromTenor(S248,"1D","FOLLOWING",T$12)</f>
        <v>42845</v>
      </c>
      <c r="T249" s="13">
        <f ca="1">_xll.meDateFromTenor(S249,T$14,T$11,T$12)</f>
        <v>43210</v>
      </c>
      <c r="U249" s="98">
        <f ca="1"/>
        <v>-1.0235197533892453E-4</v>
      </c>
      <c r="V249" s="5" t="s">
        <v>4</v>
      </c>
      <c r="W249" s="84" t="s">
        <v>4</v>
      </c>
    </row>
    <row r="250" spans="1:23" x14ac:dyDescent="0.25">
      <c r="A250" s="90">
        <v>231</v>
      </c>
      <c r="B250" s="83"/>
      <c r="C250" s="100">
        <f ca="1">_xll.meDateFromTenor(C249,"1D","FOLLOWING",D$12)</f>
        <v>42846</v>
      </c>
      <c r="D250" s="13">
        <f ca="1">_xll.meDateFromTenor(C250,D$14,D$11,D$12)</f>
        <v>42849</v>
      </c>
      <c r="E250" s="98">
        <f ca="1"/>
        <v>-4.1860500011914473E-3</v>
      </c>
      <c r="F250" s="94"/>
      <c r="G250" s="100">
        <f ca="1">_xll.meDateFromTenor(G249,"1D","FOLLOWING",H$12)</f>
        <v>42846</v>
      </c>
      <c r="H250" s="13">
        <f ca="1">_xll.meDateFromTenor(G250,H$14,H$11,H$12)</f>
        <v>42877</v>
      </c>
      <c r="I250" s="98">
        <f ca="1"/>
        <v>-3.9272654608452492E-3</v>
      </c>
      <c r="J250" s="94" t="s">
        <v>4</v>
      </c>
      <c r="K250" s="100">
        <f ca="1">_xll.meDateFromTenor(K249,"1D","FOLLOWING",L$12)</f>
        <v>42846</v>
      </c>
      <c r="L250" s="13">
        <f ca="1">_xll.meDateFromTenor(K250,L$14,L$11,L$12)</f>
        <v>42937</v>
      </c>
      <c r="M250" s="98">
        <f ca="1"/>
        <v>-3.0321521305620696E-3</v>
      </c>
      <c r="N250" s="5" t="s">
        <v>4</v>
      </c>
      <c r="O250" s="100">
        <f ca="1">_xll.meDateFromTenor(O249,"1D","FOLLOWING",P$12)</f>
        <v>42846</v>
      </c>
      <c r="P250" s="13">
        <f ca="1">_xll.meDateFromTenor(O250,P$14,P$11,P$12)</f>
        <v>43031</v>
      </c>
      <c r="Q250" s="98">
        <f ca="1"/>
        <v>-1.6841049691492887E-3</v>
      </c>
      <c r="R250" s="5" t="s">
        <v>4</v>
      </c>
      <c r="S250" s="100">
        <f ca="1">_xll.meDateFromTenor(S249,"1D","FOLLOWING",T$12)</f>
        <v>42846</v>
      </c>
      <c r="T250" s="13">
        <f ca="1">_xll.meDateFromTenor(S250,T$14,T$11,T$12)</f>
        <v>43213</v>
      </c>
      <c r="U250" s="98">
        <f ca="1"/>
        <v>-1.0157416456229185E-4</v>
      </c>
      <c r="V250" s="5" t="s">
        <v>4</v>
      </c>
      <c r="W250" s="84" t="s">
        <v>4</v>
      </c>
    </row>
    <row r="251" spans="1:23" x14ac:dyDescent="0.25">
      <c r="A251" s="90">
        <v>232</v>
      </c>
      <c r="B251" s="83"/>
      <c r="C251" s="100">
        <f ca="1">_xll.meDateFromTenor(C250,"1D","FOLLOWING",D$12)</f>
        <v>42849</v>
      </c>
      <c r="D251" s="13">
        <f ca="1">_xll.meDateFromTenor(C251,D$14,D$11,D$12)</f>
        <v>42850</v>
      </c>
      <c r="E251" s="98">
        <f ca="1"/>
        <v>-4.1886268684310371E-3</v>
      </c>
      <c r="F251" s="94"/>
      <c r="G251" s="100">
        <f ca="1">_xll.meDateFromTenor(G250,"1D","FOLLOWING",H$12)</f>
        <v>42849</v>
      </c>
      <c r="H251" s="13">
        <f ca="1">_xll.meDateFromTenor(G251,H$14,H$11,H$12)</f>
        <v>42879</v>
      </c>
      <c r="I251" s="98">
        <f ca="1"/>
        <v>-3.931614017555915E-3</v>
      </c>
      <c r="J251" s="94" t="s">
        <v>4</v>
      </c>
      <c r="K251" s="100">
        <f ca="1">_xll.meDateFromTenor(K250,"1D","FOLLOWING",L$12)</f>
        <v>42849</v>
      </c>
      <c r="L251" s="13">
        <f ca="1">_xll.meDateFromTenor(K251,L$14,L$11,L$12)</f>
        <v>42940</v>
      </c>
      <c r="M251" s="98">
        <f ca="1"/>
        <v>-3.0338936078306701E-3</v>
      </c>
      <c r="N251" s="5" t="s">
        <v>4</v>
      </c>
      <c r="O251" s="100">
        <f ca="1">_xll.meDateFromTenor(O250,"1D","FOLLOWING",P$12)</f>
        <v>42849</v>
      </c>
      <c r="P251" s="13">
        <f ca="1">_xll.meDateFromTenor(O251,P$14,P$11,P$12)</f>
        <v>43032</v>
      </c>
      <c r="Q251" s="98">
        <f ca="1"/>
        <v>-1.6884034919256064E-3</v>
      </c>
      <c r="R251" s="5" t="s">
        <v>4</v>
      </c>
      <c r="S251" s="100">
        <f ca="1">_xll.meDateFromTenor(S250,"1D","FOLLOWING",T$12)</f>
        <v>42849</v>
      </c>
      <c r="T251" s="13">
        <f ca="1">_xll.meDateFromTenor(S251,T$14,T$11,T$12)</f>
        <v>43214</v>
      </c>
      <c r="U251" s="98">
        <f ca="1"/>
        <v>-9.920545748619473E-5</v>
      </c>
      <c r="V251" s="5" t="s">
        <v>4</v>
      </c>
      <c r="W251" s="84" t="s">
        <v>4</v>
      </c>
    </row>
    <row r="252" spans="1:23" x14ac:dyDescent="0.25">
      <c r="A252" s="90">
        <v>233</v>
      </c>
      <c r="B252" s="83"/>
      <c r="C252" s="100">
        <f ca="1">_xll.meDateFromTenor(C251,"1D","FOLLOWING",D$12)</f>
        <v>42850</v>
      </c>
      <c r="D252" s="13">
        <f ca="1">_xll.meDateFromTenor(C252,D$14,D$11,D$12)</f>
        <v>42851</v>
      </c>
      <c r="E252" s="98">
        <f ca="1"/>
        <v>-4.1898400183315735E-3</v>
      </c>
      <c r="F252" s="94"/>
      <c r="G252" s="100">
        <f ca="1">_xll.meDateFromTenor(G251,"1D","FOLLOWING",H$12)</f>
        <v>42850</v>
      </c>
      <c r="H252" s="13">
        <f ca="1">_xll.meDateFromTenor(G252,H$14,H$11,H$12)</f>
        <v>42880</v>
      </c>
      <c r="I252" s="98">
        <f ca="1"/>
        <v>-3.933063295250637E-3</v>
      </c>
      <c r="J252" s="94" t="s">
        <v>4</v>
      </c>
      <c r="K252" s="100">
        <f ca="1">_xll.meDateFromTenor(K251,"1D","FOLLOWING",L$12)</f>
        <v>42850</v>
      </c>
      <c r="L252" s="13">
        <f ca="1">_xll.meDateFromTenor(K252,L$14,L$11,L$12)</f>
        <v>42941</v>
      </c>
      <c r="M252" s="98">
        <f ca="1"/>
        <v>-3.0344741002528378E-3</v>
      </c>
      <c r="N252" s="5" t="s">
        <v>4</v>
      </c>
      <c r="O252" s="100">
        <f ca="1">_xll.meDateFromTenor(O251,"1D","FOLLOWING",P$12)</f>
        <v>42850</v>
      </c>
      <c r="P252" s="13">
        <f ca="1">_xll.meDateFromTenor(O252,P$14,P$11,P$12)</f>
        <v>43033</v>
      </c>
      <c r="Q252" s="98">
        <f ca="1"/>
        <v>-1.6898209378781387E-3</v>
      </c>
      <c r="R252" s="5" t="s">
        <v>4</v>
      </c>
      <c r="S252" s="100">
        <f ca="1">_xll.meDateFromTenor(S251,"1D","FOLLOWING",T$12)</f>
        <v>42850</v>
      </c>
      <c r="T252" s="13">
        <f ca="1">_xll.meDateFromTenor(S252,T$14,T$11,T$12)</f>
        <v>43215</v>
      </c>
      <c r="U252" s="98">
        <f ca="1"/>
        <v>-9.8404069556436594E-5</v>
      </c>
      <c r="V252" s="5" t="s">
        <v>4</v>
      </c>
      <c r="W252" s="84" t="s">
        <v>4</v>
      </c>
    </row>
    <row r="253" spans="1:23" x14ac:dyDescent="0.25">
      <c r="A253" s="90">
        <v>234</v>
      </c>
      <c r="B253" s="83"/>
      <c r="C253" s="100">
        <f ca="1">_xll.meDateFromTenor(C252,"1D","FOLLOWING",D$12)</f>
        <v>42851</v>
      </c>
      <c r="D253" s="13">
        <f ca="1">_xll.meDateFromTenor(C253,D$14,D$11,D$12)</f>
        <v>42852</v>
      </c>
      <c r="E253" s="98">
        <f ca="1"/>
        <v>-4.1910226035213475E-3</v>
      </c>
      <c r="F253" s="94"/>
      <c r="G253" s="100">
        <f ca="1">_xll.meDateFromTenor(G252,"1D","FOLLOWING",H$12)</f>
        <v>42851</v>
      </c>
      <c r="H253" s="13">
        <f ca="1">_xll.meDateFromTenor(G253,H$14,H$11,H$12)</f>
        <v>42881</v>
      </c>
      <c r="I253" s="98">
        <f ca="1"/>
        <v>-3.9345115736157824E-3</v>
      </c>
      <c r="J253" s="94" t="s">
        <v>4</v>
      </c>
      <c r="K253" s="100">
        <f ca="1">_xll.meDateFromTenor(K252,"1D","FOLLOWING",L$12)</f>
        <v>42851</v>
      </c>
      <c r="L253" s="13">
        <f ca="1">_xll.meDateFromTenor(K253,L$14,L$11,L$12)</f>
        <v>42942</v>
      </c>
      <c r="M253" s="98">
        <f ca="1"/>
        <v>-3.0350545926763717E-3</v>
      </c>
      <c r="N253" s="5" t="s">
        <v>4</v>
      </c>
      <c r="O253" s="100">
        <f ca="1">_xll.meDateFromTenor(O252,"1D","FOLLOWING",P$12)</f>
        <v>42851</v>
      </c>
      <c r="P253" s="13">
        <f ca="1">_xll.meDateFromTenor(O253,P$14,P$11,P$12)</f>
        <v>43034</v>
      </c>
      <c r="Q253" s="98">
        <f ca="1"/>
        <v>-1.6912304008592353E-3</v>
      </c>
      <c r="R253" s="5" t="s">
        <v>4</v>
      </c>
      <c r="S253" s="100">
        <f ca="1">_xll.meDateFromTenor(S252,"1D","FOLLOWING",T$12)</f>
        <v>42851</v>
      </c>
      <c r="T253" s="13">
        <f ca="1">_xll.meDateFromTenor(S253,T$14,T$11,T$12)</f>
        <v>43216</v>
      </c>
      <c r="U253" s="98">
        <f ca="1"/>
        <v>-9.7596741846652486E-5</v>
      </c>
      <c r="V253" s="5" t="s">
        <v>4</v>
      </c>
      <c r="W253" s="84" t="s">
        <v>4</v>
      </c>
    </row>
    <row r="254" spans="1:23" x14ac:dyDescent="0.25">
      <c r="A254" s="90">
        <v>235</v>
      </c>
      <c r="B254" s="83"/>
      <c r="C254" s="100">
        <f ca="1">_xll.meDateFromTenor(C253,"1D","FOLLOWING",D$12)</f>
        <v>42852</v>
      </c>
      <c r="D254" s="13">
        <f ca="1">_xll.meDateFromTenor(C254,D$14,D$11,D$12)</f>
        <v>42853</v>
      </c>
      <c r="E254" s="98">
        <f ca="1"/>
        <v>-4.1921746246796482E-3</v>
      </c>
      <c r="F254" s="94"/>
      <c r="G254" s="100">
        <f ca="1">_xll.meDateFromTenor(G253,"1D","FOLLOWING",H$12)</f>
        <v>42852</v>
      </c>
      <c r="H254" s="13">
        <f ca="1">_xll.meDateFromTenor(G254,H$14,H$11,H$12)</f>
        <v>42884</v>
      </c>
      <c r="I254" s="98">
        <f ca="1"/>
        <v>-3.9359583254162554E-3</v>
      </c>
      <c r="J254" s="94" t="s">
        <v>4</v>
      </c>
      <c r="K254" s="100">
        <f ca="1">_xll.meDateFromTenor(K253,"1D","FOLLOWING",L$12)</f>
        <v>42852</v>
      </c>
      <c r="L254" s="13">
        <f ca="1">_xll.meDateFromTenor(K254,L$14,L$11,L$12)</f>
        <v>42943</v>
      </c>
      <c r="M254" s="98">
        <f ca="1"/>
        <v>-3.0356350851017712E-3</v>
      </c>
      <c r="N254" s="5" t="s">
        <v>4</v>
      </c>
      <c r="O254" s="100">
        <f ca="1">_xll.meDateFromTenor(O253,"1D","FOLLOWING",P$12)</f>
        <v>42852</v>
      </c>
      <c r="P254" s="13">
        <f ca="1">_xll.meDateFromTenor(O254,P$14,P$11,P$12)</f>
        <v>43035</v>
      </c>
      <c r="Q254" s="98">
        <f ca="1"/>
        <v>-1.6926317095779068E-3</v>
      </c>
      <c r="R254" s="5" t="s">
        <v>4</v>
      </c>
      <c r="S254" s="100">
        <f ca="1">_xll.meDateFromTenor(S253,"1D","FOLLOWING",T$12)</f>
        <v>42852</v>
      </c>
      <c r="T254" s="13">
        <f ca="1">_xll.meDateFromTenor(S254,T$14,T$11,T$12)</f>
        <v>43217</v>
      </c>
      <c r="U254" s="98">
        <f ca="1"/>
        <v>-9.6783456160144635E-5</v>
      </c>
      <c r="V254" s="5" t="s">
        <v>4</v>
      </c>
      <c r="W254" s="84" t="s">
        <v>4</v>
      </c>
    </row>
    <row r="255" spans="1:23" x14ac:dyDescent="0.25">
      <c r="A255" s="90">
        <v>236</v>
      </c>
      <c r="B255" s="83"/>
      <c r="C255" s="100">
        <f ca="1">_xll.meDateFromTenor(C254,"1D","FOLLOWING",D$12)</f>
        <v>42853</v>
      </c>
      <c r="D255" s="13">
        <f ca="1">_xll.meDateFromTenor(C255,D$14,D$11,D$12)</f>
        <v>42857</v>
      </c>
      <c r="E255" s="98">
        <f ca="1"/>
        <v>-4.1948285501092345E-3</v>
      </c>
      <c r="F255" s="94"/>
      <c r="G255" s="100">
        <f ca="1">_xll.meDateFromTenor(G254,"1D","FOLLOWING",H$12)</f>
        <v>42853</v>
      </c>
      <c r="H255" s="13">
        <f ca="1">_xll.meDateFromTenor(G255,H$14,H$11,H$12)</f>
        <v>42884</v>
      </c>
      <c r="I255" s="98">
        <f ca="1"/>
        <v>-3.9374030234169593E-3</v>
      </c>
      <c r="J255" s="94" t="s">
        <v>4</v>
      </c>
      <c r="K255" s="100">
        <f ca="1">_xll.meDateFromTenor(K254,"1D","FOLLOWING",L$12)</f>
        <v>42853</v>
      </c>
      <c r="L255" s="13">
        <f ca="1">_xll.meDateFromTenor(K255,L$14,L$11,L$12)</f>
        <v>42944</v>
      </c>
      <c r="M255" s="98">
        <f ca="1"/>
        <v>-3.0362155775220728E-3</v>
      </c>
      <c r="N255" s="5" t="s">
        <v>4</v>
      </c>
      <c r="O255" s="100">
        <f ca="1">_xll.meDateFromTenor(O254,"1D","FOLLOWING",P$12)</f>
        <v>42853</v>
      </c>
      <c r="P255" s="13">
        <f ca="1">_xll.meDateFromTenor(O255,P$14,P$11,P$12)</f>
        <v>43038</v>
      </c>
      <c r="Q255" s="98">
        <f ca="1"/>
        <v>-1.6940246927431638E-3</v>
      </c>
      <c r="R255" s="5" t="s">
        <v>4</v>
      </c>
      <c r="S255" s="100">
        <f ca="1">_xll.meDateFromTenor(S254,"1D","FOLLOWING",T$12)</f>
        <v>42853</v>
      </c>
      <c r="T255" s="13">
        <f ca="1">_xll.meDateFromTenor(S255,T$14,T$11,T$12)</f>
        <v>43220</v>
      </c>
      <c r="U255" s="98">
        <f ca="1"/>
        <v>-9.5964194300215231E-5</v>
      </c>
      <c r="V255" s="5" t="s">
        <v>4</v>
      </c>
      <c r="W255" s="84" t="s">
        <v>4</v>
      </c>
    </row>
    <row r="256" spans="1:23" x14ac:dyDescent="0.25">
      <c r="A256" s="90">
        <v>237</v>
      </c>
      <c r="B256" s="83"/>
      <c r="C256" s="100">
        <f ca="1">_xll.meDateFromTenor(C255,"1D","FOLLOWING",D$12)</f>
        <v>42857</v>
      </c>
      <c r="D256" s="13">
        <f ca="1">_xll.meDateFromTenor(C256,D$14,D$11,D$12)</f>
        <v>42858</v>
      </c>
      <c r="E256" s="98">
        <f ca="1"/>
        <v>-4.1974763236396631E-3</v>
      </c>
      <c r="F256" s="94"/>
      <c r="G256" s="100">
        <f ca="1">_xll.meDateFromTenor(G255,"1D","FOLLOWING",H$12)</f>
        <v>42857</v>
      </c>
      <c r="H256" s="13">
        <f ca="1">_xll.meDateFromTenor(G256,H$14,H$11,H$12)</f>
        <v>42888</v>
      </c>
      <c r="I256" s="98">
        <f ca="1"/>
        <v>-3.943150732720167E-3</v>
      </c>
      <c r="J256" s="94" t="s">
        <v>4</v>
      </c>
      <c r="K256" s="100">
        <f ca="1">_xll.meDateFromTenor(K255,"1D","FOLLOWING",L$12)</f>
        <v>42857</v>
      </c>
      <c r="L256" s="13">
        <f ca="1">_xll.meDateFromTenor(K256,L$14,L$11,L$12)</f>
        <v>42949</v>
      </c>
      <c r="M256" s="98">
        <f ca="1"/>
        <v>-3.0385375472134759E-3</v>
      </c>
      <c r="N256" s="5" t="s">
        <v>4</v>
      </c>
      <c r="O256" s="100">
        <f ca="1">_xll.meDateFromTenor(O255,"1D","FOLLOWING",P$12)</f>
        <v>42857</v>
      </c>
      <c r="P256" s="13">
        <f ca="1">_xll.meDateFromTenor(O256,P$14,P$11,P$12)</f>
        <v>43041</v>
      </c>
      <c r="Q256" s="98">
        <f ca="1"/>
        <v>-1.6995099440502573E-3</v>
      </c>
      <c r="R256" s="5" t="s">
        <v>4</v>
      </c>
      <c r="S256" s="100">
        <f ca="1">_xll.meDateFromTenor(S255,"1D","FOLLOWING",T$12)</f>
        <v>42857</v>
      </c>
      <c r="T256" s="13">
        <f ca="1">_xll.meDateFromTenor(S256,T$14,T$11,T$12)</f>
        <v>43222</v>
      </c>
      <c r="U256" s="98">
        <f ca="1"/>
        <v>-9.2627021192324946E-5</v>
      </c>
      <c r="V256" s="5" t="s">
        <v>4</v>
      </c>
      <c r="W256" s="84" t="s">
        <v>4</v>
      </c>
    </row>
    <row r="257" spans="1:23" x14ac:dyDescent="0.25">
      <c r="A257" s="90">
        <v>238</v>
      </c>
      <c r="B257" s="83"/>
      <c r="C257" s="100">
        <f ca="1">_xll.meDateFromTenor(C256,"1D","FOLLOWING",D$12)</f>
        <v>42858</v>
      </c>
      <c r="D257" s="13">
        <f ca="1">_xll.meDateFromTenor(C257,D$14,D$11,D$12)</f>
        <v>42859</v>
      </c>
      <c r="E257" s="98">
        <f ca="1"/>
        <v>-4.1984449919452308E-3</v>
      </c>
      <c r="F257" s="94"/>
      <c r="G257" s="100">
        <f ca="1">_xll.meDateFromTenor(G256,"1D","FOLLOWING",H$12)</f>
        <v>42858</v>
      </c>
      <c r="H257" s="13">
        <f ca="1">_xll.meDateFromTenor(G257,H$14,H$11,H$12)</f>
        <v>42891</v>
      </c>
      <c r="I257" s="98">
        <f ca="1"/>
        <v>-3.9445773012898901E-3</v>
      </c>
      <c r="J257" s="94" t="s">
        <v>4</v>
      </c>
      <c r="K257" s="100">
        <f ca="1">_xll.meDateFromTenor(K256,"1D","FOLLOWING",L$12)</f>
        <v>42858</v>
      </c>
      <c r="L257" s="13">
        <f ca="1">_xll.meDateFromTenor(K257,L$14,L$11,L$12)</f>
        <v>42950</v>
      </c>
      <c r="M257" s="98">
        <f ca="1"/>
        <v>-3.0391180395038069E-3</v>
      </c>
      <c r="N257" s="5" t="s">
        <v>4</v>
      </c>
      <c r="O257" s="100">
        <f ca="1">_xll.meDateFromTenor(O256,"1D","FOLLOWING",P$12)</f>
        <v>42858</v>
      </c>
      <c r="P257" s="13">
        <f ca="1">_xll.meDateFromTenor(O257,P$14,P$11,P$12)</f>
        <v>43042</v>
      </c>
      <c r="Q257" s="98">
        <f ca="1"/>
        <v>-1.7008587300836005E-3</v>
      </c>
      <c r="R257" s="5" t="s">
        <v>4</v>
      </c>
      <c r="S257" s="100">
        <f ca="1">_xll.meDateFromTenor(S256,"1D","FOLLOWING",T$12)</f>
        <v>42858</v>
      </c>
      <c r="T257" s="13">
        <f ca="1">_xll.meDateFromTenor(S257,T$14,T$11,T$12)</f>
        <v>43223</v>
      </c>
      <c r="U257" s="98">
        <f ca="1"/>
        <v>-9.1777605514820141E-5</v>
      </c>
      <c r="V257" s="5" t="s">
        <v>4</v>
      </c>
      <c r="W257" s="84" t="s">
        <v>4</v>
      </c>
    </row>
    <row r="258" spans="1:23" x14ac:dyDescent="0.25">
      <c r="A258" s="90">
        <v>239</v>
      </c>
      <c r="B258" s="83"/>
      <c r="C258" s="100">
        <f ca="1">_xll.meDateFromTenor(C257,"1D","FOLLOWING",D$12)</f>
        <v>42859</v>
      </c>
      <c r="D258" s="13">
        <f ca="1">_xll.meDateFromTenor(C258,D$14,D$11,D$12)</f>
        <v>42860</v>
      </c>
      <c r="E258" s="98">
        <f ca="1"/>
        <v>-4.1993831064113399E-3</v>
      </c>
      <c r="F258" s="94"/>
      <c r="G258" s="100">
        <f ca="1">_xll.meDateFromTenor(G257,"1D","FOLLOWING",H$12)</f>
        <v>42859</v>
      </c>
      <c r="H258" s="13">
        <f ca="1">_xll.meDateFromTenor(G258,H$14,H$11,H$12)</f>
        <v>42891</v>
      </c>
      <c r="I258" s="98">
        <f ca="1"/>
        <v>-3.9459989412150929E-3</v>
      </c>
      <c r="J258" s="94" t="s">
        <v>4</v>
      </c>
      <c r="K258" s="100">
        <f ca="1">_xll.meDateFromTenor(K257,"1D","FOLLOWING",L$12)</f>
        <v>42859</v>
      </c>
      <c r="L258" s="13">
        <f ca="1">_xll.meDateFromTenor(K258,L$14,L$11,L$12)</f>
        <v>42951</v>
      </c>
      <c r="M258" s="98">
        <f ca="1"/>
        <v>-3.0396985320591775E-3</v>
      </c>
      <c r="N258" s="5" t="s">
        <v>4</v>
      </c>
      <c r="O258" s="100">
        <f ca="1">_xll.meDateFromTenor(O257,"1D","FOLLOWING",P$12)</f>
        <v>42859</v>
      </c>
      <c r="P258" s="13">
        <f ca="1">_xll.meDateFromTenor(O258,P$14,P$11,P$12)</f>
        <v>43045</v>
      </c>
      <c r="Q258" s="98">
        <f ca="1"/>
        <v>-1.7021981628175921E-3</v>
      </c>
      <c r="R258" s="5" t="s">
        <v>4</v>
      </c>
      <c r="S258" s="100">
        <f ca="1">_xll.meDateFromTenor(S257,"1D","FOLLOWING",T$12)</f>
        <v>42859</v>
      </c>
      <c r="T258" s="13">
        <f ca="1">_xll.meDateFromTenor(S258,T$14,T$11,T$12)</f>
        <v>43224</v>
      </c>
      <c r="U258" s="98">
        <f ca="1"/>
        <v>-9.0922104483706742E-5</v>
      </c>
      <c r="V258" s="5" t="s">
        <v>4</v>
      </c>
      <c r="W258" s="84" t="s">
        <v>4</v>
      </c>
    </row>
    <row r="259" spans="1:23" x14ac:dyDescent="0.25">
      <c r="A259" s="90">
        <v>240</v>
      </c>
      <c r="B259" s="83"/>
      <c r="C259" s="100">
        <f ca="1">_xll.meDateFromTenor(C258,"1D","FOLLOWING",D$12)</f>
        <v>42860</v>
      </c>
      <c r="D259" s="13">
        <f ca="1">_xll.meDateFromTenor(C259,D$14,D$11,D$12)</f>
        <v>42863</v>
      </c>
      <c r="E259" s="98">
        <f ca="1"/>
        <v>-4.2011084693305426E-3</v>
      </c>
      <c r="F259" s="94"/>
      <c r="G259" s="100">
        <f ca="1">_xll.meDateFromTenor(G258,"1D","FOLLOWING",H$12)</f>
        <v>42860</v>
      </c>
      <c r="H259" s="13">
        <f ca="1">_xll.meDateFromTenor(G259,H$14,H$11,H$12)</f>
        <v>42891</v>
      </c>
      <c r="I259" s="98">
        <f ca="1"/>
        <v>-3.9474154138265036E-3</v>
      </c>
      <c r="J259" s="94" t="s">
        <v>4</v>
      </c>
      <c r="K259" s="100">
        <f ca="1">_xll.meDateFromTenor(K258,"1D","FOLLOWING",L$12)</f>
        <v>42860</v>
      </c>
      <c r="L259" s="13">
        <f ca="1">_xll.meDateFromTenor(K259,L$14,L$11,L$12)</f>
        <v>42954</v>
      </c>
      <c r="M259" s="98">
        <f ca="1"/>
        <v>-3.0402790249765997E-3</v>
      </c>
      <c r="N259" s="5" t="s">
        <v>4</v>
      </c>
      <c r="O259" s="100">
        <f ca="1">_xll.meDateFromTenor(O258,"1D","FOLLOWING",P$12)</f>
        <v>42860</v>
      </c>
      <c r="P259" s="13">
        <f ca="1">_xll.meDateFromTenor(O259,P$14,P$11,P$12)</f>
        <v>43045</v>
      </c>
      <c r="Q259" s="98">
        <f ca="1"/>
        <v>-1.7035280709612433E-3</v>
      </c>
      <c r="R259" s="5" t="s">
        <v>4</v>
      </c>
      <c r="S259" s="100">
        <f ca="1">_xll.meDateFromTenor(S258,"1D","FOLLOWING",T$12)</f>
        <v>42860</v>
      </c>
      <c r="T259" s="13">
        <f ca="1">_xll.meDateFromTenor(S259,T$14,T$11,T$12)</f>
        <v>43227</v>
      </c>
      <c r="U259" s="98">
        <f ca="1"/>
        <v>-9.0060499902286994E-5</v>
      </c>
      <c r="V259" s="5" t="s">
        <v>4</v>
      </c>
      <c r="W259" s="84" t="s">
        <v>4</v>
      </c>
    </row>
    <row r="260" spans="1:23" x14ac:dyDescent="0.25">
      <c r="A260" s="90">
        <v>241</v>
      </c>
      <c r="B260" s="83"/>
      <c r="C260" s="100">
        <f ca="1">_xll.meDateFromTenor(C259,"1D","FOLLOWING",D$12)</f>
        <v>42863</v>
      </c>
      <c r="D260" s="13">
        <f ca="1">_xll.meDateFromTenor(C260,D$14,D$11,D$12)</f>
        <v>42864</v>
      </c>
      <c r="E260" s="98">
        <f ca="1"/>
        <v>-4.2028300540186839E-3</v>
      </c>
      <c r="F260" s="94"/>
      <c r="G260" s="100">
        <f ca="1">_xll.meDateFromTenor(G259,"1D","FOLLOWING",H$12)</f>
        <v>42863</v>
      </c>
      <c r="H260" s="13">
        <f ca="1">_xll.meDateFromTenor(G260,H$14,H$11,H$12)</f>
        <v>42894</v>
      </c>
      <c r="I260" s="98">
        <f ca="1"/>
        <v>-3.9516314410852609E-3</v>
      </c>
      <c r="J260" s="94" t="s">
        <v>4</v>
      </c>
      <c r="K260" s="100">
        <f ca="1">_xll.meDateFromTenor(K259,"1D","FOLLOWING",L$12)</f>
        <v>42863</v>
      </c>
      <c r="L260" s="13">
        <f ca="1">_xll.meDateFromTenor(K260,L$14,L$11,L$12)</f>
        <v>42955</v>
      </c>
      <c r="M260" s="98">
        <f ca="1"/>
        <v>-3.0420205017505806E-3</v>
      </c>
      <c r="N260" s="5" t="s">
        <v>4</v>
      </c>
      <c r="O260" s="100">
        <f ca="1">_xll.meDateFromTenor(O259,"1D","FOLLOWING",P$12)</f>
        <v>42863</v>
      </c>
      <c r="P260" s="13">
        <f ca="1">_xll.meDateFromTenor(O260,P$14,P$11,P$12)</f>
        <v>43047</v>
      </c>
      <c r="Q260" s="98">
        <f ca="1"/>
        <v>-1.7074589349402598E-3</v>
      </c>
      <c r="R260" s="5" t="s">
        <v>4</v>
      </c>
      <c r="S260" s="100">
        <f ca="1">_xll.meDateFromTenor(S259,"1D","FOLLOWING",T$12)</f>
        <v>42863</v>
      </c>
      <c r="T260" s="13">
        <f ca="1">_xll.meDateFromTenor(S260,T$14,T$11,T$12)</f>
        <v>43228</v>
      </c>
      <c r="U260" s="98">
        <f ca="1"/>
        <v>-8.743888288921112E-5</v>
      </c>
      <c r="V260" s="5" t="s">
        <v>4</v>
      </c>
      <c r="W260" s="84" t="s">
        <v>4</v>
      </c>
    </row>
    <row r="261" spans="1:23" x14ac:dyDescent="0.25">
      <c r="A261" s="90">
        <v>242</v>
      </c>
      <c r="B261" s="83"/>
      <c r="C261" s="100">
        <f ca="1">_xll.meDateFromTenor(C260,"1D","FOLLOWING",D$12)</f>
        <v>42864</v>
      </c>
      <c r="D261" s="13">
        <f ca="1">_xll.meDateFromTenor(C261,D$14,D$11,D$12)</f>
        <v>42865</v>
      </c>
      <c r="E261" s="98">
        <f ca="1"/>
        <v>-4.2036154203504844E-3</v>
      </c>
      <c r="F261" s="94"/>
      <c r="G261" s="100">
        <f ca="1">_xll.meDateFromTenor(G260,"1D","FOLLOWING",H$12)</f>
        <v>42864</v>
      </c>
      <c r="H261" s="13">
        <f ca="1">_xll.meDateFromTenor(G261,H$14,H$11,H$12)</f>
        <v>42895</v>
      </c>
      <c r="I261" s="98">
        <f ca="1"/>
        <v>-3.9530248577487829E-3</v>
      </c>
      <c r="J261" s="94" t="s">
        <v>4</v>
      </c>
      <c r="K261" s="100">
        <f ca="1">_xll.meDateFromTenor(K260,"1D","FOLLOWING",L$12)</f>
        <v>42864</v>
      </c>
      <c r="L261" s="13">
        <f ca="1">_xll.meDateFromTenor(K261,L$14,L$11,L$12)</f>
        <v>42956</v>
      </c>
      <c r="M261" s="98">
        <f ca="1"/>
        <v>-3.0426010010619247E-3</v>
      </c>
      <c r="N261" s="5" t="s">
        <v>4</v>
      </c>
      <c r="O261" s="100">
        <f ca="1">_xll.meDateFromTenor(O260,"1D","FOLLOWING",P$12)</f>
        <v>42864</v>
      </c>
      <c r="P261" s="13">
        <f ca="1">_xll.meDateFromTenor(O261,P$14,P$11,P$12)</f>
        <v>43048</v>
      </c>
      <c r="Q261" s="98">
        <f ca="1"/>
        <v>-1.7087490318126548E-3</v>
      </c>
      <c r="R261" s="5" t="s">
        <v>4</v>
      </c>
      <c r="S261" s="100">
        <f ca="1">_xll.meDateFromTenor(S260,"1D","FOLLOWING",T$12)</f>
        <v>42864</v>
      </c>
      <c r="T261" s="13">
        <f ca="1">_xll.meDateFromTenor(S261,T$14,T$11,T$12)</f>
        <v>43229</v>
      </c>
      <c r="U261" s="98">
        <f ca="1"/>
        <v>-8.655268213958754E-5</v>
      </c>
      <c r="V261" s="5" t="s">
        <v>4</v>
      </c>
      <c r="W261" s="84" t="s">
        <v>4</v>
      </c>
    </row>
    <row r="262" spans="1:23" x14ac:dyDescent="0.25">
      <c r="A262" s="90">
        <v>243</v>
      </c>
      <c r="B262" s="83"/>
      <c r="C262" s="100">
        <f ca="1">_xll.meDateFromTenor(C261,"1D","FOLLOWING",D$12)</f>
        <v>42865</v>
      </c>
      <c r="D262" s="13">
        <f ca="1">_xll.meDateFromTenor(C262,D$14,D$11,D$12)</f>
        <v>42866</v>
      </c>
      <c r="E262" s="98">
        <f ca="1"/>
        <v>-4.2043702413963194E-3</v>
      </c>
      <c r="F262" s="94"/>
      <c r="G262" s="100">
        <f ca="1">_xll.meDateFromTenor(G261,"1D","FOLLOWING",H$12)</f>
        <v>42865</v>
      </c>
      <c r="H262" s="13">
        <f ca="1">_xll.meDateFromTenor(G262,H$14,H$11,H$12)</f>
        <v>42898</v>
      </c>
      <c r="I262" s="98">
        <f ca="1"/>
        <v>-3.9544119137521552E-3</v>
      </c>
      <c r="J262" s="94" t="s">
        <v>4</v>
      </c>
      <c r="K262" s="100">
        <f ca="1">_xll.meDateFromTenor(K261,"1D","FOLLOWING",L$12)</f>
        <v>42865</v>
      </c>
      <c r="L262" s="13">
        <f ca="1">_xll.meDateFromTenor(K262,L$14,L$11,L$12)</f>
        <v>42957</v>
      </c>
      <c r="M262" s="98">
        <f ca="1"/>
        <v>-3.0431814865962818E-3</v>
      </c>
      <c r="N262" s="5" t="s">
        <v>4</v>
      </c>
      <c r="O262" s="100">
        <f ca="1">_xll.meDateFromTenor(O261,"1D","FOLLOWING",P$12)</f>
        <v>42865</v>
      </c>
      <c r="P262" s="13">
        <f ca="1">_xll.meDateFromTenor(O262,P$14,P$11,P$12)</f>
        <v>43049</v>
      </c>
      <c r="Q262" s="98">
        <f ca="1"/>
        <v>-1.7100287476397621E-3</v>
      </c>
      <c r="R262" s="5" t="s">
        <v>4</v>
      </c>
      <c r="S262" s="100">
        <f ca="1">_xll.meDateFromTenor(S261,"1D","FOLLOWING",T$12)</f>
        <v>42865</v>
      </c>
      <c r="T262" s="13">
        <f ca="1">_xll.meDateFromTenor(S262,T$14,T$11,T$12)</f>
        <v>43230</v>
      </c>
      <c r="U262" s="98">
        <f ca="1"/>
        <v>-8.566028685616842E-5</v>
      </c>
      <c r="V262" s="5" t="s">
        <v>4</v>
      </c>
      <c r="W262" s="84" t="s">
        <v>4</v>
      </c>
    </row>
    <row r="263" spans="1:23" x14ac:dyDescent="0.25">
      <c r="A263" s="90">
        <v>244</v>
      </c>
      <c r="B263" s="83"/>
      <c r="C263" s="100">
        <f ca="1">_xll.meDateFromTenor(C262,"1D","FOLLOWING",D$12)</f>
        <v>42866</v>
      </c>
      <c r="D263" s="13">
        <f ca="1">_xll.meDateFromTenor(C263,D$14,D$11,D$12)</f>
        <v>42867</v>
      </c>
      <c r="E263" s="98">
        <f ca="1"/>
        <v>-4.2050945185145997E-3</v>
      </c>
      <c r="F263" s="94"/>
      <c r="G263" s="100">
        <f ca="1">_xll.meDateFromTenor(G262,"1D","FOLLOWING",H$12)</f>
        <v>42866</v>
      </c>
      <c r="H263" s="13">
        <f ca="1">_xll.meDateFromTenor(G263,H$14,H$11,H$12)</f>
        <v>42898</v>
      </c>
      <c r="I263" s="98">
        <f ca="1"/>
        <v>-3.9557923704261052E-3</v>
      </c>
      <c r="J263" s="94" t="s">
        <v>4</v>
      </c>
      <c r="K263" s="100">
        <f ca="1">_xll.meDateFromTenor(K262,"1D","FOLLOWING",L$12)</f>
        <v>42866</v>
      </c>
      <c r="L263" s="13">
        <f ca="1">_xll.meDateFromTenor(K263,L$14,L$11,L$12)</f>
        <v>42958</v>
      </c>
      <c r="M263" s="98">
        <f ca="1"/>
        <v>-3.0437619533109253E-3</v>
      </c>
      <c r="N263" s="5" t="s">
        <v>4</v>
      </c>
      <c r="O263" s="100">
        <f ca="1">_xll.meDateFromTenor(O262,"1D","FOLLOWING",P$12)</f>
        <v>42866</v>
      </c>
      <c r="P263" s="13">
        <f ca="1">_xll.meDateFromTenor(O263,P$14,P$11,P$12)</f>
        <v>43052</v>
      </c>
      <c r="Q263" s="98">
        <f ca="1"/>
        <v>-1.7112979111305925E-3</v>
      </c>
      <c r="R263" s="5" t="s">
        <v>4</v>
      </c>
      <c r="S263" s="100">
        <f ca="1">_xll.meDateFromTenor(S262,"1D","FOLLOWING",T$12)</f>
        <v>42866</v>
      </c>
      <c r="T263" s="13">
        <f ca="1">_xll.meDateFromTenor(S263,T$14,T$11,T$12)</f>
        <v>43231</v>
      </c>
      <c r="U263" s="98">
        <f ca="1"/>
        <v>-8.4761678842255937E-5</v>
      </c>
      <c r="V263" s="5" t="s">
        <v>4</v>
      </c>
      <c r="W263" s="84" t="s">
        <v>4</v>
      </c>
    </row>
    <row r="264" spans="1:23" x14ac:dyDescent="0.25">
      <c r="A264" s="90">
        <v>245</v>
      </c>
      <c r="B264" s="83"/>
      <c r="C264" s="100">
        <f ca="1">_xll.meDateFromTenor(C263,"1D","FOLLOWING",D$12)</f>
        <v>42867</v>
      </c>
      <c r="D264" s="13">
        <f ca="1">_xll.meDateFromTenor(C264,D$14,D$11,D$12)</f>
        <v>42870</v>
      </c>
      <c r="E264" s="98">
        <f ca="1"/>
        <v>-4.2063921166901755E-3</v>
      </c>
      <c r="F264" s="94"/>
      <c r="G264" s="100">
        <f ca="1">_xll.meDateFromTenor(G263,"1D","FOLLOWING",H$12)</f>
        <v>42867</v>
      </c>
      <c r="H264" s="13">
        <f ca="1">_xll.meDateFromTenor(G264,H$14,H$11,H$12)</f>
        <v>42898</v>
      </c>
      <c r="I264" s="98">
        <f ca="1"/>
        <v>-3.9571659891013602E-3</v>
      </c>
      <c r="J264" s="94" t="s">
        <v>4</v>
      </c>
      <c r="K264" s="100">
        <f ca="1">_xll.meDateFromTenor(K263,"1D","FOLLOWING",L$12)</f>
        <v>42867</v>
      </c>
      <c r="L264" s="13">
        <f ca="1">_xll.meDateFromTenor(K264,L$14,L$11,L$12)</f>
        <v>42961</v>
      </c>
      <c r="M264" s="98">
        <f ca="1"/>
        <v>-3.0443424714419833E-3</v>
      </c>
      <c r="N264" s="5" t="s">
        <v>4</v>
      </c>
      <c r="O264" s="100">
        <f ca="1">_xll.meDateFromTenor(O263,"1D","FOLLOWING",P$12)</f>
        <v>42867</v>
      </c>
      <c r="P264" s="13">
        <f ca="1">_xll.meDateFromTenor(O264,P$14,P$11,P$12)</f>
        <v>43052</v>
      </c>
      <c r="Q264" s="98">
        <f ca="1"/>
        <v>-1.7125563509941563E-3</v>
      </c>
      <c r="R264" s="5" t="s">
        <v>4</v>
      </c>
      <c r="S264" s="100">
        <f ca="1">_xll.meDateFromTenor(S263,"1D","FOLLOWING",T$12)</f>
        <v>42867</v>
      </c>
      <c r="T264" s="13">
        <f ca="1">_xll.meDateFromTenor(S264,T$14,T$11,T$12)</f>
        <v>43234</v>
      </c>
      <c r="U264" s="98">
        <f ca="1"/>
        <v>-8.3856839901152254E-5</v>
      </c>
      <c r="V264" s="5" t="s">
        <v>4</v>
      </c>
      <c r="W264" s="84" t="s">
        <v>4</v>
      </c>
    </row>
    <row r="265" spans="1:23" x14ac:dyDescent="0.25">
      <c r="A265" s="90">
        <v>246</v>
      </c>
      <c r="B265" s="83"/>
      <c r="C265" s="100">
        <f ca="1">_xll.meDateFromTenor(C264,"1D","FOLLOWING",D$12)</f>
        <v>42870</v>
      </c>
      <c r="D265" s="13">
        <f ca="1">_xll.meDateFromTenor(C265,D$14,D$11,D$12)</f>
        <v>42871</v>
      </c>
      <c r="E265" s="98">
        <f ca="1"/>
        <v>-4.2076862164908283E-3</v>
      </c>
      <c r="F265" s="94"/>
      <c r="G265" s="100">
        <f ca="1">_xll.meDateFromTenor(G264,"1D","FOLLOWING",H$12)</f>
        <v>42870</v>
      </c>
      <c r="H265" s="13">
        <f ca="1">_xll.meDateFromTenor(G265,H$14,H$11,H$12)</f>
        <v>42901</v>
      </c>
      <c r="I265" s="98">
        <f ca="1"/>
        <v>-3.9612434304422406E-3</v>
      </c>
      <c r="J265" s="94" t="s">
        <v>4</v>
      </c>
      <c r="K265" s="100">
        <f ca="1">_xll.meDateFromTenor(K264,"1D","FOLLOWING",L$12)</f>
        <v>42870</v>
      </c>
      <c r="L265" s="13">
        <f ca="1">_xll.meDateFromTenor(K265,L$14,L$11,L$12)</f>
        <v>42962</v>
      </c>
      <c r="M265" s="98">
        <f ca="1"/>
        <v>-3.0460835906414014E-3</v>
      </c>
      <c r="N265" s="5" t="s">
        <v>4</v>
      </c>
      <c r="O265" s="100">
        <f ca="1">_xll.meDateFromTenor(O264,"1D","FOLLOWING",P$12)</f>
        <v>42870</v>
      </c>
      <c r="P265" s="13">
        <f ca="1">_xll.meDateFromTenor(O265,P$14,P$11,P$12)</f>
        <v>43054</v>
      </c>
      <c r="Q265" s="98">
        <f ca="1"/>
        <v>-1.7162656159113556E-3</v>
      </c>
      <c r="R265" s="5" t="s">
        <v>4</v>
      </c>
      <c r="S265" s="100">
        <f ca="1">_xll.meDateFromTenor(S264,"1D","FOLLOWING",T$12)</f>
        <v>42870</v>
      </c>
      <c r="T265" s="13">
        <f ca="1">_xll.meDateFromTenor(S265,T$14,T$11,T$12)</f>
        <v>43235</v>
      </c>
      <c r="U265" s="98">
        <f ca="1"/>
        <v>-8.1104755547715919E-5</v>
      </c>
      <c r="V265" s="5" t="s">
        <v>4</v>
      </c>
      <c r="W265" s="84" t="s">
        <v>4</v>
      </c>
    </row>
    <row r="266" spans="1:23" x14ac:dyDescent="0.25">
      <c r="A266" s="90">
        <v>247</v>
      </c>
      <c r="B266" s="83"/>
      <c r="C266" s="100">
        <f ca="1">_xll.meDateFromTenor(C265,"1D","FOLLOWING",D$12)</f>
        <v>42871</v>
      </c>
      <c r="D266" s="13">
        <f ca="1">_xll.meDateFromTenor(C266,D$14,D$11,D$12)</f>
        <v>42872</v>
      </c>
      <c r="E266" s="98">
        <f ca="1"/>
        <v>-4.2082577951552272E-3</v>
      </c>
      <c r="F266" s="94"/>
      <c r="G266" s="100">
        <f ca="1">_xll.meDateFromTenor(G265,"1D","FOLLOWING",H$12)</f>
        <v>42871</v>
      </c>
      <c r="H266" s="13">
        <f ca="1">_xll.meDateFromTenor(G266,H$14,H$11,H$12)</f>
        <v>42902</v>
      </c>
      <c r="I266" s="98">
        <f ca="1"/>
        <v>-3.9625873104300012E-3</v>
      </c>
      <c r="J266" s="94" t="s">
        <v>4</v>
      </c>
      <c r="K266" s="100">
        <f ca="1">_xll.meDateFromTenor(K265,"1D","FOLLOWING",L$12)</f>
        <v>42871</v>
      </c>
      <c r="L266" s="13">
        <f ca="1">_xll.meDateFromTenor(K266,L$14,L$11,L$12)</f>
        <v>42963</v>
      </c>
      <c r="M266" s="98">
        <f ca="1"/>
        <v>-3.0466644411333865E-3</v>
      </c>
      <c r="N266" s="5" t="s">
        <v>4</v>
      </c>
      <c r="O266" s="100">
        <f ca="1">_xll.meDateFromTenor(O265,"1D","FOLLOWING",P$12)</f>
        <v>42871</v>
      </c>
      <c r="P266" s="13">
        <f ca="1">_xll.meDateFromTenor(O266,P$14,P$11,P$12)</f>
        <v>43055</v>
      </c>
      <c r="Q266" s="98">
        <f ca="1"/>
        <v>-1.7174794483559596E-3</v>
      </c>
      <c r="R266" s="5" t="s">
        <v>4</v>
      </c>
      <c r="S266" s="100">
        <f ca="1">_xll.meDateFromTenor(S265,"1D","FOLLOWING",T$12)</f>
        <v>42871</v>
      </c>
      <c r="T266" s="13">
        <f ca="1">_xll.meDateFromTenor(S266,T$14,T$11,T$12)</f>
        <v>43236</v>
      </c>
      <c r="U266" s="98">
        <f ca="1"/>
        <v>-8.0174810930869271E-5</v>
      </c>
      <c r="V266" s="5" t="s">
        <v>4</v>
      </c>
      <c r="W266" s="84" t="s">
        <v>4</v>
      </c>
    </row>
    <row r="267" spans="1:23" x14ac:dyDescent="0.25">
      <c r="A267" s="90">
        <v>248</v>
      </c>
      <c r="B267" s="83"/>
      <c r="C267" s="100">
        <f ca="1">_xll.meDateFromTenor(C266,"1D","FOLLOWING",D$12)</f>
        <v>42872</v>
      </c>
      <c r="D267" s="13">
        <f ca="1">_xll.meDateFromTenor(C267,D$14,D$11,D$12)</f>
        <v>42873</v>
      </c>
      <c r="E267" s="98">
        <f ca="1"/>
        <v>-4.2087988387651412E-3</v>
      </c>
      <c r="F267" s="94"/>
      <c r="G267" s="100">
        <f ca="1">_xll.meDateFromTenor(G266,"1D","FOLLOWING",H$12)</f>
        <v>42872</v>
      </c>
      <c r="H267" s="13">
        <f ca="1">_xll.meDateFromTenor(G267,H$14,H$11,H$12)</f>
        <v>42905</v>
      </c>
      <c r="I267" s="98">
        <f ca="1"/>
        <v>-3.9639231590727084E-3</v>
      </c>
      <c r="J267" s="94" t="s">
        <v>4</v>
      </c>
      <c r="K267" s="100">
        <f ca="1">_xll.meDateFromTenor(K266,"1D","FOLLOWING",L$12)</f>
        <v>42872</v>
      </c>
      <c r="L267" s="13">
        <f ca="1">_xll.meDateFromTenor(K267,L$14,L$11,L$12)</f>
        <v>42964</v>
      </c>
      <c r="M267" s="98">
        <f ca="1"/>
        <v>-3.0472462698884388E-3</v>
      </c>
      <c r="N267" s="5" t="s">
        <v>4</v>
      </c>
      <c r="O267" s="100">
        <f ca="1">_xll.meDateFromTenor(O266,"1D","FOLLOWING",P$12)</f>
        <v>42872</v>
      </c>
      <c r="P267" s="13">
        <f ca="1">_xll.meDateFromTenor(O267,P$14,P$11,P$12)</f>
        <v>43056</v>
      </c>
      <c r="Q267" s="98">
        <f ca="1"/>
        <v>-1.71868170071835E-3</v>
      </c>
      <c r="R267" s="5" t="s">
        <v>4</v>
      </c>
      <c r="S267" s="100">
        <f ca="1">_xll.meDateFromTenor(S266,"1D","FOLLOWING",T$12)</f>
        <v>42872</v>
      </c>
      <c r="T267" s="13">
        <f ca="1">_xll.meDateFromTenor(S267,T$14,T$11,T$12)</f>
        <v>43237</v>
      </c>
      <c r="U267" s="98">
        <f ca="1"/>
        <v>-7.9238544403342301E-5</v>
      </c>
      <c r="V267" s="5" t="s">
        <v>4</v>
      </c>
      <c r="W267" s="84" t="s">
        <v>4</v>
      </c>
    </row>
    <row r="268" spans="1:23" x14ac:dyDescent="0.25">
      <c r="A268" s="90">
        <v>249</v>
      </c>
      <c r="B268" s="83"/>
      <c r="C268" s="100">
        <f ca="1">_xll.meDateFromTenor(C267,"1D","FOLLOWING",D$12)</f>
        <v>42873</v>
      </c>
      <c r="D268" s="13">
        <f ca="1">_xll.meDateFromTenor(C268,D$14,D$11,D$12)</f>
        <v>42874</v>
      </c>
      <c r="E268" s="98">
        <f ca="1"/>
        <v>-4.2093093483197711E-3</v>
      </c>
      <c r="F268" s="94"/>
      <c r="G268" s="100">
        <f ca="1">_xll.meDateFromTenor(G267,"1D","FOLLOWING",H$12)</f>
        <v>42873</v>
      </c>
      <c r="H268" s="13">
        <f ca="1">_xll.meDateFromTenor(G268,H$14,H$11,H$12)</f>
        <v>42905</v>
      </c>
      <c r="I268" s="98">
        <f ca="1"/>
        <v>-3.9652507377010912E-3</v>
      </c>
      <c r="J268" s="94" t="s">
        <v>4</v>
      </c>
      <c r="K268" s="100">
        <f ca="1">_xll.meDateFromTenor(K267,"1D","FOLLOWING",L$12)</f>
        <v>42873</v>
      </c>
      <c r="L268" s="13">
        <f ca="1">_xll.meDateFromTenor(K268,L$14,L$11,L$12)</f>
        <v>42965</v>
      </c>
      <c r="M268" s="98">
        <f ca="1"/>
        <v>-3.047825425979088E-3</v>
      </c>
      <c r="N268" s="5" t="s">
        <v>4</v>
      </c>
      <c r="O268" s="100">
        <f ca="1">_xll.meDateFromTenor(O267,"1D","FOLLOWING",P$12)</f>
        <v>42873</v>
      </c>
      <c r="P268" s="13">
        <f ca="1">_xll.meDateFromTenor(O268,P$14,P$11,P$12)</f>
        <v>43059</v>
      </c>
      <c r="Q268" s="98">
        <f ca="1"/>
        <v>-1.7198722017075375E-3</v>
      </c>
      <c r="R268" s="5" t="s">
        <v>4</v>
      </c>
      <c r="S268" s="100">
        <f ca="1">_xll.meDateFromTenor(S267,"1D","FOLLOWING",T$12)</f>
        <v>42873</v>
      </c>
      <c r="T268" s="13">
        <f ca="1">_xll.meDateFromTenor(S268,T$14,T$11,T$12)</f>
        <v>43238</v>
      </c>
      <c r="U268" s="98">
        <f ca="1"/>
        <v>-7.8295937768437144E-5</v>
      </c>
      <c r="V268" s="5" t="s">
        <v>4</v>
      </c>
      <c r="W268" s="84" t="s">
        <v>4</v>
      </c>
    </row>
    <row r="269" spans="1:23" x14ac:dyDescent="0.25">
      <c r="A269" s="90">
        <v>250</v>
      </c>
      <c r="B269" s="83"/>
      <c r="C269" s="100">
        <f ca="1">_xll.meDateFromTenor(C268,"1D","FOLLOWING",D$12)</f>
        <v>42874</v>
      </c>
      <c r="D269" s="13">
        <f ca="1">_xll.meDateFromTenor(C269,D$14,D$11,D$12)</f>
        <v>42877</v>
      </c>
      <c r="E269" s="98">
        <f ca="1"/>
        <v>-4.2101793558657211E-3</v>
      </c>
      <c r="F269" s="94"/>
      <c r="G269" s="100">
        <f ca="1">_xll.meDateFromTenor(G268,"1D","FOLLOWING",H$12)</f>
        <v>42874</v>
      </c>
      <c r="H269" s="13">
        <f ca="1">_xll.meDateFromTenor(G269,H$14,H$11,H$12)</f>
        <v>42905</v>
      </c>
      <c r="I269" s="98">
        <f ca="1"/>
        <v>-3.9665698076458778E-3</v>
      </c>
      <c r="J269" s="94" t="s">
        <v>4</v>
      </c>
      <c r="K269" s="100">
        <f ca="1">_xll.meDateFromTenor(K268,"1D","FOLLOWING",L$12)</f>
        <v>42874</v>
      </c>
      <c r="L269" s="13">
        <f ca="1">_xll.meDateFromTenor(K269,L$14,L$11,L$12)</f>
        <v>42968</v>
      </c>
      <c r="M269" s="98">
        <f ca="1"/>
        <v>-3.0484009311422672E-3</v>
      </c>
      <c r="N269" s="5" t="s">
        <v>4</v>
      </c>
      <c r="O269" s="100">
        <f ca="1">_xll.meDateFromTenor(O268,"1D","FOLLOWING",P$12)</f>
        <v>42874</v>
      </c>
      <c r="P269" s="13">
        <f ca="1">_xll.meDateFromTenor(O269,P$14,P$11,P$12)</f>
        <v>43059</v>
      </c>
      <c r="Q269" s="98">
        <f ca="1"/>
        <v>-1.7210507800325325E-3</v>
      </c>
      <c r="R269" s="5" t="s">
        <v>4</v>
      </c>
      <c r="S269" s="100">
        <f ca="1">_xll.meDateFromTenor(S268,"1D","FOLLOWING",T$12)</f>
        <v>42874</v>
      </c>
      <c r="T269" s="13">
        <f ca="1">_xll.meDateFromTenor(S269,T$14,T$11,T$12)</f>
        <v>43241</v>
      </c>
      <c r="U269" s="98">
        <f ca="1"/>
        <v>-7.7346972829456072E-5</v>
      </c>
      <c r="V269" s="5" t="s">
        <v>4</v>
      </c>
      <c r="W269" s="84" t="s">
        <v>4</v>
      </c>
    </row>
    <row r="270" spans="1:23" x14ac:dyDescent="0.25">
      <c r="A270" s="90">
        <v>251</v>
      </c>
      <c r="B270" s="83"/>
      <c r="C270" s="100">
        <f ca="1">_xll.meDateFromTenor(C269,"1D","FOLLOWING",D$12)</f>
        <v>42877</v>
      </c>
      <c r="D270" s="13">
        <f ca="1">_xll.meDateFromTenor(C270,D$14,D$11,D$12)</f>
        <v>42878</v>
      </c>
      <c r="E270" s="98">
        <f ca="1"/>
        <v>-4.2110460754418858E-3</v>
      </c>
      <c r="F270" s="94"/>
      <c r="G270" s="100">
        <f ca="1">_xll.meDateFromTenor(G269,"1D","FOLLOWING",H$12)</f>
        <v>42877</v>
      </c>
      <c r="H270" s="13">
        <f ca="1">_xll.meDateFromTenor(G270,H$14,H$11,H$12)</f>
        <v>42908</v>
      </c>
      <c r="I270" s="98">
        <f ca="1"/>
        <v>-3.9704735786859425E-3</v>
      </c>
      <c r="J270" s="94" t="s">
        <v>4</v>
      </c>
      <c r="K270" s="100">
        <f ca="1">_xll.meDateFromTenor(K269,"1D","FOLLOWING",L$12)</f>
        <v>42877</v>
      </c>
      <c r="L270" s="13">
        <f ca="1">_xll.meDateFromTenor(K270,L$14,L$11,L$12)</f>
        <v>42969</v>
      </c>
      <c r="M270" s="98">
        <f ca="1"/>
        <v>-3.0501473956704907E-3</v>
      </c>
      <c r="N270" s="5" t="s">
        <v>4</v>
      </c>
      <c r="O270" s="100">
        <f ca="1">_xll.meDateFromTenor(O269,"1D","FOLLOWING",P$12)</f>
        <v>42877</v>
      </c>
      <c r="P270" s="13">
        <f ca="1">_xll.meDateFromTenor(O270,P$14,P$11,P$12)</f>
        <v>43061</v>
      </c>
      <c r="Q270" s="98">
        <f ca="1"/>
        <v>-1.7245132661124695E-3</v>
      </c>
      <c r="R270" s="5" t="s">
        <v>4</v>
      </c>
      <c r="S270" s="100">
        <f ca="1">_xll.meDateFromTenor(S269,"1D","FOLLOWING",T$12)</f>
        <v>42877</v>
      </c>
      <c r="T270" s="13">
        <f ca="1">_xll.meDateFromTenor(S270,T$14,T$11,T$12)</f>
        <v>43242</v>
      </c>
      <c r="U270" s="98">
        <f ca="1"/>
        <v>-7.4461746221078586E-5</v>
      </c>
      <c r="V270" s="5" t="s">
        <v>4</v>
      </c>
      <c r="W270" s="84" t="s">
        <v>4</v>
      </c>
    </row>
    <row r="271" spans="1:23" x14ac:dyDescent="0.25">
      <c r="A271" s="90">
        <v>252</v>
      </c>
      <c r="B271" s="83"/>
      <c r="C271" s="100">
        <f ca="1">_xll.meDateFromTenor(C270,"1D","FOLLOWING",D$12)</f>
        <v>42878</v>
      </c>
      <c r="D271" s="13">
        <f ca="1">_xll.meDateFromTenor(C271,D$14,D$11,D$12)</f>
        <v>42879</v>
      </c>
      <c r="E271" s="98">
        <f ca="1"/>
        <v>-4.2114039365426384E-3</v>
      </c>
      <c r="F271" s="94"/>
      <c r="G271" s="100">
        <f ca="1">_xll.meDateFromTenor(G270,"1D","FOLLOWING",H$12)</f>
        <v>42878</v>
      </c>
      <c r="H271" s="13">
        <f ca="1">_xll.meDateFromTenor(G271,H$14,H$11,H$12)</f>
        <v>42909</v>
      </c>
      <c r="I271" s="98">
        <f ca="1"/>
        <v>-3.9717562272036265E-3</v>
      </c>
      <c r="J271" s="94" t="s">
        <v>4</v>
      </c>
      <c r="K271" s="100">
        <f ca="1">_xll.meDateFromTenor(K270,"1D","FOLLOWING",L$12)</f>
        <v>42878</v>
      </c>
      <c r="L271" s="13">
        <f ca="1">_xll.meDateFromTenor(K271,L$14,L$11,L$12)</f>
        <v>42970</v>
      </c>
      <c r="M271" s="98">
        <f ca="1"/>
        <v>-3.0506584245270727E-3</v>
      </c>
      <c r="N271" s="5" t="s">
        <v>4</v>
      </c>
      <c r="O271" s="100">
        <f ca="1">_xll.meDateFromTenor(O270,"1D","FOLLOWING",P$12)</f>
        <v>42878</v>
      </c>
      <c r="P271" s="13">
        <f ca="1">_xll.meDateFromTenor(O271,P$14,P$11,P$12)</f>
        <v>43062</v>
      </c>
      <c r="Q271" s="98">
        <f ca="1"/>
        <v>-1.7256424408708013E-3</v>
      </c>
      <c r="R271" s="5" t="s">
        <v>4</v>
      </c>
      <c r="S271" s="100">
        <f ca="1">_xll.meDateFromTenor(S270,"1D","FOLLOWING",T$12)</f>
        <v>42878</v>
      </c>
      <c r="T271" s="13">
        <f ca="1">_xll.meDateFromTenor(S271,T$14,T$11,T$12)</f>
        <v>43243</v>
      </c>
      <c r="U271" s="98">
        <f ca="1"/>
        <v>-7.3487166098815254E-5</v>
      </c>
      <c r="V271" s="5" t="s">
        <v>4</v>
      </c>
      <c r="W271" s="84" t="s">
        <v>4</v>
      </c>
    </row>
    <row r="272" spans="1:23" x14ac:dyDescent="0.25">
      <c r="A272" s="90">
        <v>253</v>
      </c>
      <c r="B272" s="83"/>
      <c r="C272" s="100">
        <f ca="1">_xll.meDateFromTenor(C271,"1D","FOLLOWING",D$12)</f>
        <v>42879</v>
      </c>
      <c r="D272" s="13">
        <f ca="1">_xll.meDateFromTenor(C272,D$14,D$11,D$12)</f>
        <v>42880</v>
      </c>
      <c r="E272" s="98">
        <f ca="1"/>
        <v>-4.2117312722611691E-3</v>
      </c>
      <c r="F272" s="94"/>
      <c r="G272" s="100">
        <f ca="1">_xll.meDateFromTenor(G271,"1D","FOLLOWING",H$12)</f>
        <v>42879</v>
      </c>
      <c r="H272" s="13">
        <f ca="1">_xll.meDateFromTenor(G272,H$14,H$11,H$12)</f>
        <v>42912</v>
      </c>
      <c r="I272" s="98">
        <f ca="1"/>
        <v>-3.9730291736913568E-3</v>
      </c>
      <c r="J272" s="94" t="s">
        <v>4</v>
      </c>
      <c r="K272" s="100">
        <f ca="1">_xll.meDateFromTenor(K271,"1D","FOLLOWING",L$12)</f>
        <v>42879</v>
      </c>
      <c r="L272" s="13">
        <f ca="1">_xll.meDateFromTenor(K272,L$14,L$11,L$12)</f>
        <v>42971</v>
      </c>
      <c r="M272" s="98">
        <f ca="1"/>
        <v>-3.0513083805161923E-3</v>
      </c>
      <c r="N272" s="5" t="s">
        <v>4</v>
      </c>
      <c r="O272" s="100">
        <f ca="1">_xll.meDateFromTenor(O271,"1D","FOLLOWING",P$12)</f>
        <v>42879</v>
      </c>
      <c r="P272" s="13">
        <f ca="1">_xll.meDateFromTenor(O272,P$14,P$11,P$12)</f>
        <v>43063</v>
      </c>
      <c r="Q272" s="98">
        <f ca="1"/>
        <v>-1.7267588365099935E-3</v>
      </c>
      <c r="R272" s="5" t="s">
        <v>4</v>
      </c>
      <c r="S272" s="100">
        <f ca="1">_xll.meDateFromTenor(S271,"1D","FOLLOWING",T$12)</f>
        <v>42879</v>
      </c>
      <c r="T272" s="13">
        <f ca="1">_xll.meDateFromTenor(S272,T$14,T$11,T$12)</f>
        <v>43244</v>
      </c>
      <c r="U272" s="98">
        <f ca="1"/>
        <v>-7.2506136688986871E-5</v>
      </c>
      <c r="V272" s="5" t="s">
        <v>4</v>
      </c>
      <c r="W272" s="84" t="s">
        <v>4</v>
      </c>
    </row>
    <row r="273" spans="1:23" x14ac:dyDescent="0.25">
      <c r="A273" s="90">
        <v>254</v>
      </c>
      <c r="B273" s="83"/>
      <c r="C273" s="100">
        <f ca="1">_xll.meDateFromTenor(C272,"1D","FOLLOWING",D$12)</f>
        <v>42880</v>
      </c>
      <c r="D273" s="13">
        <f ca="1">_xll.meDateFromTenor(C273,D$14,D$11,D$12)</f>
        <v>42881</v>
      </c>
      <c r="E273" s="98">
        <f ca="1"/>
        <v>-4.212028084076295E-3</v>
      </c>
      <c r="F273" s="94"/>
      <c r="G273" s="100">
        <f ca="1">_xll.meDateFromTenor(G272,"1D","FOLLOWING",H$12)</f>
        <v>42880</v>
      </c>
      <c r="H273" s="13">
        <f ca="1">_xll.meDateFromTenor(G273,H$14,H$11,H$12)</f>
        <v>42912</v>
      </c>
      <c r="I273" s="98">
        <f ca="1"/>
        <v>-3.9742921794798597E-3</v>
      </c>
      <c r="J273" s="94" t="s">
        <v>4</v>
      </c>
      <c r="K273" s="100">
        <f ca="1">_xll.meDateFromTenor(K272,"1D","FOLLOWING",L$12)</f>
        <v>42880</v>
      </c>
      <c r="L273" s="13">
        <f ca="1">_xll.meDateFromTenor(K273,L$14,L$11,L$12)</f>
        <v>42972</v>
      </c>
      <c r="M273" s="98">
        <f ca="1"/>
        <v>-3.0521481144976325E-3</v>
      </c>
      <c r="N273" s="5" t="s">
        <v>4</v>
      </c>
      <c r="O273" s="100">
        <f ca="1">_xll.meDateFromTenor(O272,"1D","FOLLOWING",P$12)</f>
        <v>42880</v>
      </c>
      <c r="P273" s="13">
        <f ca="1">_xll.meDateFromTenor(O273,P$14,P$11,P$12)</f>
        <v>43066</v>
      </c>
      <c r="Q273" s="98">
        <f ca="1"/>
        <v>-1.7278622817390565E-3</v>
      </c>
      <c r="R273" s="5" t="s">
        <v>4</v>
      </c>
      <c r="S273" s="100">
        <f ca="1">_xll.meDateFromTenor(S272,"1D","FOLLOWING",T$12)</f>
        <v>42880</v>
      </c>
      <c r="T273" s="13">
        <f ca="1">_xll.meDateFromTenor(S273,T$14,T$11,T$12)</f>
        <v>43245</v>
      </c>
      <c r="U273" s="98">
        <f ca="1"/>
        <v>-7.1518639794895505E-5</v>
      </c>
      <c r="V273" s="5" t="s">
        <v>4</v>
      </c>
      <c r="W273" s="84" t="s">
        <v>4</v>
      </c>
    </row>
    <row r="274" spans="1:23" x14ac:dyDescent="0.25">
      <c r="A274" s="90">
        <v>255</v>
      </c>
      <c r="B274" s="83"/>
      <c r="C274" s="100">
        <f ca="1">_xll.meDateFromTenor(C273,"1D","FOLLOWING",D$12)</f>
        <v>42881</v>
      </c>
      <c r="D274" s="13">
        <f ca="1">_xll.meDateFromTenor(C274,D$14,D$11,D$12)</f>
        <v>42884</v>
      </c>
      <c r="E274" s="98">
        <f ca="1"/>
        <v>-4.2124706757595979E-3</v>
      </c>
      <c r="F274" s="94"/>
      <c r="G274" s="100">
        <f ca="1">_xll.meDateFromTenor(G273,"1D","FOLLOWING",H$12)</f>
        <v>42881</v>
      </c>
      <c r="H274" s="13">
        <f ca="1">_xll.meDateFromTenor(G274,H$14,H$11,H$12)</f>
        <v>42912</v>
      </c>
      <c r="I274" s="98">
        <f ca="1"/>
        <v>-3.9755450058998644E-3</v>
      </c>
      <c r="J274" s="94" t="s">
        <v>4</v>
      </c>
      <c r="K274" s="100">
        <f ca="1">_xll.meDateFromTenor(K273,"1D","FOLLOWING",L$12)</f>
        <v>42881</v>
      </c>
      <c r="L274" s="13">
        <f ca="1">_xll.meDateFromTenor(K274,L$14,L$11,L$12)</f>
        <v>42975</v>
      </c>
      <c r="M274" s="98">
        <f ca="1"/>
        <v>-3.0524693653618939E-3</v>
      </c>
      <c r="N274" s="5" t="s">
        <v>4</v>
      </c>
      <c r="O274" s="100">
        <f ca="1">_xll.meDateFromTenor(O273,"1D","FOLLOWING",P$12)</f>
        <v>42881</v>
      </c>
      <c r="P274" s="13">
        <f ca="1">_xll.meDateFromTenor(O274,P$14,P$11,P$12)</f>
        <v>43066</v>
      </c>
      <c r="Q274" s="98">
        <f ca="1"/>
        <v>-1.7289526052670014E-3</v>
      </c>
      <c r="R274" s="5" t="s">
        <v>4</v>
      </c>
      <c r="S274" s="100">
        <f ca="1">_xll.meDateFromTenor(S273,"1D","FOLLOWING",T$12)</f>
        <v>42881</v>
      </c>
      <c r="T274" s="13">
        <f ca="1">_xll.meDateFromTenor(S274,T$14,T$11,T$12)</f>
        <v>43248</v>
      </c>
      <c r="U274" s="98">
        <f ca="1"/>
        <v>-7.0524657219843385E-5</v>
      </c>
      <c r="V274" s="5" t="s">
        <v>4</v>
      </c>
      <c r="W274" s="84" t="s">
        <v>4</v>
      </c>
    </row>
    <row r="275" spans="1:23" x14ac:dyDescent="0.25">
      <c r="A275" s="90">
        <v>256</v>
      </c>
      <c r="B275" s="83"/>
      <c r="C275" s="100">
        <f ca="1">_xll.meDateFromTenor(C274,"1D","FOLLOWING",D$12)</f>
        <v>42884</v>
      </c>
      <c r="D275" s="13">
        <f ca="1">_xll.meDateFromTenor(C275,D$14,D$11,D$12)</f>
        <v>42885</v>
      </c>
      <c r="E275" s="98">
        <f ca="1"/>
        <v>-4.2129101200005939E-3</v>
      </c>
      <c r="F275" s="94"/>
      <c r="G275" s="100">
        <f ca="1">_xll.meDateFromTenor(G274,"1D","FOLLOWING",H$12)</f>
        <v>42884</v>
      </c>
      <c r="H275" s="13">
        <f ca="1">_xll.meDateFromTenor(G275,H$14,H$11,H$12)</f>
        <v>42915</v>
      </c>
      <c r="I275" s="98">
        <f ca="1"/>
        <v>-3.9792400222561737E-3</v>
      </c>
      <c r="J275" s="94" t="s">
        <v>4</v>
      </c>
      <c r="K275" s="100">
        <f ca="1">_xll.meDateFromTenor(K274,"1D","FOLLOWING",L$12)</f>
        <v>42884</v>
      </c>
      <c r="L275" s="13">
        <f ca="1">_xll.meDateFromTenor(K275,L$14,L$11,L$12)</f>
        <v>42976</v>
      </c>
      <c r="M275" s="98">
        <f ca="1"/>
        <v>-3.0578216117442144E-3</v>
      </c>
      <c r="N275" s="5" t="s">
        <v>4</v>
      </c>
      <c r="O275" s="100">
        <f ca="1">_xll.meDateFromTenor(O274,"1D","FOLLOWING",P$12)</f>
        <v>42884</v>
      </c>
      <c r="P275" s="13">
        <f ca="1">_xll.meDateFromTenor(O275,P$14,P$11,P$12)</f>
        <v>43068</v>
      </c>
      <c r="Q275" s="98">
        <f ca="1"/>
        <v>-1.732143132734232E-3</v>
      </c>
      <c r="R275" s="5" t="s">
        <v>4</v>
      </c>
      <c r="S275" s="100">
        <f ca="1">_xll.meDateFromTenor(S274,"1D","FOLLOWING",T$12)</f>
        <v>42884</v>
      </c>
      <c r="T275" s="13">
        <f ca="1">_xll.meDateFromTenor(S275,T$14,T$11,T$12)</f>
        <v>43249</v>
      </c>
      <c r="U275" s="98">
        <f ca="1"/>
        <v>-6.7503613441944113E-5</v>
      </c>
      <c r="V275" s="5" t="s">
        <v>4</v>
      </c>
      <c r="W275" s="84" t="s">
        <v>4</v>
      </c>
    </row>
    <row r="276" spans="1:23" x14ac:dyDescent="0.25">
      <c r="A276" s="90">
        <v>257</v>
      </c>
      <c r="B276" s="83"/>
      <c r="C276" s="100">
        <f ca="1">_xll.meDateFromTenor(C275,"1D","FOLLOWING",D$12)</f>
        <v>42885</v>
      </c>
      <c r="D276" s="13">
        <f ca="1">_xll.meDateFromTenor(C276,D$14,D$11,D$12)</f>
        <v>42886</v>
      </c>
      <c r="E276" s="98">
        <f ca="1"/>
        <v>-4.2130543332819107E-3</v>
      </c>
      <c r="F276" s="94"/>
      <c r="G276" s="100">
        <f ca="1">_xll.meDateFromTenor(G275,"1D","FOLLOWING",H$12)</f>
        <v>42885</v>
      </c>
      <c r="H276" s="13">
        <f ca="1">_xll.meDateFromTenor(G276,H$14,H$11,H$12)</f>
        <v>42916</v>
      </c>
      <c r="I276" s="98">
        <f ca="1"/>
        <v>-3.9804497445094676E-3</v>
      </c>
      <c r="J276" s="94" t="s">
        <v>4</v>
      </c>
      <c r="K276" s="100">
        <f ca="1">_xll.meDateFromTenor(K275,"1D","FOLLOWING",L$12)</f>
        <v>42885</v>
      </c>
      <c r="L276" s="13">
        <f ca="1">_xll.meDateFromTenor(K276,L$14,L$11,L$12)</f>
        <v>42977</v>
      </c>
      <c r="M276" s="98">
        <f ca="1"/>
        <v>-3.054791335053297E-3</v>
      </c>
      <c r="N276" s="5" t="s">
        <v>4</v>
      </c>
      <c r="O276" s="100">
        <f ca="1">_xll.meDateFromTenor(O275,"1D","FOLLOWING",P$12)</f>
        <v>42885</v>
      </c>
      <c r="P276" s="13">
        <f ca="1">_xll.meDateFromTenor(O276,P$14,P$11,P$12)</f>
        <v>43069</v>
      </c>
      <c r="Q276" s="98">
        <f ca="1"/>
        <v>-1.7331792565478095E-3</v>
      </c>
      <c r="R276" s="5" t="s">
        <v>4</v>
      </c>
      <c r="S276" s="100">
        <f ca="1">_xll.meDateFromTenor(S275,"1D","FOLLOWING",T$12)</f>
        <v>42885</v>
      </c>
      <c r="T276" s="13">
        <f ca="1">_xll.meDateFromTenor(S276,T$14,T$11,T$12)</f>
        <v>43250</v>
      </c>
      <c r="U276" s="98">
        <f ca="1"/>
        <v>-6.6483506176070629E-5</v>
      </c>
      <c r="V276" s="5" t="s">
        <v>4</v>
      </c>
      <c r="W276" s="84" t="s">
        <v>4</v>
      </c>
    </row>
    <row r="277" spans="1:23" x14ac:dyDescent="0.25">
      <c r="A277" s="90">
        <v>258</v>
      </c>
      <c r="B277" s="83"/>
      <c r="C277" s="100">
        <f ca="1">_xll.meDateFromTenor(C276,"1D","FOLLOWING",D$12)</f>
        <v>42886</v>
      </c>
      <c r="D277" s="13">
        <f ca="1">_xll.meDateFromTenor(C277,D$14,D$11,D$12)</f>
        <v>42887</v>
      </c>
      <c r="E277" s="98">
        <f ca="1"/>
        <v>-4.2131680311330447E-3</v>
      </c>
      <c r="F277" s="94"/>
      <c r="G277" s="100">
        <f ca="1">_xll.meDateFromTenor(G276,"1D","FOLLOWING",H$12)</f>
        <v>42886</v>
      </c>
      <c r="H277" s="13">
        <f ca="1">_xll.meDateFromTenor(G277,H$14,H$11,H$12)</f>
        <v>42916</v>
      </c>
      <c r="I277" s="98">
        <f ca="1"/>
        <v>-3.9816480940479066E-3</v>
      </c>
      <c r="J277" s="94" t="s">
        <v>4</v>
      </c>
      <c r="K277" s="100">
        <f ca="1">_xll.meDateFromTenor(K276,"1D","FOLLOWING",L$12)</f>
        <v>42886</v>
      </c>
      <c r="L277" s="13">
        <f ca="1">_xll.meDateFromTenor(K277,L$14,L$11,L$12)</f>
        <v>42978</v>
      </c>
      <c r="M277" s="98">
        <f ca="1"/>
        <v>-3.041896253689164E-3</v>
      </c>
      <c r="N277" s="5" t="s">
        <v>4</v>
      </c>
      <c r="O277" s="100">
        <f ca="1">_xll.meDateFromTenor(O276,"1D","FOLLOWING",P$12)</f>
        <v>42886</v>
      </c>
      <c r="P277" s="13">
        <f ca="1">_xll.meDateFromTenor(O277,P$14,P$11,P$12)</f>
        <v>43069</v>
      </c>
      <c r="Q277" s="98">
        <f ca="1"/>
        <v>-1.7342014022053217E-3</v>
      </c>
      <c r="R277" s="5" t="s">
        <v>4</v>
      </c>
      <c r="S277" s="100">
        <f ca="1">_xll.meDateFromTenor(S276,"1D","FOLLOWING",T$12)</f>
        <v>42886</v>
      </c>
      <c r="T277" s="13">
        <f ca="1">_xll.meDateFromTenor(S277,T$14,T$11,T$12)</f>
        <v>43251</v>
      </c>
      <c r="U277" s="98">
        <f ca="1"/>
        <v>-6.545682224574723E-5</v>
      </c>
      <c r="V277" s="5" t="s">
        <v>4</v>
      </c>
      <c r="W277" s="84" t="s">
        <v>4</v>
      </c>
    </row>
    <row r="278" spans="1:23" x14ac:dyDescent="0.25">
      <c r="A278" s="90">
        <v>259</v>
      </c>
      <c r="B278" s="83"/>
      <c r="C278" s="100">
        <f ca="1">_xll.meDateFromTenor(C277,"1D","FOLLOWING",D$12)</f>
        <v>42887</v>
      </c>
      <c r="D278" s="13">
        <f ca="1">_xll.meDateFromTenor(C278,D$14,D$11,D$12)</f>
        <v>42888</v>
      </c>
      <c r="E278" s="98">
        <f ca="1"/>
        <v>-4.2132512151527171E-3</v>
      </c>
      <c r="F278" s="94"/>
      <c r="G278" s="100">
        <f ca="1">_xll.meDateFromTenor(G277,"1D","FOLLOWING",H$12)</f>
        <v>42887</v>
      </c>
      <c r="H278" s="13">
        <f ca="1">_xll.meDateFromTenor(G278,H$14,H$11,H$12)</f>
        <v>42919</v>
      </c>
      <c r="I278" s="98">
        <f ca="1"/>
        <v>-3.9828348322022171E-3</v>
      </c>
      <c r="J278" s="94" t="s">
        <v>4</v>
      </c>
      <c r="K278" s="100">
        <f ca="1">_xll.meDateFromTenor(K277,"1D","FOLLOWING",L$12)</f>
        <v>42887</v>
      </c>
      <c r="L278" s="13">
        <f ca="1">_xll.meDateFromTenor(K278,L$14,L$11,L$12)</f>
        <v>42979</v>
      </c>
      <c r="M278" s="98">
        <f ca="1"/>
        <v>-3.0559523198989986E-3</v>
      </c>
      <c r="N278" s="5" t="s">
        <v>4</v>
      </c>
      <c r="O278" s="100">
        <f ca="1">_xll.meDateFromTenor(O277,"1D","FOLLOWING",P$12)</f>
        <v>42887</v>
      </c>
      <c r="P278" s="13">
        <f ca="1">_xll.meDateFromTenor(O278,P$14,P$11,P$12)</f>
        <v>43070</v>
      </c>
      <c r="Q278" s="98">
        <f ca="1"/>
        <v>-1.7352093984157788E-3</v>
      </c>
      <c r="R278" s="5" t="s">
        <v>4</v>
      </c>
      <c r="S278" s="100">
        <f ca="1">_xll.meDateFromTenor(S277,"1D","FOLLOWING",T$12)</f>
        <v>42887</v>
      </c>
      <c r="T278" s="13">
        <f ca="1">_xll.meDateFromTenor(S278,T$14,T$11,T$12)</f>
        <v>43252</v>
      </c>
      <c r="U278" s="98">
        <f ca="1"/>
        <v>-6.4423543454276023E-5</v>
      </c>
      <c r="V278" s="5" t="s">
        <v>4</v>
      </c>
      <c r="W278" s="84" t="s">
        <v>4</v>
      </c>
    </row>
    <row r="279" spans="1:23" x14ac:dyDescent="0.25">
      <c r="A279" s="90">
        <v>260</v>
      </c>
      <c r="B279" s="83"/>
      <c r="C279" s="100">
        <f ca="1">_xll.meDateFromTenor(C278,"1D","FOLLOWING",D$12)</f>
        <v>42888</v>
      </c>
      <c r="D279" s="13">
        <f ca="1">_xll.meDateFromTenor(C279,D$14,D$11,D$12)</f>
        <v>42891</v>
      </c>
      <c r="E279" s="98">
        <f ca="1"/>
        <v>-4.2133080830231298E-3</v>
      </c>
      <c r="F279" s="94"/>
      <c r="G279" s="100">
        <f ca="1">_xll.meDateFromTenor(G278,"1D","FOLLOWING",H$12)</f>
        <v>42888</v>
      </c>
      <c r="H279" s="13">
        <f ca="1">_xll.meDateFromTenor(G279,H$14,H$11,H$12)</f>
        <v>42919</v>
      </c>
      <c r="I279" s="98">
        <f ca="1"/>
        <v>-3.9840097203031272E-3</v>
      </c>
      <c r="J279" s="94" t="s">
        <v>4</v>
      </c>
      <c r="K279" s="100">
        <f ca="1">_xll.meDateFromTenor(K278,"1D","FOLLOWING",L$12)</f>
        <v>42888</v>
      </c>
      <c r="L279" s="13">
        <f ca="1">_xll.meDateFromTenor(K279,L$14,L$11,L$12)</f>
        <v>42982</v>
      </c>
      <c r="M279" s="98">
        <f ca="1"/>
        <v>-3.0971457361312683E-3</v>
      </c>
      <c r="N279" s="5" t="s">
        <v>4</v>
      </c>
      <c r="O279" s="100">
        <f ca="1">_xll.meDateFromTenor(O278,"1D","FOLLOWING",P$12)</f>
        <v>42888</v>
      </c>
      <c r="P279" s="13">
        <f ca="1">_xll.meDateFromTenor(O279,P$14,P$11,P$12)</f>
        <v>43073</v>
      </c>
      <c r="Q279" s="98">
        <f ca="1"/>
        <v>-1.7362030738881918E-3</v>
      </c>
      <c r="R279" s="5" t="s">
        <v>4</v>
      </c>
      <c r="S279" s="100">
        <f ca="1">_xll.meDateFromTenor(S278,"1D","FOLLOWING",T$12)</f>
        <v>42888</v>
      </c>
      <c r="T279" s="13">
        <f ca="1">_xll.meDateFromTenor(S279,T$14,T$11,T$12)</f>
        <v>43255</v>
      </c>
      <c r="U279" s="98">
        <f ca="1"/>
        <v>-6.3383651604959374E-5</v>
      </c>
      <c r="V279" s="5" t="s">
        <v>4</v>
      </c>
      <c r="W279" s="84" t="s">
        <v>4</v>
      </c>
    </row>
    <row r="280" spans="1:23" x14ac:dyDescent="0.25">
      <c r="A280" s="90">
        <v>261</v>
      </c>
      <c r="B280" s="83"/>
      <c r="C280" s="100">
        <f ca="1">_xll.meDateFromTenor(C279,"1D","FOLLOWING",D$12)</f>
        <v>42891</v>
      </c>
      <c r="D280" s="13">
        <f ca="1">_xll.meDateFromTenor(C280,D$14,D$11,D$12)</f>
        <v>42892</v>
      </c>
      <c r="E280" s="98">
        <f ca="1"/>
        <v>-4.2134495218837534E-3</v>
      </c>
      <c r="F280" s="94"/>
      <c r="G280" s="100">
        <f ca="1">_xll.meDateFromTenor(G279,"1D","FOLLOWING",H$12)</f>
        <v>42891</v>
      </c>
      <c r="H280" s="13">
        <f ca="1">_xll.meDateFromTenor(G280,H$14,H$11,H$12)</f>
        <v>42921</v>
      </c>
      <c r="I280" s="98">
        <f ca="1"/>
        <v>-3.9874622865841139E-3</v>
      </c>
      <c r="J280" s="94" t="s">
        <v>4</v>
      </c>
      <c r="K280" s="100">
        <f ca="1">_xll.meDateFromTenor(K279,"1D","FOLLOWING",L$12)</f>
        <v>42891</v>
      </c>
      <c r="L280" s="13">
        <f ca="1">_xll.meDateFromTenor(K280,L$14,L$11,L$12)</f>
        <v>42983</v>
      </c>
      <c r="M280" s="98">
        <f ca="1"/>
        <v>-3.0582742895904013E-3</v>
      </c>
      <c r="N280" s="5" t="s">
        <v>4</v>
      </c>
      <c r="O280" s="100">
        <f ca="1">_xll.meDateFromTenor(O279,"1D","FOLLOWING",P$12)</f>
        <v>42891</v>
      </c>
      <c r="P280" s="13">
        <f ca="1">_xll.meDateFromTenor(O280,P$14,P$11,P$12)</f>
        <v>43074</v>
      </c>
      <c r="Q280" s="98">
        <f ca="1"/>
        <v>-1.7390972261747348E-3</v>
      </c>
      <c r="R280" s="5" t="s">
        <v>4</v>
      </c>
      <c r="S280" s="100">
        <f ca="1">_xll.meDateFromTenor(S279,"1D","FOLLOWING",T$12)</f>
        <v>42891</v>
      </c>
      <c r="T280" s="13">
        <f ca="1">_xll.meDateFromTenor(S280,T$14,T$11,T$12)</f>
        <v>43256</v>
      </c>
      <c r="U280" s="98">
        <f ca="1"/>
        <v>-6.0224150995982758E-5</v>
      </c>
      <c r="V280" s="5" t="s">
        <v>4</v>
      </c>
      <c r="W280" s="84" t="s">
        <v>4</v>
      </c>
    </row>
    <row r="281" spans="1:23" x14ac:dyDescent="0.25">
      <c r="A281" s="90">
        <v>262</v>
      </c>
      <c r="B281" s="83"/>
      <c r="C281" s="100">
        <f ca="1">_xll.meDateFromTenor(C280,"1D","FOLLOWING",D$12)</f>
        <v>42892</v>
      </c>
      <c r="D281" s="13">
        <f ca="1">_xll.meDateFromTenor(C281,D$14,D$11,D$12)</f>
        <v>42893</v>
      </c>
      <c r="E281" s="98">
        <f ca="1"/>
        <v>-4.2134908655718896E-3</v>
      </c>
      <c r="F281" s="94"/>
      <c r="G281" s="100">
        <f ca="1">_xll.meDateFromTenor(G280,"1D","FOLLOWING",H$12)</f>
        <v>42892</v>
      </c>
      <c r="H281" s="13">
        <f ca="1">_xll.meDateFromTenor(G281,H$14,H$11,H$12)</f>
        <v>42922</v>
      </c>
      <c r="I281" s="98">
        <f ca="1"/>
        <v>-3.9885892912113309E-3</v>
      </c>
      <c r="J281" s="94" t="s">
        <v>4</v>
      </c>
      <c r="K281" s="100">
        <f ca="1">_xll.meDateFromTenor(K280,"1D","FOLLOWING",L$12)</f>
        <v>42892</v>
      </c>
      <c r="L281" s="13">
        <f ca="1">_xll.meDateFromTenor(K281,L$14,L$11,L$12)</f>
        <v>42984</v>
      </c>
      <c r="M281" s="98">
        <f ca="1"/>
        <v>-3.0624660171959714E-3</v>
      </c>
      <c r="N281" s="5" t="s">
        <v>4</v>
      </c>
      <c r="O281" s="100">
        <f ca="1">_xll.meDateFromTenor(O280,"1D","FOLLOWING",P$12)</f>
        <v>42892</v>
      </c>
      <c r="P281" s="13">
        <f ca="1">_xll.meDateFromTenor(O281,P$14,P$11,P$12)</f>
        <v>43075</v>
      </c>
      <c r="Q281" s="98">
        <f ca="1"/>
        <v>-1.7400329516619713E-3</v>
      </c>
      <c r="R281" s="5" t="s">
        <v>4</v>
      </c>
      <c r="S281" s="100">
        <f ca="1">_xll.meDateFromTenor(S280,"1D","FOLLOWING",T$12)</f>
        <v>42892</v>
      </c>
      <c r="T281" s="13">
        <f ca="1">_xll.meDateFromTenor(S281,T$14,T$11,T$12)</f>
        <v>43257</v>
      </c>
      <c r="U281" s="98">
        <f ca="1"/>
        <v>-5.915767325800668E-5</v>
      </c>
      <c r="V281" s="5" t="s">
        <v>4</v>
      </c>
      <c r="W281" s="84" t="s">
        <v>4</v>
      </c>
    </row>
    <row r="282" spans="1:23" x14ac:dyDescent="0.25">
      <c r="A282" s="90">
        <v>263</v>
      </c>
      <c r="B282" s="83"/>
      <c r="C282" s="100">
        <f ca="1">_xll.meDateFromTenor(C281,"1D","FOLLOWING",D$12)</f>
        <v>42893</v>
      </c>
      <c r="D282" s="13">
        <f ca="1">_xll.meDateFromTenor(C282,D$14,D$11,D$12)</f>
        <v>42894</v>
      </c>
      <c r="E282" s="98">
        <f ca="1"/>
        <v>-4.2135293779255326E-3</v>
      </c>
      <c r="F282" s="94"/>
      <c r="G282" s="100">
        <f ca="1">_xll.meDateFromTenor(G281,"1D","FOLLOWING",H$12)</f>
        <v>42893</v>
      </c>
      <c r="H282" s="13">
        <f ca="1">_xll.meDateFromTenor(G282,H$14,H$11,H$12)</f>
        <v>42923</v>
      </c>
      <c r="I282" s="98">
        <f ca="1"/>
        <v>-3.9897044870977885E-3</v>
      </c>
      <c r="J282" s="94" t="s">
        <v>4</v>
      </c>
      <c r="K282" s="100">
        <f ca="1">_xll.meDateFromTenor(K281,"1D","FOLLOWING",L$12)</f>
        <v>42893</v>
      </c>
      <c r="L282" s="13">
        <f ca="1">_xll.meDateFromTenor(K282,L$14,L$11,L$12)</f>
        <v>42985</v>
      </c>
      <c r="M282" s="98">
        <f ca="1"/>
        <v>-3.0594352744361029E-3</v>
      </c>
      <c r="N282" s="5" t="s">
        <v>4</v>
      </c>
      <c r="O282" s="100">
        <f ca="1">_xll.meDateFromTenor(O281,"1D","FOLLOWING",P$12)</f>
        <v>42893</v>
      </c>
      <c r="P282" s="13">
        <f ca="1">_xll.meDateFromTenor(O282,P$14,P$11,P$12)</f>
        <v>43076</v>
      </c>
      <c r="Q282" s="98">
        <f ca="1"/>
        <v>-1.7409541783628502E-3</v>
      </c>
      <c r="R282" s="5" t="s">
        <v>4</v>
      </c>
      <c r="S282" s="100">
        <f ca="1">_xll.meDateFromTenor(S281,"1D","FOLLOWING",T$12)</f>
        <v>42893</v>
      </c>
      <c r="T282" s="13">
        <f ca="1">_xll.meDateFromTenor(S282,T$14,T$11,T$12)</f>
        <v>43258</v>
      </c>
      <c r="U282" s="98">
        <f ca="1"/>
        <v>-5.8084522814718379E-5</v>
      </c>
      <c r="V282" s="5" t="s">
        <v>4</v>
      </c>
      <c r="W282" s="84" t="s">
        <v>4</v>
      </c>
    </row>
    <row r="283" spans="1:23" x14ac:dyDescent="0.25">
      <c r="A283" s="90">
        <v>264</v>
      </c>
      <c r="B283" s="83"/>
      <c r="C283" s="100">
        <f ca="1">_xll.meDateFromTenor(C282,"1D","FOLLOWING",D$12)</f>
        <v>42894</v>
      </c>
      <c r="D283" s="13">
        <f ca="1">_xll.meDateFromTenor(C283,D$14,D$11,D$12)</f>
        <v>42895</v>
      </c>
      <c r="E283" s="98">
        <f ca="1"/>
        <v>-4.2135650587438326E-3</v>
      </c>
      <c r="F283" s="94"/>
      <c r="G283" s="100">
        <f ca="1">_xll.meDateFromTenor(G282,"1D","FOLLOWING",H$12)</f>
        <v>42894</v>
      </c>
      <c r="H283" s="13">
        <f ca="1">_xll.meDateFromTenor(G283,H$14,H$11,H$12)</f>
        <v>42926</v>
      </c>
      <c r="I283" s="98">
        <f ca="1"/>
        <v>-3.9908079442389664E-3</v>
      </c>
      <c r="J283" s="94" t="s">
        <v>4</v>
      </c>
      <c r="K283" s="100">
        <f ca="1">_xll.meDateFromTenor(K282,"1D","FOLLOWING",L$12)</f>
        <v>42894</v>
      </c>
      <c r="L283" s="13">
        <f ca="1">_xll.meDateFromTenor(K283,L$14,L$11,L$12)</f>
        <v>42986</v>
      </c>
      <c r="M283" s="98">
        <f ca="1"/>
        <v>-3.0590465164322994E-3</v>
      </c>
      <c r="N283" s="5" t="s">
        <v>4</v>
      </c>
      <c r="O283" s="100">
        <f ca="1">_xll.meDateFromTenor(O282,"1D","FOLLOWING",P$12)</f>
        <v>42894</v>
      </c>
      <c r="P283" s="13">
        <f ca="1">_xll.meDateFromTenor(O283,P$14,P$11,P$12)</f>
        <v>43077</v>
      </c>
      <c r="Q283" s="98">
        <f ca="1"/>
        <v>-1.741860904588041E-3</v>
      </c>
      <c r="R283" s="5" t="s">
        <v>4</v>
      </c>
      <c r="S283" s="100">
        <f ca="1">_xll.meDateFromTenor(S282,"1D","FOLLOWING",T$12)</f>
        <v>42894</v>
      </c>
      <c r="T283" s="13">
        <f ca="1">_xll.meDateFromTenor(S283,T$14,T$11,T$12)</f>
        <v>43259</v>
      </c>
      <c r="U283" s="98">
        <f ca="1"/>
        <v>-5.7004689303425494E-5</v>
      </c>
      <c r="V283" s="5" t="s">
        <v>4</v>
      </c>
      <c r="W283" s="84" t="s">
        <v>4</v>
      </c>
    </row>
    <row r="284" spans="1:23" x14ac:dyDescent="0.25">
      <c r="A284" s="90">
        <v>265</v>
      </c>
      <c r="B284" s="83"/>
      <c r="C284" s="100">
        <f ca="1">_xll.meDateFromTenor(C283,"1D","FOLLOWING",D$12)</f>
        <v>42895</v>
      </c>
      <c r="D284" s="13">
        <f ca="1">_xll.meDateFromTenor(C284,D$14,D$11,D$12)</f>
        <v>42898</v>
      </c>
      <c r="E284" s="98">
        <f ca="1"/>
        <v>-4.2135776650065329E-3</v>
      </c>
      <c r="F284" s="94"/>
      <c r="G284" s="100">
        <f ca="1">_xll.meDateFromTenor(G283,"1D","FOLLOWING",H$12)</f>
        <v>42895</v>
      </c>
      <c r="H284" s="13">
        <f ca="1">_xll.meDateFromTenor(G284,H$14,H$11,H$12)</f>
        <v>42926</v>
      </c>
      <c r="I284" s="98">
        <f ca="1"/>
        <v>-3.9918997326303393E-3</v>
      </c>
      <c r="J284" s="94" t="s">
        <v>4</v>
      </c>
      <c r="K284" s="100">
        <f ca="1">_xll.meDateFromTenor(K283,"1D","FOLLOWING",L$12)</f>
        <v>42895</v>
      </c>
      <c r="L284" s="13">
        <f ca="1">_xll.meDateFromTenor(K284,L$14,L$11,L$12)</f>
        <v>42989</v>
      </c>
      <c r="M284" s="98">
        <f ca="1"/>
        <v>-3.0605962592818044E-3</v>
      </c>
      <c r="N284" s="5" t="s">
        <v>4</v>
      </c>
      <c r="O284" s="100">
        <f ca="1">_xll.meDateFromTenor(O283,"1D","FOLLOWING",P$12)</f>
        <v>42895</v>
      </c>
      <c r="P284" s="13">
        <f ca="1">_xll.meDateFromTenor(O284,P$14,P$11,P$12)</f>
        <v>43080</v>
      </c>
      <c r="Q284" s="98">
        <f ca="1"/>
        <v>-1.7427531286482131E-3</v>
      </c>
      <c r="R284" s="5" t="s">
        <v>4</v>
      </c>
      <c r="S284" s="100">
        <f ca="1">_xll.meDateFromTenor(S283,"1D","FOLLOWING",T$12)</f>
        <v>42895</v>
      </c>
      <c r="T284" s="13">
        <f ca="1">_xll.meDateFromTenor(S284,T$14,T$11,T$12)</f>
        <v>43262</v>
      </c>
      <c r="U284" s="98">
        <f ca="1"/>
        <v>-5.5918162361435978E-5</v>
      </c>
      <c r="V284" s="5" t="s">
        <v>4</v>
      </c>
      <c r="W284" s="84" t="s">
        <v>4</v>
      </c>
    </row>
    <row r="285" spans="1:23" x14ac:dyDescent="0.25">
      <c r="A285" s="90">
        <v>266</v>
      </c>
      <c r="B285" s="83"/>
      <c r="C285" s="100">
        <f ca="1">_xll.meDateFromTenor(C284,"1D","FOLLOWING",D$12)</f>
        <v>42898</v>
      </c>
      <c r="D285" s="13">
        <f ca="1">_xll.meDateFromTenor(C285,D$14,D$11,D$12)</f>
        <v>42899</v>
      </c>
      <c r="E285" s="98">
        <f ca="1"/>
        <v>-4.2136794710234829E-3</v>
      </c>
      <c r="F285" s="94"/>
      <c r="G285" s="100">
        <f ca="1">_xll.meDateFromTenor(G284,"1D","FOLLOWING",H$12)</f>
        <v>42898</v>
      </c>
      <c r="H285" s="13">
        <f ca="1">_xll.meDateFromTenor(G285,H$14,H$11,H$12)</f>
        <v>42928</v>
      </c>
      <c r="I285" s="98">
        <f ca="1"/>
        <v>-3.9951057852604267E-3</v>
      </c>
      <c r="J285" s="94" t="s">
        <v>4</v>
      </c>
      <c r="K285" s="100">
        <f ca="1">_xll.meDateFromTenor(K284,"1D","FOLLOWING",L$12)</f>
        <v>42898</v>
      </c>
      <c r="L285" s="13">
        <f ca="1">_xll.meDateFromTenor(K285,L$14,L$11,L$12)</f>
        <v>42990</v>
      </c>
      <c r="M285" s="98">
        <f ca="1"/>
        <v>-3.0622439208814142E-3</v>
      </c>
      <c r="N285" s="5" t="s">
        <v>4</v>
      </c>
      <c r="O285" s="100">
        <f ca="1">_xll.meDateFromTenor(O284,"1D","FOLLOWING",P$12)</f>
        <v>42898</v>
      </c>
      <c r="P285" s="13">
        <f ca="1">_xll.meDateFromTenor(O285,P$14,P$11,P$12)</f>
        <v>43081</v>
      </c>
      <c r="Q285" s="98">
        <f ca="1"/>
        <v>-1.7453427709453063E-3</v>
      </c>
      <c r="R285" s="5" t="s">
        <v>4</v>
      </c>
      <c r="S285" s="100">
        <f ca="1">_xll.meDateFromTenor(S284,"1D","FOLLOWING",T$12)</f>
        <v>42898</v>
      </c>
      <c r="T285" s="13">
        <f ca="1">_xll.meDateFromTenor(S285,T$14,T$11,T$12)</f>
        <v>43263</v>
      </c>
      <c r="U285" s="98">
        <f ca="1"/>
        <v>-5.2618317324364407E-5</v>
      </c>
      <c r="V285" s="5" t="s">
        <v>4</v>
      </c>
      <c r="W285" s="84" t="s">
        <v>4</v>
      </c>
    </row>
    <row r="286" spans="1:23" x14ac:dyDescent="0.25">
      <c r="A286" s="90">
        <v>267</v>
      </c>
      <c r="B286" s="83"/>
      <c r="C286" s="100">
        <f ca="1">_xll.meDateFromTenor(C285,"1D","FOLLOWING",D$12)</f>
        <v>42899</v>
      </c>
      <c r="D286" s="13">
        <f ca="1">_xll.meDateFromTenor(C286,D$14,D$11,D$12)</f>
        <v>42900</v>
      </c>
      <c r="E286" s="98">
        <f ca="1"/>
        <v>-4.2137009969245446E-3</v>
      </c>
      <c r="F286" s="94"/>
      <c r="G286" s="100">
        <f ca="1">_xll.meDateFromTenor(G285,"1D","FOLLOWING",H$12)</f>
        <v>42899</v>
      </c>
      <c r="H286" s="13">
        <f ca="1">_xll.meDateFromTenor(G286,H$14,H$11,H$12)</f>
        <v>42929</v>
      </c>
      <c r="I286" s="98">
        <f ca="1"/>
        <v>-3.9961515986073701E-3</v>
      </c>
      <c r="J286" s="94" t="s">
        <v>4</v>
      </c>
      <c r="K286" s="100">
        <f ca="1">_xll.meDateFromTenor(K285,"1D","FOLLOWING",L$12)</f>
        <v>42899</v>
      </c>
      <c r="L286" s="13">
        <f ca="1">_xll.meDateFromTenor(K286,L$14,L$11,L$12)</f>
        <v>42991</v>
      </c>
      <c r="M286" s="98">
        <f ca="1"/>
        <v>-3.0629182289732076E-3</v>
      </c>
      <c r="N286" s="5" t="s">
        <v>4</v>
      </c>
      <c r="O286" s="100">
        <f ca="1">_xll.meDateFromTenor(O285,"1D","FOLLOWING",P$12)</f>
        <v>42899</v>
      </c>
      <c r="P286" s="13">
        <f ca="1">_xll.meDateFromTenor(O286,P$14,P$11,P$12)</f>
        <v>43082</v>
      </c>
      <c r="Q286" s="98">
        <f ca="1"/>
        <v>-1.7461769694520934E-3</v>
      </c>
      <c r="R286" s="5" t="s">
        <v>4</v>
      </c>
      <c r="S286" s="100">
        <f ca="1">_xll.meDateFromTenor(S285,"1D","FOLLOWING",T$12)</f>
        <v>42899</v>
      </c>
      <c r="T286" s="13">
        <f ca="1">_xll.meDateFromTenor(S286,T$14,T$11,T$12)</f>
        <v>43264</v>
      </c>
      <c r="U286" s="98">
        <f ca="1"/>
        <v>-5.1504913032665634E-5</v>
      </c>
      <c r="V286" s="5" t="s">
        <v>4</v>
      </c>
      <c r="W286" s="84" t="s">
        <v>4</v>
      </c>
    </row>
    <row r="287" spans="1:23" x14ac:dyDescent="0.25">
      <c r="A287" s="90">
        <v>268</v>
      </c>
      <c r="B287" s="83"/>
      <c r="C287" s="100">
        <f ca="1">_xll.meDateFromTenor(C286,"1D","FOLLOWING",D$12)</f>
        <v>42900</v>
      </c>
      <c r="D287" s="13">
        <f ca="1">_xll.meDateFromTenor(C287,D$14,D$11,D$12)</f>
        <v>42901</v>
      </c>
      <c r="E287" s="98">
        <f ca="1"/>
        <v>-4.2137196921299283E-3</v>
      </c>
      <c r="F287" s="94"/>
      <c r="G287" s="100">
        <f ca="1">_xll.meDateFromTenor(G286,"1D","FOLLOWING",H$12)</f>
        <v>42900</v>
      </c>
      <c r="H287" s="13">
        <f ca="1">_xll.meDateFromTenor(G287,H$14,H$11,H$12)</f>
        <v>42930</v>
      </c>
      <c r="I287" s="98">
        <f ca="1"/>
        <v>-3.997186093181903E-3</v>
      </c>
      <c r="J287" s="94" t="s">
        <v>4</v>
      </c>
      <c r="K287" s="100">
        <f ca="1">_xll.meDateFromTenor(K286,"1D","FOLLOWING",L$12)</f>
        <v>42900</v>
      </c>
      <c r="L287" s="13">
        <f ca="1">_xll.meDateFromTenor(K287,L$14,L$11,L$12)</f>
        <v>42992</v>
      </c>
      <c r="M287" s="98">
        <f ca="1"/>
        <v>-3.0636458652010326E-3</v>
      </c>
      <c r="N287" s="5" t="s">
        <v>4</v>
      </c>
      <c r="O287" s="100">
        <f ca="1">_xll.meDateFromTenor(O286,"1D","FOLLOWING",P$12)</f>
        <v>42900</v>
      </c>
      <c r="P287" s="13">
        <f ca="1">_xll.meDateFromTenor(O287,P$14,P$11,P$12)</f>
        <v>43083</v>
      </c>
      <c r="Q287" s="98">
        <f ca="1"/>
        <v>-1.7469966573472073E-3</v>
      </c>
      <c r="R287" s="5" t="s">
        <v>4</v>
      </c>
      <c r="S287" s="100">
        <f ca="1">_xll.meDateFromTenor(S286,"1D","FOLLOWING",T$12)</f>
        <v>42900</v>
      </c>
      <c r="T287" s="13">
        <f ca="1">_xll.meDateFromTenor(S287,T$14,T$11,T$12)</f>
        <v>43265</v>
      </c>
      <c r="U287" s="98">
        <f ca="1"/>
        <v>-5.0384763496808918E-5</v>
      </c>
      <c r="V287" s="5" t="s">
        <v>4</v>
      </c>
      <c r="W287" s="84" t="s">
        <v>4</v>
      </c>
    </row>
    <row r="288" spans="1:23" x14ac:dyDescent="0.25">
      <c r="A288" s="90">
        <v>269</v>
      </c>
      <c r="B288" s="83"/>
      <c r="C288" s="100">
        <f ca="1">_xll.meDateFromTenor(C287,"1D","FOLLOWING",D$12)</f>
        <v>42901</v>
      </c>
      <c r="D288" s="13">
        <f ca="1">_xll.meDateFromTenor(C288,D$14,D$11,D$12)</f>
        <v>42902</v>
      </c>
      <c r="E288" s="98">
        <f ca="1"/>
        <v>-4.2137355571192506E-3</v>
      </c>
      <c r="F288" s="94"/>
      <c r="G288" s="100">
        <f ca="1">_xll.meDateFromTenor(G287,"1D","FOLLOWING",H$12)</f>
        <v>42901</v>
      </c>
      <c r="H288" s="13">
        <f ca="1">_xll.meDateFromTenor(G288,H$14,H$11,H$12)</f>
        <v>42933</v>
      </c>
      <c r="I288" s="98">
        <f ca="1"/>
        <v>-3.9982093389795007E-3</v>
      </c>
      <c r="J288" s="94" t="s">
        <v>4</v>
      </c>
      <c r="K288" s="100">
        <f ca="1">_xll.meDateFromTenor(K287,"1D","FOLLOWING",L$12)</f>
        <v>42901</v>
      </c>
      <c r="L288" s="13">
        <f ca="1">_xll.meDateFromTenor(K288,L$14,L$11,L$12)</f>
        <v>42993</v>
      </c>
      <c r="M288" s="98">
        <f ca="1"/>
        <v>-3.0643803950437193E-3</v>
      </c>
      <c r="N288" s="5" t="s">
        <v>4</v>
      </c>
      <c r="O288" s="100">
        <f ca="1">_xll.meDateFromTenor(O287,"1D","FOLLOWING",P$12)</f>
        <v>42901</v>
      </c>
      <c r="P288" s="13">
        <f ca="1">_xll.meDateFromTenor(O288,P$14,P$11,P$12)</f>
        <v>43084</v>
      </c>
      <c r="Q288" s="98">
        <f ca="1"/>
        <v>-1.7478018329413168E-3</v>
      </c>
      <c r="R288" s="5" t="s">
        <v>4</v>
      </c>
      <c r="S288" s="100">
        <f ca="1">_xll.meDateFromTenor(S287,"1D","FOLLOWING",T$12)</f>
        <v>42901</v>
      </c>
      <c r="T288" s="13">
        <f ca="1">_xll.meDateFromTenor(S288,T$14,T$11,T$12)</f>
        <v>43266</v>
      </c>
      <c r="U288" s="98">
        <f ca="1"/>
        <v>-4.9257858354102164E-5</v>
      </c>
      <c r="V288" s="5" t="s">
        <v>4</v>
      </c>
      <c r="W288" s="84" t="s">
        <v>4</v>
      </c>
    </row>
    <row r="289" spans="1:23" x14ac:dyDescent="0.25">
      <c r="A289" s="90">
        <v>270</v>
      </c>
      <c r="B289" s="83"/>
      <c r="C289" s="100">
        <f ca="1">_xll.meDateFromTenor(C288,"1D","FOLLOWING",D$12)</f>
        <v>42902</v>
      </c>
      <c r="D289" s="13">
        <f ca="1">_xll.meDateFromTenor(C289,D$14,D$11,D$12)</f>
        <v>42905</v>
      </c>
      <c r="E289" s="98">
        <f ca="1"/>
        <v>-4.2137085310045711E-3</v>
      </c>
      <c r="F289" s="94"/>
      <c r="G289" s="100">
        <f ca="1">_xll.meDateFromTenor(G288,"1D","FOLLOWING",H$12)</f>
        <v>42902</v>
      </c>
      <c r="H289" s="13">
        <f ca="1">_xll.meDateFromTenor(G289,H$14,H$11,H$12)</f>
        <v>42933</v>
      </c>
      <c r="I289" s="98">
        <f ca="1"/>
        <v>-3.9992214059956432E-3</v>
      </c>
      <c r="J289" s="94" t="s">
        <v>4</v>
      </c>
      <c r="K289" s="100">
        <f ca="1">_xll.meDateFromTenor(K288,"1D","FOLLOWING",L$12)</f>
        <v>42902</v>
      </c>
      <c r="L289" s="13">
        <f ca="1">_xll.meDateFromTenor(K289,L$14,L$11,L$12)</f>
        <v>42996</v>
      </c>
      <c r="M289" s="98">
        <f ca="1"/>
        <v>-3.0650973511502687E-3</v>
      </c>
      <c r="N289" s="5" t="s">
        <v>4</v>
      </c>
      <c r="O289" s="100">
        <f ca="1">_xll.meDateFromTenor(O288,"1D","FOLLOWING",P$12)</f>
        <v>42902</v>
      </c>
      <c r="P289" s="13">
        <f ca="1">_xll.meDateFromTenor(O289,P$14,P$11,P$12)</f>
        <v>43087</v>
      </c>
      <c r="Q289" s="98">
        <f ca="1"/>
        <v>-1.7485924945450913E-3</v>
      </c>
      <c r="R289" s="5" t="s">
        <v>4</v>
      </c>
      <c r="S289" s="100">
        <f ca="1">_xll.meDateFromTenor(S288,"1D","FOLLOWING",T$12)</f>
        <v>42902</v>
      </c>
      <c r="T289" s="13">
        <f ca="1">_xll.meDateFromTenor(S289,T$14,T$11,T$12)</f>
        <v>43269</v>
      </c>
      <c r="U289" s="98">
        <f ca="1"/>
        <v>-4.8124187241853013E-5</v>
      </c>
      <c r="V289" s="5" t="s">
        <v>4</v>
      </c>
      <c r="W289" s="84" t="s">
        <v>4</v>
      </c>
    </row>
    <row r="290" spans="1:23" x14ac:dyDescent="0.25">
      <c r="A290" s="90">
        <v>271</v>
      </c>
      <c r="B290" s="83"/>
      <c r="C290" s="100">
        <f ca="1">_xll.meDateFromTenor(C289,"1D","FOLLOWING",D$12)</f>
        <v>42905</v>
      </c>
      <c r="D290" s="13">
        <f ca="1">_xll.meDateFromTenor(C290,D$14,D$11,D$12)</f>
        <v>42906</v>
      </c>
      <c r="E290" s="98">
        <f ca="1"/>
        <v>-4.213770714076596E-3</v>
      </c>
      <c r="F290" s="94"/>
      <c r="G290" s="100">
        <f ca="1">_xll.meDateFromTenor(G289,"1D","FOLLOWING",H$12)</f>
        <v>42905</v>
      </c>
      <c r="H290" s="13">
        <f ca="1">_xll.meDateFromTenor(G290,H$14,H$11,H$12)</f>
        <v>42935</v>
      </c>
      <c r="I290" s="98">
        <f ca="1"/>
        <v>-4.0021912343101169E-3</v>
      </c>
      <c r="J290" s="94" t="s">
        <v>4</v>
      </c>
      <c r="K290" s="100">
        <f ca="1">_xll.meDateFromTenor(K289,"1D","FOLLOWING",L$12)</f>
        <v>42905</v>
      </c>
      <c r="L290" s="13">
        <f ca="1">_xll.meDateFromTenor(K290,L$14,L$11,L$12)</f>
        <v>42997</v>
      </c>
      <c r="M290" s="98">
        <f ca="1"/>
        <v>-3.06689810354311E-3</v>
      </c>
      <c r="N290" s="5" t="s">
        <v>4</v>
      </c>
      <c r="O290" s="100">
        <f ca="1">_xll.meDateFromTenor(O289,"1D","FOLLOWING",P$12)</f>
        <v>42905</v>
      </c>
      <c r="P290" s="13">
        <f ca="1">_xll.meDateFromTenor(O290,P$14,P$11,P$12)</f>
        <v>43088</v>
      </c>
      <c r="Q290" s="98">
        <f ca="1"/>
        <v>-1.7508773785210943E-3</v>
      </c>
      <c r="R290" s="5" t="s">
        <v>4</v>
      </c>
      <c r="S290" s="100">
        <f ca="1">_xll.meDateFromTenor(S289,"1D","FOLLOWING",T$12)</f>
        <v>42905</v>
      </c>
      <c r="T290" s="13">
        <f ca="1">_xll.meDateFromTenor(S290,T$14,T$11,T$12)</f>
        <v>43270</v>
      </c>
      <c r="U290" s="98">
        <f ca="1"/>
        <v>-4.4682474460929472E-5</v>
      </c>
      <c r="V290" s="5" t="s">
        <v>4</v>
      </c>
      <c r="W290" s="84" t="s">
        <v>4</v>
      </c>
    </row>
    <row r="291" spans="1:23" x14ac:dyDescent="0.25">
      <c r="A291" s="90">
        <v>272</v>
      </c>
      <c r="B291" s="83"/>
      <c r="C291" s="100">
        <f ca="1">_xll.meDateFromTenor(C290,"1D","FOLLOWING",D$12)</f>
        <v>42906</v>
      </c>
      <c r="D291" s="13">
        <f ca="1">_xll.meDateFromTenor(C291,D$14,D$11,D$12)</f>
        <v>42907</v>
      </c>
      <c r="E291" s="98">
        <f ca="1"/>
        <v>-4.2137724285851311E-3</v>
      </c>
      <c r="F291" s="94"/>
      <c r="G291" s="100">
        <f ca="1">_xll.meDateFromTenor(G290,"1D","FOLLOWING",H$12)</f>
        <v>42906</v>
      </c>
      <c r="H291" s="13">
        <f ca="1">_xll.meDateFromTenor(G291,H$14,H$11,H$12)</f>
        <v>42936</v>
      </c>
      <c r="I291" s="98">
        <f ca="1"/>
        <v>-4.0031592861552176E-3</v>
      </c>
      <c r="J291" s="94" t="s">
        <v>4</v>
      </c>
      <c r="K291" s="100">
        <f ca="1">_xll.meDateFromTenor(K290,"1D","FOLLOWING",L$12)</f>
        <v>42906</v>
      </c>
      <c r="L291" s="13">
        <f ca="1">_xll.meDateFromTenor(K291,L$14,L$11,L$12)</f>
        <v>42998</v>
      </c>
      <c r="M291" s="98">
        <f ca="1"/>
        <v>-3.0673000911951263E-3</v>
      </c>
      <c r="N291" s="5" t="s">
        <v>4</v>
      </c>
      <c r="O291" s="100">
        <f ca="1">_xll.meDateFromTenor(O290,"1D","FOLLOWING",P$12)</f>
        <v>42906</v>
      </c>
      <c r="P291" s="13">
        <f ca="1">_xll.meDateFromTenor(O291,P$14,P$11,P$12)</f>
        <v>43089</v>
      </c>
      <c r="Q291" s="98">
        <f ca="1"/>
        <v>-1.7516099672702191E-3</v>
      </c>
      <c r="R291" s="5" t="s">
        <v>4</v>
      </c>
      <c r="S291" s="100">
        <f ca="1">_xll.meDateFromTenor(S290,"1D","FOLLOWING",T$12)</f>
        <v>42906</v>
      </c>
      <c r="T291" s="13">
        <f ca="1">_xll.meDateFromTenor(S291,T$14,T$11,T$12)</f>
        <v>43271</v>
      </c>
      <c r="U291" s="98">
        <f ca="1"/>
        <v>-4.3521635843588887E-5</v>
      </c>
      <c r="V291" s="5" t="s">
        <v>4</v>
      </c>
      <c r="W291" s="84" t="s">
        <v>4</v>
      </c>
    </row>
    <row r="292" spans="1:23" x14ac:dyDescent="0.25">
      <c r="A292" s="90">
        <v>273</v>
      </c>
      <c r="B292" s="83"/>
      <c r="C292" s="100">
        <f ca="1">_xll.meDateFromTenor(C291,"1D","FOLLOWING",D$12)</f>
        <v>42907</v>
      </c>
      <c r="D292" s="13">
        <f ca="1">_xll.meDateFromTenor(C292,D$14,D$11,D$12)</f>
        <v>42908</v>
      </c>
      <c r="E292" s="98">
        <f ca="1"/>
        <v>-4.213771313277285E-3</v>
      </c>
      <c r="F292" s="94"/>
      <c r="G292" s="100">
        <f ca="1">_xll.meDateFromTenor(G291,"1D","FOLLOWING",H$12)</f>
        <v>42907</v>
      </c>
      <c r="H292" s="13">
        <f ca="1">_xll.meDateFromTenor(G292,H$14,H$11,H$12)</f>
        <v>42937</v>
      </c>
      <c r="I292" s="98">
        <f ca="1"/>
        <v>-4.0041165091962531E-3</v>
      </c>
      <c r="J292" s="94" t="s">
        <v>4</v>
      </c>
      <c r="K292" s="100">
        <f ca="1">_xll.meDateFromTenor(K291,"1D","FOLLOWING",L$12)</f>
        <v>42907</v>
      </c>
      <c r="L292" s="13">
        <f ca="1">_xll.meDateFromTenor(K292,L$14,L$11,L$12)</f>
        <v>42999</v>
      </c>
      <c r="M292" s="98">
        <f ca="1"/>
        <v>-3.0675621683560134E-3</v>
      </c>
      <c r="N292" s="5" t="s">
        <v>4</v>
      </c>
      <c r="O292" s="100">
        <f ca="1">_xll.meDateFromTenor(O291,"1D","FOLLOWING",P$12)</f>
        <v>42907</v>
      </c>
      <c r="P292" s="13">
        <f ca="1">_xll.meDateFromTenor(O292,P$14,P$11,P$12)</f>
        <v>43090</v>
      </c>
      <c r="Q292" s="98">
        <f ca="1"/>
        <v>-1.7523280335823544E-3</v>
      </c>
      <c r="R292" s="5" t="s">
        <v>4</v>
      </c>
      <c r="S292" s="100">
        <f ca="1">_xll.meDateFromTenor(S291,"1D","FOLLOWING",T$12)</f>
        <v>42907</v>
      </c>
      <c r="T292" s="13">
        <f ca="1">_xll.meDateFromTenor(S292,T$14,T$11,T$12)</f>
        <v>43272</v>
      </c>
      <c r="U292" s="98">
        <f ca="1"/>
        <v>-4.2353979443244749E-5</v>
      </c>
      <c r="V292" s="5" t="s">
        <v>4</v>
      </c>
      <c r="W292" s="84" t="s">
        <v>4</v>
      </c>
    </row>
    <row r="293" spans="1:23" x14ac:dyDescent="0.25">
      <c r="A293" s="90">
        <v>274</v>
      </c>
      <c r="B293" s="83"/>
      <c r="C293" s="100">
        <f ca="1">_xll.meDateFromTenor(C292,"1D","FOLLOWING",D$12)</f>
        <v>42908</v>
      </c>
      <c r="D293" s="13">
        <f ca="1">_xll.meDateFromTenor(C293,D$14,D$11,D$12)</f>
        <v>42909</v>
      </c>
      <c r="E293" s="98">
        <f ca="1"/>
        <v>-4.21376736851277E-3</v>
      </c>
      <c r="F293" s="94"/>
      <c r="G293" s="100">
        <f ca="1">_xll.meDateFromTenor(G292,"1D","FOLLOWING",H$12)</f>
        <v>42908</v>
      </c>
      <c r="H293" s="13">
        <f ca="1">_xll.meDateFromTenor(G293,H$14,H$11,H$12)</f>
        <v>42940</v>
      </c>
      <c r="I293" s="98">
        <f ca="1"/>
        <v>-4.0050629734287033E-3</v>
      </c>
      <c r="J293" s="94" t="s">
        <v>4</v>
      </c>
      <c r="K293" s="100">
        <f ca="1">_xll.meDateFromTenor(K292,"1D","FOLLOWING",L$12)</f>
        <v>42908</v>
      </c>
      <c r="L293" s="13">
        <f ca="1">_xll.meDateFromTenor(K293,L$14,L$11,L$12)</f>
        <v>43000</v>
      </c>
      <c r="M293" s="98">
        <f ca="1"/>
        <v>-3.0676813141292873E-3</v>
      </c>
      <c r="N293" s="5" t="s">
        <v>4</v>
      </c>
      <c r="O293" s="100">
        <f ca="1">_xll.meDateFromTenor(O292,"1D","FOLLOWING",P$12)</f>
        <v>42908</v>
      </c>
      <c r="P293" s="13">
        <f ca="1">_xll.meDateFromTenor(O293,P$14,P$11,P$12)</f>
        <v>43091</v>
      </c>
      <c r="Q293" s="98">
        <f ca="1"/>
        <v>-1.753031575768169E-3</v>
      </c>
      <c r="R293" s="5" t="s">
        <v>4</v>
      </c>
      <c r="S293" s="100">
        <f ca="1">_xll.meDateFromTenor(S292,"1D","FOLLOWING",T$12)</f>
        <v>42908</v>
      </c>
      <c r="T293" s="13">
        <f ca="1">_xll.meDateFromTenor(S293,T$14,T$11,T$12)</f>
        <v>43273</v>
      </c>
      <c r="U293" s="98">
        <f ca="1"/>
        <v>-4.1179494897205051E-5</v>
      </c>
      <c r="V293" s="5" t="s">
        <v>4</v>
      </c>
      <c r="W293" s="84" t="s">
        <v>4</v>
      </c>
    </row>
    <row r="294" spans="1:23" x14ac:dyDescent="0.25">
      <c r="A294" s="90">
        <v>275</v>
      </c>
      <c r="B294" s="83"/>
      <c r="C294" s="100">
        <f ca="1">_xll.meDateFromTenor(C293,"1D","FOLLOWING",D$12)</f>
        <v>42909</v>
      </c>
      <c r="D294" s="13">
        <f ca="1">_xll.meDateFromTenor(C294,D$14,D$11,D$12)</f>
        <v>42912</v>
      </c>
      <c r="E294" s="98">
        <f ca="1"/>
        <v>-4.2137007265674745E-3</v>
      </c>
      <c r="F294" s="94"/>
      <c r="G294" s="100">
        <f ca="1">_xll.meDateFromTenor(G293,"1D","FOLLOWING",H$12)</f>
        <v>42909</v>
      </c>
      <c r="H294" s="13">
        <f ca="1">_xll.meDateFromTenor(G294,H$14,H$11,H$12)</f>
        <v>42940</v>
      </c>
      <c r="I294" s="98">
        <f ca="1"/>
        <v>-4.0059987488480428E-3</v>
      </c>
      <c r="J294" s="94" t="s">
        <v>4</v>
      </c>
      <c r="K294" s="100">
        <f ca="1">_xll.meDateFromTenor(K293,"1D","FOLLOWING",L$12)</f>
        <v>42909</v>
      </c>
      <c r="L294" s="13">
        <f ca="1">_xll.meDateFromTenor(K294,L$14,L$11,L$12)</f>
        <v>43003</v>
      </c>
      <c r="M294" s="98">
        <f ca="1"/>
        <v>-3.0677402934365231E-3</v>
      </c>
      <c r="N294" s="5" t="s">
        <v>4</v>
      </c>
      <c r="O294" s="100">
        <f ca="1">_xll.meDateFromTenor(O293,"1D","FOLLOWING",P$12)</f>
        <v>42909</v>
      </c>
      <c r="P294" s="13">
        <f ca="1">_xll.meDateFromTenor(O294,P$14,P$11,P$12)</f>
        <v>43096</v>
      </c>
      <c r="Q294" s="98">
        <f ca="1"/>
        <v>-1.7537205921383321E-3</v>
      </c>
      <c r="R294" s="5" t="s">
        <v>4</v>
      </c>
      <c r="S294" s="100">
        <f ca="1">_xll.meDateFromTenor(S293,"1D","FOLLOWING",T$12)</f>
        <v>42909</v>
      </c>
      <c r="T294" s="13">
        <f ca="1">_xll.meDateFromTenor(S294,T$14,T$11,T$12)</f>
        <v>43276</v>
      </c>
      <c r="U294" s="98">
        <f ca="1"/>
        <v>-3.9998171842777359E-5</v>
      </c>
      <c r="V294" s="5" t="s">
        <v>4</v>
      </c>
      <c r="W294" s="84" t="s">
        <v>4</v>
      </c>
    </row>
    <row r="295" spans="1:23" x14ac:dyDescent="0.25">
      <c r="A295" s="90">
        <v>276</v>
      </c>
      <c r="B295" s="83"/>
      <c r="C295" s="100">
        <f ca="1">_xll.meDateFromTenor(C294,"1D","FOLLOWING",D$12)</f>
        <v>42912</v>
      </c>
      <c r="D295" s="13">
        <f ca="1">_xll.meDateFromTenor(C295,D$14,D$11,D$12)</f>
        <v>42913</v>
      </c>
      <c r="E295" s="98">
        <f ca="1"/>
        <v>-4.2137232964867414E-3</v>
      </c>
      <c r="F295" s="94"/>
      <c r="G295" s="100">
        <f ca="1">_xll.meDateFromTenor(G294,"1D","FOLLOWING",H$12)</f>
        <v>42912</v>
      </c>
      <c r="H295" s="13">
        <f ca="1">_xll.meDateFromTenor(G295,H$14,H$11,H$12)</f>
        <v>42942</v>
      </c>
      <c r="I295" s="98">
        <f ca="1"/>
        <v>-4.0087426421821937E-3</v>
      </c>
      <c r="J295" s="94" t="s">
        <v>4</v>
      </c>
      <c r="K295" s="100">
        <f ca="1">_xll.meDateFromTenor(K294,"1D","FOLLOWING",L$12)</f>
        <v>42912</v>
      </c>
      <c r="L295" s="13">
        <f ca="1">_xll.meDateFromTenor(K295,L$14,L$11,L$12)</f>
        <v>43004</v>
      </c>
      <c r="M295" s="98">
        <f ca="1"/>
        <v>-3.0680096409362416E-3</v>
      </c>
      <c r="N295" s="5" t="s">
        <v>4</v>
      </c>
      <c r="O295" s="100">
        <f ca="1">_xll.meDateFromTenor(O294,"1D","FOLLOWING",P$12)</f>
        <v>42912</v>
      </c>
      <c r="P295" s="13">
        <f ca="1">_xll.meDateFromTenor(O295,P$14,P$11,P$12)</f>
        <v>43096</v>
      </c>
      <c r="Q295" s="98">
        <f ca="1"/>
        <v>-1.755700469461605E-3</v>
      </c>
      <c r="R295" s="5" t="s">
        <v>4</v>
      </c>
      <c r="S295" s="100">
        <f ca="1">_xll.meDateFromTenor(S294,"1D","FOLLOWING",T$12)</f>
        <v>42912</v>
      </c>
      <c r="T295" s="13">
        <f ca="1">_xll.meDateFromTenor(S295,T$14,T$11,T$12)</f>
        <v>43277</v>
      </c>
      <c r="U295" s="98">
        <f ca="1"/>
        <v>-3.6413068002244764E-5</v>
      </c>
      <c r="V295" s="5" t="s">
        <v>4</v>
      </c>
      <c r="W295" s="84" t="s">
        <v>4</v>
      </c>
    </row>
    <row r="296" spans="1:23" x14ac:dyDescent="0.25">
      <c r="A296" s="90">
        <v>277</v>
      </c>
      <c r="B296" s="83"/>
      <c r="C296" s="100">
        <f ca="1">_xll.meDateFromTenor(C295,"1D","FOLLOWING",D$12)</f>
        <v>42913</v>
      </c>
      <c r="D296" s="13">
        <f ca="1">_xll.meDateFromTenor(C296,D$14,D$11,D$12)</f>
        <v>42914</v>
      </c>
      <c r="E296" s="98">
        <f ca="1"/>
        <v>-4.2137052060376027E-3</v>
      </c>
      <c r="F296" s="94"/>
      <c r="G296" s="100">
        <f ca="1">_xll.meDateFromTenor(G295,"1D","FOLLOWING",H$12)</f>
        <v>42913</v>
      </c>
      <c r="H296" s="13">
        <f ca="1">_xll.meDateFromTenor(G296,H$14,H$11,H$12)</f>
        <v>42943</v>
      </c>
      <c r="I296" s="98">
        <f ca="1"/>
        <v>-4.0096363623038809E-3</v>
      </c>
      <c r="J296" s="94" t="s">
        <v>4</v>
      </c>
      <c r="K296" s="100">
        <f ca="1">_xll.meDateFromTenor(K295,"1D","FOLLOWING",L$12)</f>
        <v>42913</v>
      </c>
      <c r="L296" s="13">
        <f ca="1">_xll.meDateFromTenor(K296,L$14,L$11,L$12)</f>
        <v>43005</v>
      </c>
      <c r="M296" s="98">
        <f ca="1"/>
        <v>-3.0680965435975426E-3</v>
      </c>
      <c r="N296" s="5" t="s">
        <v>4</v>
      </c>
      <c r="O296" s="100">
        <f ca="1">_xll.meDateFromTenor(O295,"1D","FOLLOWING",P$12)</f>
        <v>42913</v>
      </c>
      <c r="P296" s="13">
        <f ca="1">_xll.meDateFromTenor(O296,P$14,P$11,P$12)</f>
        <v>43096</v>
      </c>
      <c r="Q296" s="98">
        <f ca="1"/>
        <v>-1.7563313656758538E-3</v>
      </c>
      <c r="R296" s="5" t="s">
        <v>4</v>
      </c>
      <c r="S296" s="100">
        <f ca="1">_xll.meDateFromTenor(S295,"1D","FOLLOWING",T$12)</f>
        <v>42913</v>
      </c>
      <c r="T296" s="13">
        <f ca="1">_xll.meDateFromTenor(S296,T$14,T$11,T$12)</f>
        <v>43278</v>
      </c>
      <c r="U296" s="98">
        <f ca="1"/>
        <v>-3.5204287287343353E-5</v>
      </c>
      <c r="V296" s="5" t="s">
        <v>4</v>
      </c>
      <c r="W296" s="84" t="s">
        <v>4</v>
      </c>
    </row>
    <row r="297" spans="1:23" x14ac:dyDescent="0.25">
      <c r="A297" s="90">
        <v>278</v>
      </c>
      <c r="B297" s="83"/>
      <c r="C297" s="100">
        <f ca="1">_xll.meDateFromTenor(C296,"1D","FOLLOWING",D$12)</f>
        <v>42914</v>
      </c>
      <c r="D297" s="13">
        <f ca="1">_xll.meDateFromTenor(C297,D$14,D$11,D$12)</f>
        <v>42915</v>
      </c>
      <c r="E297" s="98">
        <f ca="1"/>
        <v>-4.2136842865311388E-3</v>
      </c>
      <c r="F297" s="94"/>
      <c r="G297" s="100">
        <f ca="1">_xll.meDateFromTenor(G296,"1D","FOLLOWING",H$12)</f>
        <v>42914</v>
      </c>
      <c r="H297" s="13">
        <f ca="1">_xll.meDateFromTenor(G297,H$14,H$11,H$12)</f>
        <v>42944</v>
      </c>
      <c r="I297" s="98">
        <f ca="1"/>
        <v>-4.0105197435898491E-3</v>
      </c>
      <c r="J297" s="94" t="s">
        <v>4</v>
      </c>
      <c r="K297" s="100">
        <f ca="1">_xll.meDateFromTenor(K296,"1D","FOLLOWING",L$12)</f>
        <v>42914</v>
      </c>
      <c r="L297" s="13">
        <f ca="1">_xll.meDateFromTenor(K297,L$14,L$11,L$12)</f>
        <v>43006</v>
      </c>
      <c r="M297" s="98">
        <f ca="1"/>
        <v>-3.0681850273999761E-3</v>
      </c>
      <c r="N297" s="5" t="s">
        <v>4</v>
      </c>
      <c r="O297" s="100">
        <f ca="1">_xll.meDateFromTenor(O296,"1D","FOLLOWING",P$12)</f>
        <v>42914</v>
      </c>
      <c r="P297" s="13">
        <f ca="1">_xll.meDateFromTenor(O297,P$14,P$11,P$12)</f>
        <v>43097</v>
      </c>
      <c r="Q297" s="98">
        <f ca="1"/>
        <v>-1.756947727627797E-3</v>
      </c>
      <c r="R297" s="5" t="s">
        <v>4</v>
      </c>
      <c r="S297" s="100">
        <f ca="1">_xll.meDateFromTenor(S296,"1D","FOLLOWING",T$12)</f>
        <v>42914</v>
      </c>
      <c r="T297" s="13">
        <f ca="1">_xll.meDateFromTenor(S297,T$14,T$11,T$12)</f>
        <v>43279</v>
      </c>
      <c r="U297" s="98">
        <f ca="1"/>
        <v>-3.3988616250592806E-5</v>
      </c>
      <c r="V297" s="5" t="s">
        <v>4</v>
      </c>
      <c r="W297" s="84" t="s">
        <v>4</v>
      </c>
    </row>
    <row r="298" spans="1:23" x14ac:dyDescent="0.25">
      <c r="A298" s="90">
        <v>279</v>
      </c>
      <c r="B298" s="83"/>
      <c r="C298" s="100">
        <f ca="1">_xll.meDateFromTenor(C297,"1D","FOLLOWING",D$12)</f>
        <v>42915</v>
      </c>
      <c r="D298" s="13">
        <f ca="1">_xll.meDateFromTenor(C298,D$14,D$11,D$12)</f>
        <v>42916</v>
      </c>
      <c r="E298" s="98">
        <f ca="1"/>
        <v>-4.2136605388476559E-3</v>
      </c>
      <c r="F298" s="94"/>
      <c r="G298" s="100">
        <f ca="1">_xll.meDateFromTenor(G297,"1D","FOLLOWING",H$12)</f>
        <v>42915</v>
      </c>
      <c r="H298" s="13">
        <f ca="1">_xll.meDateFromTenor(G298,H$14,H$11,H$12)</f>
        <v>42947</v>
      </c>
      <c r="I298" s="98">
        <f ca="1"/>
        <v>-4.01139285603558E-3</v>
      </c>
      <c r="J298" s="94" t="s">
        <v>4</v>
      </c>
      <c r="K298" s="100">
        <f ca="1">_xll.meDateFromTenor(K297,"1D","FOLLOWING",L$12)</f>
        <v>42915</v>
      </c>
      <c r="L298" s="13">
        <f ca="1">_xll.meDateFromTenor(K298,L$14,L$11,L$12)</f>
        <v>43007</v>
      </c>
      <c r="M298" s="98">
        <f ca="1"/>
        <v>-3.0682746686780523E-3</v>
      </c>
      <c r="N298" s="5" t="s">
        <v>4</v>
      </c>
      <c r="O298" s="100">
        <f ca="1">_xll.meDateFromTenor(O297,"1D","FOLLOWING",P$12)</f>
        <v>42915</v>
      </c>
      <c r="P298" s="13">
        <f ca="1">_xll.meDateFromTenor(O298,P$14,P$11,P$12)</f>
        <v>43098</v>
      </c>
      <c r="Q298" s="98">
        <f ca="1"/>
        <v>-1.7575495536281032E-3</v>
      </c>
      <c r="R298" s="5" t="s">
        <v>4</v>
      </c>
      <c r="S298" s="100">
        <f ca="1">_xll.meDateFromTenor(S297,"1D","FOLLOWING",T$12)</f>
        <v>42915</v>
      </c>
      <c r="T298" s="13">
        <f ca="1">_xll.meDateFromTenor(S298,T$14,T$11,T$12)</f>
        <v>43280</v>
      </c>
      <c r="U298" s="98">
        <f ca="1"/>
        <v>-3.2766044529301129E-5</v>
      </c>
      <c r="V298" s="5" t="s">
        <v>4</v>
      </c>
      <c r="W298" s="84" t="s">
        <v>4</v>
      </c>
    </row>
    <row r="299" spans="1:23" x14ac:dyDescent="0.25">
      <c r="A299" s="90">
        <v>280</v>
      </c>
      <c r="B299" s="83"/>
      <c r="C299" s="100">
        <f ca="1">_xll.meDateFromTenor(C298,"1D","FOLLOWING",D$12)</f>
        <v>42916</v>
      </c>
      <c r="D299" s="13">
        <f ca="1">_xll.meDateFromTenor(C299,D$14,D$11,D$12)</f>
        <v>42919</v>
      </c>
      <c r="E299" s="98">
        <f ca="1"/>
        <v>-4.213554297138892E-3</v>
      </c>
      <c r="F299" s="94"/>
      <c r="G299" s="100">
        <f ca="1">_xll.meDateFromTenor(G298,"1D","FOLLOWING",H$12)</f>
        <v>42916</v>
      </c>
      <c r="H299" s="13">
        <f ca="1">_xll.meDateFromTenor(G299,H$14,H$11,H$12)</f>
        <v>42947</v>
      </c>
      <c r="I299" s="98">
        <f ca="1"/>
        <v>-4.0122557696365474E-3</v>
      </c>
      <c r="J299" s="94" t="s">
        <v>4</v>
      </c>
      <c r="K299" s="100">
        <f ca="1">_xll.meDateFromTenor(K298,"1D","FOLLOWING",L$12)</f>
        <v>42916</v>
      </c>
      <c r="L299" s="13">
        <f ca="1">_xll.meDateFromTenor(K299,L$14,L$11,L$12)</f>
        <v>43007</v>
      </c>
      <c r="M299" s="98">
        <f ca="1"/>
        <v>-3.0683638862906391E-3</v>
      </c>
      <c r="N299" s="5" t="s">
        <v>4</v>
      </c>
      <c r="O299" s="100">
        <f ca="1">_xll.meDateFromTenor(O298,"1D","FOLLOWING",P$12)</f>
        <v>42916</v>
      </c>
      <c r="P299" s="13">
        <f ca="1">_xll.meDateFromTenor(O299,P$14,P$11,P$12)</f>
        <v>43098</v>
      </c>
      <c r="Q299" s="98">
        <f ca="1"/>
        <v>-1.758136841987442E-3</v>
      </c>
      <c r="R299" s="5" t="s">
        <v>4</v>
      </c>
      <c r="S299" s="100">
        <f ca="1">_xll.meDateFromTenor(S298,"1D","FOLLOWING",T$12)</f>
        <v>42916</v>
      </c>
      <c r="T299" s="13">
        <f ca="1">_xll.meDateFromTenor(S299,T$14,T$11,T$12)</f>
        <v>43280</v>
      </c>
      <c r="U299" s="98">
        <f ca="1"/>
        <v>-3.1536561760775847E-5</v>
      </c>
      <c r="V299" s="5" t="s">
        <v>4</v>
      </c>
      <c r="W299" s="84" t="s">
        <v>4</v>
      </c>
    </row>
    <row r="300" spans="1:23" x14ac:dyDescent="0.25">
      <c r="A300" s="90">
        <v>281</v>
      </c>
      <c r="B300" s="83"/>
      <c r="C300" s="100">
        <f ca="1">_xll.meDateFromTenor(C299,"1D","FOLLOWING",D$12)</f>
        <v>42919</v>
      </c>
      <c r="D300" s="13">
        <f ca="1">_xll.meDateFromTenor(C300,D$14,D$11,D$12)</f>
        <v>42920</v>
      </c>
      <c r="E300" s="98">
        <f ca="1"/>
        <v>-4.2135372634977278E-3</v>
      </c>
      <c r="F300" s="94"/>
      <c r="G300" s="100">
        <f ca="1">_xll.meDateFromTenor(G299,"1D","FOLLOWING",H$12)</f>
        <v>42919</v>
      </c>
      <c r="H300" s="13">
        <f ca="1">_xll.meDateFromTenor(G300,H$14,H$11,H$12)</f>
        <v>42950</v>
      </c>
      <c r="I300" s="98">
        <f ca="1"/>
        <v>-4.014784017325663E-3</v>
      </c>
      <c r="J300" s="94" t="s">
        <v>4</v>
      </c>
      <c r="K300" s="100">
        <f ca="1">_xll.meDateFromTenor(K299,"1D","FOLLOWING",L$12)</f>
        <v>42919</v>
      </c>
      <c r="L300" s="13">
        <f ca="1">_xll.meDateFromTenor(K300,L$14,L$11,L$12)</f>
        <v>43011</v>
      </c>
      <c r="M300" s="98">
        <f ca="1"/>
        <v>-3.0686309188390714E-3</v>
      </c>
      <c r="N300" s="5" t="s">
        <v>4</v>
      </c>
      <c r="O300" s="100">
        <f ca="1">_xll.meDateFromTenor(O299,"1D","FOLLOWING",P$12)</f>
        <v>42919</v>
      </c>
      <c r="P300" s="13">
        <f ca="1">_xll.meDateFromTenor(O300,P$14,P$11,P$12)</f>
        <v>43103</v>
      </c>
      <c r="Q300" s="98">
        <f ca="1"/>
        <v>-1.7598114643263441E-3</v>
      </c>
      <c r="R300" s="5" t="s">
        <v>4</v>
      </c>
      <c r="S300" s="100">
        <f ca="1">_xll.meDateFromTenor(S299,"1D","FOLLOWING",T$12)</f>
        <v>42919</v>
      </c>
      <c r="T300" s="13">
        <f ca="1">_xll.meDateFromTenor(S300,T$14,T$11,T$12)</f>
        <v>43284</v>
      </c>
      <c r="U300" s="98">
        <f ca="1"/>
        <v>-2.7806543544877216E-5</v>
      </c>
      <c r="V300" s="5" t="s">
        <v>4</v>
      </c>
      <c r="W300" s="84" t="s">
        <v>4</v>
      </c>
    </row>
    <row r="301" spans="1:23" x14ac:dyDescent="0.25">
      <c r="A301" s="90">
        <v>282</v>
      </c>
      <c r="B301" s="83"/>
      <c r="C301" s="100">
        <f ca="1">_xll.meDateFromTenor(C300,"1D","FOLLOWING",D$12)</f>
        <v>42920</v>
      </c>
      <c r="D301" s="13">
        <f ca="1">_xll.meDateFromTenor(C301,D$14,D$11,D$12)</f>
        <v>42921</v>
      </c>
      <c r="E301" s="98">
        <f ca="1"/>
        <v>-4.213499374565736E-3</v>
      </c>
      <c r="F301" s="94"/>
      <c r="G301" s="100">
        <f ca="1">_xll.meDateFromTenor(G300,"1D","FOLLOWING",H$12)</f>
        <v>42920</v>
      </c>
      <c r="H301" s="13">
        <f ca="1">_xll.meDateFromTenor(G301,H$14,H$11,H$12)</f>
        <v>42951</v>
      </c>
      <c r="I301" s="98">
        <f ca="1"/>
        <v>-4.0156067979814566E-3</v>
      </c>
      <c r="J301" s="94" t="s">
        <v>4</v>
      </c>
      <c r="K301" s="100">
        <f ca="1">_xll.meDateFromTenor(K300,"1D","FOLLOWING",L$12)</f>
        <v>42920</v>
      </c>
      <c r="L301" s="13">
        <f ca="1">_xll.meDateFromTenor(K301,L$14,L$11,L$12)</f>
        <v>43012</v>
      </c>
      <c r="M301" s="98">
        <f ca="1"/>
        <v>-3.0687199925130185E-3</v>
      </c>
      <c r="N301" s="5" t="s">
        <v>4</v>
      </c>
      <c r="O301" s="100">
        <f ca="1">_xll.meDateFromTenor(O300,"1D","FOLLOWING",P$12)</f>
        <v>42920</v>
      </c>
      <c r="P301" s="13">
        <f ca="1">_xll.meDateFromTenor(O301,P$14,P$11,P$12)</f>
        <v>43104</v>
      </c>
      <c r="Q301" s="98">
        <f ca="1"/>
        <v>-1.7603405852285037E-3</v>
      </c>
      <c r="R301" s="5" t="s">
        <v>4</v>
      </c>
      <c r="S301" s="100">
        <f ca="1">_xll.meDateFromTenor(S300,"1D","FOLLOWING",T$12)</f>
        <v>42920</v>
      </c>
      <c r="T301" s="13">
        <f ca="1">_xll.meDateFromTenor(S301,T$14,T$11,T$12)</f>
        <v>43285</v>
      </c>
      <c r="U301" s="98">
        <f ca="1"/>
        <v>-2.6549312960495815E-5</v>
      </c>
      <c r="V301" s="5" t="s">
        <v>4</v>
      </c>
      <c r="W301" s="84" t="s">
        <v>4</v>
      </c>
    </row>
    <row r="302" spans="1:23" x14ac:dyDescent="0.25">
      <c r="A302" s="90">
        <v>283</v>
      </c>
      <c r="B302" s="83"/>
      <c r="C302" s="100">
        <f ca="1">_xll.meDateFromTenor(C301,"1D","FOLLOWING",D$12)</f>
        <v>42921</v>
      </c>
      <c r="D302" s="13">
        <f ca="1">_xll.meDateFromTenor(C302,D$14,D$11,D$12)</f>
        <v>42922</v>
      </c>
      <c r="E302" s="98">
        <f ca="1"/>
        <v>-4.2134586576958602E-3</v>
      </c>
      <c r="F302" s="94"/>
      <c r="G302" s="100">
        <f ca="1">_xll.meDateFromTenor(G301,"1D","FOLLOWING",H$12)</f>
        <v>42921</v>
      </c>
      <c r="H302" s="13">
        <f ca="1">_xll.meDateFromTenor(G302,H$14,H$11,H$12)</f>
        <v>42954</v>
      </c>
      <c r="I302" s="98">
        <f ca="1"/>
        <v>-4.0164195046444272E-3</v>
      </c>
      <c r="J302" s="94" t="s">
        <v>4</v>
      </c>
      <c r="K302" s="100">
        <f ca="1">_xll.meDateFromTenor(K301,"1D","FOLLOWING",L$12)</f>
        <v>42921</v>
      </c>
      <c r="L302" s="13">
        <f ca="1">_xll.meDateFromTenor(K302,L$14,L$11,L$12)</f>
        <v>43013</v>
      </c>
      <c r="M302" s="98">
        <f ca="1"/>
        <v>-3.0688090439195811E-3</v>
      </c>
      <c r="N302" s="5" t="s">
        <v>4</v>
      </c>
      <c r="O302" s="100">
        <f ca="1">_xll.meDateFromTenor(O301,"1D","FOLLOWING",P$12)</f>
        <v>42921</v>
      </c>
      <c r="P302" s="13">
        <f ca="1">_xll.meDateFromTenor(O302,P$14,P$11,P$12)</f>
        <v>43105</v>
      </c>
      <c r="Q302" s="98">
        <f ca="1"/>
        <v>-1.7608551600430413E-3</v>
      </c>
      <c r="R302" s="5" t="s">
        <v>4</v>
      </c>
      <c r="S302" s="100">
        <f ca="1">_xll.meDateFromTenor(S301,"1D","FOLLOWING",T$12)</f>
        <v>42921</v>
      </c>
      <c r="T302" s="13">
        <f ca="1">_xll.meDateFromTenor(S302,T$14,T$11,T$12)</f>
        <v>43286</v>
      </c>
      <c r="U302" s="98">
        <f ca="1"/>
        <v>-2.5285119515419845E-5</v>
      </c>
      <c r="V302" s="5" t="s">
        <v>4</v>
      </c>
      <c r="W302" s="84" t="s">
        <v>4</v>
      </c>
    </row>
    <row r="303" spans="1:23" x14ac:dyDescent="0.25">
      <c r="A303" s="90">
        <v>284</v>
      </c>
      <c r="B303" s="83"/>
      <c r="C303" s="100">
        <f ca="1">_xll.meDateFromTenor(C302,"1D","FOLLOWING",D$12)</f>
        <v>42922</v>
      </c>
      <c r="D303" s="13">
        <f ca="1">_xll.meDateFromTenor(C303,D$14,D$11,D$12)</f>
        <v>42923</v>
      </c>
      <c r="E303" s="98">
        <f ca="1"/>
        <v>-4.2134151131678768E-3</v>
      </c>
      <c r="F303" s="94"/>
      <c r="G303" s="100">
        <f ca="1">_xll.meDateFromTenor(G302,"1D","FOLLOWING",H$12)</f>
        <v>42922</v>
      </c>
      <c r="H303" s="13">
        <f ca="1">_xll.meDateFromTenor(G303,H$14,H$11,H$12)</f>
        <v>42954</v>
      </c>
      <c r="I303" s="98">
        <f ca="1"/>
        <v>-4.0172219821845989E-3</v>
      </c>
      <c r="J303" s="94" t="s">
        <v>4</v>
      </c>
      <c r="K303" s="100">
        <f ca="1">_xll.meDateFromTenor(K302,"1D","FOLLOWING",L$12)</f>
        <v>42922</v>
      </c>
      <c r="L303" s="13">
        <f ca="1">_xll.meDateFromTenor(K303,L$14,L$11,L$12)</f>
        <v>43014</v>
      </c>
      <c r="M303" s="98">
        <f ca="1"/>
        <v>-3.0688981034765724E-3</v>
      </c>
      <c r="N303" s="5" t="s">
        <v>4</v>
      </c>
      <c r="O303" s="100">
        <f ca="1">_xll.meDateFromTenor(O302,"1D","FOLLOWING",P$12)</f>
        <v>42922</v>
      </c>
      <c r="P303" s="13">
        <f ca="1">_xll.meDateFromTenor(O303,P$14,P$11,P$12)</f>
        <v>43108</v>
      </c>
      <c r="Q303" s="98">
        <f ca="1"/>
        <v>-1.7613551870806258E-3</v>
      </c>
      <c r="R303" s="5" t="s">
        <v>4</v>
      </c>
      <c r="S303" s="100">
        <f ca="1">_xll.meDateFromTenor(S302,"1D","FOLLOWING",T$12)</f>
        <v>42922</v>
      </c>
      <c r="T303" s="13">
        <f ca="1">_xll.meDateFromTenor(S303,T$14,T$11,T$12)</f>
        <v>43287</v>
      </c>
      <c r="U303" s="98">
        <f ca="1"/>
        <v>-2.4013952846957141E-5</v>
      </c>
      <c r="V303" s="5" t="s">
        <v>4</v>
      </c>
      <c r="W303" s="84" t="s">
        <v>4</v>
      </c>
    </row>
    <row r="304" spans="1:23" x14ac:dyDescent="0.25">
      <c r="A304" s="90">
        <v>285</v>
      </c>
      <c r="B304" s="83"/>
      <c r="C304" s="100">
        <f ca="1">_xll.meDateFromTenor(C303,"1D","FOLLOWING",D$12)</f>
        <v>42923</v>
      </c>
      <c r="D304" s="13">
        <f ca="1">_xll.meDateFromTenor(C304,D$14,D$11,D$12)</f>
        <v>42926</v>
      </c>
      <c r="E304" s="98">
        <f ca="1"/>
        <v>-4.2132692880825365E-3</v>
      </c>
      <c r="F304" s="94"/>
      <c r="G304" s="100">
        <f ca="1">_xll.meDateFromTenor(G303,"1D","FOLLOWING",H$12)</f>
        <v>42923</v>
      </c>
      <c r="H304" s="13">
        <f ca="1">_xll.meDateFromTenor(G304,H$14,H$11,H$12)</f>
        <v>42954</v>
      </c>
      <c r="I304" s="98">
        <f ca="1"/>
        <v>-4.018014075471997E-3</v>
      </c>
      <c r="J304" s="94" t="s">
        <v>4</v>
      </c>
      <c r="K304" s="100">
        <f ca="1">_xll.meDateFromTenor(K303,"1D","FOLLOWING",L$12)</f>
        <v>42923</v>
      </c>
      <c r="L304" s="13">
        <f ca="1">_xll.meDateFromTenor(K304,L$14,L$11,L$12)</f>
        <v>43017</v>
      </c>
      <c r="M304" s="98">
        <f ca="1"/>
        <v>-3.0689871690000908E-3</v>
      </c>
      <c r="N304" s="5" t="s">
        <v>4</v>
      </c>
      <c r="O304" s="100">
        <f ca="1">_xll.meDateFromTenor(O303,"1D","FOLLOWING",P$12)</f>
        <v>42923</v>
      </c>
      <c r="P304" s="13">
        <f ca="1">_xll.meDateFromTenor(O304,P$14,P$11,P$12)</f>
        <v>43108</v>
      </c>
      <c r="Q304" s="98">
        <f ca="1"/>
        <v>-1.7618406646519266E-3</v>
      </c>
      <c r="R304" s="5" t="s">
        <v>4</v>
      </c>
      <c r="S304" s="100">
        <f ca="1">_xll.meDateFromTenor(S303,"1D","FOLLOWING",T$12)</f>
        <v>42923</v>
      </c>
      <c r="T304" s="13">
        <f ca="1">_xll.meDateFromTenor(S304,T$14,T$11,T$12)</f>
        <v>43290</v>
      </c>
      <c r="U304" s="98">
        <f ca="1"/>
        <v>-2.2735802592415283E-5</v>
      </c>
      <c r="V304" s="5" t="s">
        <v>4</v>
      </c>
      <c r="W304" s="84" t="s">
        <v>4</v>
      </c>
    </row>
    <row r="305" spans="1:23" x14ac:dyDescent="0.25">
      <c r="A305" s="90">
        <v>286</v>
      </c>
      <c r="B305" s="83"/>
      <c r="C305" s="100">
        <f ca="1">_xll.meDateFromTenor(C304,"1D","FOLLOWING",D$12)</f>
        <v>42926</v>
      </c>
      <c r="D305" s="13">
        <f ca="1">_xll.meDateFromTenor(C305,D$14,D$11,D$12)</f>
        <v>42927</v>
      </c>
      <c r="E305" s="98">
        <f ca="1"/>
        <v>-4.2132126607530443E-3</v>
      </c>
      <c r="F305" s="94"/>
      <c r="G305" s="100">
        <f ca="1">_xll.meDateFromTenor(G304,"1D","FOLLOWING",H$12)</f>
        <v>42926</v>
      </c>
      <c r="H305" s="13">
        <f ca="1">_xll.meDateFromTenor(G305,H$14,H$11,H$12)</f>
        <v>42957</v>
      </c>
      <c r="I305" s="98">
        <f ca="1"/>
        <v>-4.0203264985177968E-3</v>
      </c>
      <c r="J305" s="94" t="s">
        <v>4</v>
      </c>
      <c r="K305" s="100">
        <f ca="1">_xll.meDateFromTenor(K304,"1D","FOLLOWING",L$12)</f>
        <v>42926</v>
      </c>
      <c r="L305" s="13">
        <f ca="1">_xll.meDateFromTenor(K305,L$14,L$11,L$12)</f>
        <v>43018</v>
      </c>
      <c r="M305" s="98">
        <f ca="1"/>
        <v>-3.0692543564066668E-3</v>
      </c>
      <c r="N305" s="5" t="s">
        <v>4</v>
      </c>
      <c r="O305" s="100">
        <f ca="1">_xll.meDateFromTenor(O304,"1D","FOLLOWING",P$12)</f>
        <v>42926</v>
      </c>
      <c r="P305" s="13">
        <f ca="1">_xll.meDateFromTenor(O305,P$14,P$11,P$12)</f>
        <v>43110</v>
      </c>
      <c r="Q305" s="98">
        <f ca="1"/>
        <v>-1.7632097836748173E-3</v>
      </c>
      <c r="R305" s="5" t="s">
        <v>4</v>
      </c>
      <c r="S305" s="100">
        <f ca="1">_xll.meDateFromTenor(S304,"1D","FOLLOWING",T$12)</f>
        <v>42926</v>
      </c>
      <c r="T305" s="13">
        <f ca="1">_xll.meDateFromTenor(S305,T$14,T$11,T$12)</f>
        <v>43291</v>
      </c>
      <c r="U305" s="98">
        <f ca="1"/>
        <v>-1.8859346685393423E-5</v>
      </c>
      <c r="V305" s="5" t="s">
        <v>4</v>
      </c>
      <c r="W305" s="84" t="s">
        <v>4</v>
      </c>
    </row>
    <row r="306" spans="1:23" x14ac:dyDescent="0.25">
      <c r="A306" s="90">
        <v>287</v>
      </c>
      <c r="B306" s="83"/>
      <c r="C306" s="100">
        <f ca="1">_xll.meDateFromTenor(C305,"1D","FOLLOWING",D$12)</f>
        <v>42927</v>
      </c>
      <c r="D306" s="13">
        <f ca="1">_xll.meDateFromTenor(C306,D$14,D$11,D$12)</f>
        <v>42928</v>
      </c>
      <c r="E306" s="98">
        <f ca="1"/>
        <v>-4.213154979773052E-3</v>
      </c>
      <c r="F306" s="94"/>
      <c r="G306" s="100">
        <f ca="1">_xll.meDateFromTenor(G305,"1D","FOLLOWING",H$12)</f>
        <v>42927</v>
      </c>
      <c r="H306" s="13">
        <f ca="1">_xll.meDateFromTenor(G306,H$14,H$11,H$12)</f>
        <v>42958</v>
      </c>
      <c r="I306" s="98">
        <f ca="1"/>
        <v>-4.0210755034943493E-3</v>
      </c>
      <c r="J306" s="94" t="s">
        <v>4</v>
      </c>
      <c r="K306" s="100">
        <f ca="1">_xll.meDateFromTenor(K305,"1D","FOLLOWING",L$12)</f>
        <v>42927</v>
      </c>
      <c r="L306" s="13">
        <f ca="1">_xll.meDateFromTenor(K306,L$14,L$11,L$12)</f>
        <v>43019</v>
      </c>
      <c r="M306" s="98">
        <f ca="1"/>
        <v>-3.0693434191611103E-3</v>
      </c>
      <c r="N306" s="5" t="s">
        <v>4</v>
      </c>
      <c r="O306" s="100">
        <f ca="1">_xll.meDateFromTenor(O305,"1D","FOLLOWING",P$12)</f>
        <v>42927</v>
      </c>
      <c r="P306" s="13">
        <f ca="1">_xll.meDateFromTenor(O306,P$14,P$11,P$12)</f>
        <v>43111</v>
      </c>
      <c r="Q306" s="98">
        <f ca="1"/>
        <v>-1.7636370464876741E-3</v>
      </c>
      <c r="R306" s="5" t="s">
        <v>4</v>
      </c>
      <c r="S306" s="100">
        <f ca="1">_xll.meDateFromTenor(S305,"1D","FOLLOWING",T$12)</f>
        <v>42927</v>
      </c>
      <c r="T306" s="13">
        <f ca="1">_xll.meDateFromTenor(S306,T$14,T$11,T$12)</f>
        <v>43292</v>
      </c>
      <c r="U306" s="98">
        <f ca="1"/>
        <v>-1.7553158459613133E-5</v>
      </c>
      <c r="V306" s="5" t="s">
        <v>4</v>
      </c>
      <c r="W306" s="84" t="s">
        <v>4</v>
      </c>
    </row>
    <row r="307" spans="1:23" x14ac:dyDescent="0.25">
      <c r="A307" s="90">
        <v>288</v>
      </c>
      <c r="B307" s="83"/>
      <c r="C307" s="100">
        <f ca="1">_xll.meDateFromTenor(C306,"1D","FOLLOWING",D$12)</f>
        <v>42928</v>
      </c>
      <c r="D307" s="13">
        <f ca="1">_xll.meDateFromTenor(C307,D$14,D$11,D$12)</f>
        <v>42929</v>
      </c>
      <c r="E307" s="98">
        <f ca="1"/>
        <v>-4.2130944718543764E-3</v>
      </c>
      <c r="F307" s="94"/>
      <c r="G307" s="100">
        <f ca="1">_xll.meDateFromTenor(G306,"1D","FOLLOWING",H$12)</f>
        <v>42928</v>
      </c>
      <c r="H307" s="13">
        <f ca="1">_xll.meDateFromTenor(G307,H$14,H$11,H$12)</f>
        <v>42961</v>
      </c>
      <c r="I307" s="98">
        <f ca="1"/>
        <v>-4.0218133485682541E-3</v>
      </c>
      <c r="J307" s="94" t="s">
        <v>4</v>
      </c>
      <c r="K307" s="100">
        <f ca="1">_xll.meDateFromTenor(K306,"1D","FOLLOWING",L$12)</f>
        <v>42928</v>
      </c>
      <c r="L307" s="13">
        <f ca="1">_xll.meDateFromTenor(K307,L$14,L$11,L$12)</f>
        <v>43020</v>
      </c>
      <c r="M307" s="98">
        <f ca="1"/>
        <v>-3.069432481758757E-3</v>
      </c>
      <c r="N307" s="5" t="s">
        <v>4</v>
      </c>
      <c r="O307" s="100">
        <f ca="1">_xll.meDateFromTenor(O306,"1D","FOLLOWING",P$12)</f>
        <v>42928</v>
      </c>
      <c r="P307" s="13">
        <f ca="1">_xll.meDateFromTenor(O307,P$14,P$11,P$12)</f>
        <v>43112</v>
      </c>
      <c r="Q307" s="98">
        <f ca="1"/>
        <v>-1.7640497513875927E-3</v>
      </c>
      <c r="R307" s="5" t="s">
        <v>4</v>
      </c>
      <c r="S307" s="100">
        <f ca="1">_xll.meDateFromTenor(S306,"1D","FOLLOWING",T$12)</f>
        <v>42928</v>
      </c>
      <c r="T307" s="13">
        <f ca="1">_xll.meDateFromTenor(S307,T$14,T$11,T$12)</f>
        <v>43293</v>
      </c>
      <c r="U307" s="98">
        <f ca="1"/>
        <v>-1.6239934834292813E-5</v>
      </c>
      <c r="V307" s="5" t="s">
        <v>4</v>
      </c>
      <c r="W307" s="84" t="s">
        <v>4</v>
      </c>
    </row>
    <row r="308" spans="1:23" x14ac:dyDescent="0.25">
      <c r="A308" s="90">
        <v>289</v>
      </c>
      <c r="B308" s="83"/>
      <c r="C308" s="100">
        <f ca="1">_xll.meDateFromTenor(C307,"1D","FOLLOWING",D$12)</f>
        <v>42929</v>
      </c>
      <c r="D308" s="13">
        <f ca="1">_xll.meDateFromTenor(C308,D$14,D$11,D$12)</f>
        <v>42930</v>
      </c>
      <c r="E308" s="98">
        <f ca="1"/>
        <v>-4.2130311371968579E-3</v>
      </c>
      <c r="F308" s="94"/>
      <c r="G308" s="100">
        <f ca="1">_xll.meDateFromTenor(G307,"1D","FOLLOWING",H$12)</f>
        <v>42929</v>
      </c>
      <c r="H308" s="13">
        <f ca="1">_xll.meDateFromTenor(G308,H$14,H$11,H$12)</f>
        <v>42961</v>
      </c>
      <c r="I308" s="98">
        <f ca="1"/>
        <v>-4.0225398786095344E-3</v>
      </c>
      <c r="J308" s="94" t="s">
        <v>4</v>
      </c>
      <c r="K308" s="100">
        <f ca="1">_xll.meDateFromTenor(K307,"1D","FOLLOWING",L$12)</f>
        <v>42929</v>
      </c>
      <c r="L308" s="13">
        <f ca="1">_xll.meDateFromTenor(K308,L$14,L$11,L$12)</f>
        <v>43021</v>
      </c>
      <c r="M308" s="98">
        <f ca="1"/>
        <v>-3.0695215442416201E-3</v>
      </c>
      <c r="N308" s="5" t="s">
        <v>4</v>
      </c>
      <c r="O308" s="100">
        <f ca="1">_xll.meDateFromTenor(O307,"1D","FOLLOWING",P$12)</f>
        <v>42929</v>
      </c>
      <c r="P308" s="13">
        <f ca="1">_xll.meDateFromTenor(O308,P$14,P$11,P$12)</f>
        <v>43115</v>
      </c>
      <c r="Q308" s="98">
        <f ca="1"/>
        <v>-1.7644478966852423E-3</v>
      </c>
      <c r="R308" s="5" t="s">
        <v>4</v>
      </c>
      <c r="S308" s="100">
        <f ca="1">_xll.meDateFromTenor(S307,"1D","FOLLOWING",T$12)</f>
        <v>42929</v>
      </c>
      <c r="T308" s="13">
        <f ca="1">_xll.meDateFromTenor(S308,T$14,T$11,T$12)</f>
        <v>43294</v>
      </c>
      <c r="U308" s="98">
        <f ca="1"/>
        <v>-1.4919665446739965E-5</v>
      </c>
      <c r="V308" s="5" t="s">
        <v>4</v>
      </c>
      <c r="W308" s="84" t="s">
        <v>4</v>
      </c>
    </row>
    <row r="309" spans="1:23" x14ac:dyDescent="0.25">
      <c r="A309" s="90">
        <v>290</v>
      </c>
      <c r="B309" s="83"/>
      <c r="C309" s="100">
        <f ca="1">_xll.meDateFromTenor(C308,"1D","FOLLOWING",D$12)</f>
        <v>42930</v>
      </c>
      <c r="D309" s="13">
        <f ca="1">_xll.meDateFromTenor(C309,D$14,D$11,D$12)</f>
        <v>42933</v>
      </c>
      <c r="E309" s="98">
        <f ca="1"/>
        <v>-4.2128457448420567E-3</v>
      </c>
      <c r="F309" s="94"/>
      <c r="G309" s="100">
        <f ca="1">_xll.meDateFromTenor(G308,"1D","FOLLOWING",H$12)</f>
        <v>42930</v>
      </c>
      <c r="H309" s="13">
        <f ca="1">_xll.meDateFromTenor(G309,H$14,H$11,H$12)</f>
        <v>42961</v>
      </c>
      <c r="I309" s="98">
        <f ca="1"/>
        <v>-4.0232549384882164E-3</v>
      </c>
      <c r="J309" s="94" t="s">
        <v>4</v>
      </c>
      <c r="K309" s="100">
        <f ca="1">_xll.meDateFromTenor(K308,"1D","FOLLOWING",L$12)</f>
        <v>42930</v>
      </c>
      <c r="L309" s="13">
        <f ca="1">_xll.meDateFromTenor(K309,L$14,L$11,L$12)</f>
        <v>43024</v>
      </c>
      <c r="M309" s="98">
        <f ca="1"/>
        <v>-3.0696106067664972E-3</v>
      </c>
      <c r="N309" s="5" t="s">
        <v>4</v>
      </c>
      <c r="O309" s="100">
        <f ca="1">_xll.meDateFromTenor(O308,"1D","FOLLOWING",P$12)</f>
        <v>42930</v>
      </c>
      <c r="P309" s="13">
        <f ca="1">_xll.meDateFromTenor(O309,P$14,P$11,P$12)</f>
        <v>43115</v>
      </c>
      <c r="Q309" s="98">
        <f ca="1"/>
        <v>-1.7648314806912916E-3</v>
      </c>
      <c r="R309" s="5" t="s">
        <v>4</v>
      </c>
      <c r="S309" s="100">
        <f ca="1">_xll.meDateFromTenor(S308,"1D","FOLLOWING",T$12)</f>
        <v>42930</v>
      </c>
      <c r="T309" s="13">
        <f ca="1">_xll.meDateFromTenor(S309,T$14,T$11,T$12)</f>
        <v>43297</v>
      </c>
      <c r="U309" s="98">
        <f ca="1"/>
        <v>-1.3592339934262598E-5</v>
      </c>
      <c r="V309" s="5" t="s">
        <v>4</v>
      </c>
      <c r="W309" s="84" t="s">
        <v>4</v>
      </c>
    </row>
    <row r="310" spans="1:23" x14ac:dyDescent="0.25">
      <c r="A310" s="90">
        <v>291</v>
      </c>
      <c r="B310" s="83"/>
      <c r="C310" s="100">
        <f ca="1">_xll.meDateFromTenor(C309,"1D","FOLLOWING",D$12)</f>
        <v>42933</v>
      </c>
      <c r="D310" s="13">
        <f ca="1">_xll.meDateFromTenor(C310,D$14,D$11,D$12)</f>
        <v>42934</v>
      </c>
      <c r="E310" s="98">
        <f ca="1"/>
        <v>-4.2127495335764356E-3</v>
      </c>
      <c r="F310" s="94"/>
      <c r="G310" s="100">
        <f ca="1">_xll.meDateFromTenor(G309,"1D","FOLLOWING",H$12)</f>
        <v>42933</v>
      </c>
      <c r="H310" s="13">
        <f ca="1">_xll.meDateFromTenor(G310,H$14,H$11,H$12)</f>
        <v>42964</v>
      </c>
      <c r="I310" s="98">
        <f ca="1"/>
        <v>-4.0253297458489228E-3</v>
      </c>
      <c r="J310" s="94" t="s">
        <v>4</v>
      </c>
      <c r="K310" s="100">
        <f ca="1">_xll.meDateFromTenor(K309,"1D","FOLLOWING",L$12)</f>
        <v>42933</v>
      </c>
      <c r="L310" s="13">
        <f ca="1">_xll.meDateFromTenor(K310,L$14,L$11,L$12)</f>
        <v>43025</v>
      </c>
      <c r="M310" s="98">
        <f ca="1"/>
        <v>-3.0698777944026395E-3</v>
      </c>
      <c r="N310" s="5" t="s">
        <v>4</v>
      </c>
      <c r="O310" s="100">
        <f ca="1">_xll.meDateFromTenor(O309,"1D","FOLLOWING",P$12)</f>
        <v>42933</v>
      </c>
      <c r="P310" s="13">
        <f ca="1">_xll.meDateFromTenor(O310,P$14,P$11,P$12)</f>
        <v>43117</v>
      </c>
      <c r="Q310" s="98">
        <f ca="1"/>
        <v>-1.7658948480665311E-3</v>
      </c>
      <c r="R310" s="5" t="s">
        <v>4</v>
      </c>
      <c r="S310" s="100">
        <f ca="1">_xll.meDateFromTenor(S309,"1D","FOLLOWING",T$12)</f>
        <v>42933</v>
      </c>
      <c r="T310" s="13">
        <f ca="1">_xll.meDateFromTenor(S310,T$14,T$11,T$12)</f>
        <v>43298</v>
      </c>
      <c r="U310" s="98">
        <f ca="1"/>
        <v>-9.5679230203603443E-6</v>
      </c>
      <c r="V310" s="5" t="s">
        <v>4</v>
      </c>
      <c r="W310" s="84" t="s">
        <v>4</v>
      </c>
    </row>
    <row r="311" spans="1:23" x14ac:dyDescent="0.25">
      <c r="A311" s="90">
        <v>292</v>
      </c>
      <c r="B311" s="83"/>
      <c r="C311" s="100">
        <f ca="1">_xll.meDateFromTenor(C310,"1D","FOLLOWING",D$12)</f>
        <v>42934</v>
      </c>
      <c r="D311" s="13">
        <f ca="1">_xll.meDateFromTenor(C311,D$14,D$11,D$12)</f>
        <v>42935</v>
      </c>
      <c r="E311" s="98">
        <f ca="1"/>
        <v>-4.2126720669832954E-3</v>
      </c>
      <c r="F311" s="94"/>
      <c r="G311" s="100">
        <f ca="1">_xll.meDateFromTenor(G310,"1D","FOLLOWING",H$12)</f>
        <v>42934</v>
      </c>
      <c r="H311" s="13">
        <f ca="1">_xll.meDateFromTenor(G311,H$14,H$11,H$12)</f>
        <v>42965</v>
      </c>
      <c r="I311" s="98">
        <f ca="1"/>
        <v>-4.025997373777462E-3</v>
      </c>
      <c r="J311" s="94" t="s">
        <v>4</v>
      </c>
      <c r="K311" s="100">
        <f ca="1">_xll.meDateFromTenor(K310,"1D","FOLLOWING",L$12)</f>
        <v>42934</v>
      </c>
      <c r="L311" s="13">
        <f ca="1">_xll.meDateFromTenor(K311,L$14,L$11,L$12)</f>
        <v>43026</v>
      </c>
      <c r="M311" s="98">
        <f ca="1"/>
        <v>-3.0699668569417905E-3</v>
      </c>
      <c r="N311" s="5" t="s">
        <v>4</v>
      </c>
      <c r="O311" s="100">
        <f ca="1">_xll.meDateFromTenor(O310,"1D","FOLLOWING",P$12)</f>
        <v>42934</v>
      </c>
      <c r="P311" s="13">
        <f ca="1">_xll.meDateFromTenor(O311,P$14,P$11,P$12)</f>
        <v>43118</v>
      </c>
      <c r="Q311" s="98">
        <f ca="1"/>
        <v>-1.7662201700128718E-3</v>
      </c>
      <c r="R311" s="5" t="s">
        <v>4</v>
      </c>
      <c r="S311" s="100">
        <f ca="1">_xll.meDateFromTenor(S310,"1D","FOLLOWING",T$12)</f>
        <v>42934</v>
      </c>
      <c r="T311" s="13">
        <f ca="1">_xll.meDateFromTenor(S311,T$14,T$11,T$12)</f>
        <v>43299</v>
      </c>
      <c r="U311" s="98">
        <f ca="1"/>
        <v>-8.2122693812621448E-6</v>
      </c>
      <c r="V311" s="5" t="s">
        <v>4</v>
      </c>
      <c r="W311" s="84" t="s">
        <v>4</v>
      </c>
    </row>
    <row r="312" spans="1:23" x14ac:dyDescent="0.25">
      <c r="A312" s="90">
        <v>293</v>
      </c>
      <c r="B312" s="83"/>
      <c r="C312" s="100">
        <f ca="1">_xll.meDateFromTenor(C311,"1D","FOLLOWING",D$12)</f>
        <v>42935</v>
      </c>
      <c r="D312" s="13">
        <f ca="1">_xll.meDateFromTenor(C312,D$14,D$11,D$12)</f>
        <v>42936</v>
      </c>
      <c r="E312" s="98">
        <f ca="1"/>
        <v>-4.2125917745705769E-3</v>
      </c>
      <c r="F312" s="94"/>
      <c r="G312" s="100">
        <f ca="1">_xll.meDateFromTenor(G311,"1D","FOLLOWING",H$12)</f>
        <v>42935</v>
      </c>
      <c r="H312" s="13">
        <f ca="1">_xll.meDateFromTenor(G312,H$14,H$11,H$12)</f>
        <v>42968</v>
      </c>
      <c r="I312" s="98">
        <f ca="1"/>
        <v>-4.0266527558935269E-3</v>
      </c>
      <c r="J312" s="94" t="s">
        <v>4</v>
      </c>
      <c r="K312" s="100">
        <f ca="1">_xll.meDateFromTenor(K311,"1D","FOLLOWING",L$12)</f>
        <v>42935</v>
      </c>
      <c r="L312" s="13">
        <f ca="1">_xll.meDateFromTenor(K312,L$14,L$11,L$12)</f>
        <v>43027</v>
      </c>
      <c r="M312" s="98">
        <f ca="1"/>
        <v>-3.0700559194831493E-3</v>
      </c>
      <c r="N312" s="5" t="s">
        <v>4</v>
      </c>
      <c r="O312" s="100">
        <f ca="1">_xll.meDateFromTenor(O311,"1D","FOLLOWING",P$12)</f>
        <v>42935</v>
      </c>
      <c r="P312" s="13">
        <f ca="1">_xll.meDateFromTenor(O312,P$14,P$11,P$12)</f>
        <v>43119</v>
      </c>
      <c r="Q312" s="98">
        <f ca="1"/>
        <v>-1.7665309222209579E-3</v>
      </c>
      <c r="R312" s="5" t="s">
        <v>4</v>
      </c>
      <c r="S312" s="100">
        <f ca="1">_xll.meDateFromTenor(S311,"1D","FOLLOWING",T$12)</f>
        <v>42935</v>
      </c>
      <c r="T312" s="13">
        <f ca="1">_xll.meDateFromTenor(S312,T$14,T$11,T$12)</f>
        <v>43300</v>
      </c>
      <c r="U312" s="98">
        <f ca="1"/>
        <v>-6.8495078037782969E-6</v>
      </c>
      <c r="V312" s="5" t="s">
        <v>4</v>
      </c>
      <c r="W312" s="84" t="s">
        <v>4</v>
      </c>
    </row>
    <row r="313" spans="1:23" x14ac:dyDescent="0.25">
      <c r="A313" s="90">
        <v>294</v>
      </c>
      <c r="B313" s="83"/>
      <c r="C313" s="100">
        <f ca="1">_xll.meDateFromTenor(C312,"1D","FOLLOWING",D$12)</f>
        <v>42936</v>
      </c>
      <c r="D313" s="13">
        <f ca="1">_xll.meDateFromTenor(C313,D$14,D$11,D$12)</f>
        <v>42937</v>
      </c>
      <c r="E313" s="98">
        <f ca="1"/>
        <v>-4.2125086561784078E-3</v>
      </c>
      <c r="F313" s="94"/>
      <c r="G313" s="100">
        <f ca="1">_xll.meDateFromTenor(G312,"1D","FOLLOWING",H$12)</f>
        <v>42936</v>
      </c>
      <c r="H313" s="13">
        <f ca="1">_xll.meDateFromTenor(G313,H$14,H$11,H$12)</f>
        <v>42968</v>
      </c>
      <c r="I313" s="98">
        <f ca="1"/>
        <v>-4.0272957370671445E-3</v>
      </c>
      <c r="J313" s="94" t="s">
        <v>4</v>
      </c>
      <c r="K313" s="100">
        <f ca="1">_xll.meDateFromTenor(K312,"1D","FOLLOWING",L$12)</f>
        <v>42936</v>
      </c>
      <c r="L313" s="13">
        <f ca="1">_xll.meDateFromTenor(K313,L$14,L$11,L$12)</f>
        <v>43028</v>
      </c>
      <c r="M313" s="98">
        <f ca="1"/>
        <v>-3.0701449820237001E-3</v>
      </c>
      <c r="N313" s="5" t="s">
        <v>4</v>
      </c>
      <c r="O313" s="100">
        <f ca="1">_xll.meDateFromTenor(O312,"1D","FOLLOWING",P$12)</f>
        <v>42936</v>
      </c>
      <c r="P313" s="13">
        <f ca="1">_xll.meDateFromTenor(O313,P$14,P$11,P$12)</f>
        <v>43122</v>
      </c>
      <c r="Q313" s="98">
        <f ca="1"/>
        <v>-1.7668271030014586E-3</v>
      </c>
      <c r="R313" s="5" t="s">
        <v>4</v>
      </c>
      <c r="S313" s="100">
        <f ca="1">_xll.meDateFromTenor(S312,"1D","FOLLOWING",T$12)</f>
        <v>42936</v>
      </c>
      <c r="T313" s="13">
        <f ca="1">_xll.meDateFromTenor(S313,T$14,T$11,T$12)</f>
        <v>43301</v>
      </c>
      <c r="U313" s="98">
        <f ca="1"/>
        <v>-5.4796279252164072E-6</v>
      </c>
      <c r="V313" s="5" t="s">
        <v>4</v>
      </c>
      <c r="W313" s="84" t="s">
        <v>4</v>
      </c>
    </row>
    <row r="314" spans="1:23" x14ac:dyDescent="0.25">
      <c r="A314" s="90">
        <v>295</v>
      </c>
      <c r="B314" s="83"/>
      <c r="C314" s="100">
        <f ca="1">_xll.meDateFromTenor(C313,"1D","FOLLOWING",D$12)</f>
        <v>42937</v>
      </c>
      <c r="D314" s="13">
        <f ca="1">_xll.meDateFromTenor(C314,D$14,D$11,D$12)</f>
        <v>42940</v>
      </c>
      <c r="E314" s="98">
        <f ca="1"/>
        <v>-4.2122837127943763E-3</v>
      </c>
      <c r="F314" s="94"/>
      <c r="G314" s="100">
        <f ca="1">_xll.meDateFromTenor(G313,"1D","FOLLOWING",H$12)</f>
        <v>42937</v>
      </c>
      <c r="H314" s="13">
        <f ca="1">_xll.meDateFromTenor(G314,H$14,H$11,H$12)</f>
        <v>42968</v>
      </c>
      <c r="I314" s="98">
        <f ca="1"/>
        <v>-4.0279261621683389E-3</v>
      </c>
      <c r="J314" s="94" t="s">
        <v>4</v>
      </c>
      <c r="K314" s="100">
        <f ca="1">_xll.meDateFromTenor(K313,"1D","FOLLOWING",L$12)</f>
        <v>42937</v>
      </c>
      <c r="L314" s="13">
        <f ca="1">_xll.meDateFromTenor(K314,L$14,L$11,L$12)</f>
        <v>43031</v>
      </c>
      <c r="M314" s="98">
        <f ca="1"/>
        <v>-3.070234044563659E-3</v>
      </c>
      <c r="N314" s="5" t="s">
        <v>4</v>
      </c>
      <c r="O314" s="100">
        <f ca="1">_xll.meDateFromTenor(O313,"1D","FOLLOWING",P$12)</f>
        <v>42937</v>
      </c>
      <c r="P314" s="13">
        <f ca="1">_xll.meDateFromTenor(O314,P$14,P$11,P$12)</f>
        <v>43122</v>
      </c>
      <c r="Q314" s="98">
        <f ca="1"/>
        <v>-1.7671087106650432E-3</v>
      </c>
      <c r="R314" s="5" t="s">
        <v>4</v>
      </c>
      <c r="S314" s="100">
        <f ca="1">_xll.meDateFromTenor(S313,"1D","FOLLOWING",T$12)</f>
        <v>42937</v>
      </c>
      <c r="T314" s="13">
        <f ca="1">_xll.meDateFromTenor(S314,T$14,T$11,T$12)</f>
        <v>43304</v>
      </c>
      <c r="U314" s="98">
        <f ca="1"/>
        <v>-4.1026193828844139E-6</v>
      </c>
      <c r="V314" s="5" t="s">
        <v>4</v>
      </c>
      <c r="W314" s="84" t="s">
        <v>4</v>
      </c>
    </row>
    <row r="315" spans="1:23" x14ac:dyDescent="0.25">
      <c r="A315" s="90">
        <v>296</v>
      </c>
      <c r="B315" s="83"/>
      <c r="C315" s="100">
        <f ca="1">_xll.meDateFromTenor(C314,"1D","FOLLOWING",D$12)</f>
        <v>42940</v>
      </c>
      <c r="D315" s="13">
        <f ca="1">_xll.meDateFromTenor(C315,D$14,D$11,D$12)</f>
        <v>42941</v>
      </c>
      <c r="E315" s="98">
        <f ca="1"/>
        <v>-4.2121479272916465E-3</v>
      </c>
      <c r="F315" s="94"/>
      <c r="G315" s="100">
        <f ca="1">_xll.meDateFromTenor(G314,"1D","FOLLOWING",H$12)</f>
        <v>42940</v>
      </c>
      <c r="H315" s="13">
        <f ca="1">_xll.meDateFromTenor(G315,H$14,H$11,H$12)</f>
        <v>42971</v>
      </c>
      <c r="I315" s="98">
        <f ca="1"/>
        <v>-4.0297405497376343E-3</v>
      </c>
      <c r="J315" s="94" t="s">
        <v>4</v>
      </c>
      <c r="K315" s="100">
        <f ca="1">_xll.meDateFromTenor(K314,"1D","FOLLOWING",L$12)</f>
        <v>42940</v>
      </c>
      <c r="L315" s="13">
        <f ca="1">_xll.meDateFromTenor(K315,L$14,L$11,L$12)</f>
        <v>43032</v>
      </c>
      <c r="M315" s="98">
        <f ca="1"/>
        <v>-3.0705012321844446E-3</v>
      </c>
      <c r="N315" s="5" t="s">
        <v>4</v>
      </c>
      <c r="O315" s="100">
        <f ca="1">_xll.meDateFromTenor(O314,"1D","FOLLOWING",P$12)</f>
        <v>42940</v>
      </c>
      <c r="P315" s="13">
        <f ca="1">_xll.meDateFromTenor(O315,P$14,P$11,P$12)</f>
        <v>43124</v>
      </c>
      <c r="Q315" s="98">
        <f ca="1"/>
        <v>-1.7678660780609909E-3</v>
      </c>
      <c r="R315" s="5" t="s">
        <v>4</v>
      </c>
      <c r="S315" s="100">
        <f ca="1">_xll.meDateFromTenor(S314,"1D","FOLLOWING",T$12)</f>
        <v>42940</v>
      </c>
      <c r="T315" s="13">
        <f ca="1">_xll.meDateFromTenor(S315,T$14,T$11,T$12)</f>
        <v>43305</v>
      </c>
      <c r="U315" s="98">
        <f ca="1"/>
        <v>7.1281853655235663E-8</v>
      </c>
      <c r="V315" s="5" t="s">
        <v>4</v>
      </c>
      <c r="W315" s="84" t="s">
        <v>4</v>
      </c>
    </row>
    <row r="316" spans="1:23" x14ac:dyDescent="0.25">
      <c r="A316" s="90">
        <v>297</v>
      </c>
      <c r="B316" s="83"/>
      <c r="C316" s="100">
        <f ca="1">_xll.meDateFromTenor(C315,"1D","FOLLOWING",D$12)</f>
        <v>42941</v>
      </c>
      <c r="D316" s="13">
        <f ca="1">_xll.meDateFromTenor(C316,D$14,D$11,D$12)</f>
        <v>42942</v>
      </c>
      <c r="E316" s="98">
        <f ca="1"/>
        <v>-4.2120506815202111E-3</v>
      </c>
      <c r="F316" s="94"/>
      <c r="G316" s="100">
        <f ca="1">_xll.meDateFromTenor(G315,"1D","FOLLOWING",H$12)</f>
        <v>42941</v>
      </c>
      <c r="H316" s="13">
        <f ca="1">_xll.meDateFromTenor(G316,H$14,H$11,H$12)</f>
        <v>42972</v>
      </c>
      <c r="I316" s="98">
        <f ca="1"/>
        <v>-4.0303191992493862E-3</v>
      </c>
      <c r="J316" s="94" t="s">
        <v>4</v>
      </c>
      <c r="K316" s="100">
        <f ca="1">_xll.meDateFromTenor(K315,"1D","FOLLOWING",L$12)</f>
        <v>42941</v>
      </c>
      <c r="L316" s="13">
        <f ca="1">_xll.meDateFromTenor(K316,L$14,L$11,L$12)</f>
        <v>43033</v>
      </c>
      <c r="M316" s="98">
        <f ca="1"/>
        <v>-3.070590294724678E-3</v>
      </c>
      <c r="N316" s="5" t="s">
        <v>4</v>
      </c>
      <c r="O316" s="100">
        <f ca="1">_xll.meDateFromTenor(O315,"1D","FOLLOWING",P$12)</f>
        <v>42941</v>
      </c>
      <c r="P316" s="13">
        <f ca="1">_xll.meDateFromTenor(O316,P$14,P$11,P$12)</f>
        <v>43125</v>
      </c>
      <c r="Q316" s="98">
        <f ca="1"/>
        <v>-1.7680893763636016E-3</v>
      </c>
      <c r="R316" s="5" t="s">
        <v>4</v>
      </c>
      <c r="S316" s="100">
        <f ca="1">_xll.meDateFromTenor(S315,"1D","FOLLOWING",T$12)</f>
        <v>42941</v>
      </c>
      <c r="T316" s="13">
        <f ca="1">_xll.meDateFromTenor(S316,T$14,T$11,T$12)</f>
        <v>43306</v>
      </c>
      <c r="U316" s="98">
        <f ca="1"/>
        <v>1.47690867799038E-6</v>
      </c>
      <c r="V316" s="5" t="s">
        <v>4</v>
      </c>
      <c r="W316" s="84" t="s">
        <v>4</v>
      </c>
    </row>
    <row r="317" spans="1:23" x14ac:dyDescent="0.25">
      <c r="A317" s="90">
        <v>298</v>
      </c>
      <c r="B317" s="83"/>
      <c r="C317" s="100">
        <f ca="1">_xll.meDateFromTenor(C316,"1D","FOLLOWING",D$12)</f>
        <v>42942</v>
      </c>
      <c r="D317" s="13">
        <f ca="1">_xll.meDateFromTenor(C317,D$14,D$11,D$12)</f>
        <v>42943</v>
      </c>
      <c r="E317" s="98">
        <f ca="1"/>
        <v>-4.2119506112081742E-3</v>
      </c>
      <c r="F317" s="94"/>
      <c r="G317" s="100">
        <f ca="1">_xll.meDateFromTenor(G316,"1D","FOLLOWING",H$12)</f>
        <v>42942</v>
      </c>
      <c r="H317" s="13">
        <f ca="1">_xll.meDateFromTenor(G317,H$14,H$11,H$12)</f>
        <v>42975</v>
      </c>
      <c r="I317" s="98">
        <f ca="1"/>
        <v>-4.0308845170388416E-3</v>
      </c>
      <c r="J317" s="94" t="s">
        <v>4</v>
      </c>
      <c r="K317" s="100">
        <f ca="1">_xll.meDateFromTenor(K316,"1D","FOLLOWING",L$12)</f>
        <v>42942</v>
      </c>
      <c r="L317" s="13">
        <f ca="1">_xll.meDateFromTenor(K317,L$14,L$11,L$12)</f>
        <v>43034</v>
      </c>
      <c r="M317" s="98">
        <f ca="1"/>
        <v>-3.0706793572649275E-3</v>
      </c>
      <c r="N317" s="5" t="s">
        <v>4</v>
      </c>
      <c r="O317" s="100">
        <f ca="1">_xll.meDateFromTenor(O316,"1D","FOLLOWING",P$12)</f>
        <v>42942</v>
      </c>
      <c r="P317" s="13">
        <f ca="1">_xll.meDateFromTenor(O317,P$14,P$11,P$12)</f>
        <v>43126</v>
      </c>
      <c r="Q317" s="98">
        <f ca="1"/>
        <v>-1.7682980931026419E-3</v>
      </c>
      <c r="R317" s="5" t="s">
        <v>4</v>
      </c>
      <c r="S317" s="100">
        <f ca="1">_xll.meDateFromTenor(S316,"1D","FOLLOWING",T$12)</f>
        <v>42942</v>
      </c>
      <c r="T317" s="13">
        <f ca="1">_xll.meDateFromTenor(S317,T$14,T$11,T$12)</f>
        <v>43307</v>
      </c>
      <c r="U317" s="98">
        <f ca="1"/>
        <v>2.8897159795567354E-6</v>
      </c>
      <c r="V317" s="5" t="s">
        <v>4</v>
      </c>
      <c r="W317" s="84" t="s">
        <v>4</v>
      </c>
    </row>
    <row r="318" spans="1:23" x14ac:dyDescent="0.25">
      <c r="A318" s="90">
        <v>299</v>
      </c>
      <c r="B318" s="83"/>
      <c r="C318" s="100">
        <f ca="1">_xll.meDateFromTenor(C317,"1D","FOLLOWING",D$12)</f>
        <v>42943</v>
      </c>
      <c r="D318" s="13">
        <f ca="1">_xll.meDateFromTenor(C318,D$14,D$11,D$12)</f>
        <v>42944</v>
      </c>
      <c r="E318" s="98">
        <f ca="1"/>
        <v>-4.2118477155961434E-3</v>
      </c>
      <c r="F318" s="94"/>
      <c r="G318" s="100">
        <f ca="1">_xll.meDateFromTenor(G317,"1D","FOLLOWING",H$12)</f>
        <v>42943</v>
      </c>
      <c r="H318" s="13">
        <f ca="1">_xll.meDateFromTenor(G318,H$14,H$11,H$12)</f>
        <v>42975</v>
      </c>
      <c r="I318" s="98">
        <f ca="1"/>
        <v>-4.0314363479760232E-3</v>
      </c>
      <c r="J318" s="94" t="s">
        <v>4</v>
      </c>
      <c r="K318" s="100">
        <f ca="1">_xll.meDateFromTenor(K317,"1D","FOLLOWING",L$12)</f>
        <v>42943</v>
      </c>
      <c r="L318" s="13">
        <f ca="1">_xll.meDateFromTenor(K318,L$14,L$11,L$12)</f>
        <v>43035</v>
      </c>
      <c r="M318" s="98">
        <f ca="1"/>
        <v>-3.0707684198051878E-3</v>
      </c>
      <c r="N318" s="5" t="s">
        <v>4</v>
      </c>
      <c r="O318" s="100">
        <f ca="1">_xll.meDateFromTenor(O317,"1D","FOLLOWING",P$12)</f>
        <v>42943</v>
      </c>
      <c r="P318" s="13">
        <f ca="1">_xll.meDateFromTenor(O318,P$14,P$11,P$12)</f>
        <v>43129</v>
      </c>
      <c r="Q318" s="98">
        <f ca="1"/>
        <v>-1.7684922265887807E-3</v>
      </c>
      <c r="R318" s="5" t="s">
        <v>4</v>
      </c>
      <c r="S318" s="100">
        <f ca="1">_xll.meDateFromTenor(S317,"1D","FOLLOWING",T$12)</f>
        <v>42943</v>
      </c>
      <c r="T318" s="13">
        <f ca="1">_xll.meDateFromTenor(S318,T$14,T$11,T$12)</f>
        <v>43308</v>
      </c>
      <c r="U318" s="98">
        <f ca="1"/>
        <v>4.3097141210467226E-6</v>
      </c>
      <c r="V318" s="5" t="s">
        <v>4</v>
      </c>
      <c r="W318" s="84" t="s">
        <v>4</v>
      </c>
    </row>
    <row r="319" spans="1:23" x14ac:dyDescent="0.25">
      <c r="A319" s="90">
        <v>300</v>
      </c>
      <c r="B319" s="83"/>
      <c r="C319" s="100">
        <f ca="1">_xll.meDateFromTenor(C318,"1D","FOLLOWING",D$12)</f>
        <v>42944</v>
      </c>
      <c r="D319" s="13">
        <f ca="1">_xll.meDateFromTenor(C319,D$14,D$11,D$12)</f>
        <v>42947</v>
      </c>
      <c r="E319" s="98">
        <f ca="1"/>
        <v>-4.2115832373435117E-3</v>
      </c>
      <c r="F319" s="94"/>
      <c r="G319" s="100">
        <f ca="1">_xll.meDateFromTenor(G318,"1D","FOLLOWING",H$12)</f>
        <v>42944</v>
      </c>
      <c r="H319" s="13">
        <f ca="1">_xll.meDateFromTenor(G319,H$14,H$11,H$12)</f>
        <v>42975</v>
      </c>
      <c r="I319" s="98">
        <f ca="1"/>
        <v>-4.0319745369309578E-3</v>
      </c>
      <c r="J319" s="94" t="s">
        <v>4</v>
      </c>
      <c r="K319" s="100">
        <f ca="1">_xll.meDateFromTenor(K318,"1D","FOLLOWING",L$12)</f>
        <v>42944</v>
      </c>
      <c r="L319" s="13">
        <f ca="1">_xll.meDateFromTenor(K319,L$14,L$11,L$12)</f>
        <v>43038</v>
      </c>
      <c r="M319" s="98">
        <f ca="1"/>
        <v>-3.0708574823454446E-3</v>
      </c>
      <c r="N319" s="5" t="s">
        <v>4</v>
      </c>
      <c r="O319" s="100">
        <f ca="1">_xll.meDateFromTenor(O318,"1D","FOLLOWING",P$12)</f>
        <v>42944</v>
      </c>
      <c r="P319" s="13">
        <f ca="1">_xll.meDateFromTenor(O319,P$14,P$11,P$12)</f>
        <v>43129</v>
      </c>
      <c r="Q319" s="98">
        <f ca="1"/>
        <v>-1.7686717751326869E-3</v>
      </c>
      <c r="R319" s="5" t="s">
        <v>4</v>
      </c>
      <c r="S319" s="100">
        <f ca="1">_xll.meDateFromTenor(S318,"1D","FOLLOWING",T$12)</f>
        <v>42944</v>
      </c>
      <c r="T319" s="13">
        <f ca="1">_xll.meDateFromTenor(S319,T$14,T$11,T$12)</f>
        <v>43311</v>
      </c>
      <c r="U319" s="98">
        <f ca="1"/>
        <v>5.7369134651523966E-6</v>
      </c>
      <c r="V319" s="5" t="s">
        <v>4</v>
      </c>
      <c r="W319" s="84" t="s">
        <v>4</v>
      </c>
    </row>
    <row r="320" spans="1:23" x14ac:dyDescent="0.25">
      <c r="A320" s="90">
        <v>301</v>
      </c>
      <c r="B320" s="83"/>
      <c r="C320" s="100">
        <f ca="1">_xll.meDateFromTenor(C319,"1D","FOLLOWING",D$12)</f>
        <v>42947</v>
      </c>
      <c r="D320" s="13">
        <f ca="1">_xll.meDateFromTenor(C320,D$14,D$11,D$12)</f>
        <v>42948</v>
      </c>
      <c r="E320" s="98">
        <f ca="1"/>
        <v>-4.2114078871424857E-3</v>
      </c>
      <c r="F320" s="94"/>
      <c r="G320" s="100">
        <f ca="1">_xll.meDateFromTenor(G319,"1D","FOLLOWING",H$12)</f>
        <v>42947</v>
      </c>
      <c r="H320" s="13">
        <f ca="1">_xll.meDateFromTenor(G320,H$14,H$11,H$12)</f>
        <v>42978</v>
      </c>
      <c r="I320" s="98">
        <f ca="1"/>
        <v>-4.0335057006025228E-3</v>
      </c>
      <c r="J320" s="94" t="s">
        <v>4</v>
      </c>
      <c r="K320" s="100">
        <f ca="1">_xll.meDateFromTenor(K319,"1D","FOLLOWING",L$12)</f>
        <v>42947</v>
      </c>
      <c r="L320" s="13">
        <f ca="1">_xll.meDateFromTenor(K320,L$14,L$11,L$12)</f>
        <v>43039</v>
      </c>
      <c r="M320" s="98">
        <f ca="1"/>
        <v>-3.0711246699662072E-3</v>
      </c>
      <c r="N320" s="5" t="s">
        <v>4</v>
      </c>
      <c r="O320" s="100">
        <f ca="1">_xll.meDateFromTenor(O319,"1D","FOLLOWING",P$12)</f>
        <v>42947</v>
      </c>
      <c r="P320" s="13">
        <f ca="1">_xll.meDateFromTenor(O320,P$14,P$11,P$12)</f>
        <v>43131</v>
      </c>
      <c r="Q320" s="98">
        <f ca="1"/>
        <v>-1.7691228942177024E-3</v>
      </c>
      <c r="R320" s="5" t="s">
        <v>4</v>
      </c>
      <c r="S320" s="100">
        <f ca="1">_xll.meDateFromTenor(S319,"1D","FOLLOWING",T$12)</f>
        <v>42947</v>
      </c>
      <c r="T320" s="13">
        <f ca="1">_xll.meDateFromTenor(S320,T$14,T$11,T$12)</f>
        <v>43312</v>
      </c>
      <c r="U320" s="98">
        <f ca="1"/>
        <v>1.0061822340086472E-5</v>
      </c>
      <c r="V320" s="5" t="s">
        <v>4</v>
      </c>
      <c r="W320" s="84" t="s">
        <v>4</v>
      </c>
    </row>
    <row r="321" spans="1:23" x14ac:dyDescent="0.25">
      <c r="A321" s="90">
        <v>302</v>
      </c>
      <c r="B321" s="83"/>
      <c r="C321" s="100">
        <f ca="1">_xll.meDateFromTenor(C320,"1D","FOLLOWING",D$12)</f>
        <v>42948</v>
      </c>
      <c r="D321" s="13">
        <f ca="1">_xll.meDateFromTenor(C321,D$14,D$11,D$12)</f>
        <v>42949</v>
      </c>
      <c r="E321" s="98">
        <f ca="1"/>
        <v>-4.2112908691471921E-3</v>
      </c>
      <c r="F321" s="94"/>
      <c r="G321" s="100">
        <f ca="1">_xll.meDateFromTenor(G320,"1D","FOLLOWING",H$12)</f>
        <v>42948</v>
      </c>
      <c r="H321" s="13">
        <f ca="1">_xll.meDateFromTenor(G321,H$14,H$11,H$12)</f>
        <v>42979</v>
      </c>
      <c r="I321" s="98">
        <f ca="1"/>
        <v>-4.0339877703287168E-3</v>
      </c>
      <c r="J321" s="94" t="s">
        <v>4</v>
      </c>
      <c r="K321" s="100">
        <f ca="1">_xll.meDateFromTenor(K320,"1D","FOLLOWING",L$12)</f>
        <v>42948</v>
      </c>
      <c r="L321" s="13">
        <f ca="1">_xll.meDateFromTenor(K321,L$14,L$11,L$12)</f>
        <v>43040</v>
      </c>
      <c r="M321" s="98">
        <f ca="1"/>
        <v>-3.0712137325064623E-3</v>
      </c>
      <c r="N321" s="5" t="s">
        <v>4</v>
      </c>
      <c r="O321" s="100">
        <f ca="1">_xll.meDateFromTenor(O320,"1D","FOLLOWING",P$12)</f>
        <v>42948</v>
      </c>
      <c r="P321" s="13">
        <f ca="1">_xll.meDateFromTenor(O321,P$14,P$11,P$12)</f>
        <v>43132</v>
      </c>
      <c r="Q321" s="98">
        <f ca="1"/>
        <v>-1.7692440860993704E-3</v>
      </c>
      <c r="R321" s="5" t="s">
        <v>4</v>
      </c>
      <c r="S321" s="100">
        <f ca="1">_xll.meDateFromTenor(S320,"1D","FOLLOWING",T$12)</f>
        <v>42948</v>
      </c>
      <c r="T321" s="13">
        <f ca="1">_xll.meDateFromTenor(S321,T$14,T$11,T$12)</f>
        <v>43313</v>
      </c>
      <c r="U321" s="98">
        <f ca="1"/>
        <v>1.151793012157746E-5</v>
      </c>
      <c r="V321" s="5" t="s">
        <v>4</v>
      </c>
      <c r="W321" s="84" t="s">
        <v>4</v>
      </c>
    </row>
    <row r="322" spans="1:23" x14ac:dyDescent="0.25">
      <c r="A322" s="90">
        <v>303</v>
      </c>
      <c r="B322" s="83"/>
      <c r="C322" s="100">
        <f ca="1">_xll.meDateFromTenor(C321,"1D","FOLLOWING",D$12)</f>
        <v>42949</v>
      </c>
      <c r="D322" s="13">
        <f ca="1">_xll.meDateFromTenor(C322,D$14,D$11,D$12)</f>
        <v>42950</v>
      </c>
      <c r="E322" s="98">
        <f ca="1"/>
        <v>-4.2111710268910732E-3</v>
      </c>
      <c r="F322" s="94"/>
      <c r="G322" s="100">
        <f ca="1">_xll.meDateFromTenor(G321,"1D","FOLLOWING",H$12)</f>
        <v>42949</v>
      </c>
      <c r="H322" s="13">
        <f ca="1">_xll.meDateFromTenor(G322,H$14,H$11,H$12)</f>
        <v>42982</v>
      </c>
      <c r="I322" s="98">
        <f ca="1"/>
        <v>-4.0344554224227887E-3</v>
      </c>
      <c r="J322" s="94" t="s">
        <v>4</v>
      </c>
      <c r="K322" s="100">
        <f ca="1">_xll.meDateFromTenor(K321,"1D","FOLLOWING",L$12)</f>
        <v>42949</v>
      </c>
      <c r="L322" s="13">
        <f ca="1">_xll.meDateFromTenor(K322,L$14,L$11,L$12)</f>
        <v>43041</v>
      </c>
      <c r="M322" s="98">
        <f ca="1"/>
        <v>-3.071302795046717E-3</v>
      </c>
      <c r="N322" s="5" t="s">
        <v>4</v>
      </c>
      <c r="O322" s="100">
        <f ca="1">_xll.meDateFromTenor(O321,"1D","FOLLOWING",P$12)</f>
        <v>42949</v>
      </c>
      <c r="P322" s="13">
        <f ca="1">_xll.meDateFromTenor(O322,P$14,P$11,P$12)</f>
        <v>43133</v>
      </c>
      <c r="Q322" s="98">
        <f ca="1"/>
        <v>-1.7693506845921512E-3</v>
      </c>
      <c r="R322" s="5" t="s">
        <v>4</v>
      </c>
      <c r="S322" s="100">
        <f ca="1">_xll.meDateFromTenor(S321,"1D","FOLLOWING",T$12)</f>
        <v>42949</v>
      </c>
      <c r="T322" s="13">
        <f ca="1">_xll.meDateFromTenor(S322,T$14,T$11,T$12)</f>
        <v>43314</v>
      </c>
      <c r="U322" s="98">
        <f ca="1"/>
        <v>1.298129091914548E-5</v>
      </c>
      <c r="V322" s="5" t="s">
        <v>4</v>
      </c>
      <c r="W322" s="84" t="s">
        <v>4</v>
      </c>
    </row>
    <row r="323" spans="1:23" x14ac:dyDescent="0.25">
      <c r="A323" s="90">
        <v>304</v>
      </c>
      <c r="B323" s="83"/>
      <c r="C323" s="100">
        <f ca="1">_xll.meDateFromTenor(C322,"1D","FOLLOWING",D$12)</f>
        <v>42950</v>
      </c>
      <c r="D323" s="13">
        <f ca="1">_xll.meDateFromTenor(C323,D$14,D$11,D$12)</f>
        <v>42951</v>
      </c>
      <c r="E323" s="98">
        <f ca="1"/>
        <v>-4.2110483606938734E-3</v>
      </c>
      <c r="F323" s="94"/>
      <c r="G323" s="100">
        <f ca="1">_xll.meDateFromTenor(G322,"1D","FOLLOWING",H$12)</f>
        <v>42950</v>
      </c>
      <c r="H323" s="13">
        <f ca="1">_xll.meDateFromTenor(G323,H$14,H$11,H$12)</f>
        <v>42982</v>
      </c>
      <c r="I323" s="98">
        <f ca="1"/>
        <v>-4.0349085470782553E-3</v>
      </c>
      <c r="J323" s="94" t="s">
        <v>4</v>
      </c>
      <c r="K323" s="100">
        <f ca="1">_xll.meDateFromTenor(K322,"1D","FOLLOWING",L$12)</f>
        <v>42950</v>
      </c>
      <c r="L323" s="13">
        <f ca="1">_xll.meDateFromTenor(K323,L$14,L$11,L$12)</f>
        <v>43042</v>
      </c>
      <c r="M323" s="98">
        <f ca="1"/>
        <v>-3.0713918575869721E-3</v>
      </c>
      <c r="N323" s="5" t="s">
        <v>4</v>
      </c>
      <c r="O323" s="100">
        <f ca="1">_xll.meDateFromTenor(O322,"1D","FOLLOWING",P$12)</f>
        <v>42950</v>
      </c>
      <c r="P323" s="13">
        <f ca="1">_xll.meDateFromTenor(O323,P$14,P$11,P$12)</f>
        <v>43136</v>
      </c>
      <c r="Q323" s="98">
        <f ca="1"/>
        <v>-1.7694426880067145E-3</v>
      </c>
      <c r="R323" s="5" t="s">
        <v>4</v>
      </c>
      <c r="S323" s="100">
        <f ca="1">_xll.meDateFromTenor(S322,"1D","FOLLOWING",T$12)</f>
        <v>42950</v>
      </c>
      <c r="T323" s="13">
        <f ca="1">_xll.meDateFromTenor(S323,T$14,T$11,T$12)</f>
        <v>43315</v>
      </c>
      <c r="U323" s="98">
        <f ca="1"/>
        <v>1.4451915095482491E-5</v>
      </c>
      <c r="V323" s="5" t="s">
        <v>4</v>
      </c>
      <c r="W323" s="84" t="s">
        <v>4</v>
      </c>
    </row>
    <row r="324" spans="1:23" x14ac:dyDescent="0.25">
      <c r="A324" s="90">
        <v>305</v>
      </c>
      <c r="B324" s="83"/>
      <c r="C324" s="100">
        <f ca="1">_xll.meDateFromTenor(C323,"1D","FOLLOWING",D$12)</f>
        <v>42951</v>
      </c>
      <c r="D324" s="13">
        <f ca="1">_xll.meDateFromTenor(C324,D$14,D$11,D$12)</f>
        <v>42954</v>
      </c>
      <c r="E324" s="98">
        <f ca="1"/>
        <v>-4.2107443637862266E-3</v>
      </c>
      <c r="F324" s="94"/>
      <c r="G324" s="100">
        <f ca="1">_xll.meDateFromTenor(G323,"1D","FOLLOWING",H$12)</f>
        <v>42951</v>
      </c>
      <c r="H324" s="13">
        <f ca="1">_xll.meDateFromTenor(G324,H$14,H$11,H$12)</f>
        <v>42982</v>
      </c>
      <c r="I324" s="98">
        <f ca="1"/>
        <v>-4.0353472157826061E-3</v>
      </c>
      <c r="J324" s="94" t="s">
        <v>4</v>
      </c>
      <c r="K324" s="100">
        <f ca="1">_xll.meDateFromTenor(K323,"1D","FOLLOWING",L$12)</f>
        <v>42951</v>
      </c>
      <c r="L324" s="13">
        <f ca="1">_xll.meDateFromTenor(K324,L$14,L$11,L$12)</f>
        <v>43045</v>
      </c>
      <c r="M324" s="98">
        <f ca="1"/>
        <v>-3.0714809201272267E-3</v>
      </c>
      <c r="N324" s="5" t="s">
        <v>4</v>
      </c>
      <c r="O324" s="100">
        <f ca="1">_xll.meDateFromTenor(O323,"1D","FOLLOWING",P$12)</f>
        <v>42951</v>
      </c>
      <c r="P324" s="13">
        <f ca="1">_xll.meDateFromTenor(O324,P$14,P$11,P$12)</f>
        <v>43136</v>
      </c>
      <c r="Q324" s="98">
        <f ca="1"/>
        <v>-1.769520094653729E-3</v>
      </c>
      <c r="R324" s="5" t="s">
        <v>4</v>
      </c>
      <c r="S324" s="100">
        <f ca="1">_xll.meDateFromTenor(S323,"1D","FOLLOWING",T$12)</f>
        <v>42951</v>
      </c>
      <c r="T324" s="13">
        <f ca="1">_xll.meDateFromTenor(S324,T$14,T$11,T$12)</f>
        <v>43318</v>
      </c>
      <c r="U324" s="98">
        <f ca="1"/>
        <v>1.5929813013280955E-5</v>
      </c>
      <c r="V324" s="5" t="s">
        <v>4</v>
      </c>
      <c r="W324" s="84" t="s">
        <v>4</v>
      </c>
    </row>
    <row r="325" spans="1:23" x14ac:dyDescent="0.25">
      <c r="A325" s="90">
        <v>306</v>
      </c>
      <c r="B325" s="83"/>
      <c r="C325" s="100">
        <f ca="1">_xll.meDateFromTenor(C324,"1D","FOLLOWING",D$12)</f>
        <v>42954</v>
      </c>
      <c r="D325" s="13">
        <f ca="1">_xll.meDateFromTenor(C325,D$14,D$11,D$12)</f>
        <v>42955</v>
      </c>
      <c r="E325" s="98">
        <f ca="1"/>
        <v>-4.2105294587724421E-3</v>
      </c>
      <c r="F325" s="94"/>
      <c r="G325" s="100">
        <f ca="1">_xll.meDateFromTenor(G324,"1D","FOLLOWING",H$12)</f>
        <v>42954</v>
      </c>
      <c r="H325" s="13">
        <f ca="1">_xll.meDateFromTenor(G325,H$14,H$11,H$12)</f>
        <v>42985</v>
      </c>
      <c r="I325" s="98">
        <f ca="1"/>
        <v>-4.0365776542987866E-3</v>
      </c>
      <c r="J325" s="94" t="s">
        <v>4</v>
      </c>
      <c r="K325" s="100">
        <f ca="1">_xll.meDateFromTenor(K324,"1D","FOLLOWING",L$12)</f>
        <v>42954</v>
      </c>
      <c r="L325" s="13">
        <f ca="1">_xll.meDateFromTenor(K325,L$14,L$11,L$12)</f>
        <v>43046</v>
      </c>
      <c r="M325" s="98">
        <f ca="1"/>
        <v>-3.0717481077479894E-3</v>
      </c>
      <c r="N325" s="5" t="s">
        <v>4</v>
      </c>
      <c r="O325" s="100">
        <f ca="1">_xll.meDateFromTenor(O324,"1D","FOLLOWING",P$12)</f>
        <v>42954</v>
      </c>
      <c r="P325" s="13">
        <f ca="1">_xll.meDateFromTenor(O325,P$14,P$11,P$12)</f>
        <v>43138</v>
      </c>
      <c r="Q325" s="98">
        <f ca="1"/>
        <v>-1.7696647170961719E-3</v>
      </c>
      <c r="R325" s="5" t="s">
        <v>4</v>
      </c>
      <c r="S325" s="100">
        <f ca="1">_xll.meDateFromTenor(S324,"1D","FOLLOWING",T$12)</f>
        <v>42954</v>
      </c>
      <c r="T325" s="13">
        <f ca="1">_xll.meDateFromTenor(S325,T$14,T$11,T$12)</f>
        <v>43319</v>
      </c>
      <c r="U325" s="98">
        <f ca="1"/>
        <v>2.0407252842366533E-5</v>
      </c>
      <c r="V325" s="5" t="s">
        <v>4</v>
      </c>
      <c r="W325" s="84" t="s">
        <v>4</v>
      </c>
    </row>
    <row r="326" spans="1:23" x14ac:dyDescent="0.25">
      <c r="A326" s="90">
        <v>307</v>
      </c>
      <c r="B326" s="83"/>
      <c r="C326" s="100">
        <f ca="1">_xll.meDateFromTenor(C325,"1D","FOLLOWING",D$12)</f>
        <v>42955</v>
      </c>
      <c r="D326" s="13">
        <f ca="1">_xll.meDateFromTenor(C326,D$14,D$11,D$12)</f>
        <v>42956</v>
      </c>
      <c r="E326" s="98">
        <f ca="1"/>
        <v>-4.2103926746683987E-3</v>
      </c>
      <c r="F326" s="94"/>
      <c r="G326" s="100">
        <f ca="1">_xll.meDateFromTenor(G325,"1D","FOLLOWING",H$12)</f>
        <v>42955</v>
      </c>
      <c r="H326" s="13">
        <f ca="1">_xll.meDateFromTenor(G326,H$14,H$11,H$12)</f>
        <v>42986</v>
      </c>
      <c r="I326" s="98">
        <f ca="1"/>
        <v>-4.0369596673084946E-3</v>
      </c>
      <c r="J326" s="94" t="s">
        <v>4</v>
      </c>
      <c r="K326" s="100">
        <f ca="1">_xll.meDateFromTenor(K325,"1D","FOLLOWING",L$12)</f>
        <v>42955</v>
      </c>
      <c r="L326" s="13">
        <f ca="1">_xll.meDateFromTenor(K326,L$14,L$11,L$12)</f>
        <v>43047</v>
      </c>
      <c r="M326" s="98">
        <f ca="1"/>
        <v>-3.0718371702882462E-3</v>
      </c>
      <c r="N326" s="5" t="s">
        <v>4</v>
      </c>
      <c r="O326" s="100">
        <f ca="1">_xll.meDateFromTenor(O325,"1D","FOLLOWING",P$12)</f>
        <v>42955</v>
      </c>
      <c r="P326" s="13">
        <f ca="1">_xll.meDateFromTenor(O326,P$14,P$11,P$12)</f>
        <v>43139</v>
      </c>
      <c r="Q326" s="98">
        <f ca="1"/>
        <v>-1.7696837197796833E-3</v>
      </c>
      <c r="R326" s="5" t="s">
        <v>4</v>
      </c>
      <c r="S326" s="100">
        <f ca="1">_xll.meDateFromTenor(S325,"1D","FOLLOWING",T$12)</f>
        <v>42955</v>
      </c>
      <c r="T326" s="13">
        <f ca="1">_xll.meDateFromTenor(S326,T$14,T$11,T$12)</f>
        <v>43320</v>
      </c>
      <c r="U326" s="98">
        <f ca="1"/>
        <v>2.1914349352932522E-5</v>
      </c>
      <c r="V326" s="5" t="s">
        <v>4</v>
      </c>
      <c r="W326" s="84" t="s">
        <v>4</v>
      </c>
    </row>
    <row r="327" spans="1:23" x14ac:dyDescent="0.25">
      <c r="A327" s="90">
        <v>308</v>
      </c>
      <c r="B327" s="83"/>
      <c r="C327" s="100">
        <f ca="1">_xll.meDateFromTenor(C326,"1D","FOLLOWING",D$12)</f>
        <v>42956</v>
      </c>
      <c r="D327" s="13">
        <f ca="1">_xll.meDateFromTenor(C327,D$14,D$11,D$12)</f>
        <v>42957</v>
      </c>
      <c r="E327" s="98">
        <f ca="1"/>
        <v>-4.2102530673826669E-3</v>
      </c>
      <c r="F327" s="94"/>
      <c r="G327" s="100">
        <f ca="1">_xll.meDateFromTenor(G326,"1D","FOLLOWING",H$12)</f>
        <v>42956</v>
      </c>
      <c r="H327" s="13">
        <f ca="1">_xll.meDateFromTenor(G327,H$14,H$11,H$12)</f>
        <v>42989</v>
      </c>
      <c r="I327" s="98">
        <f ca="1"/>
        <v>-4.0373278084219972E-3</v>
      </c>
      <c r="J327" s="94" t="s">
        <v>4</v>
      </c>
      <c r="K327" s="100">
        <f ca="1">_xll.meDateFromTenor(K326,"1D","FOLLOWING",L$12)</f>
        <v>42956</v>
      </c>
      <c r="L327" s="13">
        <f ca="1">_xll.meDateFromTenor(K327,L$14,L$11,L$12)</f>
        <v>43048</v>
      </c>
      <c r="M327" s="98">
        <f ca="1"/>
        <v>-3.0719262328285095E-3</v>
      </c>
      <c r="N327" s="5" t="s">
        <v>4</v>
      </c>
      <c r="O327" s="100">
        <f ca="1">_xll.meDateFromTenor(O326,"1D","FOLLOWING",P$12)</f>
        <v>42956</v>
      </c>
      <c r="P327" s="13">
        <f ca="1">_xll.meDateFromTenor(O327,P$14,P$11,P$12)</f>
        <v>43140</v>
      </c>
      <c r="Q327" s="98">
        <f ca="1"/>
        <v>-1.7696881172489915E-3</v>
      </c>
      <c r="R327" s="5" t="s">
        <v>4</v>
      </c>
      <c r="S327" s="100">
        <f ca="1">_xll.meDateFromTenor(S326,"1D","FOLLOWING",T$12)</f>
        <v>42956</v>
      </c>
      <c r="T327" s="13">
        <f ca="1">_xll.meDateFromTenor(S327,T$14,T$11,T$12)</f>
        <v>43321</v>
      </c>
      <c r="U327" s="98">
        <f ca="1"/>
        <v>2.3428771418421119E-5</v>
      </c>
      <c r="V327" s="5" t="s">
        <v>4</v>
      </c>
      <c r="W327" s="84" t="s">
        <v>4</v>
      </c>
    </row>
    <row r="328" spans="1:23" x14ac:dyDescent="0.25">
      <c r="A328" s="90">
        <v>309</v>
      </c>
      <c r="B328" s="83"/>
      <c r="C328" s="100">
        <f ca="1">_xll.meDateFromTenor(C327,"1D","FOLLOWING",D$12)</f>
        <v>42957</v>
      </c>
      <c r="D328" s="13">
        <f ca="1">_xll.meDateFromTenor(C328,D$14,D$11,D$12)</f>
        <v>42958</v>
      </c>
      <c r="E328" s="98">
        <f ca="1"/>
        <v>-4.2101106369152467E-3</v>
      </c>
      <c r="F328" s="94"/>
      <c r="G328" s="100">
        <f ca="1">_xll.meDateFromTenor(G327,"1D","FOLLOWING",H$12)</f>
        <v>42957</v>
      </c>
      <c r="H328" s="13">
        <f ca="1">_xll.meDateFromTenor(G328,H$14,H$11,H$12)</f>
        <v>42989</v>
      </c>
      <c r="I328" s="98">
        <f ca="1"/>
        <v>-4.0376821944502752E-3</v>
      </c>
      <c r="J328" s="94" t="s">
        <v>4</v>
      </c>
      <c r="K328" s="100">
        <f ca="1">_xll.meDateFromTenor(K327,"1D","FOLLOWING",L$12)</f>
        <v>42957</v>
      </c>
      <c r="L328" s="13">
        <f ca="1">_xll.meDateFromTenor(K328,L$14,L$11,L$12)</f>
        <v>43049</v>
      </c>
      <c r="M328" s="98">
        <f ca="1"/>
        <v>-3.0720152953687559E-3</v>
      </c>
      <c r="N328" s="5" t="s">
        <v>4</v>
      </c>
      <c r="O328" s="100">
        <f ca="1">_xll.meDateFromTenor(O327,"1D","FOLLOWING",P$12)</f>
        <v>42957</v>
      </c>
      <c r="P328" s="13">
        <f ca="1">_xll.meDateFromTenor(O328,P$14,P$11,P$12)</f>
        <v>43143</v>
      </c>
      <c r="Q328" s="98">
        <f ca="1"/>
        <v>-1.7696779078147657E-3</v>
      </c>
      <c r="R328" s="5" t="s">
        <v>4</v>
      </c>
      <c r="S328" s="100">
        <f ca="1">_xll.meDateFromTenor(S327,"1D","FOLLOWING",T$12)</f>
        <v>42957</v>
      </c>
      <c r="T328" s="13">
        <f ca="1">_xll.meDateFromTenor(S328,T$14,T$11,T$12)</f>
        <v>43322</v>
      </c>
      <c r="U328" s="98">
        <f ca="1"/>
        <v>2.495052940152427E-5</v>
      </c>
      <c r="V328" s="5" t="s">
        <v>4</v>
      </c>
      <c r="W328" s="84" t="s">
        <v>4</v>
      </c>
    </row>
    <row r="329" spans="1:23" x14ac:dyDescent="0.25">
      <c r="A329" s="90">
        <v>310</v>
      </c>
      <c r="B329" s="83"/>
      <c r="C329" s="100">
        <f ca="1">_xll.meDateFromTenor(C328,"1D","FOLLOWING",D$12)</f>
        <v>42958</v>
      </c>
      <c r="D329" s="13">
        <f ca="1">_xll.meDateFromTenor(C329,D$14,D$11,D$12)</f>
        <v>42961</v>
      </c>
      <c r="E329" s="98">
        <f ca="1"/>
        <v>-4.2097671374329432E-3</v>
      </c>
      <c r="F329" s="94"/>
      <c r="G329" s="100">
        <f ca="1">_xll.meDateFromTenor(G328,"1D","FOLLOWING",H$12)</f>
        <v>42958</v>
      </c>
      <c r="H329" s="13">
        <f ca="1">_xll.meDateFromTenor(G329,H$14,H$11,H$12)</f>
        <v>42989</v>
      </c>
      <c r="I329" s="98">
        <f ca="1"/>
        <v>-4.0380229422043116E-3</v>
      </c>
      <c r="J329" s="94" t="s">
        <v>4</v>
      </c>
      <c r="K329" s="100">
        <f ca="1">_xll.meDateFromTenor(K328,"1D","FOLLOWING",L$12)</f>
        <v>42958</v>
      </c>
      <c r="L329" s="13">
        <f ca="1">_xll.meDateFromTenor(K329,L$14,L$11,L$12)</f>
        <v>43052</v>
      </c>
      <c r="M329" s="98">
        <f ca="1"/>
        <v>-3.0721043579089793E-3</v>
      </c>
      <c r="N329" s="5" t="s">
        <v>4</v>
      </c>
      <c r="O329" s="100">
        <f ca="1">_xll.meDateFromTenor(O328,"1D","FOLLOWING",P$12)</f>
        <v>42958</v>
      </c>
      <c r="P329" s="13">
        <f ca="1">_xll.meDateFromTenor(O329,P$14,P$11,P$12)</f>
        <v>43143</v>
      </c>
      <c r="Q329" s="98">
        <f ca="1"/>
        <v>-1.7696530897876751E-3</v>
      </c>
      <c r="R329" s="5" t="s">
        <v>4</v>
      </c>
      <c r="S329" s="100">
        <f ca="1">_xll.meDateFromTenor(S328,"1D","FOLLOWING",T$12)</f>
        <v>42958</v>
      </c>
      <c r="T329" s="13">
        <f ca="1">_xll.meDateFromTenor(S329,T$14,T$11,T$12)</f>
        <v>43325</v>
      </c>
      <c r="U329" s="98">
        <f ca="1"/>
        <v>2.6479633664934477E-5</v>
      </c>
      <c r="V329" s="5" t="s">
        <v>4</v>
      </c>
      <c r="W329" s="84" t="s">
        <v>4</v>
      </c>
    </row>
    <row r="330" spans="1:23" x14ac:dyDescent="0.25">
      <c r="A330" s="90">
        <v>311</v>
      </c>
      <c r="B330" s="83"/>
      <c r="C330" s="100">
        <f ca="1">_xll.meDateFromTenor(C329,"1D","FOLLOWING",D$12)</f>
        <v>42961</v>
      </c>
      <c r="D330" s="13">
        <f ca="1">_xll.meDateFromTenor(C330,D$14,D$11,D$12)</f>
        <v>42962</v>
      </c>
      <c r="E330" s="98">
        <f ca="1"/>
        <v>-4.2095126873853564E-3</v>
      </c>
      <c r="F330" s="94"/>
      <c r="G330" s="100">
        <f ca="1">_xll.meDateFromTenor(G329,"1D","FOLLOWING",H$12)</f>
        <v>42961</v>
      </c>
      <c r="H330" s="13">
        <f ca="1">_xll.meDateFromTenor(G330,H$14,H$11,H$12)</f>
        <v>42992</v>
      </c>
      <c r="I330" s="98">
        <f ca="1"/>
        <v>-4.0389645239307884E-3</v>
      </c>
      <c r="J330" s="94" t="s">
        <v>4</v>
      </c>
      <c r="K330" s="100">
        <f ca="1">_xll.meDateFromTenor(K329,"1D","FOLLOWING",L$12)</f>
        <v>42961</v>
      </c>
      <c r="L330" s="13">
        <f ca="1">_xll.meDateFromTenor(K330,L$14,L$11,L$12)</f>
        <v>43053</v>
      </c>
      <c r="M330" s="98">
        <f ca="1"/>
        <v>-3.072371545529775E-3</v>
      </c>
      <c r="N330" s="5" t="s">
        <v>4</v>
      </c>
      <c r="O330" s="100">
        <f ca="1">_xll.meDateFromTenor(O329,"1D","FOLLOWING",P$12)</f>
        <v>42961</v>
      </c>
      <c r="P330" s="13">
        <f ca="1">_xll.meDateFromTenor(O330,P$14,P$11,P$12)</f>
        <v>43145</v>
      </c>
      <c r="Q330" s="98">
        <f ca="1"/>
        <v>-1.7694909672559054E-3</v>
      </c>
      <c r="R330" s="5" t="s">
        <v>4</v>
      </c>
      <c r="S330" s="100">
        <f ca="1">_xll.meDateFromTenor(S329,"1D","FOLLOWING",T$12)</f>
        <v>42961</v>
      </c>
      <c r="T330" s="13">
        <f ca="1">_xll.meDateFromTenor(S330,T$14,T$11,T$12)</f>
        <v>43326</v>
      </c>
      <c r="U330" s="98">
        <f ca="1"/>
        <v>3.1111127763928663E-5</v>
      </c>
      <c r="V330" s="5" t="s">
        <v>4</v>
      </c>
      <c r="W330" s="84" t="s">
        <v>4</v>
      </c>
    </row>
    <row r="331" spans="1:23" x14ac:dyDescent="0.25">
      <c r="A331" s="90">
        <v>312</v>
      </c>
      <c r="B331" s="83"/>
      <c r="C331" s="100">
        <f ca="1">_xll.meDateFromTenor(C330,"1D","FOLLOWING",D$12)</f>
        <v>42962</v>
      </c>
      <c r="D331" s="13">
        <f ca="1">_xll.meDateFromTenor(C331,D$14,D$11,D$12)</f>
        <v>42963</v>
      </c>
      <c r="E331" s="98">
        <f ca="1"/>
        <v>-4.2093561435274799E-3</v>
      </c>
      <c r="F331" s="94"/>
      <c r="G331" s="100">
        <f ca="1">_xll.meDateFromTenor(G330,"1D","FOLLOWING",H$12)</f>
        <v>42962</v>
      </c>
      <c r="H331" s="13">
        <f ca="1">_xll.meDateFromTenor(G331,H$14,H$11,H$12)</f>
        <v>42993</v>
      </c>
      <c r="I331" s="98">
        <f ca="1"/>
        <v>-4.0392518866976751E-3</v>
      </c>
      <c r="J331" s="94" t="s">
        <v>4</v>
      </c>
      <c r="K331" s="100">
        <f ca="1">_xll.meDateFromTenor(K330,"1D","FOLLOWING",L$12)</f>
        <v>42962</v>
      </c>
      <c r="L331" s="13">
        <f ca="1">_xll.meDateFromTenor(K331,L$14,L$11,L$12)</f>
        <v>43054</v>
      </c>
      <c r="M331" s="98">
        <f ca="1"/>
        <v>-3.0724606080695968E-3</v>
      </c>
      <c r="N331" s="5" t="s">
        <v>4</v>
      </c>
      <c r="O331" s="100">
        <f ca="1">_xll.meDateFromTenor(O330,"1D","FOLLOWING",P$12)</f>
        <v>42962</v>
      </c>
      <c r="P331" s="13">
        <f ca="1">_xll.meDateFromTenor(O331,P$14,P$11,P$12)</f>
        <v>43146</v>
      </c>
      <c r="Q331" s="98">
        <f ca="1"/>
        <v>-1.7694076979640468E-3</v>
      </c>
      <c r="R331" s="5" t="s">
        <v>4</v>
      </c>
      <c r="S331" s="100">
        <f ca="1">_xll.meDateFromTenor(S330,"1D","FOLLOWING",T$12)</f>
        <v>42962</v>
      </c>
      <c r="T331" s="13">
        <f ca="1">_xll.meDateFromTenor(S331,T$14,T$11,T$12)</f>
        <v>43327</v>
      </c>
      <c r="U331" s="98">
        <f ca="1"/>
        <v>3.266972077548866E-5</v>
      </c>
      <c r="V331" s="5" t="s">
        <v>4</v>
      </c>
      <c r="W331" s="84" t="s">
        <v>4</v>
      </c>
    </row>
    <row r="332" spans="1:23" x14ac:dyDescent="0.25">
      <c r="A332" s="90">
        <v>313</v>
      </c>
      <c r="B332" s="83"/>
      <c r="C332" s="100">
        <f ca="1">_xll.meDateFromTenor(C331,"1D","FOLLOWING",D$12)</f>
        <v>42963</v>
      </c>
      <c r="D332" s="13">
        <f ca="1">_xll.meDateFromTenor(C332,D$14,D$11,D$12)</f>
        <v>42964</v>
      </c>
      <c r="E332" s="98">
        <f ca="1"/>
        <v>-4.2091967776070197E-3</v>
      </c>
      <c r="F332" s="94"/>
      <c r="G332" s="100">
        <f ca="1">_xll.meDateFromTenor(G331,"1D","FOLLOWING",H$12)</f>
        <v>42963</v>
      </c>
      <c r="H332" s="13">
        <f ca="1">_xll.meDateFromTenor(G332,H$14,H$11,H$12)</f>
        <v>42996</v>
      </c>
      <c r="I332" s="98">
        <f ca="1"/>
        <v>-4.0395261952452305E-3</v>
      </c>
      <c r="J332" s="94" t="s">
        <v>4</v>
      </c>
      <c r="K332" s="100">
        <f ca="1">_xll.meDateFromTenor(K331,"1D","FOLLOWING",L$12)</f>
        <v>42963</v>
      </c>
      <c r="L332" s="13">
        <f ca="1">_xll.meDateFromTenor(K332,L$14,L$11,L$12)</f>
        <v>43055</v>
      </c>
      <c r="M332" s="98">
        <f ca="1"/>
        <v>-3.0725496706102847E-3</v>
      </c>
      <c r="N332" s="5" t="s">
        <v>4</v>
      </c>
      <c r="O332" s="100">
        <f ca="1">_xll.meDateFromTenor(O331,"1D","FOLLOWING",P$12)</f>
        <v>42963</v>
      </c>
      <c r="P332" s="13">
        <f ca="1">_xll.meDateFromTenor(O332,P$14,P$11,P$12)</f>
        <v>43147</v>
      </c>
      <c r="Q332" s="98">
        <f ca="1"/>
        <v>-1.7693098116326686E-3</v>
      </c>
      <c r="R332" s="5" t="s">
        <v>4</v>
      </c>
      <c r="S332" s="100">
        <f ca="1">_xll.meDateFromTenor(S331,"1D","FOLLOWING",T$12)</f>
        <v>42963</v>
      </c>
      <c r="T332" s="13">
        <f ca="1">_xll.meDateFromTenor(S332,T$14,T$11,T$12)</f>
        <v>43328</v>
      </c>
      <c r="U332" s="98">
        <f ca="1"/>
        <v>3.4235711880816841E-5</v>
      </c>
      <c r="V332" s="5" t="s">
        <v>4</v>
      </c>
      <c r="W332" s="84" t="s">
        <v>4</v>
      </c>
    </row>
    <row r="333" spans="1:23" x14ac:dyDescent="0.25">
      <c r="A333" s="90">
        <v>314</v>
      </c>
      <c r="B333" s="83"/>
      <c r="C333" s="100">
        <f ca="1">_xll.meDateFromTenor(C332,"1D","FOLLOWING",D$12)</f>
        <v>42964</v>
      </c>
      <c r="D333" s="13">
        <f ca="1">_xll.meDateFromTenor(C333,D$14,D$11,D$12)</f>
        <v>42965</v>
      </c>
      <c r="E333" s="98">
        <f ca="1"/>
        <v>-4.2090345893841677E-3</v>
      </c>
      <c r="F333" s="94"/>
      <c r="G333" s="100">
        <f ca="1">_xll.meDateFromTenor(G332,"1D","FOLLOWING",H$12)</f>
        <v>42964</v>
      </c>
      <c r="H333" s="13">
        <f ca="1">_xll.meDateFromTenor(G333,H$14,H$11,H$12)</f>
        <v>42996</v>
      </c>
      <c r="I333" s="98">
        <f ca="1"/>
        <v>-4.0397875663844346E-3</v>
      </c>
      <c r="J333" s="94" t="s">
        <v>4</v>
      </c>
      <c r="K333" s="100">
        <f ca="1">_xll.meDateFromTenor(K332,"1D","FOLLOWING",L$12)</f>
        <v>42964</v>
      </c>
      <c r="L333" s="13">
        <f ca="1">_xll.meDateFromTenor(K333,L$14,L$11,L$12)</f>
        <v>43056</v>
      </c>
      <c r="M333" s="98">
        <f ca="1"/>
        <v>-3.0726387331521565E-3</v>
      </c>
      <c r="N333" s="5" t="s">
        <v>4</v>
      </c>
      <c r="O333" s="100">
        <f ca="1">_xll.meDateFromTenor(O332,"1D","FOLLOWING",P$12)</f>
        <v>42964</v>
      </c>
      <c r="P333" s="13">
        <f ca="1">_xll.meDateFromTenor(O333,P$14,P$11,P$12)</f>
        <v>43150</v>
      </c>
      <c r="Q333" s="98">
        <f ca="1"/>
        <v>-1.7691973065724403E-3</v>
      </c>
      <c r="R333" s="5" t="s">
        <v>4</v>
      </c>
      <c r="S333" s="100">
        <f ca="1">_xll.meDateFromTenor(S332,"1D","FOLLOWING",T$12)</f>
        <v>42964</v>
      </c>
      <c r="T333" s="13">
        <f ca="1">_xll.meDateFromTenor(S333,T$14,T$11,T$12)</f>
        <v>43329</v>
      </c>
      <c r="U333" s="98">
        <f ca="1"/>
        <v>3.5809111442605167E-5</v>
      </c>
      <c r="V333" s="5" t="s">
        <v>4</v>
      </c>
      <c r="W333" s="84" t="s">
        <v>4</v>
      </c>
    </row>
    <row r="334" spans="1:23" x14ac:dyDescent="0.25">
      <c r="A334" s="90">
        <v>315</v>
      </c>
      <c r="B334" s="83"/>
      <c r="C334" s="100">
        <f ca="1">_xll.meDateFromTenor(C333,"1D","FOLLOWING",D$12)</f>
        <v>42965</v>
      </c>
      <c r="D334" s="13">
        <f ca="1">_xll.meDateFromTenor(C334,D$14,D$11,D$12)</f>
        <v>42968</v>
      </c>
      <c r="E334" s="98">
        <f ca="1"/>
        <v>-4.2086516036210645E-3</v>
      </c>
      <c r="F334" s="94"/>
      <c r="G334" s="100">
        <f ca="1">_xll.meDateFromTenor(G333,"1D","FOLLOWING",H$12)</f>
        <v>42965</v>
      </c>
      <c r="H334" s="13">
        <f ca="1">_xll.meDateFromTenor(G334,H$14,H$11,H$12)</f>
        <v>42996</v>
      </c>
      <c r="I334" s="98">
        <f ca="1"/>
        <v>-4.0400361169262719E-3</v>
      </c>
      <c r="J334" s="94" t="s">
        <v>4</v>
      </c>
      <c r="K334" s="100">
        <f ca="1">_xll.meDateFromTenor(K333,"1D","FOLLOWING",L$12)</f>
        <v>42965</v>
      </c>
      <c r="L334" s="13">
        <f ca="1">_xll.meDateFromTenor(K334,L$14,L$11,L$12)</f>
        <v>43059</v>
      </c>
      <c r="M334" s="98">
        <f ca="1"/>
        <v>-3.0727277956907944E-3</v>
      </c>
      <c r="N334" s="5" t="s">
        <v>4</v>
      </c>
      <c r="O334" s="100">
        <f ca="1">_xll.meDateFromTenor(O333,"1D","FOLLOWING",P$12)</f>
        <v>42965</v>
      </c>
      <c r="P334" s="13">
        <f ca="1">_xll.meDateFromTenor(O334,P$14,P$11,P$12)</f>
        <v>43150</v>
      </c>
      <c r="Q334" s="98">
        <f ca="1"/>
        <v>-1.769070181094031E-3</v>
      </c>
      <c r="R334" s="5" t="s">
        <v>4</v>
      </c>
      <c r="S334" s="100">
        <f ca="1">_xll.meDateFromTenor(S333,"1D","FOLLOWING",T$12)</f>
        <v>42965</v>
      </c>
      <c r="T334" s="13">
        <f ca="1">_xll.meDateFromTenor(S334,T$14,T$11,T$12)</f>
        <v>43332</v>
      </c>
      <c r="U334" s="98">
        <f ca="1"/>
        <v>3.7389929823546111E-5</v>
      </c>
      <c r="V334" s="5" t="s">
        <v>4</v>
      </c>
      <c r="W334" s="84" t="s">
        <v>4</v>
      </c>
    </row>
    <row r="335" spans="1:23" x14ac:dyDescent="0.25">
      <c r="A335" s="90">
        <v>316</v>
      </c>
      <c r="B335" s="83"/>
      <c r="C335" s="100">
        <f ca="1">_xll.meDateFromTenor(C334,"1D","FOLLOWING",D$12)</f>
        <v>42968</v>
      </c>
      <c r="D335" s="13">
        <f ca="1">_xll.meDateFromTenor(C335,D$14,D$11,D$12)</f>
        <v>42969</v>
      </c>
      <c r="E335" s="98">
        <f ca="1"/>
        <v>-4.2083576180251972E-3</v>
      </c>
      <c r="F335" s="94"/>
      <c r="G335" s="100">
        <f ca="1">_xll.meDateFromTenor(G334,"1D","FOLLOWING",H$12)</f>
        <v>42968</v>
      </c>
      <c r="H335" s="13">
        <f ca="1">_xll.meDateFromTenor(G335,H$14,H$11,H$12)</f>
        <v>42999</v>
      </c>
      <c r="I335" s="98">
        <f ca="1"/>
        <v>-4.0407060130773879E-3</v>
      </c>
      <c r="J335" s="94" t="s">
        <v>4</v>
      </c>
      <c r="K335" s="100">
        <f ca="1">_xll.meDateFromTenor(K334,"1D","FOLLOWING",L$12)</f>
        <v>42968</v>
      </c>
      <c r="L335" s="13">
        <f ca="1">_xll.meDateFromTenor(K335,L$14,L$11,L$12)</f>
        <v>43060</v>
      </c>
      <c r="M335" s="98">
        <f ca="1"/>
        <v>-3.0729949833340807E-3</v>
      </c>
      <c r="N335" s="5" t="s">
        <v>4</v>
      </c>
      <c r="O335" s="100">
        <f ca="1">_xll.meDateFromTenor(O334,"1D","FOLLOWING",P$12)</f>
        <v>42968</v>
      </c>
      <c r="P335" s="13">
        <f ca="1">_xll.meDateFromTenor(O335,P$14,P$11,P$12)</f>
        <v>43152</v>
      </c>
      <c r="Q335" s="98">
        <f ca="1"/>
        <v>-1.7686010652564084E-3</v>
      </c>
      <c r="R335" s="5" t="s">
        <v>4</v>
      </c>
      <c r="S335" s="100">
        <f ca="1">_xll.meDateFromTenor(S334,"1D","FOLLOWING",T$12)</f>
        <v>42968</v>
      </c>
      <c r="T335" s="13">
        <f ca="1">_xll.meDateFromTenor(S335,T$14,T$11,T$12)</f>
        <v>43333</v>
      </c>
      <c r="U335" s="98">
        <f ca="1"/>
        <v>4.2177001508205859E-5</v>
      </c>
      <c r="V335" s="5" t="s">
        <v>4</v>
      </c>
      <c r="W335" s="84" t="s">
        <v>4</v>
      </c>
    </row>
    <row r="336" spans="1:23" x14ac:dyDescent="0.25">
      <c r="A336" s="90">
        <v>317</v>
      </c>
      <c r="B336" s="83"/>
      <c r="C336" s="100">
        <f ca="1">_xll.meDateFromTenor(C335,"1D","FOLLOWING",D$12)</f>
        <v>42969</v>
      </c>
      <c r="D336" s="13">
        <f ca="1">_xll.meDateFromTenor(C336,D$14,D$11,D$12)</f>
        <v>42970</v>
      </c>
      <c r="E336" s="98">
        <f ca="1"/>
        <v>-4.2081813212080524E-3</v>
      </c>
      <c r="F336" s="94"/>
      <c r="G336" s="100">
        <f ca="1">_xll.meDateFromTenor(G335,"1D","FOLLOWING",H$12)</f>
        <v>42969</v>
      </c>
      <c r="H336" s="13">
        <f ca="1">_xll.meDateFromTenor(G336,H$14,H$11,H$12)</f>
        <v>43000</v>
      </c>
      <c r="I336" s="98">
        <f ca="1"/>
        <v>-4.0409044493395678E-3</v>
      </c>
      <c r="J336" s="94" t="s">
        <v>4</v>
      </c>
      <c r="K336" s="100">
        <f ca="1">_xll.meDateFromTenor(K335,"1D","FOLLOWING",L$12)</f>
        <v>42969</v>
      </c>
      <c r="L336" s="13">
        <f ca="1">_xll.meDateFromTenor(K336,L$14,L$11,L$12)</f>
        <v>43061</v>
      </c>
      <c r="M336" s="98">
        <f ca="1"/>
        <v>-3.0730840458518139E-3</v>
      </c>
      <c r="N336" s="5" t="s">
        <v>4</v>
      </c>
      <c r="O336" s="100">
        <f ca="1">_xll.meDateFromTenor(O335,"1D","FOLLOWING",P$12)</f>
        <v>42969</v>
      </c>
      <c r="P336" s="13">
        <f ca="1">_xll.meDateFromTenor(O336,P$14,P$11,P$12)</f>
        <v>43153</v>
      </c>
      <c r="Q336" s="98">
        <f ca="1"/>
        <v>-1.7684154412119662E-3</v>
      </c>
      <c r="R336" s="5" t="s">
        <v>4</v>
      </c>
      <c r="S336" s="100">
        <f ca="1">_xll.meDateFromTenor(S335,"1D","FOLLOWING",T$12)</f>
        <v>42969</v>
      </c>
      <c r="T336" s="13">
        <f ca="1">_xll.meDateFromTenor(S336,T$14,T$11,T$12)</f>
        <v>43334</v>
      </c>
      <c r="U336" s="98">
        <f ca="1"/>
        <v>4.3787598792679008E-5</v>
      </c>
      <c r="V336" s="5" t="s">
        <v>4</v>
      </c>
      <c r="W336" s="84" t="s">
        <v>4</v>
      </c>
    </row>
    <row r="337" spans="1:23" x14ac:dyDescent="0.25">
      <c r="A337" s="90">
        <v>318</v>
      </c>
      <c r="B337" s="83"/>
      <c r="C337" s="100">
        <f ca="1">_xll.meDateFromTenor(C336,"1D","FOLLOWING",D$12)</f>
        <v>42970</v>
      </c>
      <c r="D337" s="13">
        <f ca="1">_xll.meDateFromTenor(C337,D$14,D$11,D$12)</f>
        <v>42971</v>
      </c>
      <c r="E337" s="98">
        <f ca="1"/>
        <v>-4.2080022029278444E-3</v>
      </c>
      <c r="F337" s="94"/>
      <c r="G337" s="100">
        <f ca="1">_xll.meDateFromTenor(G336,"1D","FOLLOWING",H$12)</f>
        <v>42970</v>
      </c>
      <c r="H337" s="13">
        <f ca="1">_xll.meDateFromTenor(G337,H$14,H$11,H$12)</f>
        <v>43003</v>
      </c>
      <c r="I337" s="98">
        <f ca="1"/>
        <v>-4.0410906490592905E-3</v>
      </c>
      <c r="J337" s="94" t="s">
        <v>4</v>
      </c>
      <c r="K337" s="100">
        <f ca="1">_xll.meDateFromTenor(K336,"1D","FOLLOWING",L$12)</f>
        <v>42970</v>
      </c>
      <c r="L337" s="13">
        <f ca="1">_xll.meDateFromTenor(K337,L$14,L$11,L$12)</f>
        <v>43062</v>
      </c>
      <c r="M337" s="98">
        <f ca="1"/>
        <v>-3.0731731083080177E-3</v>
      </c>
      <c r="N337" s="5" t="s">
        <v>4</v>
      </c>
      <c r="O337" s="100">
        <f ca="1">_xll.meDateFromTenor(O336,"1D","FOLLOWING",P$12)</f>
        <v>42970</v>
      </c>
      <c r="P337" s="13">
        <f ca="1">_xll.meDateFromTenor(O337,P$14,P$11,P$12)</f>
        <v>43154</v>
      </c>
      <c r="Q337" s="98">
        <f ca="1"/>
        <v>-1.7682151883026884E-3</v>
      </c>
      <c r="R337" s="5" t="s">
        <v>4</v>
      </c>
      <c r="S337" s="100">
        <f ca="1">_xll.meDateFromTenor(S336,"1D","FOLLOWING",T$12)</f>
        <v>42970</v>
      </c>
      <c r="T337" s="13">
        <f ca="1">_xll.meDateFromTenor(S337,T$14,T$11,T$12)</f>
        <v>43335</v>
      </c>
      <c r="U337" s="98">
        <f ca="1"/>
        <v>4.5405666709765686E-5</v>
      </c>
      <c r="V337" s="5" t="s">
        <v>4</v>
      </c>
      <c r="W337" s="84" t="s">
        <v>4</v>
      </c>
    </row>
    <row r="338" spans="1:23" x14ac:dyDescent="0.25">
      <c r="A338" s="90">
        <v>319</v>
      </c>
      <c r="B338" s="83"/>
      <c r="C338" s="100">
        <f ca="1">_xll.meDateFromTenor(C337,"1D","FOLLOWING",D$12)</f>
        <v>42971</v>
      </c>
      <c r="D338" s="13">
        <f ca="1">_xll.meDateFromTenor(C338,D$14,D$11,D$12)</f>
        <v>42972</v>
      </c>
      <c r="E338" s="98">
        <f ca="1"/>
        <v>-4.2078202635043175E-3</v>
      </c>
      <c r="F338" s="94"/>
      <c r="G338" s="100">
        <f ca="1">_xll.meDateFromTenor(G337,"1D","FOLLOWING",H$12)</f>
        <v>42971</v>
      </c>
      <c r="H338" s="13">
        <f ca="1">_xll.meDateFromTenor(G338,H$14,H$11,H$12)</f>
        <v>43003</v>
      </c>
      <c r="I338" s="98">
        <f ca="1"/>
        <v>-4.0412647290475352E-3</v>
      </c>
      <c r="J338" s="94" t="s">
        <v>4</v>
      </c>
      <c r="K338" s="100">
        <f ca="1">_xll.meDateFromTenor(K337,"1D","FOLLOWING",L$12)</f>
        <v>42971</v>
      </c>
      <c r="L338" s="13">
        <f ca="1">_xll.meDateFromTenor(K338,L$14,L$11,L$12)</f>
        <v>43063</v>
      </c>
      <c r="M338" s="98">
        <f ca="1"/>
        <v>-3.0732621709323236E-3</v>
      </c>
      <c r="N338" s="5" t="s">
        <v>4</v>
      </c>
      <c r="O338" s="100">
        <f ca="1">_xll.meDateFromTenor(O337,"1D","FOLLOWING",P$12)</f>
        <v>42971</v>
      </c>
      <c r="P338" s="13">
        <f ca="1">_xll.meDateFromTenor(O338,P$14,P$11,P$12)</f>
        <v>43157</v>
      </c>
      <c r="Q338" s="98">
        <f ca="1"/>
        <v>-1.7680003048392444E-3</v>
      </c>
      <c r="R338" s="5" t="s">
        <v>4</v>
      </c>
      <c r="S338" s="100">
        <f ca="1">_xll.meDateFromTenor(S337,"1D","FOLLOWING",T$12)</f>
        <v>42971</v>
      </c>
      <c r="T338" s="13">
        <f ca="1">_xll.meDateFromTenor(S338,T$14,T$11,T$12)</f>
        <v>43336</v>
      </c>
      <c r="U338" s="98">
        <f ca="1"/>
        <v>4.7031215622158303E-5</v>
      </c>
      <c r="V338" s="5" t="s">
        <v>4</v>
      </c>
      <c r="W338" s="84" t="s">
        <v>4</v>
      </c>
    </row>
    <row r="339" spans="1:23" x14ac:dyDescent="0.25">
      <c r="A339" s="90">
        <v>320</v>
      </c>
      <c r="B339" s="83"/>
      <c r="C339" s="100">
        <f ca="1">_xll.meDateFromTenor(C338,"1D","FOLLOWING",D$12)</f>
        <v>42972</v>
      </c>
      <c r="D339" s="13">
        <f ca="1">_xll.meDateFromTenor(C339,D$14,D$11,D$12)</f>
        <v>42975</v>
      </c>
      <c r="E339" s="98">
        <f ca="1"/>
        <v>-4.2073978075407728E-3</v>
      </c>
      <c r="F339" s="94"/>
      <c r="G339" s="100">
        <f ca="1">_xll.meDateFromTenor(G338,"1D","FOLLOWING",H$12)</f>
        <v>42972</v>
      </c>
      <c r="H339" s="13">
        <f ca="1">_xll.meDateFromTenor(G339,H$14,H$11,H$12)</f>
        <v>43003</v>
      </c>
      <c r="I339" s="98">
        <f ca="1"/>
        <v>-4.0414268061152855E-3</v>
      </c>
      <c r="J339" s="94" t="s">
        <v>4</v>
      </c>
      <c r="K339" s="100">
        <f ca="1">_xll.meDateFromTenor(K338,"1D","FOLLOWING",L$12)</f>
        <v>42972</v>
      </c>
      <c r="L339" s="13">
        <f ca="1">_xll.meDateFromTenor(K339,L$14,L$11,L$12)</f>
        <v>43066</v>
      </c>
      <c r="M339" s="98">
        <f ca="1"/>
        <v>-3.0733512337862618E-3</v>
      </c>
      <c r="N339" s="5" t="s">
        <v>4</v>
      </c>
      <c r="O339" s="100">
        <f ca="1">_xll.meDateFromTenor(O338,"1D","FOLLOWING",P$12)</f>
        <v>42972</v>
      </c>
      <c r="P339" s="13">
        <f ca="1">_xll.meDateFromTenor(O339,P$14,P$11,P$12)</f>
        <v>43157</v>
      </c>
      <c r="Q339" s="98">
        <f ca="1"/>
        <v>-1.767770789132303E-3</v>
      </c>
      <c r="R339" s="5" t="s">
        <v>4</v>
      </c>
      <c r="S339" s="100">
        <f ca="1">_xll.meDateFromTenor(S338,"1D","FOLLOWING",T$12)</f>
        <v>42972</v>
      </c>
      <c r="T339" s="13">
        <f ca="1">_xll.meDateFromTenor(S339,T$14,T$11,T$12)</f>
        <v>43339</v>
      </c>
      <c r="U339" s="98">
        <f ca="1"/>
        <v>4.8664255892549019E-5</v>
      </c>
      <c r="V339" s="5" t="s">
        <v>4</v>
      </c>
      <c r="W339" s="84" t="s">
        <v>4</v>
      </c>
    </row>
    <row r="340" spans="1:23" x14ac:dyDescent="0.25">
      <c r="A340" s="90">
        <v>321</v>
      </c>
      <c r="B340" s="83"/>
      <c r="C340" s="100">
        <f ca="1">_xll.meDateFromTenor(C339,"1D","FOLLOWING",D$12)</f>
        <v>42975</v>
      </c>
      <c r="D340" s="13">
        <f ca="1">_xll.meDateFromTenor(C340,D$14,D$11,D$12)</f>
        <v>42976</v>
      </c>
      <c r="E340" s="98">
        <f ca="1"/>
        <v>-4.2070642962954855E-3</v>
      </c>
      <c r="F340" s="94"/>
      <c r="G340" s="100">
        <f ca="1">_xll.meDateFromTenor(G339,"1D","FOLLOWING",H$12)</f>
        <v>42975</v>
      </c>
      <c r="H340" s="13">
        <f ca="1">_xll.meDateFromTenor(G340,H$14,H$11,H$12)</f>
        <v>43006</v>
      </c>
      <c r="I340" s="98">
        <f ca="1"/>
        <v>-4.0418421879053834E-3</v>
      </c>
      <c r="J340" s="94" t="s">
        <v>4</v>
      </c>
      <c r="K340" s="100">
        <f ca="1">_xll.meDateFromTenor(K339,"1D","FOLLOWING",L$12)</f>
        <v>42975</v>
      </c>
      <c r="L340" s="13">
        <f ca="1">_xll.meDateFromTenor(K340,L$14,L$11,L$12)</f>
        <v>43067</v>
      </c>
      <c r="M340" s="98">
        <f ca="1"/>
        <v>-3.0736184210933431E-3</v>
      </c>
      <c r="N340" s="5" t="s">
        <v>4</v>
      </c>
      <c r="O340" s="100">
        <f ca="1">_xll.meDateFromTenor(O339,"1D","FOLLOWING",P$12)</f>
        <v>42975</v>
      </c>
      <c r="P340" s="13">
        <f ca="1">_xll.meDateFromTenor(O340,P$14,P$11,P$12)</f>
        <v>43159</v>
      </c>
      <c r="Q340" s="98">
        <f ca="1"/>
        <v>-1.7669944316571866E-3</v>
      </c>
      <c r="R340" s="5" t="s">
        <v>4</v>
      </c>
      <c r="S340" s="100">
        <f ca="1">_xll.meDateFromTenor(S339,"1D","FOLLOWING",T$12)</f>
        <v>42975</v>
      </c>
      <c r="T340" s="13">
        <f ca="1">_xll.meDateFromTenor(S340,T$14,T$11,T$12)</f>
        <v>43340</v>
      </c>
      <c r="U340" s="98">
        <f ca="1"/>
        <v>5.3608428478631569E-5</v>
      </c>
      <c r="V340" s="5" t="s">
        <v>4</v>
      </c>
      <c r="W340" s="84" t="s">
        <v>4</v>
      </c>
    </row>
    <row r="341" spans="1:23" x14ac:dyDescent="0.25">
      <c r="A341" s="90">
        <v>322</v>
      </c>
      <c r="B341" s="83"/>
      <c r="C341" s="100">
        <f ca="1">_xll.meDateFromTenor(C340,"1D","FOLLOWING",D$12)</f>
        <v>42976</v>
      </c>
      <c r="D341" s="13">
        <f ca="1">_xll.meDateFromTenor(C341,D$14,D$11,D$12)</f>
        <v>42977</v>
      </c>
      <c r="E341" s="98">
        <f ca="1"/>
        <v>-4.2068682526741489E-3</v>
      </c>
      <c r="F341" s="94"/>
      <c r="G341" s="100">
        <f ca="1">_xll.meDateFromTenor(G340,"1D","FOLLOWING",H$12)</f>
        <v>42976</v>
      </c>
      <c r="H341" s="13">
        <f ca="1">_xll.meDateFromTenor(G341,H$14,H$11,H$12)</f>
        <v>43007</v>
      </c>
      <c r="I341" s="98">
        <f ca="1"/>
        <v>-4.0419574214009728E-3</v>
      </c>
      <c r="J341" s="94" t="s">
        <v>4</v>
      </c>
      <c r="K341" s="100">
        <f ca="1">_xll.meDateFromTenor(K340,"1D","FOLLOWING",L$12)</f>
        <v>42976</v>
      </c>
      <c r="L341" s="13">
        <f ca="1">_xll.meDateFromTenor(K341,L$14,L$11,L$12)</f>
        <v>43068</v>
      </c>
      <c r="M341" s="98">
        <f ca="1"/>
        <v>-3.0737074880026402E-3</v>
      </c>
      <c r="N341" s="5" t="s">
        <v>4</v>
      </c>
      <c r="O341" s="100">
        <f ca="1">_xll.meDateFromTenor(O340,"1D","FOLLOWING",P$12)</f>
        <v>42976</v>
      </c>
      <c r="P341" s="13">
        <f ca="1">_xll.meDateFromTenor(O341,P$14,P$11,P$12)</f>
        <v>43159</v>
      </c>
      <c r="Q341" s="98">
        <f ca="1"/>
        <v>-1.7667063700829476E-3</v>
      </c>
      <c r="R341" s="5" t="s">
        <v>4</v>
      </c>
      <c r="S341" s="100">
        <f ca="1">_xll.meDateFromTenor(S340,"1D","FOLLOWING",T$12)</f>
        <v>42976</v>
      </c>
      <c r="T341" s="13">
        <f ca="1">_xll.meDateFromTenor(S341,T$14,T$11,T$12)</f>
        <v>43341</v>
      </c>
      <c r="U341" s="98">
        <f ca="1"/>
        <v>5.5271537807936782E-5</v>
      </c>
      <c r="V341" s="5" t="s">
        <v>4</v>
      </c>
      <c r="W341" s="84" t="s">
        <v>4</v>
      </c>
    </row>
    <row r="342" spans="1:23" x14ac:dyDescent="0.25">
      <c r="A342" s="90">
        <v>323</v>
      </c>
      <c r="B342" s="83"/>
      <c r="C342" s="100">
        <f ca="1">_xll.meDateFromTenor(C341,"1D","FOLLOWING",D$12)</f>
        <v>42977</v>
      </c>
      <c r="D342" s="13">
        <f ca="1">_xll.meDateFromTenor(C342,D$14,D$11,D$12)</f>
        <v>42978</v>
      </c>
      <c r="E342" s="98">
        <f ca="1"/>
        <v>-4.2066693886289178E-3</v>
      </c>
      <c r="F342" s="94"/>
      <c r="G342" s="100">
        <f ca="1">_xll.meDateFromTenor(G341,"1D","FOLLOWING",H$12)</f>
        <v>42977</v>
      </c>
      <c r="H342" s="13">
        <f ca="1">_xll.meDateFromTenor(G342,H$14,H$11,H$12)</f>
        <v>43007</v>
      </c>
      <c r="I342" s="98">
        <f ca="1"/>
        <v>-4.0420612360309756E-3</v>
      </c>
      <c r="J342" s="94" t="s">
        <v>4</v>
      </c>
      <c r="K342" s="100">
        <f ca="1">_xll.meDateFromTenor(K341,"1D","FOLLOWING",L$12)</f>
        <v>42977</v>
      </c>
      <c r="L342" s="13">
        <f ca="1">_xll.meDateFromTenor(K342,L$14,L$11,L$12)</f>
        <v>43069</v>
      </c>
      <c r="M342" s="98">
        <f ca="1"/>
        <v>-3.0737965461738528E-3</v>
      </c>
      <c r="N342" s="5" t="s">
        <v>4</v>
      </c>
      <c r="O342" s="100">
        <f ca="1">_xll.meDateFromTenor(O341,"1D","FOLLOWING",P$12)</f>
        <v>42977</v>
      </c>
      <c r="P342" s="13">
        <f ca="1">_xll.meDateFromTenor(O342,P$14,P$11,P$12)</f>
        <v>43159</v>
      </c>
      <c r="Q342" s="98">
        <f ca="1"/>
        <v>-1.7664036678185569E-3</v>
      </c>
      <c r="R342" s="5" t="s">
        <v>4</v>
      </c>
      <c r="S342" s="100">
        <f ca="1">_xll.meDateFromTenor(S341,"1D","FOLLOWING",T$12)</f>
        <v>42977</v>
      </c>
      <c r="T342" s="13">
        <f ca="1">_xll.meDateFromTenor(S342,T$14,T$11,T$12)</f>
        <v>43342</v>
      </c>
      <c r="U342" s="98">
        <f ca="1"/>
        <v>5.6942190308701074E-5</v>
      </c>
      <c r="V342" s="5" t="s">
        <v>4</v>
      </c>
      <c r="W342" s="84" t="s">
        <v>4</v>
      </c>
    </row>
    <row r="343" spans="1:23" x14ac:dyDescent="0.25">
      <c r="A343" s="90">
        <v>324</v>
      </c>
      <c r="B343" s="83"/>
      <c r="C343" s="100">
        <f ca="1">_xll.meDateFromTenor(C342,"1D","FOLLOWING",D$12)</f>
        <v>42978</v>
      </c>
      <c r="D343" s="13">
        <f ca="1">_xll.meDateFromTenor(C343,D$14,D$11,D$12)</f>
        <v>42979</v>
      </c>
      <c r="E343" s="98">
        <f ca="1"/>
        <v>-4.2064677044795365E-3</v>
      </c>
      <c r="F343" s="94"/>
      <c r="G343" s="100">
        <f ca="1">_xll.meDateFromTenor(G342,"1D","FOLLOWING",H$12)</f>
        <v>42978</v>
      </c>
      <c r="H343" s="13">
        <f ca="1">_xll.meDateFromTenor(G343,H$14,H$11,H$12)</f>
        <v>43007</v>
      </c>
      <c r="I343" s="98">
        <f ca="1"/>
        <v>-4.0421537486063754E-3</v>
      </c>
      <c r="J343" s="94" t="s">
        <v>4</v>
      </c>
      <c r="K343" s="100">
        <f ca="1">_xll.meDateFromTenor(K342,"1D","FOLLOWING",L$12)</f>
        <v>42978</v>
      </c>
      <c r="L343" s="13">
        <f ca="1">_xll.meDateFromTenor(K343,L$14,L$11,L$12)</f>
        <v>43069</v>
      </c>
      <c r="M343" s="98">
        <f ca="1"/>
        <v>-3.0738855924086214E-3</v>
      </c>
      <c r="N343" s="5" t="s">
        <v>4</v>
      </c>
      <c r="O343" s="100">
        <f ca="1">_xll.meDateFromTenor(O342,"1D","FOLLOWING",P$12)</f>
        <v>42978</v>
      </c>
      <c r="P343" s="13">
        <f ca="1">_xll.meDateFromTenor(O343,P$14,P$11,P$12)</f>
        <v>43159</v>
      </c>
      <c r="Q343" s="98">
        <f ca="1"/>
        <v>-1.7660863231746835E-3</v>
      </c>
      <c r="R343" s="5" t="s">
        <v>4</v>
      </c>
      <c r="S343" s="100">
        <f ca="1">_xll.meDateFromTenor(S342,"1D","FOLLOWING",T$12)</f>
        <v>42978</v>
      </c>
      <c r="T343" s="13">
        <f ca="1">_xll.meDateFromTenor(S343,T$14,T$11,T$12)</f>
        <v>43343</v>
      </c>
      <c r="U343" s="98">
        <f ca="1"/>
        <v>5.8620396343616894E-5</v>
      </c>
      <c r="V343" s="5" t="s">
        <v>4</v>
      </c>
      <c r="W343" s="84" t="s">
        <v>4</v>
      </c>
    </row>
    <row r="344" spans="1:23" x14ac:dyDescent="0.25">
      <c r="A344" s="90">
        <v>325</v>
      </c>
      <c r="B344" s="83"/>
      <c r="C344" s="100">
        <f ca="1">_xll.meDateFromTenor(C343,"1D","FOLLOWING",D$12)</f>
        <v>42979</v>
      </c>
      <c r="D344" s="13">
        <f ca="1">_xll.meDateFromTenor(C344,D$14,D$11,D$12)</f>
        <v>42982</v>
      </c>
      <c r="E344" s="98">
        <f ca="1"/>
        <v>-4.2060057943693755E-3</v>
      </c>
      <c r="F344" s="94"/>
      <c r="G344" s="100">
        <f ca="1">_xll.meDateFromTenor(G343,"1D","FOLLOWING",H$12)</f>
        <v>42979</v>
      </c>
      <c r="H344" s="13">
        <f ca="1">_xll.meDateFromTenor(G344,H$14,H$11,H$12)</f>
        <v>43010</v>
      </c>
      <c r="I344" s="98">
        <f ca="1"/>
        <v>-4.0422350759381533E-3</v>
      </c>
      <c r="J344" s="94" t="s">
        <v>4</v>
      </c>
      <c r="K344" s="100">
        <f ca="1">_xll.meDateFromTenor(K343,"1D","FOLLOWING",L$12)</f>
        <v>42979</v>
      </c>
      <c r="L344" s="13">
        <f ca="1">_xll.meDateFromTenor(K344,L$14,L$11,L$12)</f>
        <v>43070</v>
      </c>
      <c r="M344" s="98">
        <f ca="1"/>
        <v>-3.0739746712543621E-3</v>
      </c>
      <c r="N344" s="5" t="s">
        <v>4</v>
      </c>
      <c r="O344" s="100">
        <f ca="1">_xll.meDateFromTenor(O343,"1D","FOLLOWING",P$12)</f>
        <v>42979</v>
      </c>
      <c r="P344" s="13">
        <f ca="1">_xll.meDateFromTenor(O344,P$14,P$11,P$12)</f>
        <v>43160</v>
      </c>
      <c r="Q344" s="98">
        <f ca="1"/>
        <v>-1.7657543344619967E-3</v>
      </c>
      <c r="R344" s="5" t="s">
        <v>4</v>
      </c>
      <c r="S344" s="100">
        <f ca="1">_xll.meDateFromTenor(S343,"1D","FOLLOWING",T$12)</f>
        <v>42979</v>
      </c>
      <c r="T344" s="13">
        <f ca="1">_xll.meDateFromTenor(S344,T$14,T$11,T$12)</f>
        <v>43346</v>
      </c>
      <c r="U344" s="98">
        <f ca="1"/>
        <v>6.0306166275376282E-5</v>
      </c>
      <c r="V344" s="5" t="s">
        <v>4</v>
      </c>
      <c r="W344" s="84" t="s">
        <v>4</v>
      </c>
    </row>
    <row r="345" spans="1:23" x14ac:dyDescent="0.25">
      <c r="A345" s="90">
        <v>326</v>
      </c>
      <c r="B345" s="83"/>
      <c r="C345" s="100">
        <f ca="1">_xll.meDateFromTenor(C344,"1D","FOLLOWING",D$12)</f>
        <v>42982</v>
      </c>
      <c r="D345" s="13">
        <f ca="1">_xll.meDateFromTenor(C345,D$14,D$11,D$12)</f>
        <v>42983</v>
      </c>
      <c r="E345" s="98">
        <f ca="1"/>
        <v>-4.2056349375038226E-3</v>
      </c>
      <c r="F345" s="94"/>
      <c r="G345" s="100">
        <f ca="1">_xll.meDateFromTenor(G344,"1D","FOLLOWING",H$12)</f>
        <v>42982</v>
      </c>
      <c r="H345" s="13">
        <f ca="1">_xll.meDateFromTenor(G345,H$14,H$11,H$12)</f>
        <v>43012</v>
      </c>
      <c r="I345" s="98">
        <f ca="1"/>
        <v>-4.0424131145815768E-3</v>
      </c>
      <c r="J345" s="94" t="s">
        <v>4</v>
      </c>
      <c r="K345" s="100">
        <f ca="1">_xll.meDateFromTenor(K344,"1D","FOLLOWING",L$12)</f>
        <v>42982</v>
      </c>
      <c r="L345" s="13">
        <f ca="1">_xll.meDateFromTenor(K345,L$14,L$11,L$12)</f>
        <v>43073</v>
      </c>
      <c r="M345" s="98">
        <f ca="1"/>
        <v>-3.0742416746623912E-3</v>
      </c>
      <c r="N345" s="5" t="s">
        <v>4</v>
      </c>
      <c r="O345" s="100">
        <f ca="1">_xll.meDateFromTenor(O344,"1D","FOLLOWING",P$12)</f>
        <v>42982</v>
      </c>
      <c r="P345" s="13">
        <f ca="1">_xll.meDateFromTenor(O345,P$14,P$11,P$12)</f>
        <v>43164</v>
      </c>
      <c r="Q345" s="98">
        <f ca="1"/>
        <v>-1.7646704870177465E-3</v>
      </c>
      <c r="R345" s="5" t="s">
        <v>4</v>
      </c>
      <c r="S345" s="100">
        <f ca="1">_xll.meDateFromTenor(S344,"1D","FOLLOWING",T$12)</f>
        <v>42982</v>
      </c>
      <c r="T345" s="13">
        <f ca="1">_xll.meDateFromTenor(S345,T$14,T$11,T$12)</f>
        <v>43347</v>
      </c>
      <c r="U345" s="98">
        <f ca="1"/>
        <v>6.5408963078638792E-5</v>
      </c>
      <c r="V345" s="5" t="s">
        <v>4</v>
      </c>
      <c r="W345" s="84" t="s">
        <v>4</v>
      </c>
    </row>
    <row r="346" spans="1:23" x14ac:dyDescent="0.25">
      <c r="A346" s="90">
        <v>327</v>
      </c>
      <c r="B346" s="83"/>
      <c r="C346" s="100">
        <f ca="1">_xll.meDateFromTenor(C345,"1D","FOLLOWING",D$12)</f>
        <v>42983</v>
      </c>
      <c r="D346" s="13">
        <f ca="1">_xll.meDateFromTenor(C346,D$14,D$11,D$12)</f>
        <v>42984</v>
      </c>
      <c r="E346" s="98">
        <f ca="1"/>
        <v>-4.2054321766960149E-3</v>
      </c>
      <c r="F346" s="94"/>
      <c r="G346" s="100">
        <f ca="1">_xll.meDateFromTenor(G345,"1D","FOLLOWING",H$12)</f>
        <v>42983</v>
      </c>
      <c r="H346" s="13">
        <f ca="1">_xll.meDateFromTenor(G346,H$14,H$11,H$12)</f>
        <v>43013</v>
      </c>
      <c r="I346" s="98">
        <f ca="1"/>
        <v>-4.0424508266035481E-3</v>
      </c>
      <c r="J346" s="94" t="s">
        <v>4</v>
      </c>
      <c r="K346" s="100">
        <f ca="1">_xll.meDateFromTenor(K345,"1D","FOLLOWING",L$12)</f>
        <v>42983</v>
      </c>
      <c r="L346" s="13">
        <f ca="1">_xll.meDateFromTenor(K346,L$14,L$11,L$12)</f>
        <v>43074</v>
      </c>
      <c r="M346" s="98">
        <f ca="1"/>
        <v>-3.0743309214153816E-3</v>
      </c>
      <c r="N346" s="5" t="s">
        <v>4</v>
      </c>
      <c r="O346" s="100">
        <f ca="1">_xll.meDateFromTenor(O345,"1D","FOLLOWING",P$12)</f>
        <v>42983</v>
      </c>
      <c r="P346" s="13">
        <f ca="1">_xll.meDateFromTenor(O346,P$14,P$11,P$12)</f>
        <v>43164</v>
      </c>
      <c r="Q346" s="98">
        <f ca="1"/>
        <v>-1.7642799051364971E-3</v>
      </c>
      <c r="R346" s="5" t="s">
        <v>4</v>
      </c>
      <c r="S346" s="100">
        <f ca="1">_xll.meDateFromTenor(S345,"1D","FOLLOWING",T$12)</f>
        <v>42983</v>
      </c>
      <c r="T346" s="13">
        <f ca="1">_xll.meDateFromTenor(S346,T$14,T$11,T$12)</f>
        <v>43348</v>
      </c>
      <c r="U346" s="98">
        <f ca="1"/>
        <v>6.7125092224695117E-5</v>
      </c>
      <c r="V346" s="5" t="s">
        <v>4</v>
      </c>
      <c r="W346" s="84" t="s">
        <v>4</v>
      </c>
    </row>
    <row r="347" spans="1:23" x14ac:dyDescent="0.25">
      <c r="A347" s="90">
        <v>328</v>
      </c>
      <c r="B347" s="83"/>
      <c r="C347" s="100">
        <f ca="1">_xll.meDateFromTenor(C346,"1D","FOLLOWING",D$12)</f>
        <v>42984</v>
      </c>
      <c r="D347" s="13">
        <f ca="1">_xll.meDateFromTenor(C347,D$14,D$11,D$12)</f>
        <v>42985</v>
      </c>
      <c r="E347" s="98">
        <f ca="1"/>
        <v>-4.2052396187264455E-3</v>
      </c>
      <c r="F347" s="94"/>
      <c r="G347" s="100">
        <f ca="1">_xll.meDateFromTenor(G346,"1D","FOLLOWING",H$12)</f>
        <v>42984</v>
      </c>
      <c r="H347" s="13">
        <f ca="1">_xll.meDateFromTenor(G347,H$14,H$11,H$12)</f>
        <v>43014</v>
      </c>
      <c r="I347" s="98">
        <f ca="1"/>
        <v>-4.0424776827659688E-3</v>
      </c>
      <c r="J347" s="94" t="s">
        <v>4</v>
      </c>
      <c r="K347" s="100">
        <f ca="1">_xll.meDateFromTenor(K346,"1D","FOLLOWING",L$12)</f>
        <v>42984</v>
      </c>
      <c r="L347" s="13">
        <f ca="1">_xll.meDateFromTenor(K347,L$14,L$11,L$12)</f>
        <v>43075</v>
      </c>
      <c r="M347" s="98">
        <f ca="1"/>
        <v>-3.0744200594461381E-3</v>
      </c>
      <c r="N347" s="5" t="s">
        <v>4</v>
      </c>
      <c r="O347" s="100">
        <f ca="1">_xll.meDateFromTenor(O346,"1D","FOLLOWING",P$12)</f>
        <v>42984</v>
      </c>
      <c r="P347" s="13">
        <f ca="1">_xll.meDateFromTenor(O347,P$14,P$11,P$12)</f>
        <v>43165</v>
      </c>
      <c r="Q347" s="98">
        <f ca="1"/>
        <v>-1.7638746707397798E-3</v>
      </c>
      <c r="R347" s="5" t="s">
        <v>4</v>
      </c>
      <c r="S347" s="100">
        <f ca="1">_xll.meDateFromTenor(S346,"1D","FOLLOWING",T$12)</f>
        <v>42984</v>
      </c>
      <c r="T347" s="13">
        <f ca="1">_xll.meDateFromTenor(S347,T$14,T$11,T$12)</f>
        <v>43349</v>
      </c>
      <c r="U347" s="98">
        <f ca="1"/>
        <v>6.8848837081056098E-5</v>
      </c>
      <c r="V347" s="5" t="s">
        <v>4</v>
      </c>
      <c r="W347" s="84" t="s">
        <v>4</v>
      </c>
    </row>
    <row r="348" spans="1:23" x14ac:dyDescent="0.25">
      <c r="A348" s="90">
        <v>329</v>
      </c>
      <c r="B348" s="83"/>
      <c r="C348" s="100">
        <f ca="1">_xll.meDateFromTenor(C347,"1D","FOLLOWING",D$12)</f>
        <v>42985</v>
      </c>
      <c r="D348" s="13">
        <f ca="1">_xll.meDateFromTenor(C348,D$14,D$11,D$12)</f>
        <v>42986</v>
      </c>
      <c r="E348" s="98">
        <f ca="1"/>
        <v>-4.2050572631158337E-3</v>
      </c>
      <c r="F348" s="94"/>
      <c r="G348" s="100">
        <f ca="1">_xll.meDateFromTenor(G347,"1D","FOLLOWING",H$12)</f>
        <v>42985</v>
      </c>
      <c r="H348" s="13">
        <f ca="1">_xll.meDateFromTenor(G348,H$14,H$11,H$12)</f>
        <v>43017</v>
      </c>
      <c r="I348" s="98">
        <f ca="1"/>
        <v>-4.0424935452089833E-3</v>
      </c>
      <c r="J348" s="94" t="s">
        <v>4</v>
      </c>
      <c r="K348" s="100">
        <f ca="1">_xll.meDateFromTenor(K347,"1D","FOLLOWING",L$12)</f>
        <v>42985</v>
      </c>
      <c r="L348" s="13">
        <f ca="1">_xll.meDateFromTenor(K348,L$14,L$11,L$12)</f>
        <v>43076</v>
      </c>
      <c r="M348" s="98">
        <f ca="1"/>
        <v>-3.0745090464958913E-3</v>
      </c>
      <c r="N348" s="5" t="s">
        <v>4</v>
      </c>
      <c r="O348" s="100">
        <f ca="1">_xll.meDateFromTenor(O347,"1D","FOLLOWING",P$12)</f>
        <v>42985</v>
      </c>
      <c r="P348" s="13">
        <f ca="1">_xll.meDateFromTenor(O348,P$14,P$11,P$12)</f>
        <v>43166</v>
      </c>
      <c r="Q348" s="98">
        <f ca="1"/>
        <v>-1.7634547821382635E-3</v>
      </c>
      <c r="R348" s="5" t="s">
        <v>4</v>
      </c>
      <c r="S348" s="100">
        <f ca="1">_xll.meDateFromTenor(S347,"1D","FOLLOWING",T$12)</f>
        <v>42985</v>
      </c>
      <c r="T348" s="13">
        <f ca="1">_xll.meDateFromTenor(S348,T$14,T$11,T$12)</f>
        <v>43350</v>
      </c>
      <c r="U348" s="98">
        <f ca="1"/>
        <v>7.0580208010414196E-5</v>
      </c>
      <c r="V348" s="5" t="s">
        <v>4</v>
      </c>
      <c r="W348" s="84" t="s">
        <v>4</v>
      </c>
    </row>
    <row r="349" spans="1:23" x14ac:dyDescent="0.25">
      <c r="A349" s="90">
        <v>330</v>
      </c>
      <c r="B349" s="83"/>
      <c r="C349" s="100">
        <f ca="1">_xll.meDateFromTenor(C348,"1D","FOLLOWING",D$12)</f>
        <v>42986</v>
      </c>
      <c r="D349" s="13">
        <f ca="1">_xll.meDateFromTenor(C349,D$14,D$11,D$12)</f>
        <v>42989</v>
      </c>
      <c r="E349" s="98">
        <f ca="1"/>
        <v>-4.2046774473902962E-3</v>
      </c>
      <c r="F349" s="94"/>
      <c r="G349" s="100">
        <f ca="1">_xll.meDateFromTenor(G348,"1D","FOLLOWING",H$12)</f>
        <v>42986</v>
      </c>
      <c r="H349" s="13">
        <f ca="1">_xll.meDateFromTenor(G349,H$14,H$11,H$12)</f>
        <v>43017</v>
      </c>
      <c r="I349" s="98">
        <f ca="1"/>
        <v>-4.0424982760727353E-3</v>
      </c>
      <c r="J349" s="94" t="s">
        <v>4</v>
      </c>
      <c r="K349" s="100">
        <f ca="1">_xll.meDateFromTenor(K348,"1D","FOLLOWING",L$12)</f>
        <v>42986</v>
      </c>
      <c r="L349" s="13">
        <f ca="1">_xll.meDateFromTenor(K349,L$14,L$11,L$12)</f>
        <v>43077</v>
      </c>
      <c r="M349" s="98">
        <f ca="1"/>
        <v>-3.0745980341802719E-3</v>
      </c>
      <c r="N349" s="5" t="s">
        <v>4</v>
      </c>
      <c r="O349" s="100">
        <f ca="1">_xll.meDateFromTenor(O348,"1D","FOLLOWING",P$12)</f>
        <v>42986</v>
      </c>
      <c r="P349" s="13">
        <f ca="1">_xll.meDateFromTenor(O349,P$14,P$11,P$12)</f>
        <v>43167</v>
      </c>
      <c r="Q349" s="98">
        <f ca="1"/>
        <v>-1.7630202376426179E-3</v>
      </c>
      <c r="R349" s="5" t="s">
        <v>4</v>
      </c>
      <c r="S349" s="100">
        <f ca="1">_xll.meDateFromTenor(S348,"1D","FOLLOWING",T$12)</f>
        <v>42986</v>
      </c>
      <c r="T349" s="13">
        <f ca="1">_xll.meDateFromTenor(S349,T$14,T$11,T$12)</f>
        <v>43353</v>
      </c>
      <c r="U349" s="98">
        <f ca="1"/>
        <v>7.2319215375461372E-5</v>
      </c>
      <c r="V349" s="5" t="s">
        <v>4</v>
      </c>
      <c r="W349" s="84" t="s">
        <v>4</v>
      </c>
    </row>
    <row r="350" spans="1:23" x14ac:dyDescent="0.25">
      <c r="A350" s="90">
        <v>331</v>
      </c>
      <c r="B350" s="83"/>
      <c r="C350" s="100">
        <f ca="1">_xll.meDateFromTenor(C349,"1D","FOLLOWING",D$12)</f>
        <v>42989</v>
      </c>
      <c r="D350" s="13">
        <f ca="1">_xll.meDateFromTenor(C350,D$14,D$11,D$12)</f>
        <v>42990</v>
      </c>
      <c r="E350" s="98">
        <f ca="1"/>
        <v>-4.2044298550303486E-3</v>
      </c>
      <c r="F350" s="94"/>
      <c r="G350" s="100">
        <f ca="1">_xll.meDateFromTenor(G349,"1D","FOLLOWING",H$12)</f>
        <v>42989</v>
      </c>
      <c r="H350" s="13">
        <f ca="1">_xll.meDateFromTenor(G350,H$14,H$11,H$12)</f>
        <v>43019</v>
      </c>
      <c r="I350" s="98">
        <f ca="1"/>
        <v>-4.0424443005898526E-3</v>
      </c>
      <c r="J350" s="94" t="s">
        <v>4</v>
      </c>
      <c r="K350" s="100">
        <f ca="1">_xll.meDateFromTenor(K349,"1D","FOLLOWING",L$12)</f>
        <v>42989</v>
      </c>
      <c r="L350" s="13">
        <f ca="1">_xll.meDateFromTenor(K350,L$14,L$11,L$12)</f>
        <v>43080</v>
      </c>
      <c r="M350" s="98">
        <f ca="1"/>
        <v>-3.0748652966569108E-3</v>
      </c>
      <c r="N350" s="5" t="s">
        <v>4</v>
      </c>
      <c r="O350" s="100">
        <f ca="1">_xll.meDateFromTenor(O349,"1D","FOLLOWING",P$12)</f>
        <v>42989</v>
      </c>
      <c r="P350" s="13">
        <f ca="1">_xll.meDateFromTenor(O350,P$14,P$11,P$12)</f>
        <v>43171</v>
      </c>
      <c r="Q350" s="98">
        <f ca="1"/>
        <v>-1.7616286518975937E-3</v>
      </c>
      <c r="R350" s="5" t="s">
        <v>4</v>
      </c>
      <c r="S350" s="100">
        <f ca="1">_xll.meDateFromTenor(S349,"1D","FOLLOWING",T$12)</f>
        <v>42989</v>
      </c>
      <c r="T350" s="13">
        <f ca="1">_xll.meDateFromTenor(S350,T$14,T$11,T$12)</f>
        <v>43354</v>
      </c>
      <c r="U350" s="98">
        <f ca="1"/>
        <v>7.7582159711660797E-5</v>
      </c>
      <c r="V350" s="5" t="s">
        <v>4</v>
      </c>
      <c r="W350" s="84" t="s">
        <v>4</v>
      </c>
    </row>
    <row r="351" spans="1:23" x14ac:dyDescent="0.25">
      <c r="A351" s="90">
        <v>332</v>
      </c>
      <c r="B351" s="83"/>
      <c r="C351" s="100">
        <f ca="1">_xll.meDateFromTenor(C350,"1D","FOLLOWING",D$12)</f>
        <v>42990</v>
      </c>
      <c r="D351" s="13">
        <f ca="1">_xll.meDateFromTenor(C351,D$14,D$11,D$12)</f>
        <v>42991</v>
      </c>
      <c r="E351" s="98">
        <f ca="1"/>
        <v>-4.2042985042201201E-3</v>
      </c>
      <c r="F351" s="94"/>
      <c r="G351" s="100">
        <f ca="1">_xll.meDateFromTenor(G350,"1D","FOLLOWING",H$12)</f>
        <v>42990</v>
      </c>
      <c r="H351" s="13">
        <f ca="1">_xll.meDateFromTenor(G351,H$14,H$11,H$12)</f>
        <v>43020</v>
      </c>
      <c r="I351" s="98">
        <f ca="1"/>
        <v>-4.0424031265379927E-3</v>
      </c>
      <c r="J351" s="94" t="s">
        <v>4</v>
      </c>
      <c r="K351" s="100">
        <f ca="1">_xll.meDateFromTenor(K350,"1D","FOLLOWING",L$12)</f>
        <v>42990</v>
      </c>
      <c r="L351" s="13">
        <f ca="1">_xll.meDateFromTenor(K351,L$14,L$11,L$12)</f>
        <v>43081</v>
      </c>
      <c r="M351" s="98">
        <f ca="1"/>
        <v>-3.0749535383210523E-3</v>
      </c>
      <c r="N351" s="5" t="s">
        <v>4</v>
      </c>
      <c r="O351" s="100">
        <f ca="1">_xll.meDateFromTenor(O350,"1D","FOLLOWING",P$12)</f>
        <v>42990</v>
      </c>
      <c r="P351" s="13">
        <f ca="1">_xll.meDateFromTenor(O351,P$14,P$11,P$12)</f>
        <v>43171</v>
      </c>
      <c r="Q351" s="98">
        <f ca="1"/>
        <v>-1.7611354669321204E-3</v>
      </c>
      <c r="R351" s="5" t="s">
        <v>4</v>
      </c>
      <c r="S351" s="100">
        <f ca="1">_xll.meDateFromTenor(S350,"1D","FOLLOWING",T$12)</f>
        <v>42990</v>
      </c>
      <c r="T351" s="13">
        <f ca="1">_xll.meDateFromTenor(S351,T$14,T$11,T$12)</f>
        <v>43355</v>
      </c>
      <c r="U351" s="98">
        <f ca="1"/>
        <v>7.9351816446387256E-5</v>
      </c>
      <c r="V351" s="5" t="s">
        <v>4</v>
      </c>
      <c r="W351" s="84" t="s">
        <v>4</v>
      </c>
    </row>
    <row r="352" spans="1:23" x14ac:dyDescent="0.25">
      <c r="A352" s="90">
        <v>333</v>
      </c>
      <c r="B352" s="83"/>
      <c r="C352" s="100">
        <f ca="1">_xll.meDateFromTenor(C351,"1D","FOLLOWING",D$12)</f>
        <v>42991</v>
      </c>
      <c r="D352" s="13">
        <f ca="1">_xll.meDateFromTenor(C352,D$14,D$11,D$12)</f>
        <v>42992</v>
      </c>
      <c r="E352" s="98">
        <f ca="1"/>
        <v>-4.2041773530110552E-3</v>
      </c>
      <c r="F352" s="94"/>
      <c r="G352" s="100">
        <f ca="1">_xll.meDateFromTenor(G351,"1D","FOLLOWING",H$12)</f>
        <v>42991</v>
      </c>
      <c r="H352" s="13">
        <f ca="1">_xll.meDateFromTenor(G352,H$14,H$11,H$12)</f>
        <v>43021</v>
      </c>
      <c r="I352" s="98">
        <f ca="1"/>
        <v>-4.0423501316075878E-3</v>
      </c>
      <c r="J352" s="94" t="s">
        <v>4</v>
      </c>
      <c r="K352" s="100">
        <f ca="1">_xll.meDateFromTenor(K351,"1D","FOLLOWING",L$12)</f>
        <v>42991</v>
      </c>
      <c r="L352" s="13">
        <f ca="1">_xll.meDateFromTenor(K352,L$14,L$11,L$12)</f>
        <v>43082</v>
      </c>
      <c r="M352" s="98">
        <f ca="1"/>
        <v>-3.0750434217374206E-3</v>
      </c>
      <c r="N352" s="5" t="s">
        <v>4</v>
      </c>
      <c r="O352" s="100">
        <f ca="1">_xll.meDateFromTenor(O351,"1D","FOLLOWING",P$12)</f>
        <v>42991</v>
      </c>
      <c r="P352" s="13">
        <f ca="1">_xll.meDateFromTenor(O352,P$14,P$11,P$12)</f>
        <v>43172</v>
      </c>
      <c r="Q352" s="98">
        <f ca="1"/>
        <v>-1.7606276176258631E-3</v>
      </c>
      <c r="R352" s="5" t="s">
        <v>4</v>
      </c>
      <c r="S352" s="100">
        <f ca="1">_xll.meDateFromTenor(S351,"1D","FOLLOWING",T$12)</f>
        <v>42991</v>
      </c>
      <c r="T352" s="13">
        <f ca="1">_xll.meDateFromTenor(S352,T$14,T$11,T$12)</f>
        <v>43356</v>
      </c>
      <c r="U352" s="98">
        <f ca="1"/>
        <v>8.1129161430263907E-5</v>
      </c>
      <c r="V352" s="5" t="s">
        <v>4</v>
      </c>
      <c r="W352" s="84" t="s">
        <v>4</v>
      </c>
    </row>
    <row r="353" spans="1:23" x14ac:dyDescent="0.25">
      <c r="A353" s="90">
        <v>334</v>
      </c>
      <c r="B353" s="83"/>
      <c r="C353" s="100">
        <f ca="1">_xll.meDateFromTenor(C352,"1D","FOLLOWING",D$12)</f>
        <v>42992</v>
      </c>
      <c r="D353" s="13">
        <f ca="1">_xll.meDateFromTenor(C353,D$14,D$11,D$12)</f>
        <v>42993</v>
      </c>
      <c r="E353" s="98">
        <f ca="1"/>
        <v>-4.2040664006837295E-3</v>
      </c>
      <c r="F353" s="94"/>
      <c r="G353" s="100">
        <f ca="1">_xll.meDateFromTenor(G352,"1D","FOLLOWING",H$12)</f>
        <v>42992</v>
      </c>
      <c r="H353" s="13">
        <f ca="1">_xll.meDateFromTenor(G353,H$14,H$11,H$12)</f>
        <v>43024</v>
      </c>
      <c r="I353" s="98">
        <f ca="1"/>
        <v>-4.042285177938784E-3</v>
      </c>
      <c r="J353" s="94" t="s">
        <v>4</v>
      </c>
      <c r="K353" s="100">
        <f ca="1">_xll.meDateFromTenor(K352,"1D","FOLLOWING",L$12)</f>
        <v>42992</v>
      </c>
      <c r="L353" s="13">
        <f ca="1">_xll.meDateFromTenor(K353,L$14,L$11,L$12)</f>
        <v>43083</v>
      </c>
      <c r="M353" s="98">
        <f ca="1"/>
        <v>-3.0751355438491329E-3</v>
      </c>
      <c r="N353" s="5" t="s">
        <v>4</v>
      </c>
      <c r="O353" s="100">
        <f ca="1">_xll.meDateFromTenor(O352,"1D","FOLLOWING",P$12)</f>
        <v>42992</v>
      </c>
      <c r="P353" s="13">
        <f ca="1">_xll.meDateFromTenor(O353,P$14,P$11,P$12)</f>
        <v>43173</v>
      </c>
      <c r="Q353" s="98">
        <f ca="1"/>
        <v>-1.7601051022894908E-3</v>
      </c>
      <c r="R353" s="5" t="s">
        <v>4</v>
      </c>
      <c r="S353" s="100">
        <f ca="1">_xll.meDateFromTenor(S352,"1D","FOLLOWING",T$12)</f>
        <v>42992</v>
      </c>
      <c r="T353" s="13">
        <f ca="1">_xll.meDateFromTenor(S353,T$14,T$11,T$12)</f>
        <v>43357</v>
      </c>
      <c r="U353" s="98">
        <f ca="1"/>
        <v>8.2914205025983251E-5</v>
      </c>
      <c r="V353" s="5" t="s">
        <v>4</v>
      </c>
      <c r="W353" s="84" t="s">
        <v>4</v>
      </c>
    </row>
    <row r="354" spans="1:23" x14ac:dyDescent="0.25">
      <c r="A354" s="90">
        <v>335</v>
      </c>
      <c r="B354" s="83"/>
      <c r="C354" s="100">
        <f ca="1">_xll.meDateFromTenor(C353,"1D","FOLLOWING",D$12)</f>
        <v>42993</v>
      </c>
      <c r="D354" s="13">
        <f ca="1">_xll.meDateFromTenor(C354,D$14,D$11,D$12)</f>
        <v>42996</v>
      </c>
      <c r="E354" s="98">
        <f ca="1"/>
        <v>-4.2038294003976665E-3</v>
      </c>
      <c r="F354" s="94"/>
      <c r="G354" s="100">
        <f ca="1">_xll.meDateFromTenor(G353,"1D","FOLLOWING",H$12)</f>
        <v>42993</v>
      </c>
      <c r="H354" s="13">
        <f ca="1">_xll.meDateFromTenor(G354,H$14,H$11,H$12)</f>
        <v>43024</v>
      </c>
      <c r="I354" s="98">
        <f ca="1"/>
        <v>-4.0422081276717241E-3</v>
      </c>
      <c r="J354" s="94" t="s">
        <v>4</v>
      </c>
      <c r="K354" s="100">
        <f ca="1">_xll.meDateFromTenor(K353,"1D","FOLLOWING",L$12)</f>
        <v>42993</v>
      </c>
      <c r="L354" s="13">
        <f ca="1">_xll.meDateFromTenor(K354,L$14,L$11,L$12)</f>
        <v>43084</v>
      </c>
      <c r="M354" s="98">
        <f ca="1"/>
        <v>-3.0752215468179303E-3</v>
      </c>
      <c r="N354" s="5" t="s">
        <v>4</v>
      </c>
      <c r="O354" s="100">
        <f ca="1">_xll.meDateFromTenor(O353,"1D","FOLLOWING",P$12)</f>
        <v>42993</v>
      </c>
      <c r="P354" s="13">
        <f ca="1">_xll.meDateFromTenor(O354,P$14,P$11,P$12)</f>
        <v>43174</v>
      </c>
      <c r="Q354" s="98">
        <f ca="1"/>
        <v>-1.7595679192336725E-3</v>
      </c>
      <c r="R354" s="5" t="s">
        <v>4</v>
      </c>
      <c r="S354" s="100">
        <f ca="1">_xll.meDateFromTenor(S353,"1D","FOLLOWING",T$12)</f>
        <v>42993</v>
      </c>
      <c r="T354" s="13">
        <f ca="1">_xll.meDateFromTenor(S354,T$14,T$11,T$12)</f>
        <v>43360</v>
      </c>
      <c r="U354" s="98">
        <f ca="1"/>
        <v>8.4706957596237276E-5</v>
      </c>
      <c r="V354" s="5" t="s">
        <v>4</v>
      </c>
      <c r="W354" s="84" t="s">
        <v>4</v>
      </c>
    </row>
    <row r="355" spans="1:23" x14ac:dyDescent="0.25">
      <c r="A355" s="90">
        <v>336</v>
      </c>
      <c r="B355" s="83"/>
      <c r="C355" s="100">
        <f ca="1">_xll.meDateFromTenor(C354,"1D","FOLLOWING",D$12)</f>
        <v>42996</v>
      </c>
      <c r="D355" s="13">
        <f ca="1">_xll.meDateFromTenor(C355,D$14,D$11,D$12)</f>
        <v>42997</v>
      </c>
      <c r="E355" s="98">
        <f ca="1"/>
        <v>-4.2037245727177966E-3</v>
      </c>
      <c r="F355" s="94"/>
      <c r="G355" s="100">
        <f ca="1">_xll.meDateFromTenor(G354,"1D","FOLLOWING",H$12)</f>
        <v>42996</v>
      </c>
      <c r="H355" s="13">
        <f ca="1">_xll.meDateFromTenor(G355,H$14,H$11,H$12)</f>
        <v>43026</v>
      </c>
      <c r="I355" s="98">
        <f ca="1"/>
        <v>-4.0419030186824457E-3</v>
      </c>
      <c r="J355" s="94" t="s">
        <v>4</v>
      </c>
      <c r="K355" s="100">
        <f ca="1">_xll.meDateFromTenor(K354,"1D","FOLLOWING",L$12)</f>
        <v>42996</v>
      </c>
      <c r="L355" s="13">
        <f ca="1">_xll.meDateFromTenor(K355,L$14,L$11,L$12)</f>
        <v>43087</v>
      </c>
      <c r="M355" s="98">
        <f ca="1"/>
        <v>-3.0755313445061032E-3</v>
      </c>
      <c r="N355" s="5" t="s">
        <v>4</v>
      </c>
      <c r="O355" s="100">
        <f ca="1">_xll.meDateFromTenor(O354,"1D","FOLLOWING",P$12)</f>
        <v>42996</v>
      </c>
      <c r="P355" s="13">
        <f ca="1">_xll.meDateFromTenor(O355,P$14,P$11,P$12)</f>
        <v>43178</v>
      </c>
      <c r="Q355" s="98">
        <f ca="1"/>
        <v>-1.7578683468562339E-3</v>
      </c>
      <c r="R355" s="5" t="s">
        <v>4</v>
      </c>
      <c r="S355" s="100">
        <f ca="1">_xll.meDateFromTenor(S354,"1D","FOLLOWING",T$12)</f>
        <v>42996</v>
      </c>
      <c r="T355" s="13">
        <f ca="1">_xll.meDateFromTenor(S355,T$14,T$11,T$12)</f>
        <v>43361</v>
      </c>
      <c r="U355" s="98">
        <f ca="1"/>
        <v>9.0131572781130653E-5</v>
      </c>
      <c r="V355" s="5" t="s">
        <v>4</v>
      </c>
      <c r="W355" s="84" t="s">
        <v>4</v>
      </c>
    </row>
    <row r="356" spans="1:23" x14ac:dyDescent="0.25">
      <c r="A356" s="90">
        <v>337</v>
      </c>
      <c r="B356" s="83"/>
      <c r="C356" s="100">
        <f ca="1">_xll.meDateFromTenor(C355,"1D","FOLLOWING",D$12)</f>
        <v>42997</v>
      </c>
      <c r="D356" s="13">
        <f ca="1">_xll.meDateFromTenor(C356,D$14,D$11,D$12)</f>
        <v>42998</v>
      </c>
      <c r="E356" s="98">
        <f ca="1"/>
        <v>-4.2036646086440902E-3</v>
      </c>
      <c r="F356" s="94"/>
      <c r="G356" s="100">
        <f ca="1">_xll.meDateFromTenor(G355,"1D","FOLLOWING",H$12)</f>
        <v>42997</v>
      </c>
      <c r="H356" s="13">
        <f ca="1">_xll.meDateFromTenor(G356,H$14,H$11,H$12)</f>
        <v>43027</v>
      </c>
      <c r="I356" s="98">
        <f ca="1"/>
        <v>-4.041776203423799E-3</v>
      </c>
      <c r="J356" s="94" t="s">
        <v>4</v>
      </c>
      <c r="K356" s="100">
        <f ca="1">_xll.meDateFromTenor(K355,"1D","FOLLOWING",L$12)</f>
        <v>42997</v>
      </c>
      <c r="L356" s="13">
        <f ca="1">_xll.meDateFromTenor(K356,L$14,L$11,L$12)</f>
        <v>43088</v>
      </c>
      <c r="M356" s="98">
        <f ca="1"/>
        <v>-3.0755777969789498E-3</v>
      </c>
      <c r="N356" s="5" t="s">
        <v>4</v>
      </c>
      <c r="O356" s="100">
        <f ca="1">_xll.meDateFromTenor(O355,"1D","FOLLOWING",P$12)</f>
        <v>42997</v>
      </c>
      <c r="P356" s="13">
        <f ca="1">_xll.meDateFromTenor(O356,P$14,P$11,P$12)</f>
        <v>43178</v>
      </c>
      <c r="Q356" s="98">
        <f ca="1"/>
        <v>-1.7572724760293232E-3</v>
      </c>
      <c r="R356" s="5" t="s">
        <v>4</v>
      </c>
      <c r="S356" s="100">
        <f ca="1">_xll.meDateFromTenor(S355,"1D","FOLLOWING",T$12)</f>
        <v>42997</v>
      </c>
      <c r="T356" s="13">
        <f ca="1">_xll.meDateFromTenor(S356,T$14,T$11,T$12)</f>
        <v>43362</v>
      </c>
      <c r="U356" s="98">
        <f ca="1"/>
        <v>9.1955264876446144E-5</v>
      </c>
      <c r="V356" s="5" t="s">
        <v>4</v>
      </c>
      <c r="W356" s="84" t="s">
        <v>4</v>
      </c>
    </row>
    <row r="357" spans="1:23" x14ac:dyDescent="0.25">
      <c r="A357" s="90">
        <v>338</v>
      </c>
      <c r="B357" s="83"/>
      <c r="C357" s="100">
        <f ca="1">_xll.meDateFromTenor(C356,"1D","FOLLOWING",D$12)</f>
        <v>42998</v>
      </c>
      <c r="D357" s="13">
        <f ca="1">_xll.meDateFromTenor(C357,D$14,D$11,D$12)</f>
        <v>42999</v>
      </c>
      <c r="E357" s="98">
        <f ca="1"/>
        <v>-4.2036148406543608E-3</v>
      </c>
      <c r="F357" s="94"/>
      <c r="G357" s="100">
        <f ca="1">_xll.meDateFromTenor(G356,"1D","FOLLOWING",H$12)</f>
        <v>42998</v>
      </c>
      <c r="H357" s="13">
        <f ca="1">_xll.meDateFromTenor(G357,H$14,H$11,H$12)</f>
        <v>43028</v>
      </c>
      <c r="I357" s="98">
        <f ca="1"/>
        <v>-4.0416366022676155E-3</v>
      </c>
      <c r="J357" s="94" t="s">
        <v>4</v>
      </c>
      <c r="K357" s="100">
        <f ca="1">_xll.meDateFromTenor(K356,"1D","FOLLOWING",L$12)</f>
        <v>42998</v>
      </c>
      <c r="L357" s="13">
        <f ca="1">_xll.meDateFromTenor(K357,L$14,L$11,L$12)</f>
        <v>43089</v>
      </c>
      <c r="M357" s="98">
        <f ca="1"/>
        <v>-3.0756668595192044E-3</v>
      </c>
      <c r="N357" s="5" t="s">
        <v>4</v>
      </c>
      <c r="O357" s="100">
        <f ca="1">_xll.meDateFromTenor(O356,"1D","FOLLOWING",P$12)</f>
        <v>42998</v>
      </c>
      <c r="P357" s="13">
        <f ca="1">_xll.meDateFromTenor(O357,P$14,P$11,P$12)</f>
        <v>43179</v>
      </c>
      <c r="Q357" s="98">
        <f ca="1"/>
        <v>-1.7566619290363124E-3</v>
      </c>
      <c r="R357" s="5" t="s">
        <v>4</v>
      </c>
      <c r="S357" s="100">
        <f ca="1">_xll.meDateFromTenor(S356,"1D","FOLLOWING",T$12)</f>
        <v>42998</v>
      </c>
      <c r="T357" s="13">
        <f ca="1">_xll.meDateFromTenor(S357,T$14,T$11,T$12)</f>
        <v>43363</v>
      </c>
      <c r="U357" s="98">
        <f ca="1"/>
        <v>9.3786717759757621E-5</v>
      </c>
      <c r="V357" s="5" t="s">
        <v>4</v>
      </c>
      <c r="W357" s="84" t="s">
        <v>4</v>
      </c>
    </row>
    <row r="358" spans="1:23" x14ac:dyDescent="0.25">
      <c r="A358" s="90">
        <v>339</v>
      </c>
      <c r="B358" s="83"/>
      <c r="C358" s="100">
        <f ca="1">_xll.meDateFromTenor(C357,"1D","FOLLOWING",D$12)</f>
        <v>42999</v>
      </c>
      <c r="D358" s="13">
        <f ca="1">_xll.meDateFromTenor(C358,D$14,D$11,D$12)</f>
        <v>43000</v>
      </c>
      <c r="E358" s="98">
        <f ca="1"/>
        <v>-4.2035752685487685E-3</v>
      </c>
      <c r="F358" s="94"/>
      <c r="G358" s="100">
        <f ca="1">_xll.meDateFromTenor(G357,"1D","FOLLOWING",H$12)</f>
        <v>42999</v>
      </c>
      <c r="H358" s="13">
        <f ca="1">_xll.meDateFromTenor(G358,H$14,H$11,H$12)</f>
        <v>43031</v>
      </c>
      <c r="I358" s="98">
        <f ca="1"/>
        <v>-4.0414840773540387E-3</v>
      </c>
      <c r="J358" s="94" t="s">
        <v>4</v>
      </c>
      <c r="K358" s="100">
        <f ca="1">_xll.meDateFromTenor(K357,"1D","FOLLOWING",L$12)</f>
        <v>42999</v>
      </c>
      <c r="L358" s="13">
        <f ca="1">_xll.meDateFromTenor(K358,L$14,L$11,L$12)</f>
        <v>43090</v>
      </c>
      <c r="M358" s="98">
        <f ca="1"/>
        <v>-3.0767699872918945E-3</v>
      </c>
      <c r="N358" s="5" t="s">
        <v>4</v>
      </c>
      <c r="O358" s="100">
        <f ca="1">_xll.meDateFromTenor(O357,"1D","FOLLOWING",P$12)</f>
        <v>42999</v>
      </c>
      <c r="P358" s="13">
        <f ca="1">_xll.meDateFromTenor(O358,P$14,P$11,P$12)</f>
        <v>43180</v>
      </c>
      <c r="Q358" s="98">
        <f ca="1"/>
        <v>-1.7560367041878704E-3</v>
      </c>
      <c r="R358" s="5" t="s">
        <v>4</v>
      </c>
      <c r="S358" s="100">
        <f ca="1">_xll.meDateFromTenor(S357,"1D","FOLLOWING",T$12)</f>
        <v>42999</v>
      </c>
      <c r="T358" s="13">
        <f ca="1">_xll.meDateFromTenor(S358,T$14,T$11,T$12)</f>
        <v>43364</v>
      </c>
      <c r="U358" s="98">
        <f ca="1"/>
        <v>9.5625941793757178E-5</v>
      </c>
      <c r="V358" s="5" t="s">
        <v>4</v>
      </c>
      <c r="W358" s="84" t="s">
        <v>4</v>
      </c>
    </row>
    <row r="359" spans="1:23" x14ac:dyDescent="0.25">
      <c r="A359" s="90">
        <v>340</v>
      </c>
      <c r="B359" s="83"/>
      <c r="C359" s="100">
        <f ca="1">_xll.meDateFromTenor(C358,"1D","FOLLOWING",D$12)</f>
        <v>43000</v>
      </c>
      <c r="D359" s="13">
        <f ca="1">_xll.meDateFromTenor(C359,D$14,D$11,D$12)</f>
        <v>43003</v>
      </c>
      <c r="E359" s="98">
        <f ca="1"/>
        <v>-4.2034810251623403E-3</v>
      </c>
      <c r="F359" s="94"/>
      <c r="G359" s="100">
        <f ca="1">_xll.meDateFromTenor(G358,"1D","FOLLOWING",H$12)</f>
        <v>43000</v>
      </c>
      <c r="H359" s="13">
        <f ca="1">_xll.meDateFromTenor(G359,H$14,H$11,H$12)</f>
        <v>43031</v>
      </c>
      <c r="I359" s="98">
        <f ca="1"/>
        <v>-4.0413184908232131E-3</v>
      </c>
      <c r="J359" s="94" t="s">
        <v>4</v>
      </c>
      <c r="K359" s="100">
        <f ca="1">_xll.meDateFromTenor(K358,"1D","FOLLOWING",L$12)</f>
        <v>43000</v>
      </c>
      <c r="L359" s="13">
        <f ca="1">_xll.meDateFromTenor(K359,L$14,L$11,L$12)</f>
        <v>43091</v>
      </c>
      <c r="M359" s="98">
        <f ca="1"/>
        <v>-3.079101600526908E-3</v>
      </c>
      <c r="N359" s="5" t="s">
        <v>4</v>
      </c>
      <c r="O359" s="100">
        <f ca="1">_xll.meDateFromTenor(O358,"1D","FOLLOWING",P$12)</f>
        <v>43000</v>
      </c>
      <c r="P359" s="13">
        <f ca="1">_xll.meDateFromTenor(O359,P$14,P$11,P$12)</f>
        <v>43181</v>
      </c>
      <c r="Q359" s="98">
        <f ca="1"/>
        <v>-1.7553967997946665E-3</v>
      </c>
      <c r="R359" s="5" t="s">
        <v>4</v>
      </c>
      <c r="S359" s="100">
        <f ca="1">_xll.meDateFromTenor(S358,"1D","FOLLOWING",T$12)</f>
        <v>43000</v>
      </c>
      <c r="T359" s="13">
        <f ca="1">_xll.meDateFromTenor(S359,T$14,T$11,T$12)</f>
        <v>43367</v>
      </c>
      <c r="U359" s="98">
        <f ca="1"/>
        <v>9.7472947341137236E-5</v>
      </c>
      <c r="V359" s="5" t="s">
        <v>4</v>
      </c>
      <c r="W359" s="84" t="s">
        <v>4</v>
      </c>
    </row>
    <row r="360" spans="1:23" x14ac:dyDescent="0.25">
      <c r="A360" s="90">
        <v>341</v>
      </c>
      <c r="B360" s="83"/>
      <c r="C360" s="100">
        <f ca="1">_xll.meDateFromTenor(C359,"1D","FOLLOWING",D$12)</f>
        <v>43003</v>
      </c>
      <c r="D360" s="13">
        <f ca="1">_xll.meDateFromTenor(C360,D$14,D$11,D$12)</f>
        <v>43004</v>
      </c>
      <c r="E360" s="98">
        <f ca="1"/>
        <v>-4.2035189271772003E-3</v>
      </c>
      <c r="F360" s="94"/>
      <c r="G360" s="100">
        <f ca="1">_xll.meDateFromTenor(G359,"1D","FOLLOWING",H$12)</f>
        <v>43003</v>
      </c>
      <c r="H360" s="13">
        <f ca="1">_xll.meDateFromTenor(G360,H$14,H$11,H$12)</f>
        <v>43033</v>
      </c>
      <c r="I360" s="98">
        <f ca="1"/>
        <v>-4.0407419829286747E-3</v>
      </c>
      <c r="J360" s="94" t="s">
        <v>4</v>
      </c>
      <c r="K360" s="100">
        <f ca="1">_xll.meDateFromTenor(K359,"1D","FOLLOWING",L$12)</f>
        <v>43003</v>
      </c>
      <c r="L360" s="13">
        <f ca="1">_xll.meDateFromTenor(K360,L$14,L$11,L$12)</f>
        <v>43096</v>
      </c>
      <c r="M360" s="98">
        <f ca="1"/>
        <v>-3.0930303788358599E-3</v>
      </c>
      <c r="N360" s="5" t="s">
        <v>4</v>
      </c>
      <c r="O360" s="100">
        <f ca="1">_xll.meDateFromTenor(O359,"1D","FOLLOWING",P$12)</f>
        <v>43003</v>
      </c>
      <c r="P360" s="13">
        <f ca="1">_xll.meDateFromTenor(O360,P$14,P$11,P$12)</f>
        <v>43185</v>
      </c>
      <c r="Q360" s="98">
        <f ca="1"/>
        <v>-1.7533889924531733E-3</v>
      </c>
      <c r="R360" s="5" t="s">
        <v>4</v>
      </c>
      <c r="S360" s="100">
        <f ca="1">_xll.meDateFromTenor(S359,"1D","FOLLOWING",T$12)</f>
        <v>43003</v>
      </c>
      <c r="T360" s="13">
        <f ca="1">_xll.meDateFromTenor(S360,T$14,T$11,T$12)</f>
        <v>43368</v>
      </c>
      <c r="U360" s="98">
        <f ca="1"/>
        <v>1.0306075669048164E-4</v>
      </c>
      <c r="V360" s="5" t="s">
        <v>4</v>
      </c>
      <c r="W360" s="84" t="s">
        <v>4</v>
      </c>
    </row>
    <row r="361" spans="1:23" x14ac:dyDescent="0.25">
      <c r="A361" s="90">
        <v>342</v>
      </c>
      <c r="B361" s="83"/>
      <c r="C361" s="100">
        <f ca="1">_xll.meDateFromTenor(C360,"1D","FOLLOWING",D$12)</f>
        <v>43004</v>
      </c>
      <c r="D361" s="13">
        <f ca="1">_xll.meDateFromTenor(C361,D$14,D$11,D$12)</f>
        <v>43005</v>
      </c>
      <c r="E361" s="98">
        <f ca="1"/>
        <v>-4.2035303264983514E-3</v>
      </c>
      <c r="F361" s="94"/>
      <c r="G361" s="100">
        <f ca="1">_xll.meDateFromTenor(G360,"1D","FOLLOWING",H$12)</f>
        <v>43004</v>
      </c>
      <c r="H361" s="13">
        <f ca="1">_xll.meDateFromTenor(G361,H$14,H$11,H$12)</f>
        <v>43034</v>
      </c>
      <c r="I361" s="98">
        <f ca="1"/>
        <v>-4.0405227713302882E-3</v>
      </c>
      <c r="J361" s="94" t="s">
        <v>4</v>
      </c>
      <c r="K361" s="100">
        <f ca="1">_xll.meDateFromTenor(K360,"1D","FOLLOWING",L$12)</f>
        <v>43004</v>
      </c>
      <c r="L361" s="13">
        <f ca="1">_xll.meDateFromTenor(K361,L$14,L$11,L$12)</f>
        <v>43096</v>
      </c>
      <c r="M361" s="98">
        <f ca="1"/>
        <v>-3.0998389597501372E-3</v>
      </c>
      <c r="N361" s="5" t="s">
        <v>4</v>
      </c>
      <c r="O361" s="100">
        <f ca="1">_xll.meDateFromTenor(O360,"1D","FOLLOWING",P$12)</f>
        <v>43004</v>
      </c>
      <c r="P361" s="13">
        <f ca="1">_xll.meDateFromTenor(O361,P$14,P$11,P$12)</f>
        <v>43185</v>
      </c>
      <c r="Q361" s="98">
        <f ca="1"/>
        <v>-1.7526903529876119E-3</v>
      </c>
      <c r="R361" s="5" t="s">
        <v>4</v>
      </c>
      <c r="S361" s="100">
        <f ca="1">_xll.meDateFromTenor(S360,"1D","FOLLOWING",T$12)</f>
        <v>43004</v>
      </c>
      <c r="T361" s="13">
        <f ca="1">_xll.meDateFromTenor(S361,T$14,T$11,T$12)</f>
        <v>43369</v>
      </c>
      <c r="U361" s="98">
        <f ca="1"/>
        <v>1.0493899191830532E-4</v>
      </c>
      <c r="V361" s="5" t="s">
        <v>4</v>
      </c>
      <c r="W361" s="84" t="s">
        <v>4</v>
      </c>
    </row>
    <row r="362" spans="1:23" x14ac:dyDescent="0.25">
      <c r="A362" s="90">
        <v>343</v>
      </c>
      <c r="B362" s="83"/>
      <c r="C362" s="100">
        <f ca="1">_xll.meDateFromTenor(C361,"1D","FOLLOWING",D$12)</f>
        <v>43005</v>
      </c>
      <c r="D362" s="13">
        <f ca="1">_xll.meDateFromTenor(C362,D$14,D$11,D$12)</f>
        <v>43006</v>
      </c>
      <c r="E362" s="98">
        <f ca="1"/>
        <v>-4.2035519185468365E-3</v>
      </c>
      <c r="F362" s="94"/>
      <c r="G362" s="100">
        <f ca="1">_xll.meDateFromTenor(G361,"1D","FOLLOWING",H$12)</f>
        <v>43005</v>
      </c>
      <c r="H362" s="13">
        <f ca="1">_xll.meDateFromTenor(G362,H$14,H$11,H$12)</f>
        <v>43035</v>
      </c>
      <c r="I362" s="98">
        <f ca="1"/>
        <v>-4.0402898088153713E-3</v>
      </c>
      <c r="J362" s="94" t="s">
        <v>4</v>
      </c>
      <c r="K362" s="100">
        <f ca="1">_xll.meDateFromTenor(K361,"1D","FOLLOWING",L$12)</f>
        <v>43005</v>
      </c>
      <c r="L362" s="13">
        <f ca="1">_xll.meDateFromTenor(K362,L$14,L$11,L$12)</f>
        <v>43096</v>
      </c>
      <c r="M362" s="98">
        <f ca="1"/>
        <v>-3.1076575390417242E-3</v>
      </c>
      <c r="N362" s="5" t="s">
        <v>4</v>
      </c>
      <c r="O362" s="100">
        <f ca="1">_xll.meDateFromTenor(O361,"1D","FOLLOWING",P$12)</f>
        <v>43005</v>
      </c>
      <c r="P362" s="13">
        <f ca="1">_xll.meDateFromTenor(O362,P$14,P$11,P$12)</f>
        <v>43186</v>
      </c>
      <c r="Q362" s="98">
        <f ca="1"/>
        <v>-1.7519770255306343E-3</v>
      </c>
      <c r="R362" s="5" t="s">
        <v>4</v>
      </c>
      <c r="S362" s="100">
        <f ca="1">_xll.meDateFromTenor(S361,"1D","FOLLOWING",T$12)</f>
        <v>43005</v>
      </c>
      <c r="T362" s="13">
        <f ca="1">_xll.meDateFromTenor(S362,T$14,T$11,T$12)</f>
        <v>43370</v>
      </c>
      <c r="U362" s="98">
        <f ca="1"/>
        <v>1.0682506047297058E-4</v>
      </c>
      <c r="V362" s="5" t="s">
        <v>4</v>
      </c>
      <c r="W362" s="84" t="s">
        <v>4</v>
      </c>
    </row>
    <row r="363" spans="1:23" x14ac:dyDescent="0.25">
      <c r="A363" s="90">
        <v>344</v>
      </c>
      <c r="B363" s="83"/>
      <c r="C363" s="100">
        <f ca="1">_xll.meDateFromTenor(C362,"1D","FOLLOWING",D$12)</f>
        <v>43006</v>
      </c>
      <c r="D363" s="13">
        <f ca="1">_xll.meDateFromTenor(C363,D$14,D$11,D$12)</f>
        <v>43007</v>
      </c>
      <c r="E363" s="98">
        <f ca="1"/>
        <v>-4.2035837030418724E-3</v>
      </c>
      <c r="F363" s="94"/>
      <c r="G363" s="100">
        <f ca="1">_xll.meDateFromTenor(G362,"1D","FOLLOWING",H$12)</f>
        <v>43006</v>
      </c>
      <c r="H363" s="13">
        <f ca="1">_xll.meDateFromTenor(G363,H$14,H$11,H$12)</f>
        <v>43038</v>
      </c>
      <c r="I363" s="98">
        <f ca="1"/>
        <v>-4.0400429575240676E-3</v>
      </c>
      <c r="J363" s="94" t="s">
        <v>4</v>
      </c>
      <c r="K363" s="100">
        <f ca="1">_xll.meDateFromTenor(K362,"1D","FOLLOWING",L$12)</f>
        <v>43006</v>
      </c>
      <c r="L363" s="13">
        <f ca="1">_xll.meDateFromTenor(K363,L$14,L$11,L$12)</f>
        <v>43097</v>
      </c>
      <c r="M363" s="98">
        <f ca="1"/>
        <v>-3.1164424192936151E-3</v>
      </c>
      <c r="N363" s="5" t="s">
        <v>4</v>
      </c>
      <c r="O363" s="100">
        <f ca="1">_xll.meDateFromTenor(O362,"1D","FOLLOWING",P$12)</f>
        <v>43006</v>
      </c>
      <c r="P363" s="13">
        <f ca="1">_xll.meDateFromTenor(O363,P$14,P$11,P$12)</f>
        <v>43187</v>
      </c>
      <c r="Q363" s="98">
        <f ca="1"/>
        <v>-1.7512490083929091E-3</v>
      </c>
      <c r="R363" s="5" t="s">
        <v>4</v>
      </c>
      <c r="S363" s="100">
        <f ca="1">_xll.meDateFromTenor(S362,"1D","FOLLOWING",T$12)</f>
        <v>43006</v>
      </c>
      <c r="T363" s="13">
        <f ca="1">_xll.meDateFromTenor(S363,T$14,T$11,T$12)</f>
        <v>43371</v>
      </c>
      <c r="U363" s="98">
        <f ca="1"/>
        <v>1.0871897271716941E-4</v>
      </c>
      <c r="V363" s="5" t="s">
        <v>4</v>
      </c>
      <c r="W363" s="84" t="s">
        <v>4</v>
      </c>
    </row>
    <row r="364" spans="1:23" x14ac:dyDescent="0.25">
      <c r="A364" s="90">
        <v>345</v>
      </c>
      <c r="B364" s="83"/>
      <c r="C364" s="100">
        <f ca="1">_xll.meDateFromTenor(C363,"1D","FOLLOWING",D$12)</f>
        <v>43007</v>
      </c>
      <c r="D364" s="13">
        <f ca="1">_xll.meDateFromTenor(C364,D$14,D$11,D$12)</f>
        <v>43010</v>
      </c>
      <c r="E364" s="98">
        <f ca="1"/>
        <v>-4.2036321584149198E-3</v>
      </c>
      <c r="F364" s="94"/>
      <c r="G364" s="100">
        <f ca="1">_xll.meDateFromTenor(G363,"1D","FOLLOWING",H$12)</f>
        <v>43007</v>
      </c>
      <c r="H364" s="13">
        <f ca="1">_xll.meDateFromTenor(G364,H$14,H$11,H$12)</f>
        <v>43038</v>
      </c>
      <c r="I364" s="98">
        <f ca="1"/>
        <v>-4.0397820795965208E-3</v>
      </c>
      <c r="J364" s="94" t="s">
        <v>4</v>
      </c>
      <c r="K364" s="100">
        <f ca="1">_xll.meDateFromTenor(K363,"1D","FOLLOWING",L$12)</f>
        <v>43007</v>
      </c>
      <c r="L364" s="13">
        <f ca="1">_xll.meDateFromTenor(K364,L$14,L$11,L$12)</f>
        <v>43098</v>
      </c>
      <c r="M364" s="98">
        <f ca="1"/>
        <v>-3.1261499030888098E-3</v>
      </c>
      <c r="N364" s="5" t="s">
        <v>4</v>
      </c>
      <c r="O364" s="100">
        <f ca="1">_xll.meDateFromTenor(O363,"1D","FOLLOWING",P$12)</f>
        <v>43007</v>
      </c>
      <c r="P364" s="13">
        <f ca="1">_xll.meDateFromTenor(O364,P$14,P$11,P$12)</f>
        <v>43188</v>
      </c>
      <c r="Q364" s="98">
        <f ca="1"/>
        <v>-1.7505062998851057E-3</v>
      </c>
      <c r="R364" s="5" t="s">
        <v>4</v>
      </c>
      <c r="S364" s="100">
        <f ca="1">_xll.meDateFromTenor(S363,"1D","FOLLOWING",T$12)</f>
        <v>43007</v>
      </c>
      <c r="T364" s="13">
        <f ca="1">_xll.meDateFromTenor(S364,T$14,T$11,T$12)</f>
        <v>43371</v>
      </c>
      <c r="U364" s="98">
        <f ca="1"/>
        <v>1.1062073901359435E-4</v>
      </c>
      <c r="V364" s="5" t="s">
        <v>4</v>
      </c>
      <c r="W364" s="84" t="s">
        <v>4</v>
      </c>
    </row>
    <row r="365" spans="1:23" x14ac:dyDescent="0.25">
      <c r="A365" s="90">
        <v>346</v>
      </c>
      <c r="B365" s="83"/>
      <c r="C365" s="100">
        <f ca="1">_xll.meDateFromTenor(C364,"1D","FOLLOWING",D$12)</f>
        <v>43010</v>
      </c>
      <c r="D365" s="13">
        <f ca="1">_xll.meDateFromTenor(C365,D$14,D$11,D$12)</f>
        <v>43011</v>
      </c>
      <c r="E365" s="98">
        <f ca="1"/>
        <v>-4.2038127551391616E-3</v>
      </c>
      <c r="F365" s="94"/>
      <c r="G365" s="100">
        <f ca="1">_xll.meDateFromTenor(G364,"1D","FOLLOWING",H$12)</f>
        <v>43010</v>
      </c>
      <c r="H365" s="13">
        <f ca="1">_xll.meDateFromTenor(G365,H$14,H$11,H$12)</f>
        <v>43041</v>
      </c>
      <c r="I365" s="98">
        <f ca="1"/>
        <v>-4.0389139073978599E-3</v>
      </c>
      <c r="J365" s="94" t="s">
        <v>4</v>
      </c>
      <c r="K365" s="100">
        <f ca="1">_xll.meDateFromTenor(K364,"1D","FOLLOWING",L$12)</f>
        <v>43010</v>
      </c>
      <c r="L365" s="13">
        <f ca="1">_xll.meDateFromTenor(K365,L$14,L$11,L$12)</f>
        <v>43102</v>
      </c>
      <c r="M365" s="98">
        <f ca="1"/>
        <v>-3.1603710015641801E-3</v>
      </c>
      <c r="N365" s="5" t="s">
        <v>4</v>
      </c>
      <c r="O365" s="100">
        <f ca="1">_xll.meDateFromTenor(O364,"1D","FOLLOWING",P$12)</f>
        <v>43010</v>
      </c>
      <c r="P365" s="13">
        <f ca="1">_xll.meDateFromTenor(O365,P$14,P$11,P$12)</f>
        <v>43193</v>
      </c>
      <c r="Q365" s="98">
        <f ca="1"/>
        <v>-1.7481900092479175E-3</v>
      </c>
      <c r="R365" s="5" t="s">
        <v>4</v>
      </c>
      <c r="S365" s="100">
        <f ca="1">_xll.meDateFromTenor(S364,"1D","FOLLOWING",T$12)</f>
        <v>43010</v>
      </c>
      <c r="T365" s="13">
        <f ca="1">_xll.meDateFromTenor(S365,T$14,T$11,T$12)</f>
        <v>43375</v>
      </c>
      <c r="U365" s="98">
        <f ca="1"/>
        <v>1.1637326584314691E-4</v>
      </c>
      <c r="V365" s="5" t="s">
        <v>4</v>
      </c>
      <c r="W365" s="84" t="s">
        <v>4</v>
      </c>
    </row>
    <row r="366" spans="1:23" x14ac:dyDescent="0.25">
      <c r="A366" s="90">
        <v>347</v>
      </c>
      <c r="B366" s="83"/>
      <c r="C366" s="100">
        <f ca="1">_xll.meDateFromTenor(C365,"1D","FOLLOWING",D$12)</f>
        <v>43011</v>
      </c>
      <c r="D366" s="13">
        <f ca="1">_xll.meDateFromTenor(C366,D$14,D$11,D$12)</f>
        <v>43012</v>
      </c>
      <c r="E366" s="98">
        <f ca="1"/>
        <v>-4.2038954943946086E-3</v>
      </c>
      <c r="F366" s="94"/>
      <c r="G366" s="100">
        <f ca="1">_xll.meDateFromTenor(G365,"1D","FOLLOWING",H$12)</f>
        <v>43011</v>
      </c>
      <c r="H366" s="13">
        <f ca="1">_xll.meDateFromTenor(G366,H$14,H$11,H$12)</f>
        <v>43042</v>
      </c>
      <c r="I366" s="98">
        <f ca="1"/>
        <v>-4.0385956117363212E-3</v>
      </c>
      <c r="J366" s="94" t="s">
        <v>4</v>
      </c>
      <c r="K366" s="100">
        <f ca="1">_xll.meDateFromTenor(K365,"1D","FOLLOWING",L$12)</f>
        <v>43011</v>
      </c>
      <c r="L366" s="13">
        <f ca="1">_xll.meDateFromTenor(K366,L$14,L$11,L$12)</f>
        <v>43103</v>
      </c>
      <c r="M366" s="98">
        <f ca="1"/>
        <v>-3.173331925362555E-3</v>
      </c>
      <c r="N366" s="5" t="s">
        <v>4</v>
      </c>
      <c r="O366" s="100">
        <f ca="1">_xll.meDateFromTenor(O365,"1D","FOLLOWING",P$12)</f>
        <v>43011</v>
      </c>
      <c r="P366" s="13">
        <f ca="1">_xll.meDateFromTenor(O366,P$14,P$11,P$12)</f>
        <v>43193</v>
      </c>
      <c r="Q366" s="98">
        <f ca="1"/>
        <v>-1.7473885183664922E-3</v>
      </c>
      <c r="R366" s="5" t="s">
        <v>4</v>
      </c>
      <c r="S366" s="100">
        <f ca="1">_xll.meDateFromTenor(S365,"1D","FOLLOWING",T$12)</f>
        <v>43011</v>
      </c>
      <c r="T366" s="13">
        <f ca="1">_xll.meDateFromTenor(S366,T$14,T$11,T$12)</f>
        <v>43376</v>
      </c>
      <c r="U366" s="98">
        <f ca="1"/>
        <v>1.1830655197539775E-4</v>
      </c>
      <c r="V366" s="5" t="s">
        <v>4</v>
      </c>
      <c r="W366" s="84" t="s">
        <v>4</v>
      </c>
    </row>
    <row r="367" spans="1:23" x14ac:dyDescent="0.25">
      <c r="A367" s="90">
        <v>348</v>
      </c>
      <c r="B367" s="83"/>
      <c r="C367" s="100">
        <f ca="1">_xll.meDateFromTenor(C366,"1D","FOLLOWING",D$12)</f>
        <v>43012</v>
      </c>
      <c r="D367" s="13">
        <f ca="1">_xll.meDateFromTenor(C367,D$14,D$11,D$12)</f>
        <v>43013</v>
      </c>
      <c r="E367" s="98">
        <f ca="1"/>
        <v>-4.203988423139308E-3</v>
      </c>
      <c r="F367" s="94"/>
      <c r="G367" s="100">
        <f ca="1">_xll.meDateFromTenor(G366,"1D","FOLLOWING",H$12)</f>
        <v>43012</v>
      </c>
      <c r="H367" s="13">
        <f ca="1">_xll.meDateFromTenor(G367,H$14,H$11,H$12)</f>
        <v>43045</v>
      </c>
      <c r="I367" s="98">
        <f ca="1"/>
        <v>-4.0382630045965049E-3</v>
      </c>
      <c r="J367" s="94" t="s">
        <v>4</v>
      </c>
      <c r="K367" s="100">
        <f ca="1">_xll.meDateFromTenor(K366,"1D","FOLLOWING",L$12)</f>
        <v>43012</v>
      </c>
      <c r="L367" s="13">
        <f ca="1">_xll.meDateFromTenor(K367,L$14,L$11,L$12)</f>
        <v>43104</v>
      </c>
      <c r="M367" s="98">
        <f ca="1"/>
        <v>-3.1869969656192179E-3</v>
      </c>
      <c r="N367" s="5" t="s">
        <v>4</v>
      </c>
      <c r="O367" s="100">
        <f ca="1">_xll.meDateFromTenor(O366,"1D","FOLLOWING",P$12)</f>
        <v>43012</v>
      </c>
      <c r="P367" s="13">
        <f ca="1">_xll.meDateFromTenor(O367,P$14,P$11,P$12)</f>
        <v>43194</v>
      </c>
      <c r="Q367" s="98">
        <f ca="1"/>
        <v>-1.7465723276683341E-3</v>
      </c>
      <c r="R367" s="5" t="s">
        <v>4</v>
      </c>
      <c r="S367" s="100">
        <f ca="1">_xll.meDateFromTenor(S366,"1D","FOLLOWING",T$12)</f>
        <v>43012</v>
      </c>
      <c r="T367" s="13">
        <f ca="1">_xll.meDateFromTenor(S367,T$14,T$11,T$12)</f>
        <v>43377</v>
      </c>
      <c r="U367" s="98">
        <f ca="1"/>
        <v>1.2024774397333579E-4</v>
      </c>
      <c r="V367" s="5" t="s">
        <v>4</v>
      </c>
      <c r="W367" s="84" t="s">
        <v>4</v>
      </c>
    </row>
    <row r="368" spans="1:23" x14ac:dyDescent="0.25">
      <c r="A368" s="90">
        <v>349</v>
      </c>
      <c r="B368" s="83"/>
      <c r="C368" s="100">
        <f ca="1">_xll.meDateFromTenor(C367,"1D","FOLLOWING",D$12)</f>
        <v>43013</v>
      </c>
      <c r="D368" s="13">
        <f ca="1">_xll.meDateFromTenor(C368,D$14,D$11,D$12)</f>
        <v>43014</v>
      </c>
      <c r="E368" s="98">
        <f ca="1"/>
        <v>-4.2040915410135474E-3</v>
      </c>
      <c r="F368" s="94"/>
      <c r="G368" s="100">
        <f ca="1">_xll.meDateFromTenor(G367,"1D","FOLLOWING",H$12)</f>
        <v>43013</v>
      </c>
      <c r="H368" s="13">
        <f ca="1">_xll.meDateFromTenor(G368,H$14,H$11,H$12)</f>
        <v>43045</v>
      </c>
      <c r="I368" s="98">
        <f ca="1"/>
        <v>-4.0379163525758044E-3</v>
      </c>
      <c r="J368" s="94" t="s">
        <v>4</v>
      </c>
      <c r="K368" s="100">
        <f ca="1">_xll.meDateFromTenor(K367,"1D","FOLLOWING",L$12)</f>
        <v>43013</v>
      </c>
      <c r="L368" s="13">
        <f ca="1">_xll.meDateFromTenor(K368,L$14,L$11,L$12)</f>
        <v>43105</v>
      </c>
      <c r="M368" s="98">
        <f ca="1"/>
        <v>-3.2013224249171665E-3</v>
      </c>
      <c r="N368" s="5" t="s">
        <v>4</v>
      </c>
      <c r="O368" s="100">
        <f ca="1">_xll.meDateFromTenor(O367,"1D","FOLLOWING",P$12)</f>
        <v>43013</v>
      </c>
      <c r="P368" s="13">
        <f ca="1">_xll.meDateFromTenor(O368,P$14,P$11,P$12)</f>
        <v>43195</v>
      </c>
      <c r="Q368" s="98">
        <f ca="1"/>
        <v>-1.7457414354641123E-3</v>
      </c>
      <c r="R368" s="5" t="s">
        <v>4</v>
      </c>
      <c r="S368" s="100">
        <f ca="1">_xll.meDateFromTenor(S367,"1D","FOLLOWING",T$12)</f>
        <v>43013</v>
      </c>
      <c r="T368" s="13">
        <f ca="1">_xll.meDateFromTenor(S368,T$14,T$11,T$12)</f>
        <v>43378</v>
      </c>
      <c r="U368" s="98">
        <f ca="1"/>
        <v>1.2219685219965297E-4</v>
      </c>
      <c r="V368" s="5" t="s">
        <v>4</v>
      </c>
      <c r="W368" s="84" t="s">
        <v>4</v>
      </c>
    </row>
    <row r="369" spans="1:23" x14ac:dyDescent="0.25">
      <c r="A369" s="90">
        <v>350</v>
      </c>
      <c r="B369" s="83"/>
      <c r="C369" s="100">
        <f ca="1">_xll.meDateFromTenor(C368,"1D","FOLLOWING",D$12)</f>
        <v>43014</v>
      </c>
      <c r="D369" s="13">
        <f ca="1">_xll.meDateFromTenor(C369,D$14,D$11,D$12)</f>
        <v>43017</v>
      </c>
      <c r="E369" s="98">
        <f ca="1"/>
        <v>-4.2042826368060707E-3</v>
      </c>
      <c r="F369" s="94"/>
      <c r="G369" s="100">
        <f ca="1">_xll.meDateFromTenor(G368,"1D","FOLLOWING",H$12)</f>
        <v>43014</v>
      </c>
      <c r="H369" s="13">
        <f ca="1">_xll.meDateFromTenor(G369,H$14,H$11,H$12)</f>
        <v>43045</v>
      </c>
      <c r="I369" s="98">
        <f ca="1"/>
        <v>-4.0375559222716106E-3</v>
      </c>
      <c r="J369" s="94" t="s">
        <v>4</v>
      </c>
      <c r="K369" s="100">
        <f ca="1">_xll.meDateFromTenor(K368,"1D","FOLLOWING",L$12)</f>
        <v>43014</v>
      </c>
      <c r="L369" s="13">
        <f ca="1">_xll.meDateFromTenor(K369,L$14,L$11,L$12)</f>
        <v>43108</v>
      </c>
      <c r="M369" s="98">
        <f ca="1"/>
        <v>-3.2162646058393964E-3</v>
      </c>
      <c r="N369" s="5" t="s">
        <v>4</v>
      </c>
      <c r="O369" s="100">
        <f ca="1">_xll.meDateFromTenor(O368,"1D","FOLLOWING",P$12)</f>
        <v>43014</v>
      </c>
      <c r="P369" s="13">
        <f ca="1">_xll.meDateFromTenor(O369,P$14,P$11,P$12)</f>
        <v>43196</v>
      </c>
      <c r="Q369" s="98">
        <f ca="1"/>
        <v>-1.744895840064496E-3</v>
      </c>
      <c r="R369" s="5" t="s">
        <v>4</v>
      </c>
      <c r="S369" s="100">
        <f ca="1">_xll.meDateFromTenor(S368,"1D","FOLLOWING",T$12)</f>
        <v>43014</v>
      </c>
      <c r="T369" s="13">
        <f ca="1">_xll.meDateFromTenor(S369,T$14,T$11,T$12)</f>
        <v>43381</v>
      </c>
      <c r="U369" s="98">
        <f ca="1"/>
        <v>1.2415388701704188E-4</v>
      </c>
      <c r="V369" s="5" t="s">
        <v>4</v>
      </c>
      <c r="W369" s="84" t="s">
        <v>4</v>
      </c>
    </row>
    <row r="370" spans="1:23" x14ac:dyDescent="0.25">
      <c r="A370" s="90">
        <v>351</v>
      </c>
      <c r="B370" s="83"/>
      <c r="C370" s="100">
        <f ca="1">_xll.meDateFromTenor(C369,"1D","FOLLOWING",D$12)</f>
        <v>43017</v>
      </c>
      <c r="D370" s="13">
        <f ca="1">_xll.meDateFromTenor(C370,D$14,D$11,D$12)</f>
        <v>43018</v>
      </c>
      <c r="E370" s="98">
        <f ca="1"/>
        <v>-4.2046058932543465E-3</v>
      </c>
      <c r="F370" s="94"/>
      <c r="G370" s="100">
        <f ca="1">_xll.meDateFromTenor(G369,"1D","FOLLOWING",H$12)</f>
        <v>43017</v>
      </c>
      <c r="H370" s="13">
        <f ca="1">_xll.meDateFromTenor(G370,H$14,H$11,H$12)</f>
        <v>43048</v>
      </c>
      <c r="I370" s="98">
        <f ca="1"/>
        <v>-4.0363946276319885E-3</v>
      </c>
      <c r="J370" s="94" t="s">
        <v>4</v>
      </c>
      <c r="K370" s="100">
        <f ca="1">_xll.meDateFromTenor(K369,"1D","FOLLOWING",L$12)</f>
        <v>43017</v>
      </c>
      <c r="L370" s="13">
        <f ca="1">_xll.meDateFromTenor(K370,L$14,L$11,L$12)</f>
        <v>43109</v>
      </c>
      <c r="M370" s="98">
        <f ca="1"/>
        <v>-3.264354504181746E-3</v>
      </c>
      <c r="N370" s="5" t="s">
        <v>4</v>
      </c>
      <c r="O370" s="100">
        <f ca="1">_xll.meDateFromTenor(O369,"1D","FOLLOWING",P$12)</f>
        <v>43017</v>
      </c>
      <c r="P370" s="13">
        <f ca="1">_xll.meDateFromTenor(O370,P$14,P$11,P$12)</f>
        <v>43199</v>
      </c>
      <c r="Q370" s="98">
        <f ca="1"/>
        <v>-1.7422708177999722E-3</v>
      </c>
      <c r="R370" s="5" t="s">
        <v>4</v>
      </c>
      <c r="S370" s="100">
        <f ca="1">_xll.meDateFromTenor(S369,"1D","FOLLOWING",T$12)</f>
        <v>43017</v>
      </c>
      <c r="T370" s="13">
        <f ca="1">_xll.meDateFromTenor(S370,T$14,T$11,T$12)</f>
        <v>43382</v>
      </c>
      <c r="U370" s="98">
        <f ca="1"/>
        <v>1.3007265464255949E-4</v>
      </c>
      <c r="V370" s="5" t="s">
        <v>4</v>
      </c>
      <c r="W370" s="84" t="s">
        <v>4</v>
      </c>
    </row>
    <row r="371" spans="1:23" x14ac:dyDescent="0.25">
      <c r="A371" s="90">
        <v>352</v>
      </c>
      <c r="B371" s="83"/>
      <c r="C371" s="100">
        <f ca="1">_xll.meDateFromTenor(C370,"1D","FOLLOWING",D$12)</f>
        <v>43018</v>
      </c>
      <c r="D371" s="13">
        <f ca="1">_xll.meDateFromTenor(C371,D$14,D$11,D$12)</f>
        <v>43019</v>
      </c>
      <c r="E371" s="98">
        <f ca="1"/>
        <v>-4.2047599491423929E-3</v>
      </c>
      <c r="F371" s="94"/>
      <c r="G371" s="100">
        <f ca="1">_xll.meDateFromTenor(G370,"1D","FOLLOWING",H$12)</f>
        <v>43018</v>
      </c>
      <c r="H371" s="13">
        <f ca="1">_xll.meDateFromTenor(G371,H$14,H$11,H$12)</f>
        <v>43049</v>
      </c>
      <c r="I371" s="98">
        <f ca="1"/>
        <v>-4.0359817501677388E-3</v>
      </c>
      <c r="J371" s="94" t="s">
        <v>4</v>
      </c>
      <c r="K371" s="100">
        <f ca="1">_xll.meDateFromTenor(K370,"1D","FOLLOWING",L$12)</f>
        <v>43018</v>
      </c>
      <c r="L371" s="13">
        <f ca="1">_xll.meDateFromTenor(K371,L$14,L$11,L$12)</f>
        <v>43110</v>
      </c>
      <c r="M371" s="98">
        <f ca="1"/>
        <v>-3.281326597431074E-3</v>
      </c>
      <c r="N371" s="5" t="s">
        <v>4</v>
      </c>
      <c r="O371" s="100">
        <f ca="1">_xll.meDateFromTenor(O370,"1D","FOLLOWING",P$12)</f>
        <v>43018</v>
      </c>
      <c r="P371" s="13">
        <f ca="1">_xll.meDateFromTenor(O371,P$14,P$11,P$12)</f>
        <v>43200</v>
      </c>
      <c r="Q371" s="98">
        <f ca="1"/>
        <v>-1.7413663927254694E-3</v>
      </c>
      <c r="R371" s="5" t="s">
        <v>4</v>
      </c>
      <c r="S371" s="100">
        <f ca="1">_xll.meDateFromTenor(S370,"1D","FOLLOWING",T$12)</f>
        <v>43018</v>
      </c>
      <c r="T371" s="13">
        <f ca="1">_xll.meDateFromTenor(S371,T$14,T$11,T$12)</f>
        <v>43383</v>
      </c>
      <c r="U371" s="98">
        <f ca="1"/>
        <v>1.3206149945115672E-4</v>
      </c>
      <c r="V371" s="5" t="s">
        <v>4</v>
      </c>
      <c r="W371" s="84" t="s">
        <v>4</v>
      </c>
    </row>
    <row r="372" spans="1:23" x14ac:dyDescent="0.25">
      <c r="A372" s="90">
        <v>353</v>
      </c>
      <c r="B372" s="83"/>
      <c r="C372" s="100">
        <f ca="1">_xll.meDateFromTenor(C371,"1D","FOLLOWING",D$12)</f>
        <v>43019</v>
      </c>
      <c r="D372" s="13">
        <f ca="1">_xll.meDateFromTenor(C372,D$14,D$11,D$12)</f>
        <v>43020</v>
      </c>
      <c r="E372" s="98">
        <f ca="1"/>
        <v>-4.2049241912023453E-3</v>
      </c>
      <c r="F372" s="94"/>
      <c r="G372" s="100">
        <f ca="1">_xll.meDateFromTenor(G371,"1D","FOLLOWING",H$12)</f>
        <v>43019</v>
      </c>
      <c r="H372" s="13">
        <f ca="1">_xll.meDateFromTenor(G372,H$14,H$11,H$12)</f>
        <v>43052</v>
      </c>
      <c r="I372" s="98">
        <f ca="1"/>
        <v>-4.0355564274069545E-3</v>
      </c>
      <c r="J372" s="94" t="s">
        <v>4</v>
      </c>
      <c r="K372" s="100">
        <f ca="1">_xll.meDateFromTenor(K371,"1D","FOLLOWING",L$12)</f>
        <v>43019</v>
      </c>
      <c r="L372" s="13">
        <f ca="1">_xll.meDateFromTenor(K372,L$14,L$11,L$12)</f>
        <v>43111</v>
      </c>
      <c r="M372" s="98">
        <f ca="1"/>
        <v>-3.2986969252196681E-3</v>
      </c>
      <c r="N372" s="5" t="s">
        <v>4</v>
      </c>
      <c r="O372" s="100">
        <f ca="1">_xll.meDateFromTenor(O371,"1D","FOLLOWING",P$12)</f>
        <v>43019</v>
      </c>
      <c r="P372" s="13">
        <f ca="1">_xll.meDateFromTenor(O372,P$14,P$11,P$12)</f>
        <v>43201</v>
      </c>
      <c r="Q372" s="98">
        <f ca="1"/>
        <v>-1.7404472560089178E-3</v>
      </c>
      <c r="R372" s="5" t="s">
        <v>4</v>
      </c>
      <c r="S372" s="100">
        <f ca="1">_xll.meDateFromTenor(S371,"1D","FOLLOWING",T$12)</f>
        <v>43019</v>
      </c>
      <c r="T372" s="13">
        <f ca="1">_xll.meDateFromTenor(S372,T$14,T$11,T$12)</f>
        <v>43384</v>
      </c>
      <c r="U372" s="98">
        <f ca="1"/>
        <v>1.3405832266428632E-4</v>
      </c>
      <c r="V372" s="5" t="s">
        <v>4</v>
      </c>
      <c r="W372" s="84" t="s">
        <v>4</v>
      </c>
    </row>
    <row r="373" spans="1:23" x14ac:dyDescent="0.25">
      <c r="A373" s="90">
        <v>354</v>
      </c>
      <c r="B373" s="83"/>
      <c r="C373" s="100">
        <f ca="1">_xll.meDateFromTenor(C372,"1D","FOLLOWING",D$12)</f>
        <v>43020</v>
      </c>
      <c r="D373" s="13">
        <f ca="1">_xll.meDateFromTenor(C373,D$14,D$11,D$12)</f>
        <v>43021</v>
      </c>
      <c r="E373" s="98">
        <f ca="1"/>
        <v>-4.2050986191943954E-3</v>
      </c>
      <c r="F373" s="94"/>
      <c r="G373" s="100">
        <f ca="1">_xll.meDateFromTenor(G372,"1D","FOLLOWING",H$12)</f>
        <v>43020</v>
      </c>
      <c r="H373" s="13">
        <f ca="1">_xll.meDateFromTenor(G373,H$14,H$11,H$12)</f>
        <v>43052</v>
      </c>
      <c r="I373" s="98">
        <f ca="1"/>
        <v>-4.0351189259470273E-3</v>
      </c>
      <c r="J373" s="94" t="s">
        <v>4</v>
      </c>
      <c r="K373" s="100">
        <f ca="1">_xll.meDateFromTenor(K372,"1D","FOLLOWING",L$12)</f>
        <v>43020</v>
      </c>
      <c r="L373" s="13">
        <f ca="1">_xll.meDateFromTenor(K373,L$14,L$11,L$12)</f>
        <v>43112</v>
      </c>
      <c r="M373" s="98">
        <f ca="1"/>
        <v>-3.3164217901305269E-3</v>
      </c>
      <c r="N373" s="5" t="s">
        <v>4</v>
      </c>
      <c r="O373" s="100">
        <f ca="1">_xll.meDateFromTenor(O372,"1D","FOLLOWING",P$12)</f>
        <v>43020</v>
      </c>
      <c r="P373" s="13">
        <f ca="1">_xll.meDateFromTenor(O373,P$14,P$11,P$12)</f>
        <v>43202</v>
      </c>
      <c r="Q373" s="98">
        <f ca="1"/>
        <v>-1.7395134059609858E-3</v>
      </c>
      <c r="R373" s="5" t="s">
        <v>4</v>
      </c>
      <c r="S373" s="100">
        <f ca="1">_xll.meDateFromTenor(S372,"1D","FOLLOWING",T$12)</f>
        <v>43020</v>
      </c>
      <c r="T373" s="13">
        <f ca="1">_xll.meDateFromTenor(S373,T$14,T$11,T$12)</f>
        <v>43385</v>
      </c>
      <c r="U373" s="98">
        <f ca="1"/>
        <v>1.3606313464464107E-4</v>
      </c>
      <c r="V373" s="5" t="s">
        <v>4</v>
      </c>
      <c r="W373" s="84" t="s">
        <v>4</v>
      </c>
    </row>
    <row r="374" spans="1:23" x14ac:dyDescent="0.25">
      <c r="A374" s="90">
        <v>355</v>
      </c>
      <c r="B374" s="83"/>
      <c r="C374" s="100">
        <f ca="1">_xll.meDateFromTenor(C373,"1D","FOLLOWING",D$12)</f>
        <v>43021</v>
      </c>
      <c r="D374" s="13">
        <f ca="1">_xll.meDateFromTenor(C374,D$14,D$11,D$12)</f>
        <v>43024</v>
      </c>
      <c r="E374" s="98">
        <f ca="1"/>
        <v>-4.2054322969731365E-3</v>
      </c>
      <c r="F374" s="94"/>
      <c r="G374" s="100">
        <f ca="1">_xll.meDateFromTenor(G373,"1D","FOLLOWING",H$12)</f>
        <v>43021</v>
      </c>
      <c r="H374" s="13">
        <f ca="1">_xll.meDateFromTenor(G374,H$14,H$11,H$12)</f>
        <v>43052</v>
      </c>
      <c r="I374" s="98">
        <f ca="1"/>
        <v>-4.0346695123853471E-3</v>
      </c>
      <c r="J374" s="94" t="s">
        <v>4</v>
      </c>
      <c r="K374" s="100">
        <f ca="1">_xll.meDateFromTenor(K373,"1D","FOLLOWING",L$12)</f>
        <v>43021</v>
      </c>
      <c r="L374" s="13">
        <f ca="1">_xll.meDateFromTenor(K374,L$14,L$11,L$12)</f>
        <v>43115</v>
      </c>
      <c r="M374" s="98">
        <f ca="1"/>
        <v>-3.334457494746648E-3</v>
      </c>
      <c r="N374" s="5" t="s">
        <v>4</v>
      </c>
      <c r="O374" s="100">
        <f ca="1">_xll.meDateFromTenor(O373,"1D","FOLLOWING",P$12)</f>
        <v>43021</v>
      </c>
      <c r="P374" s="13">
        <f ca="1">_xll.meDateFromTenor(O374,P$14,P$11,P$12)</f>
        <v>43203</v>
      </c>
      <c r="Q374" s="98">
        <f ca="1"/>
        <v>-1.7385648408923438E-3</v>
      </c>
      <c r="R374" s="5" t="s">
        <v>4</v>
      </c>
      <c r="S374" s="100">
        <f ca="1">_xll.meDateFromTenor(S373,"1D","FOLLOWING",T$12)</f>
        <v>43021</v>
      </c>
      <c r="T374" s="13">
        <f ca="1">_xll.meDateFromTenor(S374,T$14,T$11,T$12)</f>
        <v>43388</v>
      </c>
      <c r="U374" s="98">
        <f ca="1"/>
        <v>1.3807594575491287E-4</v>
      </c>
      <c r="V374" s="5" t="s">
        <v>4</v>
      </c>
      <c r="W374" s="84" t="s">
        <v>4</v>
      </c>
    </row>
    <row r="375" spans="1:23" x14ac:dyDescent="0.25">
      <c r="A375" s="90">
        <v>356</v>
      </c>
      <c r="B375" s="83"/>
      <c r="C375" s="100">
        <f ca="1">_xll.meDateFromTenor(C374,"1D","FOLLOWING",D$12)</f>
        <v>43024</v>
      </c>
      <c r="D375" s="13">
        <f ca="1">_xll.meDateFromTenor(C375,D$14,D$11,D$12)</f>
        <v>43025</v>
      </c>
      <c r="E375" s="98">
        <f ca="1"/>
        <v>-4.2058981780934849E-3</v>
      </c>
      <c r="F375" s="94"/>
      <c r="G375" s="100">
        <f ca="1">_xll.meDateFromTenor(G374,"1D","FOLLOWING",H$12)</f>
        <v>43024</v>
      </c>
      <c r="H375" s="13">
        <f ca="1">_xll.meDateFromTenor(G375,H$14,H$11,H$12)</f>
        <v>43055</v>
      </c>
      <c r="I375" s="98">
        <f ca="1"/>
        <v>-4.0332524650637143E-3</v>
      </c>
      <c r="J375" s="94" t="s">
        <v>4</v>
      </c>
      <c r="K375" s="100">
        <f ca="1">_xll.meDateFromTenor(K374,"1D","FOLLOWING",L$12)</f>
        <v>43024</v>
      </c>
      <c r="L375" s="13">
        <f ca="1">_xll.meDateFromTenor(K375,L$14,L$11,L$12)</f>
        <v>43116</v>
      </c>
      <c r="M375" s="98">
        <f ca="1"/>
        <v>-3.3899926726565421E-3</v>
      </c>
      <c r="N375" s="5" t="s">
        <v>4</v>
      </c>
      <c r="O375" s="100">
        <f ca="1">_xll.meDateFromTenor(O374,"1D","FOLLOWING",P$12)</f>
        <v>43024</v>
      </c>
      <c r="P375" s="13">
        <f ca="1">_xll.meDateFromTenor(O375,P$14,P$11,P$12)</f>
        <v>43206</v>
      </c>
      <c r="Q375" s="98">
        <f ca="1"/>
        <v>-1.7356308386688439E-3</v>
      </c>
      <c r="R375" s="5" t="s">
        <v>4</v>
      </c>
      <c r="S375" s="100">
        <f ca="1">_xll.meDateFromTenor(S374,"1D","FOLLOWING",T$12)</f>
        <v>43024</v>
      </c>
      <c r="T375" s="13">
        <f ca="1">_xll.meDateFromTenor(S375,T$14,T$11,T$12)</f>
        <v>43389</v>
      </c>
      <c r="U375" s="98">
        <f ca="1"/>
        <v>1.4416247749215287E-4</v>
      </c>
      <c r="V375" s="5" t="s">
        <v>4</v>
      </c>
      <c r="W375" s="84" t="s">
        <v>4</v>
      </c>
    </row>
    <row r="376" spans="1:23" x14ac:dyDescent="0.25">
      <c r="A376" s="90">
        <v>357</v>
      </c>
      <c r="B376" s="83"/>
      <c r="C376" s="100">
        <f ca="1">_xll.meDateFromTenor(C375,"1D","FOLLOWING",D$12)</f>
        <v>43025</v>
      </c>
      <c r="D376" s="13">
        <f ca="1">_xll.meDateFromTenor(C376,D$14,D$11,D$12)</f>
        <v>43026</v>
      </c>
      <c r="E376" s="98">
        <f ca="1"/>
        <v>-4.2061235274326739E-3</v>
      </c>
      <c r="F376" s="94"/>
      <c r="G376" s="100">
        <f ca="1">_xll.meDateFromTenor(G375,"1D","FOLLOWING",H$12)</f>
        <v>43025</v>
      </c>
      <c r="H376" s="13">
        <f ca="1">_xll.meDateFromTenor(G376,H$14,H$11,H$12)</f>
        <v>43056</v>
      </c>
      <c r="I376" s="98">
        <f ca="1"/>
        <v>-4.0327580690689441E-3</v>
      </c>
      <c r="J376" s="94" t="s">
        <v>4</v>
      </c>
      <c r="K376" s="100">
        <f ca="1">_xll.meDateFromTenor(K375,"1D","FOLLOWING",L$12)</f>
        <v>43025</v>
      </c>
      <c r="L376" s="13">
        <f ca="1">_xll.meDateFromTenor(K376,L$14,L$11,L$12)</f>
        <v>43117</v>
      </c>
      <c r="M376" s="98">
        <f ca="1"/>
        <v>-3.4088347619236773E-3</v>
      </c>
      <c r="N376" s="5" t="s">
        <v>4</v>
      </c>
      <c r="O376" s="100">
        <f ca="1">_xll.meDateFromTenor(O375,"1D","FOLLOWING",P$12)</f>
        <v>43025</v>
      </c>
      <c r="P376" s="13">
        <f ca="1">_xll.meDateFromTenor(O376,P$14,P$11,P$12)</f>
        <v>43207</v>
      </c>
      <c r="Q376" s="98">
        <f ca="1"/>
        <v>-1.7346233966240498E-3</v>
      </c>
      <c r="R376" s="5" t="s">
        <v>4</v>
      </c>
      <c r="S376" s="100">
        <f ca="1">_xll.meDateFromTenor(S375,"1D","FOLLOWING",T$12)</f>
        <v>43025</v>
      </c>
      <c r="T376" s="13">
        <f ca="1">_xll.meDateFromTenor(S376,T$14,T$11,T$12)</f>
        <v>43390</v>
      </c>
      <c r="U376" s="98">
        <f ca="1"/>
        <v>1.4620738874901535E-4</v>
      </c>
      <c r="V376" s="5" t="s">
        <v>4</v>
      </c>
      <c r="W376" s="84" t="s">
        <v>4</v>
      </c>
    </row>
    <row r="377" spans="1:23" x14ac:dyDescent="0.25">
      <c r="A377" s="90">
        <v>358</v>
      </c>
      <c r="B377" s="83"/>
      <c r="C377" s="100">
        <f ca="1">_xll.meDateFromTenor(C376,"1D","FOLLOWING",D$12)</f>
        <v>43026</v>
      </c>
      <c r="D377" s="13">
        <f ca="1">_xll.meDateFromTenor(C377,D$14,D$11,D$12)</f>
        <v>43027</v>
      </c>
      <c r="E377" s="98">
        <f ca="1"/>
        <v>-4.2063590595864545E-3</v>
      </c>
      <c r="F377" s="94"/>
      <c r="G377" s="100">
        <f ca="1">_xll.meDateFromTenor(G376,"1D","FOLLOWING",H$12)</f>
        <v>43026</v>
      </c>
      <c r="H377" s="13">
        <f ca="1">_xll.meDateFromTenor(G377,H$14,H$11,H$12)</f>
        <v>43059</v>
      </c>
      <c r="I377" s="98">
        <f ca="1"/>
        <v>-4.0322530939593806E-3</v>
      </c>
      <c r="J377" s="94" t="s">
        <v>4</v>
      </c>
      <c r="K377" s="100">
        <f ca="1">_xll.meDateFromTenor(K376,"1D","FOLLOWING",L$12)</f>
        <v>43026</v>
      </c>
      <c r="L377" s="13">
        <f ca="1">_xll.meDateFromTenor(K377,L$14,L$11,L$12)</f>
        <v>43118</v>
      </c>
      <c r="M377" s="98">
        <f ca="1"/>
        <v>-3.4277692038110568E-3</v>
      </c>
      <c r="N377" s="5" t="s">
        <v>4</v>
      </c>
      <c r="O377" s="100">
        <f ca="1">_xll.meDateFromTenor(O376,"1D","FOLLOWING",P$12)</f>
        <v>43026</v>
      </c>
      <c r="P377" s="13">
        <f ca="1">_xll.meDateFromTenor(O377,P$14,P$11,P$12)</f>
        <v>43208</v>
      </c>
      <c r="Q377" s="98">
        <f ca="1"/>
        <v>-1.7336012311118907E-3</v>
      </c>
      <c r="R377" s="5" t="s">
        <v>4</v>
      </c>
      <c r="S377" s="100">
        <f ca="1">_xll.meDateFromTenor(S376,"1D","FOLLOWING",T$12)</f>
        <v>43026</v>
      </c>
      <c r="T377" s="13">
        <f ca="1">_xll.meDateFromTenor(S377,T$14,T$11,T$12)</f>
        <v>43391</v>
      </c>
      <c r="U377" s="98">
        <f ca="1"/>
        <v>1.4826035094925581E-4</v>
      </c>
      <c r="V377" s="5" t="s">
        <v>4</v>
      </c>
      <c r="W377" s="84" t="s">
        <v>4</v>
      </c>
    </row>
    <row r="378" spans="1:23" x14ac:dyDescent="0.25">
      <c r="A378" s="90">
        <v>359</v>
      </c>
      <c r="B378" s="83"/>
      <c r="C378" s="100">
        <f ca="1">_xll.meDateFromTenor(C377,"1D","FOLLOWING",D$12)</f>
        <v>43027</v>
      </c>
      <c r="D378" s="13">
        <f ca="1">_xll.meDateFromTenor(C378,D$14,D$11,D$12)</f>
        <v>43028</v>
      </c>
      <c r="E378" s="98">
        <f ca="1"/>
        <v>-4.2066047739549705E-3</v>
      </c>
      <c r="F378" s="94"/>
      <c r="G378" s="100">
        <f ca="1">_xll.meDateFromTenor(G377,"1D","FOLLOWING",H$12)</f>
        <v>43027</v>
      </c>
      <c r="H378" s="13">
        <f ca="1">_xll.meDateFromTenor(G378,H$14,H$11,H$12)</f>
        <v>43059</v>
      </c>
      <c r="I378" s="98">
        <f ca="1"/>
        <v>-4.0317378063324145E-3</v>
      </c>
      <c r="J378" s="94" t="s">
        <v>4</v>
      </c>
      <c r="K378" s="100">
        <f ca="1">_xll.meDateFromTenor(K377,"1D","FOLLOWING",L$12)</f>
        <v>43027</v>
      </c>
      <c r="L378" s="13">
        <f ca="1">_xll.meDateFromTenor(K378,L$14,L$11,L$12)</f>
        <v>43119</v>
      </c>
      <c r="M378" s="98">
        <f ca="1"/>
        <v>-3.4467523009016812E-3</v>
      </c>
      <c r="N378" s="5" t="s">
        <v>4</v>
      </c>
      <c r="O378" s="100">
        <f ca="1">_xll.meDateFromTenor(O377,"1D","FOLLOWING",P$12)</f>
        <v>43027</v>
      </c>
      <c r="P378" s="13">
        <f ca="1">_xll.meDateFromTenor(O378,P$14,P$11,P$12)</f>
        <v>43209</v>
      </c>
      <c r="Q378" s="98">
        <f ca="1"/>
        <v>-1.732564340443036E-3</v>
      </c>
      <c r="R378" s="5" t="s">
        <v>4</v>
      </c>
      <c r="S378" s="100">
        <f ca="1">_xll.meDateFromTenor(S377,"1D","FOLLOWING",T$12)</f>
        <v>43027</v>
      </c>
      <c r="T378" s="13">
        <f ca="1">_xll.meDateFromTenor(S378,T$14,T$11,T$12)</f>
        <v>43392</v>
      </c>
      <c r="U378" s="98">
        <f ca="1"/>
        <v>1.503213744555669E-4</v>
      </c>
      <c r="V378" s="5" t="s">
        <v>4</v>
      </c>
      <c r="W378" s="84" t="s">
        <v>4</v>
      </c>
    </row>
    <row r="379" spans="1:23" x14ac:dyDescent="0.25">
      <c r="A379" s="90">
        <v>360</v>
      </c>
      <c r="B379" s="83"/>
      <c r="C379" s="100">
        <f ca="1">_xll.meDateFromTenor(C378,"1D","FOLLOWING",D$12)</f>
        <v>43028</v>
      </c>
      <c r="D379" s="13">
        <f ca="1">_xll.meDateFromTenor(C379,D$14,D$11,D$12)</f>
        <v>43031</v>
      </c>
      <c r="E379" s="98">
        <f ca="1"/>
        <v>-4.207080975686687E-3</v>
      </c>
      <c r="F379" s="94"/>
      <c r="G379" s="100">
        <f ca="1">_xll.meDateFromTenor(G378,"1D","FOLLOWING",H$12)</f>
        <v>43028</v>
      </c>
      <c r="H379" s="13">
        <f ca="1">_xll.meDateFromTenor(G379,H$14,H$11,H$12)</f>
        <v>43059</v>
      </c>
      <c r="I379" s="98">
        <f ca="1"/>
        <v>-4.0312124727854386E-3</v>
      </c>
      <c r="J379" s="94" t="s">
        <v>4</v>
      </c>
      <c r="K379" s="100">
        <f ca="1">_xll.meDateFromTenor(K378,"1D","FOLLOWING",L$12)</f>
        <v>43028</v>
      </c>
      <c r="L379" s="13">
        <f ca="1">_xll.meDateFromTenor(K379,L$14,L$11,L$12)</f>
        <v>43122</v>
      </c>
      <c r="M379" s="98">
        <f ca="1"/>
        <v>-3.4657403557785439E-3</v>
      </c>
      <c r="N379" s="5" t="s">
        <v>4</v>
      </c>
      <c r="O379" s="100">
        <f ca="1">_xll.meDateFromTenor(O378,"1D","FOLLOWING",P$12)</f>
        <v>43028</v>
      </c>
      <c r="P379" s="13">
        <f ca="1">_xll.meDateFromTenor(O379,P$14,P$11,P$12)</f>
        <v>43210</v>
      </c>
      <c r="Q379" s="98">
        <f ca="1"/>
        <v>-1.7315127229281541E-3</v>
      </c>
      <c r="R379" s="5" t="s">
        <v>4</v>
      </c>
      <c r="S379" s="100">
        <f ca="1">_xll.meDateFromTenor(S378,"1D","FOLLOWING",T$12)</f>
        <v>43028</v>
      </c>
      <c r="T379" s="13">
        <f ca="1">_xll.meDateFromTenor(S379,T$14,T$11,T$12)</f>
        <v>43395</v>
      </c>
      <c r="U379" s="98">
        <f ca="1"/>
        <v>1.5239046963064058E-4</v>
      </c>
      <c r="V379" s="5" t="s">
        <v>4</v>
      </c>
      <c r="W379" s="84" t="s">
        <v>4</v>
      </c>
    </row>
    <row r="380" spans="1:23" x14ac:dyDescent="0.25">
      <c r="A380" s="90">
        <v>361</v>
      </c>
      <c r="B380" s="83"/>
      <c r="C380" s="100">
        <f ca="1">_xll.meDateFromTenor(C379,"1D","FOLLOWING",D$12)</f>
        <v>43031</v>
      </c>
      <c r="D380" s="13">
        <f ca="1">_xll.meDateFromTenor(C380,D$14,D$11,D$12)</f>
        <v>43032</v>
      </c>
      <c r="E380" s="98">
        <f ca="1"/>
        <v>-4.2076894464671147E-3</v>
      </c>
      <c r="F380" s="94"/>
      <c r="G380" s="100">
        <f ca="1">_xll.meDateFromTenor(G379,"1D","FOLLOWING",H$12)</f>
        <v>43031</v>
      </c>
      <c r="H380" s="13">
        <f ca="1">_xll.meDateFromTenor(G380,H$14,H$11,H$12)</f>
        <v>43062</v>
      </c>
      <c r="I380" s="98">
        <f ca="1"/>
        <v>-4.0295788625983615E-3</v>
      </c>
      <c r="J380" s="94" t="s">
        <v>4</v>
      </c>
      <c r="K380" s="100">
        <f ca="1">_xll.meDateFromTenor(K379,"1D","FOLLOWING",L$12)</f>
        <v>43031</v>
      </c>
      <c r="L380" s="13">
        <f ca="1">_xll.meDateFromTenor(K380,L$14,L$11,L$12)</f>
        <v>43123</v>
      </c>
      <c r="M380" s="98">
        <f ca="1"/>
        <v>-3.5222972929565485E-3</v>
      </c>
      <c r="N380" s="5" t="s">
        <v>4</v>
      </c>
      <c r="O380" s="100">
        <f ca="1">_xll.meDateFromTenor(O379,"1D","FOLLOWING",P$12)</f>
        <v>43031</v>
      </c>
      <c r="P380" s="13">
        <f ca="1">_xll.meDateFromTenor(O380,P$14,P$11,P$12)</f>
        <v>43213</v>
      </c>
      <c r="Q380" s="98">
        <f ca="1"/>
        <v>-1.7282694924140381E-3</v>
      </c>
      <c r="R380" s="5" t="s">
        <v>4</v>
      </c>
      <c r="S380" s="100">
        <f ca="1">_xll.meDateFromTenor(S379,"1D","FOLLOWING",T$12)</f>
        <v>43031</v>
      </c>
      <c r="T380" s="13">
        <f ca="1">_xll.meDateFromTenor(S380,T$14,T$11,T$12)</f>
        <v>43396</v>
      </c>
      <c r="U380" s="98">
        <f ca="1"/>
        <v>1.5864628879535997E-4</v>
      </c>
      <c r="V380" s="5" t="s">
        <v>4</v>
      </c>
      <c r="W380" s="84" t="s">
        <v>4</v>
      </c>
    </row>
    <row r="381" spans="1:23" x14ac:dyDescent="0.25">
      <c r="A381" s="90">
        <v>362</v>
      </c>
      <c r="B381" s="83"/>
      <c r="C381" s="100">
        <f ca="1">_xll.meDateFromTenor(C380,"1D","FOLLOWING",D$12)</f>
        <v>43032</v>
      </c>
      <c r="D381" s="13">
        <f ca="1">_xll.meDateFromTenor(C381,D$14,D$11,D$12)</f>
        <v>43033</v>
      </c>
      <c r="E381" s="98">
        <f ca="1"/>
        <v>-4.2079860656763094E-3</v>
      </c>
      <c r="F381" s="94"/>
      <c r="G381" s="100">
        <f ca="1">_xll.meDateFromTenor(G380,"1D","FOLLOWING",H$12)</f>
        <v>43032</v>
      </c>
      <c r="H381" s="13">
        <f ca="1">_xll.meDateFromTenor(G381,H$14,H$11,H$12)</f>
        <v>43063</v>
      </c>
      <c r="I381" s="98">
        <f ca="1"/>
        <v>-4.0290160113452596E-3</v>
      </c>
      <c r="J381" s="94" t="s">
        <v>4</v>
      </c>
      <c r="K381" s="100">
        <f ca="1">_xll.meDateFromTenor(K380,"1D","FOLLOWING",L$12)</f>
        <v>43032</v>
      </c>
      <c r="L381" s="13">
        <f ca="1">_xll.meDateFromTenor(K381,L$14,L$11,L$12)</f>
        <v>43124</v>
      </c>
      <c r="M381" s="98">
        <f ca="1"/>
        <v>-3.5408682048083447E-3</v>
      </c>
      <c r="N381" s="5" t="s">
        <v>4</v>
      </c>
      <c r="O381" s="100">
        <f ca="1">_xll.meDateFromTenor(O380,"1D","FOLLOWING",P$12)</f>
        <v>43032</v>
      </c>
      <c r="P381" s="13">
        <f ca="1">_xll.meDateFromTenor(O381,P$14,P$11,P$12)</f>
        <v>43214</v>
      </c>
      <c r="Q381" s="98">
        <f ca="1"/>
        <v>-1.7271589506217397E-3</v>
      </c>
      <c r="R381" s="5" t="s">
        <v>4</v>
      </c>
      <c r="S381" s="100">
        <f ca="1">_xll.meDateFromTenor(S380,"1D","FOLLOWING",T$12)</f>
        <v>43032</v>
      </c>
      <c r="T381" s="13">
        <f ca="1">_xll.meDateFromTenor(S381,T$14,T$11,T$12)</f>
        <v>43397</v>
      </c>
      <c r="U381" s="98">
        <f ca="1"/>
        <v>1.6074777427240678E-4</v>
      </c>
      <c r="V381" s="5" t="s">
        <v>4</v>
      </c>
      <c r="W381" s="84" t="s">
        <v>4</v>
      </c>
    </row>
    <row r="382" spans="1:23" x14ac:dyDescent="0.25">
      <c r="A382" s="90">
        <v>363</v>
      </c>
      <c r="B382" s="83"/>
      <c r="C382" s="100">
        <f ca="1">_xll.meDateFromTenor(C381,"1D","FOLLOWING",D$12)</f>
        <v>43033</v>
      </c>
      <c r="D382" s="13">
        <f ca="1">_xll.meDateFromTenor(C382,D$14,D$11,D$12)</f>
        <v>43034</v>
      </c>
      <c r="E382" s="98">
        <f ca="1"/>
        <v>-4.2082928645825893E-3</v>
      </c>
      <c r="F382" s="94"/>
      <c r="G382" s="100">
        <f ca="1">_xll.meDateFromTenor(G381,"1D","FOLLOWING",H$12)</f>
        <v>43033</v>
      </c>
      <c r="H382" s="13">
        <f ca="1">_xll.meDateFromTenor(G382,H$14,H$11,H$12)</f>
        <v>43066</v>
      </c>
      <c r="I382" s="98">
        <f ca="1"/>
        <v>-4.0284444471591048E-3</v>
      </c>
      <c r="J382" s="94" t="s">
        <v>4</v>
      </c>
      <c r="K382" s="100">
        <f ca="1">_xll.meDateFromTenor(K381,"1D","FOLLOWING",L$12)</f>
        <v>43033</v>
      </c>
      <c r="L382" s="13">
        <f ca="1">_xll.meDateFromTenor(K382,L$14,L$11,L$12)</f>
        <v>43125</v>
      </c>
      <c r="M382" s="98">
        <f ca="1"/>
        <v>-3.5592255873613649E-3</v>
      </c>
      <c r="N382" s="5" t="s">
        <v>4</v>
      </c>
      <c r="O382" s="100">
        <f ca="1">_xll.meDateFromTenor(O381,"1D","FOLLOWING",P$12)</f>
        <v>43033</v>
      </c>
      <c r="P382" s="13">
        <f ca="1">_xll.meDateFromTenor(O382,P$14,P$11,P$12)</f>
        <v>43215</v>
      </c>
      <c r="Q382" s="98">
        <f ca="1"/>
        <v>-1.7260336735367599E-3</v>
      </c>
      <c r="R382" s="5" t="s">
        <v>4</v>
      </c>
      <c r="S382" s="100">
        <f ca="1">_xll.meDateFromTenor(S381,"1D","FOLLOWING",T$12)</f>
        <v>43033</v>
      </c>
      <c r="T382" s="13">
        <f ca="1">_xll.meDateFromTenor(S382,T$14,T$11,T$12)</f>
        <v>43398</v>
      </c>
      <c r="U382" s="98">
        <f ca="1"/>
        <v>1.6285738323167708E-4</v>
      </c>
      <c r="V382" s="5" t="s">
        <v>4</v>
      </c>
      <c r="W382" s="84" t="s">
        <v>4</v>
      </c>
    </row>
    <row r="383" spans="1:23" x14ac:dyDescent="0.25">
      <c r="A383" s="90">
        <v>364</v>
      </c>
      <c r="B383" s="83"/>
      <c r="C383" s="100">
        <f ca="1">_xll.meDateFromTenor(C382,"1D","FOLLOWING",D$12)</f>
        <v>43034</v>
      </c>
      <c r="D383" s="13">
        <f ca="1">_xll.meDateFromTenor(C383,D$14,D$11,D$12)</f>
        <v>43035</v>
      </c>
      <c r="E383" s="98">
        <f ca="1"/>
        <v>-4.2086098423466259E-3</v>
      </c>
      <c r="F383" s="94"/>
      <c r="G383" s="100">
        <f ca="1">_xll.meDateFromTenor(G382,"1D","FOLLOWING",H$12)</f>
        <v>43034</v>
      </c>
      <c r="H383" s="13">
        <f ca="1">_xll.meDateFromTenor(G383,H$14,H$11,H$12)</f>
        <v>43066</v>
      </c>
      <c r="I383" s="98">
        <f ca="1"/>
        <v>-4.0278644366372887E-3</v>
      </c>
      <c r="J383" s="94" t="s">
        <v>4</v>
      </c>
      <c r="K383" s="100">
        <f ca="1">_xll.meDateFromTenor(K382,"1D","FOLLOWING",L$12)</f>
        <v>43034</v>
      </c>
      <c r="L383" s="13">
        <f ca="1">_xll.meDateFromTenor(K383,L$14,L$11,L$12)</f>
        <v>43126</v>
      </c>
      <c r="M383" s="98">
        <f ca="1"/>
        <v>-3.5773257431986087E-3</v>
      </c>
      <c r="N383" s="5" t="s">
        <v>4</v>
      </c>
      <c r="O383" s="100">
        <f ca="1">_xll.meDateFromTenor(O382,"1D","FOLLOWING",P$12)</f>
        <v>43034</v>
      </c>
      <c r="P383" s="13">
        <f ca="1">_xll.meDateFromTenor(O383,P$14,P$11,P$12)</f>
        <v>43216</v>
      </c>
      <c r="Q383" s="98">
        <f ca="1"/>
        <v>-1.7248936594697682E-3</v>
      </c>
      <c r="R383" s="5" t="s">
        <v>4</v>
      </c>
      <c r="S383" s="100">
        <f ca="1">_xll.meDateFromTenor(S382,"1D","FOLLOWING",T$12)</f>
        <v>43034</v>
      </c>
      <c r="T383" s="13">
        <f ca="1">_xll.meDateFromTenor(S383,T$14,T$11,T$12)</f>
        <v>43399</v>
      </c>
      <c r="U383" s="98">
        <f ca="1"/>
        <v>1.6497512603586359E-4</v>
      </c>
      <c r="V383" s="5" t="s">
        <v>4</v>
      </c>
      <c r="W383" s="84" t="s">
        <v>4</v>
      </c>
    </row>
    <row r="384" spans="1:23" x14ac:dyDescent="0.25">
      <c r="A384" s="90">
        <v>365</v>
      </c>
      <c r="B384" s="83"/>
      <c r="C384" s="100">
        <f ca="1">_xll.meDateFromTenor(C383,"1D","FOLLOWING",D$12)</f>
        <v>43035</v>
      </c>
      <c r="D384" s="13">
        <f ca="1">_xll.meDateFromTenor(C384,D$14,D$11,D$12)</f>
        <v>43038</v>
      </c>
      <c r="E384" s="98">
        <f ca="1"/>
        <v>-4.2092285092909668E-3</v>
      </c>
      <c r="F384" s="94"/>
      <c r="G384" s="100">
        <f ca="1">_xll.meDateFromTenor(G383,"1D","FOLLOWING",H$12)</f>
        <v>43035</v>
      </c>
      <c r="H384" s="13">
        <f ca="1">_xll.meDateFromTenor(G384,H$14,H$11,H$12)</f>
        <v>43066</v>
      </c>
      <c r="I384" s="98">
        <f ca="1"/>
        <v>-4.0272762463772049E-3</v>
      </c>
      <c r="J384" s="94" t="s">
        <v>4</v>
      </c>
      <c r="K384" s="100">
        <f ca="1">_xll.meDateFromTenor(K383,"1D","FOLLOWING",L$12)</f>
        <v>43035</v>
      </c>
      <c r="L384" s="13">
        <f ca="1">_xll.meDateFromTenor(K384,L$14,L$11,L$12)</f>
        <v>43129</v>
      </c>
      <c r="M384" s="98">
        <f ca="1"/>
        <v>-3.5951249749030709E-3</v>
      </c>
      <c r="N384" s="5" t="s">
        <v>4</v>
      </c>
      <c r="O384" s="100">
        <f ca="1">_xll.meDateFromTenor(O383,"1D","FOLLOWING",P$12)</f>
        <v>43035</v>
      </c>
      <c r="P384" s="13">
        <f ca="1">_xll.meDateFromTenor(O384,P$14,P$11,P$12)</f>
        <v>43217</v>
      </c>
      <c r="Q384" s="98">
        <f ca="1"/>
        <v>-1.723738906731433E-3</v>
      </c>
      <c r="R384" s="5" t="s">
        <v>4</v>
      </c>
      <c r="S384" s="100">
        <f ca="1">_xll.meDateFromTenor(S383,"1D","FOLLOWING",T$12)</f>
        <v>43035</v>
      </c>
      <c r="T384" s="13">
        <f ca="1">_xll.meDateFromTenor(S384,T$14,T$11,T$12)</f>
        <v>43402</v>
      </c>
      <c r="U384" s="98">
        <f ca="1"/>
        <v>1.6710101304765821E-4</v>
      </c>
      <c r="V384" s="5" t="s">
        <v>4</v>
      </c>
      <c r="W384" s="84" t="s">
        <v>4</v>
      </c>
    </row>
    <row r="385" spans="1:23" x14ac:dyDescent="0.25">
      <c r="A385" s="90">
        <v>366</v>
      </c>
      <c r="B385" s="83"/>
      <c r="C385" s="100">
        <f ca="1">_xll.meDateFromTenor(C384,"1D","FOLLOWING",D$12)</f>
        <v>43038</v>
      </c>
      <c r="D385" s="13">
        <f ca="1">_xll.meDateFromTenor(C385,D$14,D$11,D$12)</f>
        <v>43039</v>
      </c>
      <c r="E385" s="98">
        <f ca="1"/>
        <v>-4.2099795345462857E-3</v>
      </c>
      <c r="F385" s="94"/>
      <c r="G385" s="100">
        <f ca="1">_xll.meDateFromTenor(G384,"1D","FOLLOWING",H$12)</f>
        <v>43038</v>
      </c>
      <c r="H385" s="13">
        <f ca="1">_xll.meDateFromTenor(G385,H$14,H$11,H$12)</f>
        <v>43069</v>
      </c>
      <c r="I385" s="98">
        <f ca="1"/>
        <v>-4.0254652631412516E-3</v>
      </c>
      <c r="J385" s="94" t="s">
        <v>4</v>
      </c>
      <c r="K385" s="100">
        <f ca="1">_xll.meDateFromTenor(K384,"1D","FOLLOWING",L$12)</f>
        <v>43038</v>
      </c>
      <c r="L385" s="13">
        <f ca="1">_xll.meDateFromTenor(K385,L$14,L$11,L$12)</f>
        <v>43130</v>
      </c>
      <c r="M385" s="98">
        <f ca="1"/>
        <v>-3.6462801510497469E-3</v>
      </c>
      <c r="N385" s="5" t="s">
        <v>4</v>
      </c>
      <c r="O385" s="100">
        <f ca="1">_xll.meDateFromTenor(O384,"1D","FOLLOWING",P$12)</f>
        <v>43038</v>
      </c>
      <c r="P385" s="13">
        <f ca="1">_xll.meDateFromTenor(O385,P$14,P$11,P$12)</f>
        <v>43220</v>
      </c>
      <c r="Q385" s="98">
        <f ca="1"/>
        <v>-1.7201861995950606E-3</v>
      </c>
      <c r="R385" s="5" t="s">
        <v>4</v>
      </c>
      <c r="S385" s="100">
        <f ca="1">_xll.meDateFromTenor(S384,"1D","FOLLOWING",T$12)</f>
        <v>43038</v>
      </c>
      <c r="T385" s="13">
        <f ca="1">_xll.meDateFromTenor(S385,T$14,T$11,T$12)</f>
        <v>43403</v>
      </c>
      <c r="U385" s="98">
        <f ca="1"/>
        <v>1.7352764295561416E-4</v>
      </c>
      <c r="V385" s="5" t="s">
        <v>4</v>
      </c>
      <c r="W385" s="84" t="s">
        <v>4</v>
      </c>
    </row>
    <row r="386" spans="1:23" x14ac:dyDescent="0.25">
      <c r="A386" s="90">
        <v>367</v>
      </c>
      <c r="B386" s="83"/>
      <c r="C386" s="100">
        <f ca="1">_xll.meDateFromTenor(C385,"1D","FOLLOWING",D$12)</f>
        <v>43039</v>
      </c>
      <c r="D386" s="13">
        <f ca="1">_xll.meDateFromTenor(C386,D$14,D$11,D$12)</f>
        <v>43040</v>
      </c>
      <c r="E386" s="98">
        <f ca="1"/>
        <v>-4.2103474006438693E-3</v>
      </c>
      <c r="F386" s="94"/>
      <c r="G386" s="100">
        <f ca="1">_xll.meDateFromTenor(G385,"1D","FOLLOWING",H$12)</f>
        <v>43039</v>
      </c>
      <c r="H386" s="13">
        <f ca="1">_xll.meDateFromTenor(G386,H$14,H$11,H$12)</f>
        <v>43069</v>
      </c>
      <c r="I386" s="98">
        <f ca="1"/>
        <v>-4.0248470199020061E-3</v>
      </c>
      <c r="J386" s="94" t="s">
        <v>4</v>
      </c>
      <c r="K386" s="100">
        <f ca="1">_xll.meDateFromTenor(K385,"1D","FOLLOWING",L$12)</f>
        <v>43039</v>
      </c>
      <c r="L386" s="13">
        <f ca="1">_xll.meDateFromTenor(K386,L$14,L$11,L$12)</f>
        <v>43131</v>
      </c>
      <c r="M386" s="98">
        <f ca="1"/>
        <v>-3.6624387120530576E-3</v>
      </c>
      <c r="N386" s="5" t="s">
        <v>4</v>
      </c>
      <c r="O386" s="100">
        <f ca="1">_xll.meDateFromTenor(O385,"1D","FOLLOWING",P$12)</f>
        <v>43039</v>
      </c>
      <c r="P386" s="13">
        <f ca="1">_xll.meDateFromTenor(O386,P$14,P$11,P$12)</f>
        <v>43220</v>
      </c>
      <c r="Q386" s="98">
        <f ca="1"/>
        <v>-1.7189724752780444E-3</v>
      </c>
      <c r="R386" s="5" t="s">
        <v>4</v>
      </c>
      <c r="S386" s="100">
        <f ca="1">_xll.meDateFromTenor(S385,"1D","FOLLOWING",T$12)</f>
        <v>43039</v>
      </c>
      <c r="T386" s="13">
        <f ca="1">_xll.meDateFromTenor(S386,T$14,T$11,T$12)</f>
        <v>43404</v>
      </c>
      <c r="U386" s="98">
        <f ca="1"/>
        <v>1.7568621042476402E-4</v>
      </c>
      <c r="V386" s="5" t="s">
        <v>4</v>
      </c>
      <c r="W386" s="84" t="s">
        <v>4</v>
      </c>
    </row>
    <row r="387" spans="1:23" x14ac:dyDescent="0.25">
      <c r="A387" s="90">
        <v>368</v>
      </c>
      <c r="B387" s="83"/>
      <c r="C387" s="100">
        <f ca="1">_xll.meDateFromTenor(C386,"1D","FOLLOWING",D$12)</f>
        <v>43040</v>
      </c>
      <c r="D387" s="13">
        <f ca="1">_xll.meDateFromTenor(C387,D$14,D$11,D$12)</f>
        <v>43041</v>
      </c>
      <c r="E387" s="98">
        <f ca="1"/>
        <v>-4.2107254426016075E-3</v>
      </c>
      <c r="F387" s="94"/>
      <c r="G387" s="100">
        <f ca="1">_xll.meDateFromTenor(G386,"1D","FOLLOWING",H$12)</f>
        <v>43040</v>
      </c>
      <c r="H387" s="13">
        <f ca="1">_xll.meDateFromTenor(G387,H$14,H$11,H$12)</f>
        <v>43070</v>
      </c>
      <c r="I387" s="98">
        <f ca="1"/>
        <v>-4.0242219299114496E-3</v>
      </c>
      <c r="J387" s="94" t="s">
        <v>4</v>
      </c>
      <c r="K387" s="100">
        <f ca="1">_xll.meDateFromTenor(K386,"1D","FOLLOWING",L$12)</f>
        <v>43040</v>
      </c>
      <c r="L387" s="13">
        <f ca="1">_xll.meDateFromTenor(K387,L$14,L$11,L$12)</f>
        <v>43132</v>
      </c>
      <c r="M387" s="98">
        <f ca="1"/>
        <v>-3.6780778618385741E-3</v>
      </c>
      <c r="N387" s="5" t="s">
        <v>4</v>
      </c>
      <c r="O387" s="100">
        <f ca="1">_xll.meDateFromTenor(O386,"1D","FOLLOWING",P$12)</f>
        <v>43040</v>
      </c>
      <c r="P387" s="13">
        <f ca="1">_xll.meDateFromTenor(O387,P$14,P$11,P$12)</f>
        <v>43222</v>
      </c>
      <c r="Q387" s="98">
        <f ca="1"/>
        <v>-1.7177440038430305E-3</v>
      </c>
      <c r="R387" s="5" t="s">
        <v>4</v>
      </c>
      <c r="S387" s="100">
        <f ca="1">_xll.meDateFromTenor(S386,"1D","FOLLOWING",T$12)</f>
        <v>43040</v>
      </c>
      <c r="T387" s="13">
        <f ca="1">_xll.meDateFromTenor(S387,T$14,T$11,T$12)</f>
        <v>43405</v>
      </c>
      <c r="U387" s="98">
        <f ca="1"/>
        <v>1.7785297391498337E-4</v>
      </c>
      <c r="V387" s="5" t="s">
        <v>4</v>
      </c>
      <c r="W387" s="84" t="s">
        <v>4</v>
      </c>
    </row>
    <row r="388" spans="1:23" x14ac:dyDescent="0.25">
      <c r="A388" s="90">
        <v>369</v>
      </c>
      <c r="B388" s="83"/>
      <c r="C388" s="100">
        <f ca="1">_xll.meDateFromTenor(C387,"1D","FOLLOWING",D$12)</f>
        <v>43041</v>
      </c>
      <c r="D388" s="13">
        <f ca="1">_xll.meDateFromTenor(C388,D$14,D$11,D$12)</f>
        <v>43042</v>
      </c>
      <c r="E388" s="98">
        <f ca="1"/>
        <v>-4.2111136605394043E-3</v>
      </c>
      <c r="F388" s="94"/>
      <c r="G388" s="100">
        <f ca="1">_xll.meDateFromTenor(G387,"1D","FOLLOWING",H$12)</f>
        <v>43041</v>
      </c>
      <c r="H388" s="13">
        <f ca="1">_xll.meDateFromTenor(G388,H$14,H$11,H$12)</f>
        <v>43073</v>
      </c>
      <c r="I388" s="98">
        <f ca="1"/>
        <v>-4.0235902597669732E-3</v>
      </c>
      <c r="J388" s="94" t="s">
        <v>4</v>
      </c>
      <c r="K388" s="100">
        <f ca="1">_xll.meDateFromTenor(K387,"1D","FOLLOWING",L$12)</f>
        <v>43041</v>
      </c>
      <c r="L388" s="13">
        <f ca="1">_xll.meDateFromTenor(K388,L$14,L$11,L$12)</f>
        <v>43133</v>
      </c>
      <c r="M388" s="98">
        <f ca="1"/>
        <v>-3.6931539029892921E-3</v>
      </c>
      <c r="N388" s="5" t="s">
        <v>4</v>
      </c>
      <c r="O388" s="100">
        <f ca="1">_xll.meDateFromTenor(O387,"1D","FOLLOWING",P$12)</f>
        <v>43041</v>
      </c>
      <c r="P388" s="13">
        <f ca="1">_xll.meDateFromTenor(O388,P$14,P$11,P$12)</f>
        <v>43222</v>
      </c>
      <c r="Q388" s="98">
        <f ca="1"/>
        <v>-1.7165007836006882E-3</v>
      </c>
      <c r="R388" s="5" t="s">
        <v>4</v>
      </c>
      <c r="S388" s="100">
        <f ca="1">_xll.meDateFromTenor(S387,"1D","FOLLOWING",T$12)</f>
        <v>43041</v>
      </c>
      <c r="T388" s="13">
        <f ca="1">_xll.meDateFromTenor(S388,T$14,T$11,T$12)</f>
        <v>43406</v>
      </c>
      <c r="U388" s="98">
        <f ca="1"/>
        <v>1.8002794378896441E-4</v>
      </c>
      <c r="V388" s="5" t="s">
        <v>4</v>
      </c>
      <c r="W388" s="84" t="s">
        <v>4</v>
      </c>
    </row>
    <row r="389" spans="1:23" x14ac:dyDescent="0.25">
      <c r="A389" s="90">
        <v>370</v>
      </c>
      <c r="B389" s="83"/>
      <c r="C389" s="100">
        <f ca="1">_xll.meDateFromTenor(C388,"1D","FOLLOWING",D$12)</f>
        <v>43042</v>
      </c>
      <c r="D389" s="13">
        <f ca="1">_xll.meDateFromTenor(C389,D$14,D$11,D$12)</f>
        <v>43045</v>
      </c>
      <c r="E389" s="98">
        <f ca="1"/>
        <v>-4.2118747342501242E-3</v>
      </c>
      <c r="F389" s="94"/>
      <c r="G389" s="100">
        <f ca="1">_xll.meDateFromTenor(G388,"1D","FOLLOWING",H$12)</f>
        <v>43042</v>
      </c>
      <c r="H389" s="13">
        <f ca="1">_xll.meDateFromTenor(G389,H$14,H$11,H$12)</f>
        <v>43073</v>
      </c>
      <c r="I389" s="98">
        <f ca="1"/>
        <v>-4.0229521525327562E-3</v>
      </c>
      <c r="J389" s="94" t="s">
        <v>4</v>
      </c>
      <c r="K389" s="100">
        <f ca="1">_xll.meDateFromTenor(K388,"1D","FOLLOWING",L$12)</f>
        <v>43042</v>
      </c>
      <c r="L389" s="13">
        <f ca="1">_xll.meDateFromTenor(K389,L$14,L$11,L$12)</f>
        <v>43136</v>
      </c>
      <c r="M389" s="98">
        <f ca="1"/>
        <v>-3.7076231380882073E-3</v>
      </c>
      <c r="N389" s="5" t="s">
        <v>4</v>
      </c>
      <c r="O389" s="100">
        <f ca="1">_xll.meDateFromTenor(O388,"1D","FOLLOWING",P$12)</f>
        <v>43042</v>
      </c>
      <c r="P389" s="13">
        <f ca="1">_xll.meDateFromTenor(O389,P$14,P$11,P$12)</f>
        <v>43223</v>
      </c>
      <c r="Q389" s="98">
        <f ca="1"/>
        <v>-1.7152428128616867E-3</v>
      </c>
      <c r="R389" s="5" t="s">
        <v>4</v>
      </c>
      <c r="S389" s="100">
        <f ca="1">_xll.meDateFromTenor(S388,"1D","FOLLOWING",T$12)</f>
        <v>43042</v>
      </c>
      <c r="T389" s="13">
        <f ca="1">_xll.meDateFromTenor(S389,T$14,T$11,T$12)</f>
        <v>43409</v>
      </c>
      <c r="U389" s="98">
        <f ca="1"/>
        <v>1.8221113040939907E-4</v>
      </c>
      <c r="V389" s="5" t="s">
        <v>4</v>
      </c>
      <c r="W389" s="84" t="s">
        <v>4</v>
      </c>
    </row>
    <row r="390" spans="1:23" x14ac:dyDescent="0.25">
      <c r="A390" s="90">
        <v>371</v>
      </c>
      <c r="B390" s="83"/>
      <c r="C390" s="100">
        <f ca="1">_xll.meDateFromTenor(C389,"1D","FOLLOWING",D$12)</f>
        <v>43045</v>
      </c>
      <c r="D390" s="13">
        <f ca="1">_xll.meDateFromTenor(C390,D$14,D$11,D$12)</f>
        <v>43046</v>
      </c>
      <c r="E390" s="98">
        <f ca="1"/>
        <v>-4.2127682790615998E-3</v>
      </c>
      <c r="F390" s="94"/>
      <c r="G390" s="100">
        <f ca="1">_xll.meDateFromTenor(G389,"1D","FOLLOWING",H$12)</f>
        <v>43045</v>
      </c>
      <c r="H390" s="13">
        <f ca="1">_xll.meDateFromTenor(G390,H$14,H$11,H$12)</f>
        <v>43075</v>
      </c>
      <c r="I390" s="98">
        <f ca="1"/>
        <v>-4.0209952034721006E-3</v>
      </c>
      <c r="J390" s="94" t="s">
        <v>4</v>
      </c>
      <c r="K390" s="100">
        <f ca="1">_xll.meDateFromTenor(K389,"1D","FOLLOWING",L$12)</f>
        <v>43045</v>
      </c>
      <c r="L390" s="13">
        <f ca="1">_xll.meDateFromTenor(K390,L$14,L$11,L$12)</f>
        <v>43137</v>
      </c>
      <c r="M390" s="98">
        <f ca="1"/>
        <v>-3.746953032904119E-3</v>
      </c>
      <c r="N390" s="5" t="s">
        <v>4</v>
      </c>
      <c r="O390" s="100">
        <f ca="1">_xll.meDateFromTenor(O389,"1D","FOLLOWING",P$12)</f>
        <v>43045</v>
      </c>
      <c r="P390" s="13">
        <f ca="1">_xll.meDateFromTenor(O390,P$14,P$11,P$12)</f>
        <v>43227</v>
      </c>
      <c r="Q390" s="98">
        <f ca="1"/>
        <v>-1.7113803807714172E-3</v>
      </c>
      <c r="R390" s="5" t="s">
        <v>4</v>
      </c>
      <c r="S390" s="100">
        <f ca="1">_xll.meDateFromTenor(S389,"1D","FOLLOWING",T$12)</f>
        <v>43045</v>
      </c>
      <c r="T390" s="13">
        <f ca="1">_xll.meDateFromTenor(S390,T$14,T$11,T$12)</f>
        <v>43410</v>
      </c>
      <c r="U390" s="98">
        <f ca="1"/>
        <v>1.888100943763484E-4</v>
      </c>
      <c r="V390" s="5" t="s">
        <v>4</v>
      </c>
      <c r="W390" s="84" t="s">
        <v>4</v>
      </c>
    </row>
    <row r="391" spans="1:23" x14ac:dyDescent="0.25">
      <c r="A391" s="90">
        <v>372</v>
      </c>
      <c r="B391" s="83"/>
      <c r="C391" s="100">
        <f ca="1">_xll.meDateFromTenor(C390,"1D","FOLLOWING",D$12)</f>
        <v>43046</v>
      </c>
      <c r="D391" s="13">
        <f ca="1">_xll.meDateFromTenor(C391,D$14,D$11,D$12)</f>
        <v>43047</v>
      </c>
      <c r="E391" s="98">
        <f ca="1"/>
        <v>-4.2132073682266272E-3</v>
      </c>
      <c r="F391" s="94"/>
      <c r="G391" s="100">
        <f ca="1">_xll.meDateFromTenor(G390,"1D","FOLLOWING",H$12)</f>
        <v>43046</v>
      </c>
      <c r="H391" s="13">
        <f ca="1">_xll.meDateFromTenor(G391,H$14,H$11,H$12)</f>
        <v>43076</v>
      </c>
      <c r="I391" s="98">
        <f ca="1"/>
        <v>-4.0203270959929338E-3</v>
      </c>
      <c r="J391" s="94" t="s">
        <v>4</v>
      </c>
      <c r="K391" s="100">
        <f ca="1">_xll.meDateFromTenor(K390,"1D","FOLLOWING",L$12)</f>
        <v>43046</v>
      </c>
      <c r="L391" s="13">
        <f ca="1">_xll.meDateFromTenor(K391,L$14,L$11,L$12)</f>
        <v>43138</v>
      </c>
      <c r="M391" s="98">
        <f ca="1"/>
        <v>-3.7585580696257999E-3</v>
      </c>
      <c r="N391" s="5" t="s">
        <v>4</v>
      </c>
      <c r="O391" s="100">
        <f ca="1">_xll.meDateFromTenor(O390,"1D","FOLLOWING",P$12)</f>
        <v>43046</v>
      </c>
      <c r="P391" s="13">
        <f ca="1">_xll.meDateFromTenor(O391,P$14,P$11,P$12)</f>
        <v>43227</v>
      </c>
      <c r="Q391" s="98">
        <f ca="1"/>
        <v>-1.71006339115247E-3</v>
      </c>
      <c r="R391" s="5" t="s">
        <v>4</v>
      </c>
      <c r="S391" s="100">
        <f ca="1">_xll.meDateFromTenor(S390,"1D","FOLLOWING",T$12)</f>
        <v>43046</v>
      </c>
      <c r="T391" s="13">
        <f ca="1">_xll.meDateFromTenor(S391,T$14,T$11,T$12)</f>
        <v>43411</v>
      </c>
      <c r="U391" s="98">
        <f ca="1"/>
        <v>1.9102625160952066E-4</v>
      </c>
      <c r="V391" s="5" t="s">
        <v>4</v>
      </c>
      <c r="W391" s="84" t="s">
        <v>4</v>
      </c>
    </row>
    <row r="392" spans="1:23" x14ac:dyDescent="0.25">
      <c r="A392" s="90">
        <v>373</v>
      </c>
      <c r="B392" s="83"/>
      <c r="C392" s="100">
        <f ca="1">_xll.meDateFromTenor(C391,"1D","FOLLOWING",D$12)</f>
        <v>43047</v>
      </c>
      <c r="D392" s="13">
        <f ca="1">_xll.meDateFromTenor(C392,D$14,D$11,D$12)</f>
        <v>43048</v>
      </c>
      <c r="E392" s="98">
        <f ca="1"/>
        <v>-4.213656630294175E-3</v>
      </c>
      <c r="F392" s="94"/>
      <c r="G392" s="100">
        <f ca="1">_xll.meDateFromTenor(G391,"1D","FOLLOWING",H$12)</f>
        <v>43047</v>
      </c>
      <c r="H392" s="13">
        <f ca="1">_xll.meDateFromTenor(G392,H$14,H$11,H$12)</f>
        <v>43077</v>
      </c>
      <c r="I392" s="98">
        <f ca="1"/>
        <v>-4.0196503019478197E-3</v>
      </c>
      <c r="J392" s="94" t="s">
        <v>4</v>
      </c>
      <c r="K392" s="100">
        <f ca="1">_xll.meDateFromTenor(K391,"1D","FOLLOWING",L$12)</f>
        <v>43047</v>
      </c>
      <c r="L392" s="13">
        <f ca="1">_xll.meDateFromTenor(K392,L$14,L$11,L$12)</f>
        <v>43139</v>
      </c>
      <c r="M392" s="98">
        <f ca="1"/>
        <v>-3.7693378132106652E-3</v>
      </c>
      <c r="N392" s="5" t="s">
        <v>4</v>
      </c>
      <c r="O392" s="100">
        <f ca="1">_xll.meDateFromTenor(O391,"1D","FOLLOWING",P$12)</f>
        <v>43047</v>
      </c>
      <c r="P392" s="13">
        <f ca="1">_xll.meDateFromTenor(O392,P$14,P$11,P$12)</f>
        <v>43228</v>
      </c>
      <c r="Q392" s="98">
        <f ca="1"/>
        <v>-1.7087316425902085E-3</v>
      </c>
      <c r="R392" s="5" t="s">
        <v>4</v>
      </c>
      <c r="S392" s="100">
        <f ca="1">_xll.meDateFromTenor(S391,"1D","FOLLOWING",T$12)</f>
        <v>43047</v>
      </c>
      <c r="T392" s="13">
        <f ca="1">_xll.meDateFromTenor(S392,T$14,T$11,T$12)</f>
        <v>43412</v>
      </c>
      <c r="U392" s="98">
        <f ca="1"/>
        <v>1.9325067740260789E-4</v>
      </c>
      <c r="V392" s="5" t="s">
        <v>4</v>
      </c>
      <c r="W392" s="84" t="s">
        <v>4</v>
      </c>
    </row>
    <row r="393" spans="1:23" x14ac:dyDescent="0.25">
      <c r="A393" s="90">
        <v>374</v>
      </c>
      <c r="B393" s="83"/>
      <c r="C393" s="100">
        <f ca="1">_xll.meDateFromTenor(C392,"1D","FOLLOWING",D$12)</f>
        <v>43048</v>
      </c>
      <c r="D393" s="13">
        <f ca="1">_xll.meDateFromTenor(C393,D$14,D$11,D$12)</f>
        <v>43049</v>
      </c>
      <c r="E393" s="98">
        <f ca="1"/>
        <v>-4.2141160646647228E-3</v>
      </c>
      <c r="F393" s="94"/>
      <c r="G393" s="100">
        <f ca="1">_xll.meDateFromTenor(G392,"1D","FOLLOWING",H$12)</f>
        <v>43048</v>
      </c>
      <c r="H393" s="13">
        <f ca="1">_xll.meDateFromTenor(G393,H$14,H$11,H$12)</f>
        <v>43080</v>
      </c>
      <c r="I393" s="98">
        <f ca="1"/>
        <v>-4.0189643467348742E-3</v>
      </c>
      <c r="J393" s="94" t="s">
        <v>4</v>
      </c>
      <c r="K393" s="100">
        <f ca="1">_xll.meDateFromTenor(K392,"1D","FOLLOWING",L$12)</f>
        <v>43048</v>
      </c>
      <c r="L393" s="13">
        <f ca="1">_xll.meDateFromTenor(K393,L$14,L$11,L$12)</f>
        <v>43140</v>
      </c>
      <c r="M393" s="98">
        <f ca="1"/>
        <v>-3.7792485662417109E-3</v>
      </c>
      <c r="N393" s="5" t="s">
        <v>4</v>
      </c>
      <c r="O393" s="100">
        <f ca="1">_xll.meDateFromTenor(O392,"1D","FOLLOWING",P$12)</f>
        <v>43048</v>
      </c>
      <c r="P393" s="13">
        <f ca="1">_xll.meDateFromTenor(O393,P$14,P$11,P$12)</f>
        <v>43229</v>
      </c>
      <c r="Q393" s="98">
        <f ca="1"/>
        <v>-1.7073851333953025E-3</v>
      </c>
      <c r="R393" s="5" t="s">
        <v>4</v>
      </c>
      <c r="S393" s="100">
        <f ca="1">_xll.meDateFromTenor(S392,"1D","FOLLOWING",T$12)</f>
        <v>43048</v>
      </c>
      <c r="T393" s="13">
        <f ca="1">_xll.meDateFromTenor(S393,T$14,T$11,T$12)</f>
        <v>43413</v>
      </c>
      <c r="U393" s="98">
        <f ca="1"/>
        <v>1.9548338211830224E-4</v>
      </c>
      <c r="V393" s="5" t="s">
        <v>4</v>
      </c>
      <c r="W393" s="84" t="s">
        <v>4</v>
      </c>
    </row>
    <row r="394" spans="1:23" x14ac:dyDescent="0.25">
      <c r="A394" s="90">
        <v>375</v>
      </c>
      <c r="B394" s="83"/>
      <c r="C394" s="100">
        <f ca="1">_xll.meDateFromTenor(C393,"1D","FOLLOWING",D$12)</f>
        <v>43049</v>
      </c>
      <c r="D394" s="13">
        <f ca="1">_xll.meDateFromTenor(C394,D$14,D$11,D$12)</f>
        <v>43052</v>
      </c>
      <c r="E394" s="98">
        <f ca="1"/>
        <v>-4.2150194866818064E-3</v>
      </c>
      <c r="F394" s="94"/>
      <c r="G394" s="100">
        <f ca="1">_xll.meDateFromTenor(G393,"1D","FOLLOWING",H$12)</f>
        <v>43049</v>
      </c>
      <c r="H394" s="13">
        <f ca="1">_xll.meDateFromTenor(G394,H$14,H$11,H$12)</f>
        <v>43080</v>
      </c>
      <c r="I394" s="98">
        <f ca="1"/>
        <v>-4.0182687557522153E-3</v>
      </c>
      <c r="J394" s="94" t="s">
        <v>4</v>
      </c>
      <c r="K394" s="100">
        <f ca="1">_xll.meDateFromTenor(K393,"1D","FOLLOWING",L$12)</f>
        <v>43049</v>
      </c>
      <c r="L394" s="13">
        <f ca="1">_xll.meDateFromTenor(K394,L$14,L$11,L$12)</f>
        <v>43143</v>
      </c>
      <c r="M394" s="98">
        <f ca="1"/>
        <v>-3.7882466313019355E-3</v>
      </c>
      <c r="N394" s="5" t="s">
        <v>4</v>
      </c>
      <c r="O394" s="100">
        <f ca="1">_xll.meDateFromTenor(O393,"1D","FOLLOWING",P$12)</f>
        <v>43049</v>
      </c>
      <c r="P394" s="13">
        <f ca="1">_xll.meDateFromTenor(O394,P$14,P$11,P$12)</f>
        <v>43230</v>
      </c>
      <c r="Q394" s="98">
        <f ca="1"/>
        <v>-1.7060238618784209E-3</v>
      </c>
      <c r="R394" s="5" t="s">
        <v>4</v>
      </c>
      <c r="S394" s="100">
        <f ca="1">_xll.meDateFromTenor(S393,"1D","FOLLOWING",T$12)</f>
        <v>43049</v>
      </c>
      <c r="T394" s="13">
        <f ca="1">_xll.meDateFromTenor(S394,T$14,T$11,T$12)</f>
        <v>43416</v>
      </c>
      <c r="U394" s="98">
        <f ca="1"/>
        <v>1.9772437611929611E-4</v>
      </c>
      <c r="V394" s="5" t="s">
        <v>4</v>
      </c>
      <c r="W394" s="84" t="s">
        <v>4</v>
      </c>
    </row>
    <row r="395" spans="1:23" x14ac:dyDescent="0.25">
      <c r="A395" s="90">
        <v>376</v>
      </c>
      <c r="B395" s="83"/>
      <c r="C395" s="100">
        <f ca="1">_xll.meDateFromTenor(C394,"1D","FOLLOWING",D$12)</f>
        <v>43052</v>
      </c>
      <c r="D395" s="13">
        <f ca="1">_xll.meDateFromTenor(C395,D$14,D$11,D$12)</f>
        <v>43053</v>
      </c>
      <c r="E395" s="98">
        <f ca="1"/>
        <v>-4.2160555158643623E-3</v>
      </c>
      <c r="F395" s="94"/>
      <c r="G395" s="100">
        <f ca="1">_xll.meDateFromTenor(G394,"1D","FOLLOWING",H$12)</f>
        <v>43052</v>
      </c>
      <c r="H395" s="13">
        <f ca="1">_xll.meDateFromTenor(G395,H$14,H$11,H$12)</f>
        <v>43082</v>
      </c>
      <c r="I395" s="98">
        <f ca="1"/>
        <v>-4.016119422167108E-3</v>
      </c>
      <c r="J395" s="94" t="s">
        <v>4</v>
      </c>
      <c r="K395" s="100">
        <f ca="1">_xll.meDateFromTenor(K394,"1D","FOLLOWING",L$12)</f>
        <v>43052</v>
      </c>
      <c r="L395" s="13">
        <f ca="1">_xll.meDateFromTenor(K395,L$14,L$11,L$12)</f>
        <v>43144</v>
      </c>
      <c r="M395" s="98">
        <f ca="1"/>
        <v>-3.8093277244876456E-3</v>
      </c>
      <c r="N395" s="5" t="s">
        <v>4</v>
      </c>
      <c r="O395" s="100">
        <f ca="1">_xll.meDateFromTenor(O394,"1D","FOLLOWING",P$12)</f>
        <v>43052</v>
      </c>
      <c r="P395" s="13">
        <f ca="1">_xll.meDateFromTenor(O395,P$14,P$11,P$12)</f>
        <v>43234</v>
      </c>
      <c r="Q395" s="98">
        <f ca="1"/>
        <v>-1.7018514565026145E-3</v>
      </c>
      <c r="R395" s="5" t="s">
        <v>4</v>
      </c>
      <c r="S395" s="100">
        <f ca="1">_xll.meDateFromTenor(S394,"1D","FOLLOWING",T$12)</f>
        <v>43052</v>
      </c>
      <c r="T395" s="13">
        <f ca="1">_xll.meDateFromTenor(S395,T$14,T$11,T$12)</f>
        <v>43417</v>
      </c>
      <c r="U395" s="98">
        <f ca="1"/>
        <v>2.0449719746099609E-4</v>
      </c>
      <c r="V395" s="5" t="s">
        <v>4</v>
      </c>
      <c r="W395" s="84" t="s">
        <v>4</v>
      </c>
    </row>
    <row r="396" spans="1:23" x14ac:dyDescent="0.25">
      <c r="A396" s="90">
        <v>377</v>
      </c>
      <c r="B396" s="83"/>
      <c r="C396" s="100">
        <f ca="1">_xll.meDateFromTenor(C395,"1D","FOLLOWING",D$12)</f>
        <v>43053</v>
      </c>
      <c r="D396" s="13">
        <f ca="1">_xll.meDateFromTenor(C396,D$14,D$11,D$12)</f>
        <v>43054</v>
      </c>
      <c r="E396" s="98">
        <f ca="1"/>
        <v>-4.2165658049153768E-3</v>
      </c>
      <c r="F396" s="94"/>
      <c r="G396" s="100">
        <f ca="1">_xll.meDateFromTenor(G395,"1D","FOLLOWING",H$12)</f>
        <v>43053</v>
      </c>
      <c r="H396" s="13">
        <f ca="1">_xll.meDateFromTenor(G396,H$14,H$11,H$12)</f>
        <v>43083</v>
      </c>
      <c r="I396" s="98">
        <f ca="1"/>
        <v>-4.0153805420867503E-3</v>
      </c>
      <c r="J396" s="94" t="s">
        <v>4</v>
      </c>
      <c r="K396" s="100">
        <f ca="1">_xll.meDateFromTenor(K395,"1D","FOLLOWING",L$12)</f>
        <v>43053</v>
      </c>
      <c r="L396" s="13">
        <f ca="1">_xll.meDateFromTenor(K396,L$14,L$11,L$12)</f>
        <v>43145</v>
      </c>
      <c r="M396" s="98">
        <f ca="1"/>
        <v>-3.8142380634945514E-3</v>
      </c>
      <c r="N396" s="5" t="s">
        <v>4</v>
      </c>
      <c r="O396" s="100">
        <f ca="1">_xll.meDateFromTenor(O395,"1D","FOLLOWING",P$12)</f>
        <v>43053</v>
      </c>
      <c r="P396" s="13">
        <f ca="1">_xll.meDateFromTenor(O396,P$14,P$11,P$12)</f>
        <v>43234</v>
      </c>
      <c r="Q396" s="98">
        <f ca="1"/>
        <v>-1.7004311188045223E-3</v>
      </c>
      <c r="R396" s="5" t="s">
        <v>4</v>
      </c>
      <c r="S396" s="100">
        <f ca="1">_xll.meDateFromTenor(S395,"1D","FOLLOWING",T$12)</f>
        <v>43053</v>
      </c>
      <c r="T396" s="13">
        <f ca="1">_xll.meDateFromTenor(S396,T$14,T$11,T$12)</f>
        <v>43418</v>
      </c>
      <c r="U396" s="98">
        <f ca="1"/>
        <v>2.0677145223010963E-4</v>
      </c>
      <c r="V396" s="5" t="s">
        <v>4</v>
      </c>
      <c r="W396" s="84" t="s">
        <v>4</v>
      </c>
    </row>
    <row r="397" spans="1:23" x14ac:dyDescent="0.25">
      <c r="A397" s="90">
        <v>378</v>
      </c>
      <c r="B397" s="83"/>
      <c r="C397" s="100">
        <f ca="1">_xll.meDateFromTenor(C396,"1D","FOLLOWING",D$12)</f>
        <v>43054</v>
      </c>
      <c r="D397" s="13">
        <f ca="1">_xll.meDateFromTenor(C397,D$14,D$11,D$12)</f>
        <v>43055</v>
      </c>
      <c r="E397" s="98">
        <f ca="1"/>
        <v>-4.2170862633517251E-3</v>
      </c>
      <c r="F397" s="94"/>
      <c r="G397" s="100">
        <f ca="1">_xll.meDateFromTenor(G396,"1D","FOLLOWING",H$12)</f>
        <v>43054</v>
      </c>
      <c r="H397" s="13">
        <f ca="1">_xll.meDateFromTenor(G397,H$14,H$11,H$12)</f>
        <v>43084</v>
      </c>
      <c r="I397" s="98">
        <f ca="1"/>
        <v>-4.0146296532272575E-3</v>
      </c>
      <c r="J397" s="94" t="s">
        <v>4</v>
      </c>
      <c r="K397" s="100">
        <f ca="1">_xll.meDateFromTenor(K396,"1D","FOLLOWING",L$12)</f>
        <v>43054</v>
      </c>
      <c r="L397" s="13">
        <f ca="1">_xll.meDateFromTenor(K397,L$14,L$11,L$12)</f>
        <v>43146</v>
      </c>
      <c r="M397" s="98">
        <f ca="1"/>
        <v>-3.8180172274456204E-3</v>
      </c>
      <c r="N397" s="5" t="s">
        <v>4</v>
      </c>
      <c r="O397" s="100">
        <f ca="1">_xll.meDateFromTenor(O396,"1D","FOLLOWING",P$12)</f>
        <v>43054</v>
      </c>
      <c r="P397" s="13">
        <f ca="1">_xll.meDateFromTenor(O397,P$14,P$11,P$12)</f>
        <v>43235</v>
      </c>
      <c r="Q397" s="98">
        <f ca="1"/>
        <v>-1.6989960103377996E-3</v>
      </c>
      <c r="R397" s="5" t="s">
        <v>4</v>
      </c>
      <c r="S397" s="100">
        <f ca="1">_xll.meDateFromTenor(S396,"1D","FOLLOWING",T$12)</f>
        <v>43054</v>
      </c>
      <c r="T397" s="13">
        <f ca="1">_xll.meDateFromTenor(S397,T$14,T$11,T$12)</f>
        <v>43419</v>
      </c>
      <c r="U397" s="98">
        <f ca="1"/>
        <v>2.0905404809798387E-4</v>
      </c>
      <c r="V397" s="5" t="s">
        <v>4</v>
      </c>
      <c r="W397" s="84" t="s">
        <v>4</v>
      </c>
    </row>
    <row r="398" spans="1:23" x14ac:dyDescent="0.25">
      <c r="A398" s="90">
        <v>379</v>
      </c>
      <c r="B398" s="83"/>
      <c r="C398" s="100">
        <f ca="1">_xll.meDateFromTenor(C397,"1D","FOLLOWING",D$12)</f>
        <v>43055</v>
      </c>
      <c r="D398" s="13">
        <f ca="1">_xll.meDateFromTenor(C398,D$14,D$11,D$12)</f>
        <v>43056</v>
      </c>
      <c r="E398" s="98">
        <f ca="1"/>
        <v>-4.2176168906138548E-3</v>
      </c>
      <c r="F398" s="94"/>
      <c r="G398" s="100">
        <f ca="1">_xll.meDateFromTenor(G397,"1D","FOLLOWING",H$12)</f>
        <v>43055</v>
      </c>
      <c r="H398" s="13">
        <f ca="1">_xll.meDateFromTenor(G398,H$14,H$11,H$12)</f>
        <v>43087</v>
      </c>
      <c r="I398" s="98">
        <f ca="1"/>
        <v>-4.0138662809867482E-3</v>
      </c>
      <c r="J398" s="94" t="s">
        <v>4</v>
      </c>
      <c r="K398" s="100">
        <f ca="1">_xll.meDateFromTenor(K397,"1D","FOLLOWING",L$12)</f>
        <v>43055</v>
      </c>
      <c r="L398" s="13">
        <f ca="1">_xll.meDateFromTenor(K398,L$14,L$11,L$12)</f>
        <v>43147</v>
      </c>
      <c r="M398" s="98">
        <f ca="1"/>
        <v>-3.8206215189238494E-3</v>
      </c>
      <c r="N398" s="5" t="s">
        <v>4</v>
      </c>
      <c r="O398" s="100">
        <f ca="1">_xll.meDateFromTenor(O397,"1D","FOLLOWING",P$12)</f>
        <v>43055</v>
      </c>
      <c r="P398" s="13">
        <f ca="1">_xll.meDateFromTenor(O398,P$14,P$11,P$12)</f>
        <v>43236</v>
      </c>
      <c r="Q398" s="98">
        <f ca="1"/>
        <v>-1.6975461294131166E-3</v>
      </c>
      <c r="R398" s="5" t="s">
        <v>4</v>
      </c>
      <c r="S398" s="100">
        <f ca="1">_xll.meDateFromTenor(S397,"1D","FOLLOWING",T$12)</f>
        <v>43055</v>
      </c>
      <c r="T398" s="13">
        <f ca="1">_xll.meDateFromTenor(S398,T$14,T$11,T$12)</f>
        <v>43420</v>
      </c>
      <c r="U398" s="98">
        <f ca="1"/>
        <v>2.1134499542731065E-4</v>
      </c>
      <c r="V398" s="5" t="s">
        <v>4</v>
      </c>
      <c r="W398" s="84" t="s">
        <v>4</v>
      </c>
    </row>
    <row r="399" spans="1:23" x14ac:dyDescent="0.25">
      <c r="A399" s="90">
        <v>380</v>
      </c>
      <c r="B399" s="83"/>
      <c r="C399" s="100">
        <f ca="1">_xll.meDateFromTenor(C398,"1D","FOLLOWING",D$12)</f>
        <v>43056</v>
      </c>
      <c r="D399" s="13">
        <f ca="1">_xll.meDateFromTenor(C399,D$14,D$11,D$12)</f>
        <v>43059</v>
      </c>
      <c r="E399" s="98">
        <f ca="1"/>
        <v>-4.2186626025175903E-3</v>
      </c>
      <c r="F399" s="94"/>
      <c r="G399" s="100">
        <f ca="1">_xll.meDateFromTenor(G398,"1D","FOLLOWING",H$12)</f>
        <v>43056</v>
      </c>
      <c r="H399" s="13">
        <f ca="1">_xll.meDateFromTenor(G399,H$14,H$11,H$12)</f>
        <v>43087</v>
      </c>
      <c r="I399" s="98">
        <f ca="1"/>
        <v>-4.013089950763337E-3</v>
      </c>
      <c r="J399" s="94" t="s">
        <v>4</v>
      </c>
      <c r="K399" s="100">
        <f ca="1">_xll.meDateFromTenor(K398,"1D","FOLLOWING",L$12)</f>
        <v>43056</v>
      </c>
      <c r="L399" s="13">
        <f ca="1">_xll.meDateFromTenor(K399,L$14,L$11,L$12)</f>
        <v>43150</v>
      </c>
      <c r="M399" s="98">
        <f ca="1"/>
        <v>-3.8220072405122361E-3</v>
      </c>
      <c r="N399" s="5" t="s">
        <v>4</v>
      </c>
      <c r="O399" s="100">
        <f ca="1">_xll.meDateFromTenor(O398,"1D","FOLLOWING",P$12)</f>
        <v>43056</v>
      </c>
      <c r="P399" s="13">
        <f ca="1">_xll.meDateFromTenor(O399,P$14,P$11,P$12)</f>
        <v>43237</v>
      </c>
      <c r="Q399" s="98">
        <f ca="1"/>
        <v>-1.6960814743411416E-3</v>
      </c>
      <c r="R399" s="5" t="s">
        <v>4</v>
      </c>
      <c r="S399" s="100">
        <f ca="1">_xll.meDateFromTenor(S398,"1D","FOLLOWING",T$12)</f>
        <v>43056</v>
      </c>
      <c r="T399" s="13">
        <f ca="1">_xll.meDateFromTenor(S399,T$14,T$11,T$12)</f>
        <v>43423</v>
      </c>
      <c r="U399" s="98">
        <f ca="1"/>
        <v>2.1364430458078264E-4</v>
      </c>
      <c r="V399" s="5" t="s">
        <v>4</v>
      </c>
      <c r="W399" s="84" t="s">
        <v>4</v>
      </c>
    </row>
    <row r="400" spans="1:23" x14ac:dyDescent="0.25">
      <c r="A400" s="90">
        <v>381</v>
      </c>
      <c r="B400" s="83"/>
      <c r="C400" s="100">
        <f ca="1">_xll.meDateFromTenor(C399,"1D","FOLLOWING",D$12)</f>
        <v>43059</v>
      </c>
      <c r="D400" s="13">
        <f ca="1">_xll.meDateFromTenor(C400,D$14,D$11,D$12)</f>
        <v>43060</v>
      </c>
      <c r="E400" s="98">
        <f ca="1"/>
        <v>-4.2198410808858148E-3</v>
      </c>
      <c r="F400" s="94"/>
      <c r="G400" s="100">
        <f ca="1">_xll.meDateFromTenor(G399,"1D","FOLLOWING",H$12)</f>
        <v>43059</v>
      </c>
      <c r="H400" s="13">
        <f ca="1">_xll.meDateFromTenor(G400,H$14,H$11,H$12)</f>
        <v>43089</v>
      </c>
      <c r="I400" s="98">
        <f ca="1"/>
        <v>-4.0106784661768534E-3</v>
      </c>
      <c r="J400" s="94" t="s">
        <v>4</v>
      </c>
      <c r="K400" s="100">
        <f ca="1">_xll.meDateFromTenor(K399,"1D","FOLLOWING",L$12)</f>
        <v>43059</v>
      </c>
      <c r="L400" s="13">
        <f ca="1">_xll.meDateFromTenor(K400,L$14,L$11,L$12)</f>
        <v>43151</v>
      </c>
      <c r="M400" s="98">
        <f ca="1"/>
        <v>-3.8184160117683084E-3</v>
      </c>
      <c r="N400" s="5" t="s">
        <v>4</v>
      </c>
      <c r="O400" s="100">
        <f ca="1">_xll.meDateFromTenor(O399,"1D","FOLLOWING",P$12)</f>
        <v>43059</v>
      </c>
      <c r="P400" s="13">
        <f ca="1">_xll.meDateFromTenor(O400,P$14,P$11,P$12)</f>
        <v>43241</v>
      </c>
      <c r="Q400" s="98">
        <f ca="1"/>
        <v>-1.6915988473481577E-3</v>
      </c>
      <c r="R400" s="5" t="s">
        <v>4</v>
      </c>
      <c r="S400" s="100">
        <f ca="1">_xll.meDateFromTenor(S399,"1D","FOLLOWING",T$12)</f>
        <v>43059</v>
      </c>
      <c r="T400" s="13">
        <f ca="1">_xll.meDateFromTenor(S400,T$14,T$11,T$12)</f>
        <v>43424</v>
      </c>
      <c r="U400" s="98">
        <f ca="1"/>
        <v>2.2059250661299012E-4</v>
      </c>
      <c r="V400" s="5" t="s">
        <v>4</v>
      </c>
      <c r="W400" s="84" t="s">
        <v>4</v>
      </c>
    </row>
    <row r="401" spans="1:23" x14ac:dyDescent="0.25">
      <c r="A401" s="90">
        <v>382</v>
      </c>
      <c r="B401" s="83"/>
      <c r="C401" s="100">
        <f ca="1">_xll.meDateFromTenor(C400,"1D","FOLLOWING",D$12)</f>
        <v>43060</v>
      </c>
      <c r="D401" s="13">
        <f ca="1">_xll.meDateFromTenor(C401,D$14,D$11,D$12)</f>
        <v>43061</v>
      </c>
      <c r="E401" s="98">
        <f ca="1"/>
        <v>-4.2204225462017112E-3</v>
      </c>
      <c r="F401" s="94"/>
      <c r="G401" s="100">
        <f ca="1">_xll.meDateFromTenor(G400,"1D","FOLLOWING",H$12)</f>
        <v>43060</v>
      </c>
      <c r="H401" s="13">
        <f ca="1">_xll.meDateFromTenor(G401,H$14,H$11,H$12)</f>
        <v>43090</v>
      </c>
      <c r="I401" s="98">
        <f ca="1"/>
        <v>-4.009845558002996E-3</v>
      </c>
      <c r="J401" s="94" t="s">
        <v>4</v>
      </c>
      <c r="K401" s="100">
        <f ca="1">_xll.meDateFromTenor(K400,"1D","FOLLOWING",L$12)</f>
        <v>43060</v>
      </c>
      <c r="L401" s="13">
        <f ca="1">_xll.meDateFromTenor(K401,L$14,L$11,L$12)</f>
        <v>43152</v>
      </c>
      <c r="M401" s="98">
        <f ca="1"/>
        <v>-3.814490479627293E-3</v>
      </c>
      <c r="N401" s="5" t="s">
        <v>4</v>
      </c>
      <c r="O401" s="100">
        <f ca="1">_xll.meDateFromTenor(O400,"1D","FOLLOWING",P$12)</f>
        <v>43060</v>
      </c>
      <c r="P401" s="13">
        <f ca="1">_xll.meDateFromTenor(O401,P$14,P$11,P$12)</f>
        <v>43241</v>
      </c>
      <c r="Q401" s="98">
        <f ca="1"/>
        <v>-1.6900750787937069E-3</v>
      </c>
      <c r="R401" s="5" t="s">
        <v>4</v>
      </c>
      <c r="S401" s="100">
        <f ca="1">_xll.meDateFromTenor(S400,"1D","FOLLOWING",T$12)</f>
        <v>43060</v>
      </c>
      <c r="T401" s="13">
        <f ca="1">_xll.meDateFromTenor(S401,T$14,T$11,T$12)</f>
        <v>43425</v>
      </c>
      <c r="U401" s="98">
        <f ca="1"/>
        <v>2.2292536668996418E-4</v>
      </c>
      <c r="V401" s="5" t="s">
        <v>4</v>
      </c>
      <c r="W401" s="84" t="s">
        <v>4</v>
      </c>
    </row>
    <row r="402" spans="1:23" x14ac:dyDescent="0.25">
      <c r="A402" s="90">
        <v>383</v>
      </c>
      <c r="B402" s="83"/>
      <c r="C402" s="100">
        <f ca="1">_xll.meDateFromTenor(C401,"1D","FOLLOWING",D$12)</f>
        <v>43061</v>
      </c>
      <c r="D402" s="13">
        <f ca="1">_xll.meDateFromTenor(C402,D$14,D$11,D$12)</f>
        <v>43062</v>
      </c>
      <c r="E402" s="98">
        <f ca="1"/>
        <v>-4.221014177545627E-3</v>
      </c>
      <c r="F402" s="94"/>
      <c r="G402" s="100">
        <f ca="1">_xll.meDateFromTenor(G401,"1D","FOLLOWING",H$12)</f>
        <v>43061</v>
      </c>
      <c r="H402" s="13">
        <f ca="1">_xll.meDateFromTenor(G402,H$14,H$11,H$12)</f>
        <v>43091</v>
      </c>
      <c r="I402" s="98">
        <f ca="1"/>
        <v>-4.0089973188368174E-3</v>
      </c>
      <c r="J402" s="94" t="s">
        <v>4</v>
      </c>
      <c r="K402" s="100">
        <f ca="1">_xll.meDateFromTenor(K401,"1D","FOLLOWING",L$12)</f>
        <v>43061</v>
      </c>
      <c r="L402" s="13">
        <f ca="1">_xll.meDateFromTenor(K402,L$14,L$11,L$12)</f>
        <v>43153</v>
      </c>
      <c r="M402" s="98">
        <f ca="1"/>
        <v>-3.8091278905114205E-3</v>
      </c>
      <c r="N402" s="5" t="s">
        <v>4</v>
      </c>
      <c r="O402" s="100">
        <f ca="1">_xll.meDateFromTenor(O401,"1D","FOLLOWING",P$12)</f>
        <v>43061</v>
      </c>
      <c r="P402" s="13">
        <f ca="1">_xll.meDateFromTenor(O402,P$14,P$11,P$12)</f>
        <v>43242</v>
      </c>
      <c r="Q402" s="98">
        <f ca="1"/>
        <v>-1.6885365276453101E-3</v>
      </c>
      <c r="R402" s="5" t="s">
        <v>4</v>
      </c>
      <c r="S402" s="100">
        <f ca="1">_xll.meDateFromTenor(S401,"1D","FOLLOWING",T$12)</f>
        <v>43061</v>
      </c>
      <c r="T402" s="13">
        <f ca="1">_xll.meDateFromTenor(S402,T$14,T$11,T$12)</f>
        <v>43426</v>
      </c>
      <c r="U402" s="98">
        <f ca="1"/>
        <v>2.2526664040454442E-4</v>
      </c>
      <c r="V402" s="5" t="s">
        <v>4</v>
      </c>
      <c r="W402" s="84" t="s">
        <v>4</v>
      </c>
    </row>
    <row r="403" spans="1:23" x14ac:dyDescent="0.25">
      <c r="A403" s="90">
        <v>384</v>
      </c>
      <c r="B403" s="83"/>
      <c r="C403" s="100">
        <f ca="1">_xll.meDateFromTenor(C402,"1D","FOLLOWING",D$12)</f>
        <v>43062</v>
      </c>
      <c r="D403" s="13">
        <f ca="1">_xll.meDateFromTenor(C403,D$14,D$11,D$12)</f>
        <v>43063</v>
      </c>
      <c r="E403" s="98">
        <f ca="1"/>
        <v>-4.221615974677754E-3</v>
      </c>
      <c r="F403" s="94"/>
      <c r="G403" s="100">
        <f ca="1">_xll.meDateFromTenor(G402,"1D","FOLLOWING",H$12)</f>
        <v>43062</v>
      </c>
      <c r="H403" s="13">
        <f ca="1">_xll.meDateFromTenor(G403,H$14,H$11,H$12)</f>
        <v>43096</v>
      </c>
      <c r="I403" s="98">
        <f ca="1"/>
        <v>-4.008133274076434E-3</v>
      </c>
      <c r="J403" s="94" t="s">
        <v>4</v>
      </c>
      <c r="K403" s="100">
        <f ca="1">_xll.meDateFromTenor(K402,"1D","FOLLOWING",L$12)</f>
        <v>43062</v>
      </c>
      <c r="L403" s="13">
        <f ca="1">_xll.meDateFromTenor(K403,L$14,L$11,L$12)</f>
        <v>43154</v>
      </c>
      <c r="M403" s="98">
        <f ca="1"/>
        <v>-3.8022845470036871E-3</v>
      </c>
      <c r="N403" s="5" t="s">
        <v>4</v>
      </c>
      <c r="O403" s="100">
        <f ca="1">_xll.meDateFromTenor(O402,"1D","FOLLOWING",P$12)</f>
        <v>43062</v>
      </c>
      <c r="P403" s="13">
        <f ca="1">_xll.meDateFromTenor(O403,P$14,P$11,P$12)</f>
        <v>43243</v>
      </c>
      <c r="Q403" s="98">
        <f ca="1"/>
        <v>-1.6869831922136363E-3</v>
      </c>
      <c r="R403" s="5" t="s">
        <v>4</v>
      </c>
      <c r="S403" s="100">
        <f ca="1">_xll.meDateFromTenor(S402,"1D","FOLLOWING",T$12)</f>
        <v>43062</v>
      </c>
      <c r="T403" s="13">
        <f ca="1">_xll.meDateFromTenor(S403,T$14,T$11,T$12)</f>
        <v>43427</v>
      </c>
      <c r="U403" s="98">
        <f ca="1"/>
        <v>2.2761633811942266E-4</v>
      </c>
      <c r="V403" s="5" t="s">
        <v>4</v>
      </c>
      <c r="W403" s="84" t="s">
        <v>4</v>
      </c>
    </row>
    <row r="404" spans="1:23" x14ac:dyDescent="0.25">
      <c r="A404" s="90">
        <v>385</v>
      </c>
      <c r="B404" s="83"/>
      <c r="C404" s="100">
        <f ca="1">_xll.meDateFromTenor(C403,"1D","FOLLOWING",D$12)</f>
        <v>43063</v>
      </c>
      <c r="D404" s="13">
        <f ca="1">_xll.meDateFromTenor(C404,D$14,D$11,D$12)</f>
        <v>43066</v>
      </c>
      <c r="E404" s="98">
        <f ca="1"/>
        <v>-4.2228039172753787E-3</v>
      </c>
      <c r="F404" s="94"/>
      <c r="G404" s="100">
        <f ca="1">_xll.meDateFromTenor(G403,"1D","FOLLOWING",H$12)</f>
        <v>43063</v>
      </c>
      <c r="H404" s="13">
        <f ca="1">_xll.meDateFromTenor(G404,H$14,H$11,H$12)</f>
        <v>43096</v>
      </c>
      <c r="I404" s="98">
        <f ca="1"/>
        <v>-4.0072529491199617E-3</v>
      </c>
      <c r="J404" s="94" t="s">
        <v>4</v>
      </c>
      <c r="K404" s="100">
        <f ca="1">_xll.meDateFromTenor(K403,"1D","FOLLOWING",L$12)</f>
        <v>43063</v>
      </c>
      <c r="L404" s="13">
        <f ca="1">_xll.meDateFromTenor(K404,L$14,L$11,L$12)</f>
        <v>43157</v>
      </c>
      <c r="M404" s="98">
        <f ca="1"/>
        <v>-3.7939167516870902E-3</v>
      </c>
      <c r="N404" s="5" t="s">
        <v>4</v>
      </c>
      <c r="O404" s="100">
        <f ca="1">_xll.meDateFromTenor(O403,"1D","FOLLOWING",P$12)</f>
        <v>43063</v>
      </c>
      <c r="P404" s="13">
        <f ca="1">_xll.meDateFromTenor(O404,P$14,P$11,P$12)</f>
        <v>43244</v>
      </c>
      <c r="Q404" s="98">
        <f ca="1"/>
        <v>-1.6854150708093545E-3</v>
      </c>
      <c r="R404" s="5" t="s">
        <v>4</v>
      </c>
      <c r="S404" s="100">
        <f ca="1">_xll.meDateFromTenor(S403,"1D","FOLLOWING",T$12)</f>
        <v>43063</v>
      </c>
      <c r="T404" s="13">
        <f ca="1">_xll.meDateFromTenor(S404,T$14,T$11,T$12)</f>
        <v>43430</v>
      </c>
      <c r="U404" s="98">
        <f ca="1"/>
        <v>2.299744701972917E-4</v>
      </c>
      <c r="V404" s="5" t="s">
        <v>4</v>
      </c>
      <c r="W404" s="84" t="s">
        <v>4</v>
      </c>
    </row>
    <row r="405" spans="1:23" x14ac:dyDescent="0.25">
      <c r="A405" s="90">
        <v>386</v>
      </c>
      <c r="B405" s="83"/>
      <c r="C405" s="100">
        <f ca="1">_xll.meDateFromTenor(C404,"1D","FOLLOWING",D$12)</f>
        <v>43066</v>
      </c>
      <c r="D405" s="13">
        <f ca="1">_xll.meDateFromTenor(C405,D$14,D$11,D$12)</f>
        <v>43067</v>
      </c>
      <c r="E405" s="98">
        <f ca="1"/>
        <v>-4.2241248095775822E-3</v>
      </c>
      <c r="F405" s="94"/>
      <c r="G405" s="100">
        <f ca="1">_xll.meDateFromTenor(G404,"1D","FOLLOWING",H$12)</f>
        <v>43066</v>
      </c>
      <c r="H405" s="13">
        <f ca="1">_xll.meDateFromTenor(G405,H$14,H$11,H$12)</f>
        <v>43096</v>
      </c>
      <c r="I405" s="98">
        <f ca="1"/>
        <v>-4.0045095470551762E-3</v>
      </c>
      <c r="J405" s="94" t="s">
        <v>4</v>
      </c>
      <c r="K405" s="100">
        <f ca="1">_xll.meDateFromTenor(K404,"1D","FOLLOWING",L$12)</f>
        <v>43066</v>
      </c>
      <c r="L405" s="13">
        <f ca="1">_xll.meDateFromTenor(K405,L$14,L$11,L$12)</f>
        <v>43158</v>
      </c>
      <c r="M405" s="98">
        <f ca="1"/>
        <v>-3.7592296807140886E-3</v>
      </c>
      <c r="N405" s="5" t="s">
        <v>4</v>
      </c>
      <c r="O405" s="100">
        <f ca="1">_xll.meDateFromTenor(O404,"1D","FOLLOWING",P$12)</f>
        <v>43066</v>
      </c>
      <c r="P405" s="13">
        <f ca="1">_xll.meDateFromTenor(O405,P$14,P$11,P$12)</f>
        <v>43248</v>
      </c>
      <c r="Q405" s="98">
        <f ca="1"/>
        <v>-1.680621973867553E-3</v>
      </c>
      <c r="R405" s="5" t="s">
        <v>4</v>
      </c>
      <c r="S405" s="100">
        <f ca="1">_xll.meDateFromTenor(S404,"1D","FOLLOWING",T$12)</f>
        <v>43066</v>
      </c>
      <c r="T405" s="13">
        <f ca="1">_xll.meDateFromTenor(S405,T$14,T$11,T$12)</f>
        <v>43431</v>
      </c>
      <c r="U405" s="98">
        <f ca="1"/>
        <v>2.3709957623576402E-4</v>
      </c>
      <c r="V405" s="5" t="s">
        <v>4</v>
      </c>
      <c r="W405" s="84" t="s">
        <v>4</v>
      </c>
    </row>
    <row r="406" spans="1:23" x14ac:dyDescent="0.25">
      <c r="A406" s="90">
        <v>387</v>
      </c>
      <c r="B406" s="83"/>
      <c r="C406" s="100">
        <f ca="1">_xll.meDateFromTenor(C405,"1D","FOLLOWING",D$12)</f>
        <v>43067</v>
      </c>
      <c r="D406" s="13">
        <f ca="1">_xll.meDateFromTenor(C406,D$14,D$11,D$12)</f>
        <v>43068</v>
      </c>
      <c r="E406" s="98">
        <f ca="1"/>
        <v>-4.2247774277370956E-3</v>
      </c>
      <c r="F406" s="94"/>
      <c r="G406" s="100">
        <f ca="1">_xll.meDateFromTenor(G405,"1D","FOLLOWING",H$12)</f>
        <v>43067</v>
      </c>
      <c r="H406" s="13">
        <f ca="1">_xll.meDateFromTenor(G406,H$14,H$11,H$12)</f>
        <v>43097</v>
      </c>
      <c r="I406" s="98">
        <f ca="1"/>
        <v>-4.0035593552955103E-3</v>
      </c>
      <c r="J406" s="94" t="s">
        <v>4</v>
      </c>
      <c r="K406" s="100">
        <f ca="1">_xll.meDateFromTenor(K405,"1D","FOLLOWING",L$12)</f>
        <v>43067</v>
      </c>
      <c r="L406" s="13">
        <f ca="1">_xll.meDateFromTenor(K406,L$14,L$11,L$12)</f>
        <v>43159</v>
      </c>
      <c r="M406" s="98">
        <f ca="1"/>
        <v>-3.7443271039920073E-3</v>
      </c>
      <c r="N406" s="5" t="s">
        <v>4</v>
      </c>
      <c r="O406" s="100">
        <f ca="1">_xll.meDateFromTenor(O405,"1D","FOLLOWING",P$12)</f>
        <v>43067</v>
      </c>
      <c r="P406" s="13">
        <f ca="1">_xll.meDateFromTenor(O406,P$14,P$11,P$12)</f>
        <v>43248</v>
      </c>
      <c r="Q406" s="98">
        <f ca="1"/>
        <v>-1.6789946916795303E-3</v>
      </c>
      <c r="R406" s="5" t="s">
        <v>4</v>
      </c>
      <c r="S406" s="100">
        <f ca="1">_xll.meDateFromTenor(S405,"1D","FOLLOWING",T$12)</f>
        <v>43067</v>
      </c>
      <c r="T406" s="13">
        <f ca="1">_xll.meDateFromTenor(S406,T$14,T$11,T$12)</f>
        <v>43432</v>
      </c>
      <c r="U406" s="98">
        <f ca="1"/>
        <v>2.3949154939251747E-4</v>
      </c>
      <c r="V406" s="5" t="s">
        <v>4</v>
      </c>
      <c r="W406" s="84" t="s">
        <v>4</v>
      </c>
    </row>
    <row r="407" spans="1:23" x14ac:dyDescent="0.25">
      <c r="A407" s="90">
        <v>388</v>
      </c>
      <c r="B407" s="83"/>
      <c r="C407" s="100">
        <f ca="1">_xll.meDateFromTenor(C406,"1D","FOLLOWING",D$12)</f>
        <v>43068</v>
      </c>
      <c r="D407" s="13">
        <f ca="1">_xll.meDateFromTenor(C407,D$14,D$11,D$12)</f>
        <v>43069</v>
      </c>
      <c r="E407" s="98">
        <f ca="1"/>
        <v>-4.2254402086072821E-3</v>
      </c>
      <c r="F407" s="94"/>
      <c r="G407" s="100">
        <f ca="1">_xll.meDateFromTenor(G406,"1D","FOLLOWING",H$12)</f>
        <v>43068</v>
      </c>
      <c r="H407" s="13">
        <f ca="1">_xll.meDateFromTenor(G407,H$14,H$11,H$12)</f>
        <v>43098</v>
      </c>
      <c r="I407" s="98">
        <f ca="1"/>
        <v>-4.0025905103303373E-3</v>
      </c>
      <c r="J407" s="94" t="s">
        <v>4</v>
      </c>
      <c r="K407" s="100">
        <f ca="1">_xll.meDateFromTenor(K406,"1D","FOLLOWING",L$12)</f>
        <v>43068</v>
      </c>
      <c r="L407" s="13">
        <f ca="1">_xll.meDateFromTenor(K407,L$14,L$11,L$12)</f>
        <v>43159</v>
      </c>
      <c r="M407" s="98">
        <f ca="1"/>
        <v>-3.7276815883760489E-3</v>
      </c>
      <c r="N407" s="5" t="s">
        <v>4</v>
      </c>
      <c r="O407" s="100">
        <f ca="1">_xll.meDateFromTenor(O406,"1D","FOLLOWING",P$12)</f>
        <v>43068</v>
      </c>
      <c r="P407" s="13">
        <f ca="1">_xll.meDateFromTenor(O407,P$14,P$11,P$12)</f>
        <v>43249</v>
      </c>
      <c r="Q407" s="98">
        <f ca="1"/>
        <v>-1.6773526150722457E-3</v>
      </c>
      <c r="R407" s="5" t="s">
        <v>4</v>
      </c>
      <c r="S407" s="100">
        <f ca="1">_xll.meDateFromTenor(S406,"1D","FOLLOWING",T$12)</f>
        <v>43068</v>
      </c>
      <c r="T407" s="13">
        <f ca="1">_xll.meDateFromTenor(S407,T$14,T$11,T$12)</f>
        <v>43433</v>
      </c>
      <c r="U407" s="98">
        <f ca="1"/>
        <v>2.4189200872572238E-4</v>
      </c>
      <c r="V407" s="5" t="s">
        <v>4</v>
      </c>
      <c r="W407" s="84" t="s">
        <v>4</v>
      </c>
    </row>
    <row r="408" spans="1:23" x14ac:dyDescent="0.25">
      <c r="A408" s="90">
        <v>389</v>
      </c>
      <c r="B408" s="83"/>
      <c r="C408" s="100">
        <f ca="1">_xll.meDateFromTenor(C407,"1D","FOLLOWING",D$12)</f>
        <v>43069</v>
      </c>
      <c r="D408" s="13">
        <f ca="1">_xll.meDateFromTenor(C408,D$14,D$11,D$12)</f>
        <v>43070</v>
      </c>
      <c r="E408" s="98">
        <f ca="1"/>
        <v>-4.2261131516685571E-3</v>
      </c>
      <c r="F408" s="94"/>
      <c r="G408" s="100">
        <f ca="1">_xll.meDateFromTenor(G407,"1D","FOLLOWING",H$12)</f>
        <v>43069</v>
      </c>
      <c r="H408" s="13">
        <f ca="1">_xll.meDateFromTenor(G408,H$14,H$11,H$12)</f>
        <v>43098</v>
      </c>
      <c r="I408" s="98">
        <f ca="1"/>
        <v>-4.0016025375577725E-3</v>
      </c>
      <c r="J408" s="94" t="s">
        <v>4</v>
      </c>
      <c r="K408" s="100">
        <f ca="1">_xll.meDateFromTenor(K407,"1D","FOLLOWING",L$12)</f>
        <v>43069</v>
      </c>
      <c r="L408" s="13">
        <f ca="1">_xll.meDateFromTenor(K408,L$14,L$11,L$12)</f>
        <v>43159</v>
      </c>
      <c r="M408" s="98">
        <f ca="1"/>
        <v>-3.709249436449207E-3</v>
      </c>
      <c r="N408" s="5" t="s">
        <v>4</v>
      </c>
      <c r="O408" s="100">
        <f ca="1">_xll.meDateFromTenor(O407,"1D","FOLLOWING",P$12)</f>
        <v>43069</v>
      </c>
      <c r="P408" s="13">
        <f ca="1">_xll.meDateFromTenor(O408,P$14,P$11,P$12)</f>
        <v>43250</v>
      </c>
      <c r="Q408" s="98">
        <f ca="1"/>
        <v>-1.6756957423563678E-3</v>
      </c>
      <c r="R408" s="5" t="s">
        <v>4</v>
      </c>
      <c r="S408" s="100">
        <f ca="1">_xll.meDateFromTenor(S407,"1D","FOLLOWING",T$12)</f>
        <v>43069</v>
      </c>
      <c r="T408" s="13">
        <f ca="1">_xll.meDateFromTenor(S408,T$14,T$11,T$12)</f>
        <v>43434</v>
      </c>
      <c r="U408" s="98">
        <f ca="1"/>
        <v>2.4430096459807148E-4</v>
      </c>
      <c r="V408" s="5" t="s">
        <v>4</v>
      </c>
      <c r="W408" s="84" t="s">
        <v>4</v>
      </c>
    </row>
    <row r="409" spans="1:23" x14ac:dyDescent="0.25">
      <c r="A409" s="90">
        <v>390</v>
      </c>
      <c r="B409" s="83"/>
      <c r="C409" s="100">
        <f ca="1">_xll.meDateFromTenor(C408,"1D","FOLLOWING",D$12)</f>
        <v>43070</v>
      </c>
      <c r="D409" s="13">
        <f ca="1">_xll.meDateFromTenor(C409,D$14,D$11,D$12)</f>
        <v>43073</v>
      </c>
      <c r="E409" s="98">
        <f ca="1"/>
        <v>-4.2274432663268599E-3</v>
      </c>
      <c r="F409" s="94"/>
      <c r="G409" s="100">
        <f ca="1">_xll.meDateFromTenor(G408,"1D","FOLLOWING",H$12)</f>
        <v>43070</v>
      </c>
      <c r="H409" s="13">
        <f ca="1">_xll.meDateFromTenor(G409,H$14,H$11,H$12)</f>
        <v>43102</v>
      </c>
      <c r="I409" s="98">
        <f ca="1"/>
        <v>-4.0005949623759321E-3</v>
      </c>
      <c r="J409" s="94" t="s">
        <v>4</v>
      </c>
      <c r="K409" s="100">
        <f ca="1">_xll.meDateFromTenor(K408,"1D","FOLLOWING",L$12)</f>
        <v>43070</v>
      </c>
      <c r="L409" s="13">
        <f ca="1">_xll.meDateFromTenor(K409,L$14,L$11,L$12)</f>
        <v>43160</v>
      </c>
      <c r="M409" s="98">
        <f ca="1"/>
        <v>-3.6889869507944809E-3</v>
      </c>
      <c r="N409" s="5" t="s">
        <v>4</v>
      </c>
      <c r="O409" s="100">
        <f ca="1">_xll.meDateFromTenor(O408,"1D","FOLLOWING",P$12)</f>
        <v>43070</v>
      </c>
      <c r="P409" s="13">
        <f ca="1">_xll.meDateFromTenor(O409,P$14,P$11,P$12)</f>
        <v>43252</v>
      </c>
      <c r="Q409" s="98">
        <f ca="1"/>
        <v>-1.6740240718425656E-3</v>
      </c>
      <c r="R409" s="5" t="s">
        <v>4</v>
      </c>
      <c r="S409" s="100">
        <f ca="1">_xll.meDateFromTenor(S408,"1D","FOLLOWING",T$12)</f>
        <v>43070</v>
      </c>
      <c r="T409" s="13">
        <f ca="1">_xll.meDateFromTenor(S409,T$14,T$11,T$12)</f>
        <v>43437</v>
      </c>
      <c r="U409" s="98">
        <f ca="1"/>
        <v>2.4671842737225661E-4</v>
      </c>
      <c r="V409" s="5" t="s">
        <v>4</v>
      </c>
      <c r="W409" s="84" t="s">
        <v>4</v>
      </c>
    </row>
    <row r="410" spans="1:23" x14ac:dyDescent="0.25">
      <c r="A410" s="90">
        <v>391</v>
      </c>
      <c r="B410" s="83"/>
      <c r="C410" s="100">
        <f ca="1">_xll.meDateFromTenor(C409,"1D","FOLLOWING",D$12)</f>
        <v>43073</v>
      </c>
      <c r="D410" s="13">
        <f ca="1">_xll.meDateFromTenor(C410,D$14,D$11,D$12)</f>
        <v>43074</v>
      </c>
      <c r="E410" s="98">
        <f ca="1"/>
        <v>-4.228902339988864E-3</v>
      </c>
      <c r="F410" s="94"/>
      <c r="G410" s="100">
        <f ca="1">_xll.meDateFromTenor(G409,"1D","FOLLOWING",H$12)</f>
        <v>43073</v>
      </c>
      <c r="H410" s="13">
        <f ca="1">_xll.meDateFromTenor(G410,H$14,H$11,H$12)</f>
        <v>43104</v>
      </c>
      <c r="I410" s="98">
        <f ca="1"/>
        <v>-3.9974498763559177E-3</v>
      </c>
      <c r="J410" s="94" t="s">
        <v>4</v>
      </c>
      <c r="K410" s="100">
        <f ca="1">_xll.meDateFromTenor(K409,"1D","FOLLOWING",L$12)</f>
        <v>43073</v>
      </c>
      <c r="L410" s="13">
        <f ca="1">_xll.meDateFromTenor(K410,L$14,L$11,L$12)</f>
        <v>43164</v>
      </c>
      <c r="M410" s="98">
        <f ca="1"/>
        <v>-3.6167805172929693E-3</v>
      </c>
      <c r="N410" s="5" t="s">
        <v>4</v>
      </c>
      <c r="O410" s="100">
        <f ca="1">_xll.meDateFromTenor(O409,"1D","FOLLOWING",P$12)</f>
        <v>43073</v>
      </c>
      <c r="P410" s="13">
        <f ca="1">_xll.meDateFromTenor(O410,P$14,P$11,P$12)</f>
        <v>43255</v>
      </c>
      <c r="Q410" s="98">
        <f ca="1"/>
        <v>-1.6689202566203057E-3</v>
      </c>
      <c r="R410" s="5" t="s">
        <v>4</v>
      </c>
      <c r="S410" s="100">
        <f ca="1">_xll.meDateFromTenor(S409,"1D","FOLLOWING",T$12)</f>
        <v>43073</v>
      </c>
      <c r="T410" s="13">
        <f ca="1">_xll.meDateFromTenor(S410,T$14,T$11,T$12)</f>
        <v>43438</v>
      </c>
      <c r="U410" s="98">
        <f ca="1"/>
        <v>2.5402196073275073E-4</v>
      </c>
      <c r="V410" s="5" t="s">
        <v>4</v>
      </c>
      <c r="W410" s="84" t="s">
        <v>4</v>
      </c>
    </row>
    <row r="411" spans="1:23" x14ac:dyDescent="0.25">
      <c r="A411" s="90">
        <v>392</v>
      </c>
      <c r="B411" s="83"/>
      <c r="C411" s="100">
        <f ca="1">_xll.meDateFromTenor(C410,"1D","FOLLOWING",D$12)</f>
        <v>43074</v>
      </c>
      <c r="D411" s="13">
        <f ca="1">_xll.meDateFromTenor(C411,D$14,D$11,D$12)</f>
        <v>43075</v>
      </c>
      <c r="E411" s="98">
        <f ca="1"/>
        <v>-4.2296009045150887E-3</v>
      </c>
      <c r="F411" s="94"/>
      <c r="G411" s="100">
        <f ca="1">_xll.meDateFromTenor(G410,"1D","FOLLOWING",H$12)</f>
        <v>43074</v>
      </c>
      <c r="H411" s="13">
        <f ca="1">_xll.meDateFromTenor(G411,H$14,H$11,H$12)</f>
        <v>43105</v>
      </c>
      <c r="I411" s="98">
        <f ca="1"/>
        <v>-3.9963593611974726E-3</v>
      </c>
      <c r="J411" s="94" t="s">
        <v>4</v>
      </c>
      <c r="K411" s="100">
        <f ca="1">_xll.meDateFromTenor(K410,"1D","FOLLOWING",L$12)</f>
        <v>43074</v>
      </c>
      <c r="L411" s="13">
        <f ca="1">_xll.meDateFromTenor(K411,L$14,L$11,L$12)</f>
        <v>43164</v>
      </c>
      <c r="M411" s="98">
        <f ca="1"/>
        <v>-3.588793192768351E-3</v>
      </c>
      <c r="N411" s="5" t="s">
        <v>4</v>
      </c>
      <c r="O411" s="100">
        <f ca="1">_xll.meDateFromTenor(O410,"1D","FOLLOWING",P$12)</f>
        <v>43074</v>
      </c>
      <c r="P411" s="13">
        <f ca="1">_xll.meDateFromTenor(O411,P$14,P$11,P$12)</f>
        <v>43256</v>
      </c>
      <c r="Q411" s="98">
        <f ca="1"/>
        <v>-1.667189384643254E-3</v>
      </c>
      <c r="R411" s="5" t="s">
        <v>4</v>
      </c>
      <c r="S411" s="100">
        <f ca="1">_xll.meDateFromTenor(S410,"1D","FOLLOWING",T$12)</f>
        <v>43074</v>
      </c>
      <c r="T411" s="13">
        <f ca="1">_xll.meDateFromTenor(S411,T$14,T$11,T$12)</f>
        <v>43439</v>
      </c>
      <c r="U411" s="98">
        <f ca="1"/>
        <v>2.5647355474120274E-4</v>
      </c>
      <c r="V411" s="5" t="s">
        <v>4</v>
      </c>
      <c r="W411" s="84" t="s">
        <v>4</v>
      </c>
    </row>
    <row r="412" spans="1:23" x14ac:dyDescent="0.25">
      <c r="A412" s="90">
        <v>393</v>
      </c>
      <c r="B412" s="83"/>
      <c r="C412" s="100">
        <f ca="1">_xll.meDateFromTenor(C411,"1D","FOLLOWING",D$12)</f>
        <v>43075</v>
      </c>
      <c r="D412" s="13">
        <f ca="1">_xll.meDateFromTenor(C412,D$14,D$11,D$12)</f>
        <v>43076</v>
      </c>
      <c r="E412" s="98">
        <f ca="1"/>
        <v>-4.2302844463782E-3</v>
      </c>
      <c r="F412" s="94"/>
      <c r="G412" s="100">
        <f ca="1">_xll.meDateFromTenor(G411,"1D","FOLLOWING",H$12)</f>
        <v>43075</v>
      </c>
      <c r="H412" s="13">
        <f ca="1">_xll.meDateFromTenor(G412,H$14,H$11,H$12)</f>
        <v>43108</v>
      </c>
      <c r="I412" s="98">
        <f ca="1"/>
        <v>-3.995248164696358E-3</v>
      </c>
      <c r="J412" s="94" t="s">
        <v>4</v>
      </c>
      <c r="K412" s="100">
        <f ca="1">_xll.meDateFromTenor(K411,"1D","FOLLOWING",L$12)</f>
        <v>43075</v>
      </c>
      <c r="L412" s="13">
        <f ca="1">_xll.meDateFromTenor(K412,L$14,L$11,L$12)</f>
        <v>43165</v>
      </c>
      <c r="M412" s="98">
        <f ca="1"/>
        <v>-3.5589578687008905E-3</v>
      </c>
      <c r="N412" s="5" t="s">
        <v>4</v>
      </c>
      <c r="O412" s="100">
        <f ca="1">_xll.meDateFromTenor(O411,"1D","FOLLOWING",P$12)</f>
        <v>43075</v>
      </c>
      <c r="P412" s="13">
        <f ca="1">_xll.meDateFromTenor(O412,P$14,P$11,P$12)</f>
        <v>43257</v>
      </c>
      <c r="Q412" s="98">
        <f ca="1"/>
        <v>-1.665443746152158E-3</v>
      </c>
      <c r="R412" s="5" t="s">
        <v>4</v>
      </c>
      <c r="S412" s="100">
        <f ca="1">_xll.meDateFromTenor(S411,"1D","FOLLOWING",T$12)</f>
        <v>43075</v>
      </c>
      <c r="T412" s="13">
        <f ca="1">_xll.meDateFromTenor(S412,T$14,T$11,T$12)</f>
        <v>43440</v>
      </c>
      <c r="U412" s="98">
        <f ca="1"/>
        <v>2.5893370746495157E-4</v>
      </c>
      <c r="V412" s="5" t="s">
        <v>4</v>
      </c>
      <c r="W412" s="84" t="s">
        <v>4</v>
      </c>
    </row>
    <row r="413" spans="1:23" x14ac:dyDescent="0.25">
      <c r="A413" s="90">
        <v>394</v>
      </c>
      <c r="B413" s="83"/>
      <c r="C413" s="100">
        <f ca="1">_xll.meDateFromTenor(C412,"1D","FOLLOWING",D$12)</f>
        <v>43076</v>
      </c>
      <c r="D413" s="13">
        <f ca="1">_xll.meDateFromTenor(C413,D$14,D$11,D$12)</f>
        <v>43077</v>
      </c>
      <c r="E413" s="98">
        <f ca="1"/>
        <v>-4.2309529666173665E-3</v>
      </c>
      <c r="F413" s="94"/>
      <c r="G413" s="100">
        <f ca="1">_xll.meDateFromTenor(G412,"1D","FOLLOWING",H$12)</f>
        <v>43076</v>
      </c>
      <c r="H413" s="13">
        <f ca="1">_xll.meDateFromTenor(G413,H$14,H$11,H$12)</f>
        <v>43108</v>
      </c>
      <c r="I413" s="98">
        <f ca="1"/>
        <v>-3.9941171063267123E-3</v>
      </c>
      <c r="J413" s="94" t="s">
        <v>4</v>
      </c>
      <c r="K413" s="100">
        <f ca="1">_xll.meDateFromTenor(K412,"1D","FOLLOWING",L$12)</f>
        <v>43076</v>
      </c>
      <c r="L413" s="13">
        <f ca="1">_xll.meDateFromTenor(K413,L$14,L$11,L$12)</f>
        <v>43166</v>
      </c>
      <c r="M413" s="98">
        <f ca="1"/>
        <v>-3.5274316689436346E-3</v>
      </c>
      <c r="N413" s="5" t="s">
        <v>4</v>
      </c>
      <c r="O413" s="100">
        <f ca="1">_xll.meDateFromTenor(O412,"1D","FOLLOWING",P$12)</f>
        <v>43076</v>
      </c>
      <c r="P413" s="13">
        <f ca="1">_xll.meDateFromTenor(O413,P$14,P$11,P$12)</f>
        <v>43258</v>
      </c>
      <c r="Q413" s="98">
        <f ca="1"/>
        <v>-1.663683379188221E-3</v>
      </c>
      <c r="R413" s="5" t="s">
        <v>4</v>
      </c>
      <c r="S413" s="100">
        <f ca="1">_xll.meDateFromTenor(S412,"1D","FOLLOWING",T$12)</f>
        <v>43076</v>
      </c>
      <c r="T413" s="13">
        <f ca="1">_xll.meDateFromTenor(S413,T$14,T$11,T$12)</f>
        <v>43441</v>
      </c>
      <c r="U413" s="98">
        <f ca="1"/>
        <v>2.6140242926669022E-4</v>
      </c>
      <c r="V413" s="5" t="s">
        <v>4</v>
      </c>
      <c r="W413" s="84" t="s">
        <v>4</v>
      </c>
    </row>
    <row r="414" spans="1:23" x14ac:dyDescent="0.25">
      <c r="A414" s="90">
        <v>395</v>
      </c>
      <c r="B414" s="83"/>
      <c r="C414" s="100">
        <f ca="1">_xll.meDateFromTenor(C413,"1D","FOLLOWING",D$12)</f>
        <v>43077</v>
      </c>
      <c r="D414" s="13">
        <f ca="1">_xll.meDateFromTenor(C414,D$14,D$11,D$12)</f>
        <v>43080</v>
      </c>
      <c r="E414" s="98">
        <f ca="1"/>
        <v>-4.2321901832664969E-3</v>
      </c>
      <c r="F414" s="94"/>
      <c r="G414" s="100">
        <f ca="1">_xll.meDateFromTenor(G413,"1D","FOLLOWING",H$12)</f>
        <v>43077</v>
      </c>
      <c r="H414" s="13">
        <f ca="1">_xll.meDateFromTenor(G414,H$14,H$11,H$12)</f>
        <v>43108</v>
      </c>
      <c r="I414" s="98">
        <f ca="1"/>
        <v>-3.9929670055626771E-3</v>
      </c>
      <c r="J414" s="94" t="s">
        <v>4</v>
      </c>
      <c r="K414" s="100">
        <f ca="1">_xll.meDateFromTenor(K413,"1D","FOLLOWING",L$12)</f>
        <v>43077</v>
      </c>
      <c r="L414" s="13">
        <f ca="1">_xll.meDateFromTenor(K414,L$14,L$11,L$12)</f>
        <v>43167</v>
      </c>
      <c r="M414" s="98">
        <f ca="1"/>
        <v>-3.4943717173496389E-3</v>
      </c>
      <c r="N414" s="5" t="s">
        <v>4</v>
      </c>
      <c r="O414" s="100">
        <f ca="1">_xll.meDateFromTenor(O413,"1D","FOLLOWING",P$12)</f>
        <v>43077</v>
      </c>
      <c r="P414" s="13">
        <f ca="1">_xll.meDateFromTenor(O414,P$14,P$11,P$12)</f>
        <v>43259</v>
      </c>
      <c r="Q414" s="98">
        <f ca="1"/>
        <v>-1.6619083217926467E-3</v>
      </c>
      <c r="R414" s="5" t="s">
        <v>4</v>
      </c>
      <c r="S414" s="100">
        <f ca="1">_xll.meDateFromTenor(S413,"1D","FOLLOWING",T$12)</f>
        <v>43077</v>
      </c>
      <c r="T414" s="13">
        <f ca="1">_xll.meDateFromTenor(S414,T$14,T$11,T$12)</f>
        <v>43444</v>
      </c>
      <c r="U414" s="98">
        <f ca="1"/>
        <v>2.638797305091103E-4</v>
      </c>
      <c r="V414" s="5" t="s">
        <v>4</v>
      </c>
      <c r="W414" s="84" t="s">
        <v>4</v>
      </c>
    </row>
    <row r="415" spans="1:23" x14ac:dyDescent="0.25">
      <c r="A415" s="90">
        <v>396</v>
      </c>
      <c r="B415" s="83"/>
      <c r="C415" s="100">
        <f ca="1">_xll.meDateFromTenor(C414,"1D","FOLLOWING",D$12)</f>
        <v>43080</v>
      </c>
      <c r="D415" s="13">
        <f ca="1">_xll.meDateFromTenor(C415,D$14,D$11,D$12)</f>
        <v>43081</v>
      </c>
      <c r="E415" s="98">
        <f ca="1"/>
        <v>-4.2334768444440988E-3</v>
      </c>
      <c r="F415" s="94"/>
      <c r="G415" s="100">
        <f ca="1">_xll.meDateFromTenor(G414,"1D","FOLLOWING",H$12)</f>
        <v>43080</v>
      </c>
      <c r="H415" s="13">
        <f ca="1">_xll.meDateFromTenor(G415,H$14,H$11,H$12)</f>
        <v>43111</v>
      </c>
      <c r="I415" s="98">
        <f ca="1"/>
        <v>-3.989410643645633E-3</v>
      </c>
      <c r="J415" s="94" t="s">
        <v>4</v>
      </c>
      <c r="K415" s="100">
        <f ca="1">_xll.meDateFromTenor(K414,"1D","FOLLOWING",L$12)</f>
        <v>43080</v>
      </c>
      <c r="L415" s="13">
        <f ca="1">_xll.meDateFromTenor(K415,L$14,L$11,L$12)</f>
        <v>43171</v>
      </c>
      <c r="M415" s="98">
        <f ca="1"/>
        <v>-3.3875605900777141E-3</v>
      </c>
      <c r="N415" s="5" t="s">
        <v>4</v>
      </c>
      <c r="O415" s="100">
        <f ca="1">_xll.meDateFromTenor(O414,"1D","FOLLOWING",P$12)</f>
        <v>43080</v>
      </c>
      <c r="P415" s="13">
        <f ca="1">_xll.meDateFromTenor(O415,P$14,P$11,P$12)</f>
        <v>43262</v>
      </c>
      <c r="Q415" s="98">
        <f ca="1"/>
        <v>-1.6564953874281341E-3</v>
      </c>
      <c r="R415" s="5" t="s">
        <v>4</v>
      </c>
      <c r="S415" s="100">
        <f ca="1">_xll.meDateFromTenor(S414,"1D","FOLLOWING",T$12)</f>
        <v>43080</v>
      </c>
      <c r="T415" s="13">
        <f ca="1">_xll.meDateFromTenor(S415,T$14,T$11,T$12)</f>
        <v>43445</v>
      </c>
      <c r="U415" s="98">
        <f ca="1"/>
        <v>2.7136321450738359E-4</v>
      </c>
      <c r="V415" s="5" t="s">
        <v>4</v>
      </c>
      <c r="W415" s="84" t="s">
        <v>4</v>
      </c>
    </row>
    <row r="416" spans="1:23" x14ac:dyDescent="0.25">
      <c r="A416" s="90">
        <v>397</v>
      </c>
      <c r="B416" s="83"/>
      <c r="C416" s="100">
        <f ca="1">_xll.meDateFromTenor(C415,"1D","FOLLOWING",D$12)</f>
        <v>43081</v>
      </c>
      <c r="D416" s="13">
        <f ca="1">_xll.meDateFromTenor(C416,D$14,D$11,D$12)</f>
        <v>43082</v>
      </c>
      <c r="E416" s="98">
        <f ca="1"/>
        <v>-4.2340702665555488E-3</v>
      </c>
      <c r="F416" s="94"/>
      <c r="G416" s="100">
        <f ca="1">_xll.meDateFromTenor(G415,"1D","FOLLOWING",H$12)</f>
        <v>43081</v>
      </c>
      <c r="H416" s="13">
        <f ca="1">_xll.meDateFromTenor(G416,H$14,H$11,H$12)</f>
        <v>43112</v>
      </c>
      <c r="I416" s="98">
        <f ca="1"/>
        <v>-3.9881925680454395E-3</v>
      </c>
      <c r="J416" s="94" t="s">
        <v>4</v>
      </c>
      <c r="K416" s="100">
        <f ca="1">_xll.meDateFromTenor(K415,"1D","FOLLOWING",L$12)</f>
        <v>43081</v>
      </c>
      <c r="L416" s="13">
        <f ca="1">_xll.meDateFromTenor(K416,L$14,L$11,L$12)</f>
        <v>43171</v>
      </c>
      <c r="M416" s="98">
        <f ca="1"/>
        <v>-3.3499368696672653E-3</v>
      </c>
      <c r="N416" s="5" t="s">
        <v>4</v>
      </c>
      <c r="O416" s="100">
        <f ca="1">_xll.meDateFromTenor(O415,"1D","FOLLOWING",P$12)</f>
        <v>43081</v>
      </c>
      <c r="P416" s="13">
        <f ca="1">_xll.meDateFromTenor(O416,P$14,P$11,P$12)</f>
        <v>43263</v>
      </c>
      <c r="Q416" s="98">
        <f ca="1"/>
        <v>-1.6546619487180446E-3</v>
      </c>
      <c r="R416" s="5" t="s">
        <v>4</v>
      </c>
      <c r="S416" s="100">
        <f ca="1">_xll.meDateFromTenor(S415,"1D","FOLLOWING",T$12)</f>
        <v>43081</v>
      </c>
      <c r="T416" s="13">
        <f ca="1">_xll.meDateFromTenor(S416,T$14,T$11,T$12)</f>
        <v>43446</v>
      </c>
      <c r="U416" s="98">
        <f ca="1"/>
        <v>2.7387493713945297E-4</v>
      </c>
      <c r="V416" s="5" t="s">
        <v>4</v>
      </c>
      <c r="W416" s="84" t="s">
        <v>4</v>
      </c>
    </row>
    <row r="417" spans="1:23" x14ac:dyDescent="0.25">
      <c r="A417" s="90">
        <v>398</v>
      </c>
      <c r="B417" s="83"/>
      <c r="C417" s="100">
        <f ca="1">_xll.meDateFromTenor(C416,"1D","FOLLOWING",D$12)</f>
        <v>43082</v>
      </c>
      <c r="D417" s="13">
        <f ca="1">_xll.meDateFromTenor(C417,D$14,D$11,D$12)</f>
        <v>43083</v>
      </c>
      <c r="E417" s="98">
        <f ca="1"/>
        <v>-4.2346486711997292E-3</v>
      </c>
      <c r="F417" s="94"/>
      <c r="G417" s="100">
        <f ca="1">_xll.meDateFromTenor(G416,"1D","FOLLOWING",H$12)</f>
        <v>43082</v>
      </c>
      <c r="H417" s="13">
        <f ca="1">_xll.meDateFromTenor(G417,H$14,H$11,H$12)</f>
        <v>43115</v>
      </c>
      <c r="I417" s="98">
        <f ca="1"/>
        <v>-3.9869595474215569E-3</v>
      </c>
      <c r="J417" s="94" t="s">
        <v>4</v>
      </c>
      <c r="K417" s="100">
        <f ca="1">_xll.meDateFromTenor(K416,"1D","FOLLOWING",L$12)</f>
        <v>43082</v>
      </c>
      <c r="L417" s="13">
        <f ca="1">_xll.meDateFromTenor(K417,L$14,L$11,L$12)</f>
        <v>43172</v>
      </c>
      <c r="M417" s="98">
        <f ca="1"/>
        <v>-3.3115650166853352E-3</v>
      </c>
      <c r="N417" s="5" t="s">
        <v>4</v>
      </c>
      <c r="O417" s="100">
        <f ca="1">_xll.meDateFromTenor(O416,"1D","FOLLOWING",P$12)</f>
        <v>43082</v>
      </c>
      <c r="P417" s="13">
        <f ca="1">_xll.meDateFromTenor(O417,P$14,P$11,P$12)</f>
        <v>43264</v>
      </c>
      <c r="Q417" s="98">
        <f ca="1"/>
        <v>-1.6528140097823352E-3</v>
      </c>
      <c r="R417" s="5" t="s">
        <v>4</v>
      </c>
      <c r="S417" s="100">
        <f ca="1">_xll.meDateFromTenor(S416,"1D","FOLLOWING",T$12)</f>
        <v>43082</v>
      </c>
      <c r="T417" s="13">
        <f ca="1">_xll.meDateFromTenor(S417,T$14,T$11,T$12)</f>
        <v>43447</v>
      </c>
      <c r="U417" s="98">
        <f ca="1"/>
        <v>2.7639529102566486E-4</v>
      </c>
      <c r="V417" s="5" t="s">
        <v>4</v>
      </c>
      <c r="W417" s="84" t="s">
        <v>4</v>
      </c>
    </row>
    <row r="418" spans="1:23" x14ac:dyDescent="0.25">
      <c r="A418" s="90">
        <v>399</v>
      </c>
      <c r="B418" s="83"/>
      <c r="C418" s="100">
        <f ca="1">_xll.meDateFromTenor(C417,"1D","FOLLOWING",D$12)</f>
        <v>43083</v>
      </c>
      <c r="D418" s="13">
        <f ca="1">_xll.meDateFromTenor(C418,D$14,D$11,D$12)</f>
        <v>43084</v>
      </c>
      <c r="E418" s="98">
        <f ca="1"/>
        <v>-4.2352120589761602E-3</v>
      </c>
      <c r="F418" s="94"/>
      <c r="G418" s="100">
        <f ca="1">_xll.meDateFromTenor(G417,"1D","FOLLOWING",H$12)</f>
        <v>43083</v>
      </c>
      <c r="H418" s="13">
        <f ca="1">_xll.meDateFromTenor(G418,H$14,H$11,H$12)</f>
        <v>43115</v>
      </c>
      <c r="I418" s="98">
        <f ca="1"/>
        <v>-3.9857124012481274E-3</v>
      </c>
      <c r="J418" s="94" t="s">
        <v>4</v>
      </c>
      <c r="K418" s="100">
        <f ca="1">_xll.meDateFromTenor(K417,"1D","FOLLOWING",L$12)</f>
        <v>43083</v>
      </c>
      <c r="L418" s="13">
        <f ca="1">_xll.meDateFromTenor(K418,L$14,L$11,L$12)</f>
        <v>43173</v>
      </c>
      <c r="M418" s="98">
        <f ca="1"/>
        <v>-3.2726021549849705E-3</v>
      </c>
      <c r="N418" s="5" t="s">
        <v>4</v>
      </c>
      <c r="O418" s="100">
        <f ca="1">_xll.meDateFromTenor(O417,"1D","FOLLOWING",P$12)</f>
        <v>43083</v>
      </c>
      <c r="P418" s="13">
        <f ca="1">_xll.meDateFromTenor(O418,P$14,P$11,P$12)</f>
        <v>43265</v>
      </c>
      <c r="Q418" s="98">
        <f ca="1"/>
        <v>-1.6509516086622089E-3</v>
      </c>
      <c r="R418" s="5" t="s">
        <v>4</v>
      </c>
      <c r="S418" s="100">
        <f ca="1">_xll.meDateFromTenor(S417,"1D","FOLLOWING",T$12)</f>
        <v>43083</v>
      </c>
      <c r="T418" s="13">
        <f ca="1">_xll.meDateFromTenor(S418,T$14,T$11,T$12)</f>
        <v>43448</v>
      </c>
      <c r="U418" s="98">
        <f ca="1"/>
        <v>2.7892428652871216E-4</v>
      </c>
      <c r="V418" s="5" t="s">
        <v>4</v>
      </c>
      <c r="W418" s="84" t="s">
        <v>4</v>
      </c>
    </row>
    <row r="419" spans="1:23" x14ac:dyDescent="0.25">
      <c r="A419" s="90">
        <v>400</v>
      </c>
      <c r="B419" s="83"/>
      <c r="C419" s="100">
        <f ca="1">_xll.meDateFromTenor(C418,"1D","FOLLOWING",D$12)</f>
        <v>43084</v>
      </c>
      <c r="D419" s="13">
        <f ca="1">_xll.meDateFromTenor(C419,D$14,D$11,D$12)</f>
        <v>43087</v>
      </c>
      <c r="E419" s="98">
        <f ca="1"/>
        <v>-4.2362389320427388E-3</v>
      </c>
      <c r="F419" s="94"/>
      <c r="G419" s="100">
        <f ca="1">_xll.meDateFromTenor(G418,"1D","FOLLOWING",H$12)</f>
        <v>43084</v>
      </c>
      <c r="H419" s="13">
        <f ca="1">_xll.meDateFromTenor(G419,H$14,H$11,H$12)</f>
        <v>43115</v>
      </c>
      <c r="I419" s="98">
        <f ca="1"/>
        <v>-3.9844519489992897E-3</v>
      </c>
      <c r="J419" s="94" t="s">
        <v>4</v>
      </c>
      <c r="K419" s="100">
        <f ca="1">_xll.meDateFromTenor(K418,"1D","FOLLOWING",L$12)</f>
        <v>43084</v>
      </c>
      <c r="L419" s="13">
        <f ca="1">_xll.meDateFromTenor(K419,L$14,L$11,L$12)</f>
        <v>43174</v>
      </c>
      <c r="M419" s="98">
        <f ca="1"/>
        <v>-3.2332054084192275E-3</v>
      </c>
      <c r="N419" s="5" t="s">
        <v>4</v>
      </c>
      <c r="O419" s="100">
        <f ca="1">_xll.meDateFromTenor(O418,"1D","FOLLOWING",P$12)</f>
        <v>43084</v>
      </c>
      <c r="P419" s="13">
        <f ca="1">_xll.meDateFromTenor(O419,P$14,P$11,P$12)</f>
        <v>43266</v>
      </c>
      <c r="Q419" s="98">
        <f ca="1"/>
        <v>-1.6490747833988692E-3</v>
      </c>
      <c r="R419" s="5" t="s">
        <v>4</v>
      </c>
      <c r="S419" s="100">
        <f ca="1">_xll.meDateFromTenor(S418,"1D","FOLLOWING",T$12)</f>
        <v>43084</v>
      </c>
      <c r="T419" s="13">
        <f ca="1">_xll.meDateFromTenor(S419,T$14,T$11,T$12)</f>
        <v>43451</v>
      </c>
      <c r="U419" s="98">
        <f ca="1"/>
        <v>2.8146193401128649E-4</v>
      </c>
      <c r="V419" s="5" t="s">
        <v>4</v>
      </c>
      <c r="W419" s="84" t="s">
        <v>4</v>
      </c>
    </row>
    <row r="420" spans="1:23" x14ac:dyDescent="0.25">
      <c r="A420" s="90">
        <v>401</v>
      </c>
      <c r="B420" s="83"/>
      <c r="C420" s="100">
        <f ca="1">_xll.meDateFromTenor(C419,"1D","FOLLOWING",D$12)</f>
        <v>43087</v>
      </c>
      <c r="D420" s="13">
        <f ca="1">_xll.meDateFromTenor(C420,D$14,D$11,D$12)</f>
        <v>43088</v>
      </c>
      <c r="E420" s="98">
        <f ca="1"/>
        <v>-4.2373154564723384E-3</v>
      </c>
      <c r="F420" s="94"/>
      <c r="G420" s="100">
        <f ca="1">_xll.meDateFromTenor(G419,"1D","FOLLOWING",H$12)</f>
        <v>43087</v>
      </c>
      <c r="H420" s="13">
        <f ca="1">_xll.meDateFromTenor(G420,H$14,H$11,H$12)</f>
        <v>43118</v>
      </c>
      <c r="I420" s="98">
        <f ca="1"/>
        <v>-3.9805989505417288E-3</v>
      </c>
      <c r="J420" s="94" t="s">
        <v>4</v>
      </c>
      <c r="K420" s="100">
        <f ca="1">_xll.meDateFromTenor(K419,"1D","FOLLOWING",L$12)</f>
        <v>43087</v>
      </c>
      <c r="L420" s="13">
        <f ca="1">_xll.meDateFromTenor(K420,L$14,L$11,L$12)</f>
        <v>43178</v>
      </c>
      <c r="M420" s="98">
        <f ca="1"/>
        <v>-3.1139830980602252E-3</v>
      </c>
      <c r="N420" s="5" t="s">
        <v>4</v>
      </c>
      <c r="O420" s="100">
        <f ca="1">_xll.meDateFromTenor(O419,"1D","FOLLOWING",P$12)</f>
        <v>43087</v>
      </c>
      <c r="P420" s="13">
        <f ca="1">_xll.meDateFromTenor(O420,P$14,P$11,P$12)</f>
        <v>43269</v>
      </c>
      <c r="Q420" s="98">
        <f ca="1"/>
        <v>-1.643358143161604E-3</v>
      </c>
      <c r="R420" s="5" t="s">
        <v>4</v>
      </c>
      <c r="S420" s="100">
        <f ca="1">_xll.meDateFromTenor(S419,"1D","FOLLOWING",T$12)</f>
        <v>43087</v>
      </c>
      <c r="T420" s="13">
        <f ca="1">_xll.meDateFromTenor(S420,T$14,T$11,T$12)</f>
        <v>43452</v>
      </c>
      <c r="U420" s="98">
        <f ca="1"/>
        <v>2.8912689196309562E-4</v>
      </c>
      <c r="V420" s="5" t="s">
        <v>4</v>
      </c>
      <c r="W420" s="84" t="s">
        <v>4</v>
      </c>
    </row>
    <row r="421" spans="1:23" x14ac:dyDescent="0.25">
      <c r="A421" s="90">
        <v>402</v>
      </c>
      <c r="B421" s="83"/>
      <c r="C421" s="100">
        <f ca="1">_xll.meDateFromTenor(C420,"1D","FOLLOWING",D$12)</f>
        <v>43088</v>
      </c>
      <c r="D421" s="13">
        <f ca="1">_xll.meDateFromTenor(C421,D$14,D$11,D$12)</f>
        <v>43089</v>
      </c>
      <c r="E421" s="98">
        <f ca="1"/>
        <v>-4.2378037708212949E-3</v>
      </c>
      <c r="F421" s="94"/>
      <c r="G421" s="100">
        <f ca="1">_xll.meDateFromTenor(G420,"1D","FOLLOWING",H$12)</f>
        <v>43088</v>
      </c>
      <c r="H421" s="13">
        <f ca="1">_xll.meDateFromTenor(G421,H$14,H$11,H$12)</f>
        <v>43119</v>
      </c>
      <c r="I421" s="98">
        <f ca="1"/>
        <v>-3.9792934687326613E-3</v>
      </c>
      <c r="J421" s="94" t="s">
        <v>4</v>
      </c>
      <c r="K421" s="100">
        <f ca="1">_xll.meDateFromTenor(K420,"1D","FOLLOWING",L$12)</f>
        <v>43088</v>
      </c>
      <c r="L421" s="13">
        <f ca="1">_xll.meDateFromTenor(K421,L$14,L$11,L$12)</f>
        <v>43178</v>
      </c>
      <c r="M421" s="98">
        <f ca="1"/>
        <v>-3.0744220505634751E-3</v>
      </c>
      <c r="N421" s="5" t="s">
        <v>4</v>
      </c>
      <c r="O421" s="100">
        <f ca="1">_xll.meDateFromTenor(O420,"1D","FOLLOWING",P$12)</f>
        <v>43088</v>
      </c>
      <c r="P421" s="13">
        <f ca="1">_xll.meDateFromTenor(O421,P$14,P$11,P$12)</f>
        <v>43270</v>
      </c>
      <c r="Q421" s="98">
        <f ca="1"/>
        <v>-1.6414240017374451E-3</v>
      </c>
      <c r="R421" s="5" t="s">
        <v>4</v>
      </c>
      <c r="S421" s="100">
        <f ca="1">_xll.meDateFromTenor(S420,"1D","FOLLOWING",T$12)</f>
        <v>43088</v>
      </c>
      <c r="T421" s="13">
        <f ca="1">_xll.meDateFromTenor(S421,T$14,T$11,T$12)</f>
        <v>43453</v>
      </c>
      <c r="U421" s="98">
        <f ca="1"/>
        <v>2.9169925099070123E-4</v>
      </c>
      <c r="V421" s="5" t="s">
        <v>4</v>
      </c>
      <c r="W421" s="84" t="s">
        <v>4</v>
      </c>
    </row>
    <row r="422" spans="1:23" x14ac:dyDescent="0.25">
      <c r="A422" s="90">
        <v>403</v>
      </c>
      <c r="B422" s="83"/>
      <c r="C422" s="100">
        <f ca="1">_xll.meDateFromTenor(C421,"1D","FOLLOWING",D$12)</f>
        <v>43089</v>
      </c>
      <c r="D422" s="13">
        <f ca="1">_xll.meDateFromTenor(C422,D$14,D$11,D$12)</f>
        <v>43090</v>
      </c>
      <c r="E422" s="98">
        <f ca="1"/>
        <v>-4.2382770725391131E-3</v>
      </c>
      <c r="F422" s="94"/>
      <c r="G422" s="100">
        <f ca="1">_xll.meDateFromTenor(G421,"1D","FOLLOWING",H$12)</f>
        <v>43089</v>
      </c>
      <c r="H422" s="13">
        <f ca="1">_xll.meDateFromTenor(G422,H$14,H$11,H$12)</f>
        <v>43122</v>
      </c>
      <c r="I422" s="98">
        <f ca="1"/>
        <v>-3.9779787782188861E-3</v>
      </c>
      <c r="J422" s="94" t="s">
        <v>4</v>
      </c>
      <c r="K422" s="100">
        <f ca="1">_xll.meDateFromTenor(K421,"1D","FOLLOWING",L$12)</f>
        <v>43089</v>
      </c>
      <c r="L422" s="13">
        <f ca="1">_xll.meDateFromTenor(K422,L$14,L$11,L$12)</f>
        <v>43179</v>
      </c>
      <c r="M422" s="98">
        <f ca="1"/>
        <v>-3.0352127374665993E-3</v>
      </c>
      <c r="N422" s="5" t="s">
        <v>4</v>
      </c>
      <c r="O422" s="100">
        <f ca="1">_xll.meDateFromTenor(O421,"1D","FOLLOWING",P$12)</f>
        <v>43089</v>
      </c>
      <c r="P422" s="13">
        <f ca="1">_xll.meDateFromTenor(O422,P$14,P$11,P$12)</f>
        <v>43271</v>
      </c>
      <c r="Q422" s="98">
        <f ca="1"/>
        <v>-1.6394756263760901E-3</v>
      </c>
      <c r="R422" s="5" t="s">
        <v>4</v>
      </c>
      <c r="S422" s="100">
        <f ca="1">_xll.meDateFromTenor(S421,"1D","FOLLOWING",T$12)</f>
        <v>43089</v>
      </c>
      <c r="T422" s="13">
        <f ca="1">_xll.meDateFromTenor(S422,T$14,T$11,T$12)</f>
        <v>43454</v>
      </c>
      <c r="U422" s="98">
        <f ca="1"/>
        <v>2.9428031381129548E-4</v>
      </c>
      <c r="V422" s="5" t="s">
        <v>4</v>
      </c>
      <c r="W422" s="84" t="s">
        <v>4</v>
      </c>
    </row>
    <row r="423" spans="1:23" x14ac:dyDescent="0.25">
      <c r="A423" s="90">
        <v>404</v>
      </c>
      <c r="B423" s="83"/>
      <c r="C423" s="100">
        <f ca="1">_xll.meDateFromTenor(C422,"1D","FOLLOWING",D$12)</f>
        <v>43090</v>
      </c>
      <c r="D423" s="13">
        <f ca="1">_xll.meDateFromTenor(C423,D$14,D$11,D$12)</f>
        <v>43091</v>
      </c>
      <c r="E423" s="98">
        <f ca="1"/>
        <v>-4.2387353626249938E-3</v>
      </c>
      <c r="F423" s="94"/>
      <c r="G423" s="100">
        <f ca="1">_xll.meDateFromTenor(G422,"1D","FOLLOWING",H$12)</f>
        <v>43090</v>
      </c>
      <c r="H423" s="13">
        <f ca="1">_xll.meDateFromTenor(G423,H$14,H$11,H$12)</f>
        <v>43122</v>
      </c>
      <c r="I423" s="98">
        <f ca="1"/>
        <v>-3.9766556984745464E-3</v>
      </c>
      <c r="J423" s="94" t="s">
        <v>4</v>
      </c>
      <c r="K423" s="100">
        <f ca="1">_xll.meDateFromTenor(K422,"1D","FOLLOWING",L$12)</f>
        <v>43090</v>
      </c>
      <c r="L423" s="13">
        <f ca="1">_xll.meDateFromTenor(K423,L$14,L$11,L$12)</f>
        <v>43180</v>
      </c>
      <c r="M423" s="98">
        <f ca="1"/>
        <v>-2.9964880285683424E-3</v>
      </c>
      <c r="N423" s="5" t="s">
        <v>4</v>
      </c>
      <c r="O423" s="100">
        <f ca="1">_xll.meDateFromTenor(O422,"1D","FOLLOWING",P$12)</f>
        <v>43090</v>
      </c>
      <c r="P423" s="13">
        <f ca="1">_xll.meDateFromTenor(O423,P$14,P$11,P$12)</f>
        <v>43272</v>
      </c>
      <c r="Q423" s="98">
        <f ca="1"/>
        <v>-1.637513055118742E-3</v>
      </c>
      <c r="R423" s="5" t="s">
        <v>4</v>
      </c>
      <c r="S423" s="100">
        <f ca="1">_xll.meDateFromTenor(S422,"1D","FOLLOWING",T$12)</f>
        <v>43090</v>
      </c>
      <c r="T423" s="13">
        <f ca="1">_xll.meDateFromTenor(S423,T$14,T$11,T$12)</f>
        <v>43455</v>
      </c>
      <c r="U423" s="98">
        <f ca="1"/>
        <v>2.9687009078757046E-4</v>
      </c>
      <c r="V423" s="5" t="s">
        <v>4</v>
      </c>
      <c r="W423" s="84" t="s">
        <v>4</v>
      </c>
    </row>
    <row r="424" spans="1:23" x14ac:dyDescent="0.25">
      <c r="A424" s="90">
        <v>405</v>
      </c>
      <c r="B424" s="83"/>
      <c r="C424" s="100">
        <f ca="1">_xll.meDateFromTenor(C423,"1D","FOLLOWING",D$12)</f>
        <v>43091</v>
      </c>
      <c r="D424" s="13">
        <f ca="1">_xll.meDateFromTenor(C424,D$14,D$11,D$12)</f>
        <v>43096</v>
      </c>
      <c r="E424" s="98">
        <f ca="1"/>
        <v>-4.2399052844083766E-3</v>
      </c>
      <c r="F424" s="94"/>
      <c r="G424" s="100">
        <f ca="1">_xll.meDateFromTenor(G423,"1D","FOLLOWING",H$12)</f>
        <v>43091</v>
      </c>
      <c r="H424" s="13">
        <f ca="1">_xll.meDateFromTenor(G424,H$14,H$11,H$12)</f>
        <v>43122</v>
      </c>
      <c r="I424" s="98">
        <f ca="1"/>
        <v>-3.9753250489737799E-3</v>
      </c>
      <c r="J424" s="94" t="s">
        <v>4</v>
      </c>
      <c r="K424" s="100">
        <f ca="1">_xll.meDateFromTenor(K423,"1D","FOLLOWING",L$12)</f>
        <v>43091</v>
      </c>
      <c r="L424" s="13">
        <f ca="1">_xll.meDateFromTenor(K424,L$14,L$11,L$12)</f>
        <v>43181</v>
      </c>
      <c r="M424" s="98">
        <f ca="1"/>
        <v>-2.95828377745021E-3</v>
      </c>
      <c r="N424" s="5" t="s">
        <v>4</v>
      </c>
      <c r="O424" s="100">
        <f ca="1">_xll.meDateFromTenor(O423,"1D","FOLLOWING",P$12)</f>
        <v>43091</v>
      </c>
      <c r="P424" s="13">
        <f ca="1">_xll.meDateFromTenor(O424,P$14,P$11,P$12)</f>
        <v>43273</v>
      </c>
      <c r="Q424" s="98">
        <f ca="1"/>
        <v>-1.6355363260066051E-3</v>
      </c>
      <c r="R424" s="5" t="s">
        <v>4</v>
      </c>
      <c r="S424" s="100">
        <f ca="1">_xll.meDateFromTenor(S423,"1D","FOLLOWING",T$12)</f>
        <v>43091</v>
      </c>
      <c r="T424" s="13">
        <f ca="1">_xll.meDateFromTenor(S424,T$14,T$11,T$12)</f>
        <v>43458</v>
      </c>
      <c r="U424" s="98">
        <f ca="1"/>
        <v>2.9946859228221785E-4</v>
      </c>
      <c r="V424" s="5" t="s">
        <v>4</v>
      </c>
      <c r="W424" s="84" t="s">
        <v>4</v>
      </c>
    </row>
    <row r="425" spans="1:23" x14ac:dyDescent="0.25">
      <c r="A425" s="90">
        <v>406</v>
      </c>
      <c r="B425" s="83"/>
      <c r="C425" s="100">
        <f ca="1">_xll.meDateFromTenor(C424,"1D","FOLLOWING",D$12)</f>
        <v>43096</v>
      </c>
      <c r="D425" s="13">
        <f ca="1">_xll.meDateFromTenor(C425,D$14,D$11,D$12)</f>
        <v>43097</v>
      </c>
      <c r="E425" s="98">
        <f ca="1"/>
        <v>-4.2411698922029265E-3</v>
      </c>
      <c r="F425" s="94"/>
      <c r="G425" s="100">
        <f ca="1">_xll.meDateFromTenor(G424,"1D","FOLLOWING",H$12)</f>
        <v>43096</v>
      </c>
      <c r="H425" s="13">
        <f ca="1">_xll.meDateFromTenor(G425,H$14,H$11,H$12)</f>
        <v>43129</v>
      </c>
      <c r="I425" s="98">
        <f ca="1"/>
        <v>-3.9685869367184681E-3</v>
      </c>
      <c r="J425" s="94" t="s">
        <v>4</v>
      </c>
      <c r="K425" s="100">
        <f ca="1">_xll.meDateFromTenor(K424,"1D","FOLLOWING",L$12)</f>
        <v>43096</v>
      </c>
      <c r="L425" s="13">
        <f ca="1">_xll.meDateFromTenor(K425,L$14,L$11,L$12)</f>
        <v>43186</v>
      </c>
      <c r="M425" s="98">
        <f ca="1"/>
        <v>-2.7754753720131034E-3</v>
      </c>
      <c r="N425" s="5" t="s">
        <v>4</v>
      </c>
      <c r="O425" s="100">
        <f ca="1">_xll.meDateFromTenor(O424,"1D","FOLLOWING",P$12)</f>
        <v>43096</v>
      </c>
      <c r="P425" s="13">
        <f ca="1">_xll.meDateFromTenor(O425,P$14,P$11,P$12)</f>
        <v>43278</v>
      </c>
      <c r="Q425" s="98">
        <f ca="1"/>
        <v>-1.6254416440661999E-3</v>
      </c>
      <c r="R425" s="5" t="s">
        <v>4</v>
      </c>
      <c r="S425" s="100">
        <f ca="1">_xll.meDateFromTenor(S424,"1D","FOLLOWING",T$12)</f>
        <v>43096</v>
      </c>
      <c r="T425" s="13">
        <f ca="1">_xll.meDateFromTenor(S425,T$14,T$11,T$12)</f>
        <v>43461</v>
      </c>
      <c r="U425" s="98">
        <f ca="1"/>
        <v>3.1259233022527659E-4</v>
      </c>
      <c r="V425" s="5" t="s">
        <v>4</v>
      </c>
      <c r="W425" s="84" t="s">
        <v>4</v>
      </c>
    </row>
    <row r="426" spans="1:23" x14ac:dyDescent="0.25">
      <c r="A426" s="90">
        <v>407</v>
      </c>
      <c r="B426" s="83"/>
      <c r="C426" s="100">
        <f ca="1">_xll.meDateFromTenor(C425,"1D","FOLLOWING",D$12)</f>
        <v>43097</v>
      </c>
      <c r="D426" s="13">
        <f ca="1">_xll.meDateFromTenor(C426,D$14,D$11,D$12)</f>
        <v>43098</v>
      </c>
      <c r="E426" s="98">
        <f ca="1"/>
        <v>-4.2415231187309535E-3</v>
      </c>
      <c r="F426" s="94"/>
      <c r="G426" s="100">
        <f ca="1">_xll.meDateFromTenor(G425,"1D","FOLLOWING",H$12)</f>
        <v>43097</v>
      </c>
      <c r="H426" s="13">
        <f ca="1">_xll.meDateFromTenor(G426,H$14,H$11,H$12)</f>
        <v>43129</v>
      </c>
      <c r="I426" s="98">
        <f ca="1"/>
        <v>-3.9672280776360909E-3</v>
      </c>
      <c r="J426" s="94" t="s">
        <v>4</v>
      </c>
      <c r="K426" s="100">
        <f ca="1">_xll.meDateFromTenor(K425,"1D","FOLLOWING",L$12)</f>
        <v>43097</v>
      </c>
      <c r="L426" s="13">
        <f ca="1">_xll.meDateFromTenor(K426,L$14,L$11,L$12)</f>
        <v>43187</v>
      </c>
      <c r="M426" s="98">
        <f ca="1"/>
        <v>-2.7406374576467458E-3</v>
      </c>
      <c r="N426" s="5" t="s">
        <v>4</v>
      </c>
      <c r="O426" s="100">
        <f ca="1">_xll.meDateFromTenor(O425,"1D","FOLLOWING",P$12)</f>
        <v>43097</v>
      </c>
      <c r="P426" s="13">
        <f ca="1">_xll.meDateFromTenor(O426,P$14,P$11,P$12)</f>
        <v>43279</v>
      </c>
      <c r="Q426" s="98">
        <f ca="1"/>
        <v>-1.623380766690599E-3</v>
      </c>
      <c r="R426" s="5" t="s">
        <v>4</v>
      </c>
      <c r="S426" s="100">
        <f ca="1">_xll.meDateFromTenor(S425,"1D","FOLLOWING",T$12)</f>
        <v>43097</v>
      </c>
      <c r="T426" s="13">
        <f ca="1">_xll.meDateFromTenor(S426,T$14,T$11,T$12)</f>
        <v>43462</v>
      </c>
      <c r="U426" s="98">
        <f ca="1"/>
        <v>3.1524339644669789E-4</v>
      </c>
      <c r="V426" s="5" t="s">
        <v>4</v>
      </c>
      <c r="W426" s="84" t="s">
        <v>4</v>
      </c>
    </row>
    <row r="427" spans="1:23" x14ac:dyDescent="0.25">
      <c r="A427" s="90">
        <v>408</v>
      </c>
      <c r="B427" s="83"/>
      <c r="C427" s="100">
        <f ca="1">_xll.meDateFromTenor(C426,"1D","FOLLOWING",D$12)</f>
        <v>43098</v>
      </c>
      <c r="D427" s="13">
        <f ca="1">_xll.meDateFromTenor(C427,D$14,D$11,D$12)</f>
        <v>43102</v>
      </c>
      <c r="E427" s="98">
        <f ca="1"/>
        <v>-4.2422561680322138E-3</v>
      </c>
      <c r="F427" s="94"/>
      <c r="G427" s="100">
        <f ca="1">_xll.meDateFromTenor(G426,"1D","FOLLOWING",H$12)</f>
        <v>43098</v>
      </c>
      <c r="H427" s="13">
        <f ca="1">_xll.meDateFromTenor(G427,H$14,H$11,H$12)</f>
        <v>43129</v>
      </c>
      <c r="I427" s="98">
        <f ca="1"/>
        <v>-3.965867385116271E-3</v>
      </c>
      <c r="J427" s="94" t="s">
        <v>4</v>
      </c>
      <c r="K427" s="100">
        <f ca="1">_xll.meDateFromTenor(K426,"1D","FOLLOWING",L$12)</f>
        <v>43098</v>
      </c>
      <c r="L427" s="13">
        <f ca="1">_xll.meDateFromTenor(K427,L$14,L$11,L$12)</f>
        <v>43188</v>
      </c>
      <c r="M427" s="98">
        <f ca="1"/>
        <v>-2.7064011977508554E-3</v>
      </c>
      <c r="N427" s="5" t="s">
        <v>4</v>
      </c>
      <c r="O427" s="100">
        <f ca="1">_xll.meDateFromTenor(O426,"1D","FOLLOWING",P$12)</f>
        <v>43098</v>
      </c>
      <c r="P427" s="13">
        <f ca="1">_xll.meDateFromTenor(O427,P$14,P$11,P$12)</f>
        <v>43280</v>
      </c>
      <c r="Q427" s="98">
        <f ca="1"/>
        <v>-1.6213059977486328E-3</v>
      </c>
      <c r="R427" s="5" t="s">
        <v>4</v>
      </c>
      <c r="S427" s="100">
        <f ca="1">_xll.meDateFromTenor(S426,"1D","FOLLOWING",T$12)</f>
        <v>43098</v>
      </c>
      <c r="T427" s="13">
        <f ca="1">_xll.meDateFromTenor(S427,T$14,T$11,T$12)</f>
        <v>43465</v>
      </c>
      <c r="U427" s="98">
        <f ca="1"/>
        <v>3.1790325972533783E-4</v>
      </c>
      <c r="V427" s="5" t="s">
        <v>4</v>
      </c>
      <c r="W427" s="84" t="s">
        <v>4</v>
      </c>
    </row>
    <row r="428" spans="1:23" x14ac:dyDescent="0.25">
      <c r="A428" s="90">
        <v>409</v>
      </c>
      <c r="B428" s="83"/>
      <c r="C428" s="100">
        <f ca="1">_xll.meDateFromTenor(C427,"1D","FOLLOWING",D$12)</f>
        <v>43102</v>
      </c>
      <c r="D428" s="13">
        <f ca="1">_xll.meDateFromTenor(C428,D$14,D$11,D$12)</f>
        <v>43103</v>
      </c>
      <c r="E428" s="98">
        <f ca="1"/>
        <v>-4.2430641719759668E-3</v>
      </c>
      <c r="F428" s="94"/>
      <c r="G428" s="100">
        <f ca="1">_xll.meDateFromTenor(G427,"1D","FOLLOWING",H$12)</f>
        <v>43102</v>
      </c>
      <c r="H428" s="13">
        <f ca="1">_xll.meDateFromTenor(G428,H$14,H$11,H$12)</f>
        <v>43133</v>
      </c>
      <c r="I428" s="98">
        <f ca="1"/>
        <v>-3.9604226701453575E-3</v>
      </c>
      <c r="J428" s="94" t="s">
        <v>4</v>
      </c>
      <c r="K428" s="100">
        <f ca="1">_xll.meDateFromTenor(K427,"1D","FOLLOWING",L$12)</f>
        <v>43102</v>
      </c>
      <c r="L428" s="13">
        <f ca="1">_xll.meDateFromTenor(K428,L$14,L$11,L$12)</f>
        <v>43193</v>
      </c>
      <c r="M428" s="98">
        <f ca="1"/>
        <v>-2.575704693415858E-3</v>
      </c>
      <c r="N428" s="5" t="s">
        <v>4</v>
      </c>
      <c r="O428" s="100">
        <f ca="1">_xll.meDateFromTenor(O427,"1D","FOLLOWING",P$12)</f>
        <v>43102</v>
      </c>
      <c r="P428" s="13">
        <f ca="1">_xll.meDateFromTenor(O428,P$14,P$11,P$12)</f>
        <v>43283</v>
      </c>
      <c r="Q428" s="98">
        <f ca="1"/>
        <v>-1.6128687671411834E-3</v>
      </c>
      <c r="R428" s="5" t="s">
        <v>4</v>
      </c>
      <c r="S428" s="100">
        <f ca="1">_xll.meDateFromTenor(S427,"1D","FOLLOWING",T$12)</f>
        <v>43102</v>
      </c>
      <c r="T428" s="13">
        <f ca="1">_xll.meDateFromTenor(S428,T$14,T$11,T$12)</f>
        <v>43467</v>
      </c>
      <c r="U428" s="98">
        <f ca="1"/>
        <v>3.2863089066592589E-4</v>
      </c>
      <c r="V428" s="5" t="s">
        <v>4</v>
      </c>
      <c r="W428" s="84" t="s">
        <v>4</v>
      </c>
    </row>
    <row r="429" spans="1:23" x14ac:dyDescent="0.25">
      <c r="A429" s="90">
        <v>410</v>
      </c>
      <c r="B429" s="83"/>
      <c r="C429" s="100">
        <f ca="1">_xll.meDateFromTenor(C428,"1D","FOLLOWING",D$12)</f>
        <v>43103</v>
      </c>
      <c r="D429" s="13">
        <f ca="1">_xll.meDateFromTenor(C429,D$14,D$11,D$12)</f>
        <v>43104</v>
      </c>
      <c r="E429" s="98">
        <f ca="1"/>
        <v>-4.2433273716380318E-3</v>
      </c>
      <c r="F429" s="94"/>
      <c r="G429" s="100">
        <f ca="1">_xll.meDateFromTenor(G428,"1D","FOLLOWING",H$12)</f>
        <v>43103</v>
      </c>
      <c r="H429" s="13">
        <f ca="1">_xll.meDateFromTenor(G429,H$14,H$11,H$12)</f>
        <v>43136</v>
      </c>
      <c r="I429" s="98">
        <f ca="1"/>
        <v>-3.9590647710811052E-3</v>
      </c>
      <c r="J429" s="94" t="s">
        <v>4</v>
      </c>
      <c r="K429" s="100">
        <f ca="1">_xll.meDateFromTenor(K428,"1D","FOLLOWING",L$12)</f>
        <v>43103</v>
      </c>
      <c r="L429" s="13">
        <f ca="1">_xll.meDateFromTenor(K429,L$14,L$11,L$12)</f>
        <v>43193</v>
      </c>
      <c r="M429" s="98">
        <f ca="1"/>
        <v>-2.5446506987802132E-3</v>
      </c>
      <c r="N429" s="5" t="s">
        <v>4</v>
      </c>
      <c r="O429" s="100">
        <f ca="1">_xll.meDateFromTenor(O428,"1D","FOLLOWING",P$12)</f>
        <v>43103</v>
      </c>
      <c r="P429" s="13">
        <f ca="1">_xll.meDateFromTenor(O429,P$14,P$11,P$12)</f>
        <v>43284</v>
      </c>
      <c r="Q429" s="98">
        <f ca="1"/>
        <v>-1.6107251109854423E-3</v>
      </c>
      <c r="R429" s="5" t="s">
        <v>4</v>
      </c>
      <c r="S429" s="100">
        <f ca="1">_xll.meDateFromTenor(S428,"1D","FOLLOWING",T$12)</f>
        <v>43103</v>
      </c>
      <c r="T429" s="13">
        <f ca="1">_xll.meDateFromTenor(S429,T$14,T$11,T$12)</f>
        <v>43468</v>
      </c>
      <c r="U429" s="98">
        <f ca="1"/>
        <v>3.3133489467104111E-4</v>
      </c>
      <c r="V429" s="5" t="s">
        <v>4</v>
      </c>
      <c r="W429" s="84" t="s">
        <v>4</v>
      </c>
    </row>
    <row r="430" spans="1:23" x14ac:dyDescent="0.25">
      <c r="A430" s="90">
        <v>411</v>
      </c>
      <c r="B430" s="83"/>
      <c r="C430" s="100">
        <f ca="1">_xll.meDateFromTenor(C429,"1D","FOLLOWING",D$12)</f>
        <v>43104</v>
      </c>
      <c r="D430" s="13">
        <f ca="1">_xll.meDateFromTenor(C430,D$14,D$11,D$12)</f>
        <v>43105</v>
      </c>
      <c r="E430" s="98">
        <f ca="1"/>
        <v>-4.2435755695402625E-3</v>
      </c>
      <c r="F430" s="94"/>
      <c r="G430" s="100">
        <f ca="1">_xll.meDateFromTenor(G429,"1D","FOLLOWING",H$12)</f>
        <v>43104</v>
      </c>
      <c r="H430" s="13">
        <f ca="1">_xll.meDateFromTenor(G430,H$14,H$11,H$12)</f>
        <v>43136</v>
      </c>
      <c r="I430" s="98">
        <f ca="1"/>
        <v>-3.9577079666083519E-3</v>
      </c>
      <c r="J430" s="94" t="s">
        <v>4</v>
      </c>
      <c r="K430" s="100">
        <f ca="1">_xll.meDateFromTenor(K429,"1D","FOLLOWING",L$12)</f>
        <v>43104</v>
      </c>
      <c r="L430" s="13">
        <f ca="1">_xll.meDateFromTenor(K430,L$14,L$11,L$12)</f>
        <v>43194</v>
      </c>
      <c r="M430" s="98">
        <f ca="1"/>
        <v>-2.5142679557781916E-3</v>
      </c>
      <c r="N430" s="5" t="s">
        <v>4</v>
      </c>
      <c r="O430" s="100">
        <f ca="1">_xll.meDateFromTenor(O429,"1D","FOLLOWING",P$12)</f>
        <v>43104</v>
      </c>
      <c r="P430" s="13">
        <f ca="1">_xll.meDateFromTenor(O430,P$14,P$11,P$12)</f>
        <v>43285</v>
      </c>
      <c r="Q430" s="98">
        <f ca="1"/>
        <v>-1.6085677915105561E-3</v>
      </c>
      <c r="R430" s="5" t="s">
        <v>4</v>
      </c>
      <c r="S430" s="100">
        <f ca="1">_xll.meDateFromTenor(S429,"1D","FOLLOWING",T$12)</f>
        <v>43104</v>
      </c>
      <c r="T430" s="13">
        <f ca="1">_xll.meDateFromTenor(S430,T$14,T$11,T$12)</f>
        <v>43469</v>
      </c>
      <c r="U430" s="98">
        <f ca="1"/>
        <v>3.3404775790952818E-4</v>
      </c>
      <c r="V430" s="5" t="s">
        <v>4</v>
      </c>
      <c r="W430" s="84" t="s">
        <v>4</v>
      </c>
    </row>
    <row r="431" spans="1:23" x14ac:dyDescent="0.25">
      <c r="A431" s="90">
        <v>412</v>
      </c>
      <c r="B431" s="83"/>
      <c r="C431" s="100">
        <f ca="1">_xll.meDateFromTenor(C430,"1D","FOLLOWING",D$12)</f>
        <v>43105</v>
      </c>
      <c r="D431" s="13">
        <f ca="1">_xll.meDateFromTenor(C431,D$14,D$11,D$12)</f>
        <v>43108</v>
      </c>
      <c r="E431" s="98">
        <f ca="1"/>
        <v>-4.2439719294584824E-3</v>
      </c>
      <c r="F431" s="94"/>
      <c r="G431" s="100">
        <f ca="1">_xll.meDateFromTenor(G430,"1D","FOLLOWING",H$12)</f>
        <v>43105</v>
      </c>
      <c r="H431" s="13">
        <f ca="1">_xll.meDateFromTenor(G431,H$14,H$11,H$12)</f>
        <v>43136</v>
      </c>
      <c r="I431" s="98">
        <f ca="1"/>
        <v>-3.956351087385338E-3</v>
      </c>
      <c r="J431" s="94" t="s">
        <v>4</v>
      </c>
      <c r="K431" s="100">
        <f ca="1">_xll.meDateFromTenor(K430,"1D","FOLLOWING",L$12)</f>
        <v>43105</v>
      </c>
      <c r="L431" s="13">
        <f ca="1">_xll.meDateFromTenor(K431,L$14,L$11,L$12)</f>
        <v>43195</v>
      </c>
      <c r="M431" s="98">
        <f ca="1"/>
        <v>-2.4845680639369897E-3</v>
      </c>
      <c r="N431" s="5" t="s">
        <v>4</v>
      </c>
      <c r="O431" s="100">
        <f ca="1">_xll.meDateFromTenor(O430,"1D","FOLLOWING",P$12)</f>
        <v>43105</v>
      </c>
      <c r="P431" s="13">
        <f ca="1">_xll.meDateFromTenor(O431,P$14,P$11,P$12)</f>
        <v>43286</v>
      </c>
      <c r="Q431" s="98">
        <f ca="1"/>
        <v>-1.606396846757729E-3</v>
      </c>
      <c r="R431" s="5" t="s">
        <v>4</v>
      </c>
      <c r="S431" s="100">
        <f ca="1">_xll.meDateFromTenor(S430,"1D","FOLLOWING",T$12)</f>
        <v>43105</v>
      </c>
      <c r="T431" s="13">
        <f ca="1">_xll.meDateFromTenor(S431,T$14,T$11,T$12)</f>
        <v>43472</v>
      </c>
      <c r="U431" s="98">
        <f ca="1"/>
        <v>3.3676949074407943E-4</v>
      </c>
      <c r="V431" s="5" t="s">
        <v>4</v>
      </c>
      <c r="W431" s="84" t="s">
        <v>4</v>
      </c>
    </row>
    <row r="432" spans="1:23" x14ac:dyDescent="0.25">
      <c r="A432" s="90">
        <v>413</v>
      </c>
      <c r="B432" s="83"/>
      <c r="C432" s="100">
        <f ca="1">_xll.meDateFromTenor(C431,"1D","FOLLOWING",D$12)</f>
        <v>43108</v>
      </c>
      <c r="D432" s="13">
        <f ca="1">_xll.meDateFromTenor(C432,D$14,D$11,D$12)</f>
        <v>43109</v>
      </c>
      <c r="E432" s="98">
        <f ca="1"/>
        <v>-4.2444183545020811E-3</v>
      </c>
      <c r="F432" s="94"/>
      <c r="G432" s="100">
        <f ca="1">_xll.meDateFromTenor(G431,"1D","FOLLOWING",H$12)</f>
        <v>43108</v>
      </c>
      <c r="H432" s="13">
        <f ca="1">_xll.meDateFromTenor(G432,H$14,H$11,H$12)</f>
        <v>43139</v>
      </c>
      <c r="I432" s="98">
        <f ca="1"/>
        <v>-3.9522683077971386E-3</v>
      </c>
      <c r="J432" s="94" t="s">
        <v>4</v>
      </c>
      <c r="K432" s="100">
        <f ca="1">_xll.meDateFromTenor(K431,"1D","FOLLOWING",L$12)</f>
        <v>43108</v>
      </c>
      <c r="L432" s="13">
        <f ca="1">_xll.meDateFromTenor(K432,L$14,L$11,L$12)</f>
        <v>43199</v>
      </c>
      <c r="M432" s="98">
        <f ca="1"/>
        <v>-2.3996814906502312E-3</v>
      </c>
      <c r="N432" s="5" t="s">
        <v>4</v>
      </c>
      <c r="O432" s="100">
        <f ca="1">_xll.meDateFromTenor(O431,"1D","FOLLOWING",P$12)</f>
        <v>43108</v>
      </c>
      <c r="P432" s="13">
        <f ca="1">_xll.meDateFromTenor(O432,P$14,P$11,P$12)</f>
        <v>43290</v>
      </c>
      <c r="Q432" s="98">
        <f ca="1"/>
        <v>-1.5998026412436344E-3</v>
      </c>
      <c r="R432" s="5" t="s">
        <v>4</v>
      </c>
      <c r="S432" s="100">
        <f ca="1">_xll.meDateFromTenor(S431,"1D","FOLLOWING",T$12)</f>
        <v>43108</v>
      </c>
      <c r="T432" s="13">
        <f ca="1">_xll.meDateFromTenor(S432,T$14,T$11,T$12)</f>
        <v>43473</v>
      </c>
      <c r="U432" s="98">
        <f ca="1"/>
        <v>3.4498801045103886E-4</v>
      </c>
      <c r="V432" s="5" t="s">
        <v>4</v>
      </c>
      <c r="W432" s="84" t="s">
        <v>4</v>
      </c>
    </row>
    <row r="433" spans="1:23" x14ac:dyDescent="0.25">
      <c r="A433" s="90">
        <v>414</v>
      </c>
      <c r="B433" s="83"/>
      <c r="C433" s="100">
        <f ca="1">_xll.meDateFromTenor(C432,"1D","FOLLOWING",D$12)</f>
        <v>43109</v>
      </c>
      <c r="D433" s="13">
        <f ca="1">_xll.meDateFromTenor(C433,D$14,D$11,D$12)</f>
        <v>43110</v>
      </c>
      <c r="E433" s="98">
        <f ca="1"/>
        <v>-4.2445915529176906E-3</v>
      </c>
      <c r="F433" s="94"/>
      <c r="G433" s="100">
        <f ca="1">_xll.meDateFromTenor(G432,"1D","FOLLOWING",H$12)</f>
        <v>43109</v>
      </c>
      <c r="H433" s="13">
        <f ca="1">_xll.meDateFromTenor(G433,H$14,H$11,H$12)</f>
        <v>43140</v>
      </c>
      <c r="I433" s="98">
        <f ca="1"/>
        <v>-3.9508994361554892E-3</v>
      </c>
      <c r="J433" s="94" t="s">
        <v>4</v>
      </c>
      <c r="K433" s="100">
        <f ca="1">_xll.meDateFromTenor(K432,"1D","FOLLOWING",L$12)</f>
        <v>43109</v>
      </c>
      <c r="L433" s="13">
        <f ca="1">_xll.meDateFromTenor(K433,L$14,L$11,L$12)</f>
        <v>43199</v>
      </c>
      <c r="M433" s="98">
        <f ca="1"/>
        <v>-2.372828998724234E-3</v>
      </c>
      <c r="N433" s="5" t="s">
        <v>4</v>
      </c>
      <c r="O433" s="100">
        <f ca="1">_xll.meDateFromTenor(O432,"1D","FOLLOWING",P$12)</f>
        <v>43109</v>
      </c>
      <c r="P433" s="13">
        <f ca="1">_xll.meDateFromTenor(O433,P$14,P$11,P$12)</f>
        <v>43290</v>
      </c>
      <c r="Q433" s="98">
        <f ca="1"/>
        <v>-1.597577575791076E-3</v>
      </c>
      <c r="R433" s="5" t="s">
        <v>4</v>
      </c>
      <c r="S433" s="100">
        <f ca="1">_xll.meDateFromTenor(S432,"1D","FOLLOWING",T$12)</f>
        <v>43109</v>
      </c>
      <c r="T433" s="13">
        <f ca="1">_xll.meDateFromTenor(S433,T$14,T$11,T$12)</f>
        <v>43474</v>
      </c>
      <c r="U433" s="98">
        <f ca="1"/>
        <v>3.4774532529676825E-4</v>
      </c>
      <c r="V433" s="5" t="s">
        <v>4</v>
      </c>
      <c r="W433" s="84" t="s">
        <v>4</v>
      </c>
    </row>
    <row r="434" spans="1:23" x14ac:dyDescent="0.25">
      <c r="A434" s="90">
        <v>415</v>
      </c>
      <c r="B434" s="83"/>
      <c r="C434" s="100">
        <f ca="1">_xll.meDateFromTenor(C433,"1D","FOLLOWING",D$12)</f>
        <v>43110</v>
      </c>
      <c r="D434" s="13">
        <f ca="1">_xll.meDateFromTenor(C434,D$14,D$11,D$12)</f>
        <v>43111</v>
      </c>
      <c r="E434" s="98">
        <f ca="1"/>
        <v>-4.2447497536901727E-3</v>
      </c>
      <c r="F434" s="94"/>
      <c r="G434" s="100">
        <f ca="1">_xll.meDateFromTenor(G433,"1D","FOLLOWING",H$12)</f>
        <v>43110</v>
      </c>
      <c r="H434" s="13">
        <f ca="1">_xll.meDateFromTenor(G434,H$14,H$11,H$12)</f>
        <v>43143</v>
      </c>
      <c r="I434" s="98">
        <f ca="1"/>
        <v>-3.9495246430547833E-3</v>
      </c>
      <c r="J434" s="94" t="s">
        <v>4</v>
      </c>
      <c r="K434" s="100">
        <f ca="1">_xll.meDateFromTenor(K433,"1D","FOLLOWING",L$12)</f>
        <v>43110</v>
      </c>
      <c r="L434" s="13">
        <f ca="1">_xll.meDateFromTenor(K434,L$14,L$11,L$12)</f>
        <v>43200</v>
      </c>
      <c r="M434" s="98">
        <f ca="1"/>
        <v>-2.3467173555950186E-3</v>
      </c>
      <c r="N434" s="5" t="s">
        <v>4</v>
      </c>
      <c r="O434" s="100">
        <f ca="1">_xll.meDateFromTenor(O433,"1D","FOLLOWING",P$12)</f>
        <v>43110</v>
      </c>
      <c r="P434" s="13">
        <f ca="1">_xll.meDateFromTenor(O434,P$14,P$11,P$12)</f>
        <v>43291</v>
      </c>
      <c r="Q434" s="98">
        <f ca="1"/>
        <v>-1.5953390752665943E-3</v>
      </c>
      <c r="R434" s="5" t="s">
        <v>4</v>
      </c>
      <c r="S434" s="100">
        <f ca="1">_xll.meDateFromTenor(S433,"1D","FOLLOWING",T$12)</f>
        <v>43110</v>
      </c>
      <c r="T434" s="13">
        <f ca="1">_xll.meDateFromTenor(S434,T$14,T$11,T$12)</f>
        <v>43475</v>
      </c>
      <c r="U434" s="98">
        <f ca="1"/>
        <v>3.5051156155202273E-4</v>
      </c>
      <c r="V434" s="5" t="s">
        <v>4</v>
      </c>
      <c r="W434" s="84" t="s">
        <v>4</v>
      </c>
    </row>
    <row r="435" spans="1:23" x14ac:dyDescent="0.25">
      <c r="A435" s="90">
        <v>416</v>
      </c>
      <c r="B435" s="83"/>
      <c r="C435" s="100">
        <f ca="1">_xll.meDateFromTenor(C434,"1D","FOLLOWING",D$12)</f>
        <v>43111</v>
      </c>
      <c r="D435" s="13">
        <f ca="1">_xll.meDateFromTenor(C435,D$14,D$11,D$12)</f>
        <v>43112</v>
      </c>
      <c r="E435" s="98">
        <f ca="1"/>
        <v>-4.2448929570193675E-3</v>
      </c>
      <c r="F435" s="94"/>
      <c r="G435" s="100">
        <f ca="1">_xll.meDateFromTenor(G434,"1D","FOLLOWING",H$12)</f>
        <v>43111</v>
      </c>
      <c r="H435" s="13">
        <f ca="1">_xll.meDateFromTenor(G435,H$14,H$11,H$12)</f>
        <v>43143</v>
      </c>
      <c r="I435" s="98">
        <f ca="1"/>
        <v>-3.9481427591532611E-3</v>
      </c>
      <c r="J435" s="94" t="s">
        <v>4</v>
      </c>
      <c r="K435" s="100">
        <f ca="1">_xll.meDateFromTenor(K434,"1D","FOLLOWING",L$12)</f>
        <v>43111</v>
      </c>
      <c r="L435" s="13">
        <f ca="1">_xll.meDateFromTenor(K435,L$14,L$11,L$12)</f>
        <v>43201</v>
      </c>
      <c r="M435" s="98">
        <f ca="1"/>
        <v>-2.3213581607897816E-3</v>
      </c>
      <c r="N435" s="5" t="s">
        <v>4</v>
      </c>
      <c r="O435" s="100">
        <f ca="1">_xll.meDateFromTenor(O434,"1D","FOLLOWING",P$12)</f>
        <v>43111</v>
      </c>
      <c r="P435" s="13">
        <f ca="1">_xll.meDateFromTenor(O435,P$14,P$11,P$12)</f>
        <v>43292</v>
      </c>
      <c r="Q435" s="98">
        <f ca="1"/>
        <v>-1.5930871777113916E-3</v>
      </c>
      <c r="R435" s="5" t="s">
        <v>4</v>
      </c>
      <c r="S435" s="100">
        <f ca="1">_xll.meDateFromTenor(S434,"1D","FOLLOWING",T$12)</f>
        <v>43111</v>
      </c>
      <c r="T435" s="13">
        <f ca="1">_xll.meDateFromTenor(S435,T$14,T$11,T$12)</f>
        <v>43476</v>
      </c>
      <c r="U435" s="98">
        <f ca="1"/>
        <v>3.5328672957949444E-4</v>
      </c>
      <c r="V435" s="5" t="s">
        <v>4</v>
      </c>
      <c r="W435" s="84" t="s">
        <v>4</v>
      </c>
    </row>
    <row r="436" spans="1:23" x14ac:dyDescent="0.25">
      <c r="A436" s="90">
        <v>417</v>
      </c>
      <c r="B436" s="83"/>
      <c r="C436" s="100">
        <f ca="1">_xll.meDateFromTenor(C435,"1D","FOLLOWING",D$12)</f>
        <v>43112</v>
      </c>
      <c r="D436" s="13">
        <f ca="1">_xll.meDateFromTenor(C436,D$14,D$11,D$12)</f>
        <v>43115</v>
      </c>
      <c r="E436" s="98">
        <f ca="1"/>
        <v>-4.2450793191450989E-3</v>
      </c>
      <c r="F436" s="94"/>
      <c r="G436" s="100">
        <f ca="1">_xll.meDateFromTenor(G435,"1D","FOLLOWING",H$12)</f>
        <v>43112</v>
      </c>
      <c r="H436" s="13">
        <f ca="1">_xll.meDateFromTenor(G436,H$14,H$11,H$12)</f>
        <v>43143</v>
      </c>
      <c r="I436" s="98">
        <f ca="1"/>
        <v>-3.9467526151091645E-3</v>
      </c>
      <c r="J436" s="94" t="s">
        <v>4</v>
      </c>
      <c r="K436" s="100">
        <f ca="1">_xll.meDateFromTenor(K435,"1D","FOLLOWING",L$12)</f>
        <v>43112</v>
      </c>
      <c r="L436" s="13">
        <f ca="1">_xll.meDateFromTenor(K436,L$14,L$11,L$12)</f>
        <v>43202</v>
      </c>
      <c r="M436" s="98">
        <f ca="1"/>
        <v>-2.2967630138357128E-3</v>
      </c>
      <c r="N436" s="5" t="s">
        <v>4</v>
      </c>
      <c r="O436" s="100">
        <f ca="1">_xll.meDateFromTenor(O435,"1D","FOLLOWING",P$12)</f>
        <v>43112</v>
      </c>
      <c r="P436" s="13">
        <f ca="1">_xll.meDateFromTenor(O436,P$14,P$11,P$12)</f>
        <v>43293</v>
      </c>
      <c r="Q436" s="98">
        <f ca="1"/>
        <v>-1.5908219211666719E-3</v>
      </c>
      <c r="R436" s="5" t="s">
        <v>4</v>
      </c>
      <c r="S436" s="100">
        <f ca="1">_xll.meDateFromTenor(S435,"1D","FOLLOWING",T$12)</f>
        <v>43112</v>
      </c>
      <c r="T436" s="13">
        <f ca="1">_xll.meDateFromTenor(S436,T$14,T$11,T$12)</f>
        <v>43479</v>
      </c>
      <c r="U436" s="98">
        <f ca="1"/>
        <v>3.560708397418757E-4</v>
      </c>
      <c r="V436" s="5" t="s">
        <v>4</v>
      </c>
      <c r="W436" s="84" t="s">
        <v>4</v>
      </c>
    </row>
    <row r="437" spans="1:23" x14ac:dyDescent="0.25">
      <c r="A437" s="90">
        <v>418</v>
      </c>
      <c r="B437" s="83"/>
      <c r="C437" s="100">
        <f ca="1">_xll.meDateFromTenor(C436,"1D","FOLLOWING",D$12)</f>
        <v>43115</v>
      </c>
      <c r="D437" s="13">
        <f ca="1">_xll.meDateFromTenor(C437,D$14,D$11,D$12)</f>
        <v>43116</v>
      </c>
      <c r="E437" s="98">
        <f ca="1"/>
        <v>-4.2453158151278961E-3</v>
      </c>
      <c r="F437" s="94"/>
      <c r="G437" s="100">
        <f ca="1">_xll.meDateFromTenor(G436,"1D","FOLLOWING",H$12)</f>
        <v>43115</v>
      </c>
      <c r="H437" s="13">
        <f ca="1">_xll.meDateFromTenor(G437,H$14,H$11,H$12)</f>
        <v>43146</v>
      </c>
      <c r="I437" s="98">
        <f ca="1"/>
        <v>-3.9425209287038314E-3</v>
      </c>
      <c r="J437" s="94" t="s">
        <v>4</v>
      </c>
      <c r="K437" s="100">
        <f ca="1">_xll.meDateFromTenor(K436,"1D","FOLLOWING",L$12)</f>
        <v>43115</v>
      </c>
      <c r="L437" s="13">
        <f ca="1">_xll.meDateFromTenor(K437,L$14,L$11,L$12)</f>
        <v>43206</v>
      </c>
      <c r="M437" s="98">
        <f ca="1"/>
        <v>-2.227677855352436E-3</v>
      </c>
      <c r="N437" s="5" t="s">
        <v>4</v>
      </c>
      <c r="O437" s="100">
        <f ca="1">_xll.meDateFromTenor(O436,"1D","FOLLOWING",P$12)</f>
        <v>43115</v>
      </c>
      <c r="P437" s="13">
        <f ca="1">_xll.meDateFromTenor(O437,P$14,P$11,P$12)</f>
        <v>43297</v>
      </c>
      <c r="Q437" s="98">
        <f ca="1"/>
        <v>-1.5839463780074428E-3</v>
      </c>
      <c r="R437" s="5" t="s">
        <v>4</v>
      </c>
      <c r="S437" s="100">
        <f ca="1">_xll.meDateFromTenor(S436,"1D","FOLLOWING",T$12)</f>
        <v>43115</v>
      </c>
      <c r="T437" s="13">
        <f ca="1">_xll.meDateFromTenor(S437,T$14,T$11,T$12)</f>
        <v>43480</v>
      </c>
      <c r="U437" s="98">
        <f ca="1"/>
        <v>3.6447692666539988E-4</v>
      </c>
      <c r="V437" s="5" t="s">
        <v>4</v>
      </c>
      <c r="W437" s="84" t="s">
        <v>4</v>
      </c>
    </row>
    <row r="438" spans="1:23" x14ac:dyDescent="0.25">
      <c r="A438" s="90">
        <v>419</v>
      </c>
      <c r="B438" s="83"/>
      <c r="C438" s="100">
        <f ca="1">_xll.meDateFromTenor(C437,"1D","FOLLOWING",D$12)</f>
        <v>43116</v>
      </c>
      <c r="D438" s="13">
        <f ca="1">_xll.meDateFromTenor(C438,D$14,D$11,D$12)</f>
        <v>43117</v>
      </c>
      <c r="E438" s="98">
        <f ca="1"/>
        <v>-4.2453840440304239E-3</v>
      </c>
      <c r="F438" s="94"/>
      <c r="G438" s="100">
        <f ca="1">_xll.meDateFromTenor(G437,"1D","FOLLOWING",H$12)</f>
        <v>43116</v>
      </c>
      <c r="H438" s="13">
        <f ca="1">_xll.meDateFromTenor(G438,H$14,H$11,H$12)</f>
        <v>43147</v>
      </c>
      <c r="I438" s="98">
        <f ca="1"/>
        <v>-3.9410860506718425E-3</v>
      </c>
      <c r="J438" s="94" t="s">
        <v>4</v>
      </c>
      <c r="K438" s="100">
        <f ca="1">_xll.meDateFromTenor(K437,"1D","FOLLOWING",L$12)</f>
        <v>43116</v>
      </c>
      <c r="L438" s="13">
        <f ca="1">_xll.meDateFromTenor(K438,L$14,L$11,L$12)</f>
        <v>43206</v>
      </c>
      <c r="M438" s="98">
        <f ca="1"/>
        <v>-2.2062548950749672E-3</v>
      </c>
      <c r="N438" s="5" t="s">
        <v>4</v>
      </c>
      <c r="O438" s="100">
        <f ca="1">_xll.meDateFromTenor(O437,"1D","FOLLOWING",P$12)</f>
        <v>43116</v>
      </c>
      <c r="P438" s="13">
        <f ca="1">_xll.meDateFromTenor(O438,P$14,P$11,P$12)</f>
        <v>43297</v>
      </c>
      <c r="Q438" s="98">
        <f ca="1"/>
        <v>-1.5816280659166882E-3</v>
      </c>
      <c r="R438" s="5" t="s">
        <v>4</v>
      </c>
      <c r="S438" s="100">
        <f ca="1">_xll.meDateFromTenor(S437,"1D","FOLLOWING",T$12)</f>
        <v>43116</v>
      </c>
      <c r="T438" s="13">
        <f ca="1">_xll.meDateFromTenor(S438,T$14,T$11,T$12)</f>
        <v>43481</v>
      </c>
      <c r="U438" s="98">
        <f ca="1"/>
        <v>3.6729690899434174E-4</v>
      </c>
      <c r="V438" s="5" t="s">
        <v>4</v>
      </c>
      <c r="W438" s="84" t="s">
        <v>4</v>
      </c>
    </row>
    <row r="439" spans="1:23" x14ac:dyDescent="0.25">
      <c r="A439" s="90">
        <v>420</v>
      </c>
      <c r="B439" s="83"/>
      <c r="C439" s="100">
        <f ca="1">_xll.meDateFromTenor(C438,"1D","FOLLOWING",D$12)</f>
        <v>43117</v>
      </c>
      <c r="D439" s="13">
        <f ca="1">_xll.meDateFromTenor(C439,D$14,D$11,D$12)</f>
        <v>43118</v>
      </c>
      <c r="E439" s="98">
        <f ca="1"/>
        <v>-4.2454372800057125E-3</v>
      </c>
      <c r="F439" s="94"/>
      <c r="G439" s="100">
        <f ca="1">_xll.meDateFromTenor(G438,"1D","FOLLOWING",H$12)</f>
        <v>43117</v>
      </c>
      <c r="H439" s="13">
        <f ca="1">_xll.meDateFromTenor(G439,H$14,H$11,H$12)</f>
        <v>43150</v>
      </c>
      <c r="I439" s="98">
        <f ca="1"/>
        <v>-3.9396370657884825E-3</v>
      </c>
      <c r="J439" s="94" t="s">
        <v>4</v>
      </c>
      <c r="K439" s="100">
        <f ca="1">_xll.meDateFromTenor(K438,"1D","FOLLOWING",L$12)</f>
        <v>43117</v>
      </c>
      <c r="L439" s="13">
        <f ca="1">_xll.meDateFromTenor(K439,L$14,L$11,L$12)</f>
        <v>43207</v>
      </c>
      <c r="M439" s="98">
        <f ca="1"/>
        <v>-2.1856539802846296E-3</v>
      </c>
      <c r="N439" s="5" t="s">
        <v>4</v>
      </c>
      <c r="O439" s="100">
        <f ca="1">_xll.meDateFromTenor(O438,"1D","FOLLOWING",P$12)</f>
        <v>43117</v>
      </c>
      <c r="P439" s="13">
        <f ca="1">_xll.meDateFromTenor(O439,P$14,P$11,P$12)</f>
        <v>43298</v>
      </c>
      <c r="Q439" s="98">
        <f ca="1"/>
        <v>-1.5792965850424336E-3</v>
      </c>
      <c r="R439" s="5" t="s">
        <v>4</v>
      </c>
      <c r="S439" s="100">
        <f ca="1">_xll.meDateFromTenor(S438,"1D","FOLLOWING",T$12)</f>
        <v>43117</v>
      </c>
      <c r="T439" s="13">
        <f ca="1">_xll.meDateFromTenor(S439,T$14,T$11,T$12)</f>
        <v>43482</v>
      </c>
      <c r="U439" s="98">
        <f ca="1"/>
        <v>3.7012588527165406E-4</v>
      </c>
      <c r="V439" s="5" t="s">
        <v>4</v>
      </c>
      <c r="W439" s="84" t="s">
        <v>4</v>
      </c>
    </row>
    <row r="440" spans="1:23" x14ac:dyDescent="0.25">
      <c r="A440" s="90">
        <v>421</v>
      </c>
      <c r="B440" s="83"/>
      <c r="C440" s="100">
        <f ca="1">_xll.meDateFromTenor(C439,"1D","FOLLOWING",D$12)</f>
        <v>43118</v>
      </c>
      <c r="D440" s="13">
        <f ca="1">_xll.meDateFromTenor(C440,D$14,D$11,D$12)</f>
        <v>43119</v>
      </c>
      <c r="E440" s="98">
        <f ca="1"/>
        <v>-4.2454755241339162E-3</v>
      </c>
      <c r="F440" s="94"/>
      <c r="G440" s="100">
        <f ca="1">_xll.meDateFromTenor(G439,"1D","FOLLOWING",H$12)</f>
        <v>43118</v>
      </c>
      <c r="H440" s="13">
        <f ca="1">_xll.meDateFromTenor(G440,H$14,H$11,H$12)</f>
        <v>43150</v>
      </c>
      <c r="I440" s="98">
        <f ca="1"/>
        <v>-3.9381728047119917E-3</v>
      </c>
      <c r="J440" s="94" t="s">
        <v>4</v>
      </c>
      <c r="K440" s="100">
        <f ca="1">_xll.meDateFromTenor(K439,"1D","FOLLOWING",L$12)</f>
        <v>43118</v>
      </c>
      <c r="L440" s="13">
        <f ca="1">_xll.meDateFromTenor(K440,L$14,L$11,L$12)</f>
        <v>43208</v>
      </c>
      <c r="M440" s="98">
        <f ca="1"/>
        <v>-2.1658867105086143E-3</v>
      </c>
      <c r="N440" s="5" t="s">
        <v>4</v>
      </c>
      <c r="O440" s="100">
        <f ca="1">_xll.meDateFromTenor(O439,"1D","FOLLOWING",P$12)</f>
        <v>43118</v>
      </c>
      <c r="P440" s="13">
        <f ca="1">_xll.meDateFromTenor(O440,P$14,P$11,P$12)</f>
        <v>43299</v>
      </c>
      <c r="Q440" s="98">
        <f ca="1"/>
        <v>-1.5769519734258823E-3</v>
      </c>
      <c r="R440" s="5" t="s">
        <v>4</v>
      </c>
      <c r="S440" s="100">
        <f ca="1">_xll.meDateFromTenor(S439,"1D","FOLLOWING",T$12)</f>
        <v>43118</v>
      </c>
      <c r="T440" s="13">
        <f ca="1">_xll.meDateFromTenor(S440,T$14,T$11,T$12)</f>
        <v>43483</v>
      </c>
      <c r="U440" s="98">
        <f ca="1"/>
        <v>3.7296386586002975E-4</v>
      </c>
      <c r="V440" s="5" t="s">
        <v>4</v>
      </c>
      <c r="W440" s="84" t="s">
        <v>4</v>
      </c>
    </row>
    <row r="441" spans="1:23" x14ac:dyDescent="0.25">
      <c r="A441" s="90">
        <v>422</v>
      </c>
      <c r="B441" s="83"/>
      <c r="C441" s="100">
        <f ca="1">_xll.meDateFromTenor(C440,"1D","FOLLOWING",D$12)</f>
        <v>43119</v>
      </c>
      <c r="D441" s="13">
        <f ca="1">_xll.meDateFromTenor(C441,D$14,D$11,D$12)</f>
        <v>43122</v>
      </c>
      <c r="E441" s="98">
        <f ca="1"/>
        <v>-4.2454519748647149E-3</v>
      </c>
      <c r="F441" s="94"/>
      <c r="G441" s="100">
        <f ca="1">_xll.meDateFromTenor(G440,"1D","FOLLOWING",H$12)</f>
        <v>43119</v>
      </c>
      <c r="H441" s="13">
        <f ca="1">_xll.meDateFromTenor(G441,H$14,H$11,H$12)</f>
        <v>43150</v>
      </c>
      <c r="I441" s="98">
        <f ca="1"/>
        <v>-3.936692098100613E-3</v>
      </c>
      <c r="J441" s="94" t="s">
        <v>4</v>
      </c>
      <c r="K441" s="100">
        <f ca="1">_xll.meDateFromTenor(K440,"1D","FOLLOWING",L$12)</f>
        <v>43119</v>
      </c>
      <c r="L441" s="13">
        <f ca="1">_xll.meDateFromTenor(K441,L$14,L$11,L$12)</f>
        <v>43209</v>
      </c>
      <c r="M441" s="98">
        <f ca="1"/>
        <v>-2.1469646852741169E-3</v>
      </c>
      <c r="N441" s="5" t="s">
        <v>4</v>
      </c>
      <c r="O441" s="100">
        <f ca="1">_xll.meDateFromTenor(O440,"1D","FOLLOWING",P$12)</f>
        <v>43119</v>
      </c>
      <c r="P441" s="13">
        <f ca="1">_xll.meDateFromTenor(O441,P$14,P$11,P$12)</f>
        <v>43300</v>
      </c>
      <c r="Q441" s="98">
        <f ca="1"/>
        <v>-1.5745942691082378E-3</v>
      </c>
      <c r="R441" s="5" t="s">
        <v>4</v>
      </c>
      <c r="S441" s="100">
        <f ca="1">_xll.meDateFromTenor(S440,"1D","FOLLOWING",T$12)</f>
        <v>43119</v>
      </c>
      <c r="T441" s="13">
        <f ca="1">_xll.meDateFromTenor(S441,T$14,T$11,T$12)</f>
        <v>43486</v>
      </c>
      <c r="U441" s="98">
        <f ca="1"/>
        <v>3.7581086112216042E-4</v>
      </c>
      <c r="V441" s="5" t="s">
        <v>4</v>
      </c>
      <c r="W441" s="84" t="s">
        <v>4</v>
      </c>
    </row>
    <row r="442" spans="1:23" x14ac:dyDescent="0.25">
      <c r="A442" s="90">
        <v>423</v>
      </c>
      <c r="B442" s="83"/>
      <c r="C442" s="100">
        <f ca="1">_xll.meDateFromTenor(C441,"1D","FOLLOWING",D$12)</f>
        <v>43122</v>
      </c>
      <c r="D442" s="13">
        <f ca="1">_xll.meDateFromTenor(C442,D$14,D$11,D$12)</f>
        <v>43123</v>
      </c>
      <c r="E442" s="98">
        <f ca="1"/>
        <v>-4.2454785934387266E-3</v>
      </c>
      <c r="F442" s="94"/>
      <c r="G442" s="100">
        <f ca="1">_xll.meDateFromTenor(G441,"1D","FOLLOWING",H$12)</f>
        <v>43122</v>
      </c>
      <c r="H442" s="13">
        <f ca="1">_xll.meDateFromTenor(G442,H$14,H$11,H$12)</f>
        <v>43153</v>
      </c>
      <c r="I442" s="98">
        <f ca="1"/>
        <v>-3.9321396116395466E-3</v>
      </c>
      <c r="J442" s="94" t="s">
        <v>4</v>
      </c>
      <c r="K442" s="100">
        <f ca="1">_xll.meDateFromTenor(K441,"1D","FOLLOWING",L$12)</f>
        <v>43122</v>
      </c>
      <c r="L442" s="13">
        <f ca="1">_xll.meDateFromTenor(K442,L$14,L$11,L$12)</f>
        <v>43213</v>
      </c>
      <c r="M442" s="98">
        <f ca="1"/>
        <v>-2.0953860720916576E-3</v>
      </c>
      <c r="N442" s="5" t="s">
        <v>4</v>
      </c>
      <c r="O442" s="100">
        <f ca="1">_xll.meDateFromTenor(O441,"1D","FOLLOWING",P$12)</f>
        <v>43122</v>
      </c>
      <c r="P442" s="13">
        <f ca="1">_xll.meDateFromTenor(O442,P$14,P$11,P$12)</f>
        <v>43304</v>
      </c>
      <c r="Q442" s="98">
        <f ca="1"/>
        <v>-1.5674429803607796E-3</v>
      </c>
      <c r="R442" s="5" t="s">
        <v>4</v>
      </c>
      <c r="S442" s="100">
        <f ca="1">_xll.meDateFromTenor(S441,"1D","FOLLOWING",T$12)</f>
        <v>43122</v>
      </c>
      <c r="T442" s="13">
        <f ca="1">_xll.meDateFromTenor(S442,T$14,T$11,T$12)</f>
        <v>43487</v>
      </c>
      <c r="U442" s="98">
        <f ca="1"/>
        <v>3.8440603857800565E-4</v>
      </c>
      <c r="V442" s="5" t="s">
        <v>4</v>
      </c>
      <c r="W442" s="84" t="s">
        <v>4</v>
      </c>
    </row>
    <row r="443" spans="1:23" x14ac:dyDescent="0.25">
      <c r="A443" s="90">
        <v>424</v>
      </c>
      <c r="B443" s="83"/>
      <c r="C443" s="100">
        <f ca="1">_xll.meDateFromTenor(C442,"1D","FOLLOWING",D$12)</f>
        <v>43123</v>
      </c>
      <c r="D443" s="13">
        <f ca="1">_xll.meDateFromTenor(C443,D$14,D$11,D$12)</f>
        <v>43124</v>
      </c>
      <c r="E443" s="98">
        <f ca="1"/>
        <v>-4.2454418875603897E-3</v>
      </c>
      <c r="F443" s="94"/>
      <c r="G443" s="100">
        <f ca="1">_xll.meDateFromTenor(G442,"1D","FOLLOWING",H$12)</f>
        <v>43123</v>
      </c>
      <c r="H443" s="13">
        <f ca="1">_xll.meDateFromTenor(G443,H$14,H$11,H$12)</f>
        <v>43154</v>
      </c>
      <c r="I443" s="98">
        <f ca="1"/>
        <v>-3.9305814294710176E-3</v>
      </c>
      <c r="J443" s="94" t="s">
        <v>4</v>
      </c>
      <c r="K443" s="100">
        <f ca="1">_xll.meDateFromTenor(K442,"1D","FOLLOWING",L$12)</f>
        <v>43123</v>
      </c>
      <c r="L443" s="13">
        <f ca="1">_xll.meDateFromTenor(K443,L$14,L$11,L$12)</f>
        <v>43213</v>
      </c>
      <c r="M443" s="98">
        <f ca="1"/>
        <v>-2.0799610202951561E-3</v>
      </c>
      <c r="N443" s="5" t="s">
        <v>4</v>
      </c>
      <c r="O443" s="100">
        <f ca="1">_xll.meDateFromTenor(O442,"1D","FOLLOWING",P$12)</f>
        <v>43123</v>
      </c>
      <c r="P443" s="13">
        <f ca="1">_xll.meDateFromTenor(O443,P$14,P$11,P$12)</f>
        <v>43304</v>
      </c>
      <c r="Q443" s="98">
        <f ca="1"/>
        <v>-1.5650332856507964E-3</v>
      </c>
      <c r="R443" s="5" t="s">
        <v>4</v>
      </c>
      <c r="S443" s="100">
        <f ca="1">_xll.meDateFromTenor(S442,"1D","FOLLOWING",T$12)</f>
        <v>43123</v>
      </c>
      <c r="T443" s="13">
        <f ca="1">_xll.meDateFromTenor(S443,T$14,T$11,T$12)</f>
        <v>43488</v>
      </c>
      <c r="U443" s="98">
        <f ca="1"/>
        <v>3.8728919616207917E-4</v>
      </c>
      <c r="V443" s="5" t="s">
        <v>4</v>
      </c>
      <c r="W443" s="84" t="s">
        <v>4</v>
      </c>
    </row>
    <row r="444" spans="1:23" x14ac:dyDescent="0.25">
      <c r="A444" s="90">
        <v>425</v>
      </c>
      <c r="B444" s="83"/>
      <c r="C444" s="100">
        <f ca="1">_xll.meDateFromTenor(C443,"1D","FOLLOWING",D$12)</f>
        <v>43124</v>
      </c>
      <c r="D444" s="13">
        <f ca="1">_xll.meDateFromTenor(C444,D$14,D$11,D$12)</f>
        <v>43125</v>
      </c>
      <c r="E444" s="98">
        <f ca="1"/>
        <v>-4.2453901938710606E-3</v>
      </c>
      <c r="F444" s="94"/>
      <c r="G444" s="100">
        <f ca="1">_xll.meDateFromTenor(G443,"1D","FOLLOWING",H$12)</f>
        <v>43124</v>
      </c>
      <c r="H444" s="13">
        <f ca="1">_xll.meDateFromTenor(G444,H$14,H$11,H$12)</f>
        <v>43157</v>
      </c>
      <c r="I444" s="98">
        <f ca="1"/>
        <v>-3.9290009550588039E-3</v>
      </c>
      <c r="J444" s="94" t="s">
        <v>4</v>
      </c>
      <c r="K444" s="100">
        <f ca="1">_xll.meDateFromTenor(K443,"1D","FOLLOWING",L$12)</f>
        <v>43124</v>
      </c>
      <c r="L444" s="13">
        <f ca="1">_xll.meDateFromTenor(K444,L$14,L$11,L$12)</f>
        <v>43214</v>
      </c>
      <c r="M444" s="98">
        <f ca="1"/>
        <v>-2.065439210676135E-3</v>
      </c>
      <c r="N444" s="5" t="s">
        <v>4</v>
      </c>
      <c r="O444" s="100">
        <f ca="1">_xll.meDateFromTenor(O443,"1D","FOLLOWING",P$12)</f>
        <v>43124</v>
      </c>
      <c r="P444" s="13">
        <f ca="1">_xll.meDateFromTenor(O444,P$14,P$11,P$12)</f>
        <v>43305</v>
      </c>
      <c r="Q444" s="98">
        <f ca="1"/>
        <v>-1.5626106884457376E-3</v>
      </c>
      <c r="R444" s="5" t="s">
        <v>4</v>
      </c>
      <c r="S444" s="100">
        <f ca="1">_xll.meDateFromTenor(S443,"1D","FOLLOWING",T$12)</f>
        <v>43124</v>
      </c>
      <c r="T444" s="13">
        <f ca="1">_xll.meDateFromTenor(S444,T$14,T$11,T$12)</f>
        <v>43489</v>
      </c>
      <c r="U444" s="98">
        <f ca="1"/>
        <v>3.9018142023336912E-4</v>
      </c>
      <c r="V444" s="5" t="s">
        <v>4</v>
      </c>
      <c r="W444" s="84" t="s">
        <v>4</v>
      </c>
    </row>
    <row r="445" spans="1:23" x14ac:dyDescent="0.25">
      <c r="A445" s="90">
        <v>426</v>
      </c>
      <c r="B445" s="83"/>
      <c r="C445" s="100">
        <f ca="1">_xll.meDateFromTenor(C444,"1D","FOLLOWING",D$12)</f>
        <v>43125</v>
      </c>
      <c r="D445" s="13">
        <f ca="1">_xll.meDateFromTenor(C445,D$14,D$11,D$12)</f>
        <v>43126</v>
      </c>
      <c r="E445" s="98">
        <f ca="1"/>
        <v>-4.2453235131301318E-3</v>
      </c>
      <c r="F445" s="94"/>
      <c r="G445" s="100">
        <f ca="1">_xll.meDateFromTenor(G444,"1D","FOLLOWING",H$12)</f>
        <v>43125</v>
      </c>
      <c r="H445" s="13">
        <f ca="1">_xll.meDateFromTenor(G445,H$14,H$11,H$12)</f>
        <v>43157</v>
      </c>
      <c r="I445" s="98">
        <f ca="1"/>
        <v>-3.9273970190611459E-3</v>
      </c>
      <c r="J445" s="94" t="s">
        <v>4</v>
      </c>
      <c r="K445" s="100">
        <f ca="1">_xll.meDateFromTenor(K444,"1D","FOLLOWING",L$12)</f>
        <v>43125</v>
      </c>
      <c r="L445" s="13">
        <f ca="1">_xll.meDateFromTenor(K445,L$14,L$11,L$12)</f>
        <v>43215</v>
      </c>
      <c r="M445" s="98">
        <f ca="1"/>
        <v>-2.0518322427617885E-3</v>
      </c>
      <c r="N445" s="5" t="s">
        <v>4</v>
      </c>
      <c r="O445" s="100">
        <f ca="1">_xll.meDateFromTenor(O444,"1D","FOLLOWING",P$12)</f>
        <v>43125</v>
      </c>
      <c r="P445" s="13">
        <f ca="1">_xll.meDateFromTenor(O445,P$14,P$11,P$12)</f>
        <v>43306</v>
      </c>
      <c r="Q445" s="98">
        <f ca="1"/>
        <v>-1.5601752267868059E-3</v>
      </c>
      <c r="R445" s="5" t="s">
        <v>4</v>
      </c>
      <c r="S445" s="100">
        <f ca="1">_xll.meDateFromTenor(S444,"1D","FOLLOWING",T$12)</f>
        <v>43125</v>
      </c>
      <c r="T445" s="13">
        <f ca="1">_xll.meDateFromTenor(S445,T$14,T$11,T$12)</f>
        <v>43490</v>
      </c>
      <c r="U445" s="98">
        <f ca="1"/>
        <v>3.9308272115456727E-4</v>
      </c>
      <c r="V445" s="5" t="s">
        <v>4</v>
      </c>
      <c r="W445" s="84" t="s">
        <v>4</v>
      </c>
    </row>
    <row r="446" spans="1:23" x14ac:dyDescent="0.25">
      <c r="A446" s="90">
        <v>427</v>
      </c>
      <c r="B446" s="83"/>
      <c r="C446" s="100">
        <f ca="1">_xll.meDateFromTenor(C445,"1D","FOLLOWING",D$12)</f>
        <v>43126</v>
      </c>
      <c r="D446" s="13">
        <f ca="1">_xll.meDateFromTenor(C446,D$14,D$11,D$12)</f>
        <v>43129</v>
      </c>
      <c r="E446" s="98">
        <f ca="1"/>
        <v>-4.2450901389967802E-3</v>
      </c>
      <c r="F446" s="94"/>
      <c r="G446" s="100">
        <f ca="1">_xll.meDateFromTenor(G445,"1D","FOLLOWING",H$12)</f>
        <v>43126</v>
      </c>
      <c r="H446" s="13">
        <f ca="1">_xll.meDateFromTenor(G446,H$14,H$11,H$12)</f>
        <v>43157</v>
      </c>
      <c r="I446" s="98">
        <f ca="1"/>
        <v>-3.9257684521362838E-3</v>
      </c>
      <c r="J446" s="94" t="s">
        <v>4</v>
      </c>
      <c r="K446" s="100">
        <f ca="1">_xll.meDateFromTenor(K445,"1D","FOLLOWING",L$12)</f>
        <v>43126</v>
      </c>
      <c r="L446" s="13">
        <f ca="1">_xll.meDateFromTenor(K446,L$14,L$11,L$12)</f>
        <v>43216</v>
      </c>
      <c r="M446" s="98">
        <f ca="1"/>
        <v>-2.0391517160793086E-3</v>
      </c>
      <c r="N446" s="5" t="s">
        <v>4</v>
      </c>
      <c r="O446" s="100">
        <f ca="1">_xll.meDateFromTenor(O445,"1D","FOLLOWING",P$12)</f>
        <v>43126</v>
      </c>
      <c r="P446" s="13">
        <f ca="1">_xll.meDateFromTenor(O446,P$14,P$11,P$12)</f>
        <v>43307</v>
      </c>
      <c r="Q446" s="98">
        <f ca="1"/>
        <v>-1.5577269387152051E-3</v>
      </c>
      <c r="R446" s="5" t="s">
        <v>4</v>
      </c>
      <c r="S446" s="100">
        <f ca="1">_xll.meDateFromTenor(S445,"1D","FOLLOWING",T$12)</f>
        <v>43126</v>
      </c>
      <c r="T446" s="13">
        <f ca="1">_xll.meDateFromTenor(S446,T$14,T$11,T$12)</f>
        <v>43493</v>
      </c>
      <c r="U446" s="98">
        <f ca="1"/>
        <v>3.9599310928836609E-4</v>
      </c>
      <c r="V446" s="5" t="s">
        <v>4</v>
      </c>
      <c r="W446" s="84" t="s">
        <v>4</v>
      </c>
    </row>
    <row r="447" spans="1:23" x14ac:dyDescent="0.25">
      <c r="A447" s="90">
        <v>428</v>
      </c>
      <c r="B447" s="83"/>
      <c r="C447" s="100">
        <f ca="1">_xll.meDateFromTenor(C446,"1D","FOLLOWING",D$12)</f>
        <v>43129</v>
      </c>
      <c r="D447" s="13">
        <f ca="1">_xll.meDateFromTenor(C447,D$14,D$11,D$12)</f>
        <v>43130</v>
      </c>
      <c r="E447" s="98">
        <f ca="1"/>
        <v>-4.244906932240348E-3</v>
      </c>
      <c r="F447" s="94"/>
      <c r="G447" s="100">
        <f ca="1">_xll.meDateFromTenor(G446,"1D","FOLLOWING",H$12)</f>
        <v>43129</v>
      </c>
      <c r="H447" s="13">
        <f ca="1">_xll.meDateFromTenor(G447,H$14,H$11,H$12)</f>
        <v>43159</v>
      </c>
      <c r="I447" s="98">
        <f ca="1"/>
        <v>-3.9207232723808853E-3</v>
      </c>
      <c r="J447" s="94" t="s">
        <v>4</v>
      </c>
      <c r="K447" s="100">
        <f ca="1">_xll.meDateFromTenor(K446,"1D","FOLLOWING",L$12)</f>
        <v>43129</v>
      </c>
      <c r="L447" s="13">
        <f ca="1">_xll.meDateFromTenor(K447,L$14,L$11,L$12)</f>
        <v>43220</v>
      </c>
      <c r="M447" s="98">
        <f ca="1"/>
        <v>-2.0067847786949893E-3</v>
      </c>
      <c r="N447" s="5" t="s">
        <v>4</v>
      </c>
      <c r="O447" s="100">
        <f ca="1">_xll.meDateFromTenor(O446,"1D","FOLLOWING",P$12)</f>
        <v>43129</v>
      </c>
      <c r="P447" s="13">
        <f ca="1">_xll.meDateFromTenor(O447,P$14,P$11,P$12)</f>
        <v>43311</v>
      </c>
      <c r="Q447" s="98">
        <f ca="1"/>
        <v>-1.550305496436422E-3</v>
      </c>
      <c r="R447" s="5" t="s">
        <v>4</v>
      </c>
      <c r="S447" s="100">
        <f ca="1">_xll.meDateFromTenor(S446,"1D","FOLLOWING",T$12)</f>
        <v>43129</v>
      </c>
      <c r="T447" s="13">
        <f ca="1">_xll.meDateFromTenor(S447,T$14,T$11,T$12)</f>
        <v>43494</v>
      </c>
      <c r="U447" s="98">
        <f ca="1"/>
        <v>4.0477890059228982E-4</v>
      </c>
      <c r="V447" s="5" t="s">
        <v>4</v>
      </c>
      <c r="W447" s="84" t="s">
        <v>4</v>
      </c>
    </row>
    <row r="448" spans="1:23" x14ac:dyDescent="0.25">
      <c r="A448" s="90">
        <v>429</v>
      </c>
      <c r="B448" s="83"/>
      <c r="C448" s="100">
        <f ca="1">_xll.meDateFromTenor(C447,"1D","FOLLOWING",D$12)</f>
        <v>43130</v>
      </c>
      <c r="D448" s="13">
        <f ca="1">_xll.meDateFromTenor(C448,D$14,D$11,D$12)</f>
        <v>43131</v>
      </c>
      <c r="E448" s="98">
        <f ca="1"/>
        <v>-4.2447653263932997E-3</v>
      </c>
      <c r="F448" s="94"/>
      <c r="G448" s="100">
        <f ca="1">_xll.meDateFromTenor(G447,"1D","FOLLOWING",H$12)</f>
        <v>43130</v>
      </c>
      <c r="H448" s="13">
        <f ca="1">_xll.meDateFromTenor(G448,H$14,H$11,H$12)</f>
        <v>43159</v>
      </c>
      <c r="I448" s="98">
        <f ca="1"/>
        <v>-3.9189844883296176E-3</v>
      </c>
      <c r="J448" s="94" t="s">
        <v>4</v>
      </c>
      <c r="K448" s="100">
        <f ca="1">_xll.meDateFromTenor(K447,"1D","FOLLOWING",L$12)</f>
        <v>43130</v>
      </c>
      <c r="L448" s="13">
        <f ca="1">_xll.meDateFromTenor(K448,L$14,L$11,L$12)</f>
        <v>43220</v>
      </c>
      <c r="M448" s="98">
        <f ca="1"/>
        <v>-1.9979260122119005E-3</v>
      </c>
      <c r="N448" s="5" t="s">
        <v>4</v>
      </c>
      <c r="O448" s="100">
        <f ca="1">_xll.meDateFromTenor(O447,"1D","FOLLOWING",P$12)</f>
        <v>43130</v>
      </c>
      <c r="P448" s="13">
        <f ca="1">_xll.meDateFromTenor(O448,P$14,P$11,P$12)</f>
        <v>43311</v>
      </c>
      <c r="Q448" s="98">
        <f ca="1"/>
        <v>-1.5478062831261788E-3</v>
      </c>
      <c r="R448" s="5" t="s">
        <v>4</v>
      </c>
      <c r="S448" s="100">
        <f ca="1">_xll.meDateFromTenor(S447,"1D","FOLLOWING",T$12)</f>
        <v>43130</v>
      </c>
      <c r="T448" s="13">
        <f ca="1">_xll.meDateFromTenor(S448,T$14,T$11,T$12)</f>
        <v>43495</v>
      </c>
      <c r="U448" s="98">
        <f ca="1"/>
        <v>4.0772574120341375E-4</v>
      </c>
      <c r="V448" s="5" t="s">
        <v>4</v>
      </c>
      <c r="W448" s="84" t="s">
        <v>4</v>
      </c>
    </row>
    <row r="449" spans="1:23" x14ac:dyDescent="0.25">
      <c r="A449" s="90">
        <v>430</v>
      </c>
      <c r="B449" s="83"/>
      <c r="C449" s="100">
        <f ca="1">_xll.meDateFromTenor(C448,"1D","FOLLOWING",D$12)</f>
        <v>43131</v>
      </c>
      <c r="D449" s="13">
        <f ca="1">_xll.meDateFromTenor(C449,D$14,D$11,D$12)</f>
        <v>43132</v>
      </c>
      <c r="E449" s="98">
        <f ca="1"/>
        <v>-4.2446087374514866E-3</v>
      </c>
      <c r="F449" s="94"/>
      <c r="G449" s="100">
        <f ca="1">_xll.meDateFromTenor(G448,"1D","FOLLOWING",H$12)</f>
        <v>43131</v>
      </c>
      <c r="H449" s="13">
        <f ca="1">_xll.meDateFromTenor(G449,H$14,H$11,H$12)</f>
        <v>43159</v>
      </c>
      <c r="I449" s="98">
        <f ca="1"/>
        <v>-3.9172152266423498E-3</v>
      </c>
      <c r="J449" s="94" t="s">
        <v>4</v>
      </c>
      <c r="K449" s="100">
        <f ca="1">_xll.meDateFromTenor(K448,"1D","FOLLOWING",L$12)</f>
        <v>43131</v>
      </c>
      <c r="L449" s="13">
        <f ca="1">_xll.meDateFromTenor(K449,L$14,L$11,L$12)</f>
        <v>43220</v>
      </c>
      <c r="M449" s="98">
        <f ca="1"/>
        <v>-1.9900516845966403E-3</v>
      </c>
      <c r="N449" s="5" t="s">
        <v>4</v>
      </c>
      <c r="O449" s="100">
        <f ca="1">_xll.meDateFromTenor(O448,"1D","FOLLOWING",P$12)</f>
        <v>43131</v>
      </c>
      <c r="P449" s="13">
        <f ca="1">_xll.meDateFromTenor(O449,P$14,P$11,P$12)</f>
        <v>43312</v>
      </c>
      <c r="Q449" s="98">
        <f ca="1"/>
        <v>-1.5452944336092837E-3</v>
      </c>
      <c r="R449" s="5" t="s">
        <v>4</v>
      </c>
      <c r="S449" s="100">
        <f ca="1">_xll.meDateFromTenor(S448,"1D","FOLLOWING",T$12)</f>
        <v>43131</v>
      </c>
      <c r="T449" s="13">
        <f ca="1">_xll.meDateFromTenor(S449,T$14,T$11,T$12)</f>
        <v>43496</v>
      </c>
      <c r="U449" s="98">
        <f ca="1"/>
        <v>4.1068172084059997E-4</v>
      </c>
      <c r="V449" s="5" t="s">
        <v>4</v>
      </c>
      <c r="W449" s="84" t="s">
        <v>4</v>
      </c>
    </row>
    <row r="450" spans="1:23" x14ac:dyDescent="0.25">
      <c r="A450" s="90">
        <v>431</v>
      </c>
      <c r="B450" s="83"/>
      <c r="C450" s="100">
        <f ca="1">_xll.meDateFromTenor(C449,"1D","FOLLOWING",D$12)</f>
        <v>43132</v>
      </c>
      <c r="D450" s="13">
        <f ca="1">_xll.meDateFromTenor(C450,D$14,D$11,D$12)</f>
        <v>43133</v>
      </c>
      <c r="E450" s="98">
        <f ca="1"/>
        <v>-4.2444371662942052E-3</v>
      </c>
      <c r="F450" s="94"/>
      <c r="G450" s="100">
        <f ca="1">_xll.meDateFromTenor(G449,"1D","FOLLOWING",H$12)</f>
        <v>43132</v>
      </c>
      <c r="H450" s="13">
        <f ca="1">_xll.meDateFromTenor(G450,H$14,H$11,H$12)</f>
        <v>43160</v>
      </c>
      <c r="I450" s="98">
        <f ca="1"/>
        <v>-3.915414317977324E-3</v>
      </c>
      <c r="J450" s="94" t="s">
        <v>4</v>
      </c>
      <c r="K450" s="100">
        <f ca="1">_xll.meDateFromTenor(K449,"1D","FOLLOWING",L$12)</f>
        <v>43132</v>
      </c>
      <c r="L450" s="13">
        <f ca="1">_xll.meDateFromTenor(K450,L$14,L$11,L$12)</f>
        <v>43222</v>
      </c>
      <c r="M450" s="98">
        <f ca="1"/>
        <v>-1.9831733953764026E-3</v>
      </c>
      <c r="N450" s="5" t="s">
        <v>4</v>
      </c>
      <c r="O450" s="100">
        <f ca="1">_xll.meDateFromTenor(O449,"1D","FOLLOWING",P$12)</f>
        <v>43132</v>
      </c>
      <c r="P450" s="13">
        <f ca="1">_xll.meDateFromTenor(O450,P$14,P$11,P$12)</f>
        <v>43313</v>
      </c>
      <c r="Q450" s="98">
        <f ca="1"/>
        <v>-1.5427699859269397E-3</v>
      </c>
      <c r="R450" s="5" t="s">
        <v>4</v>
      </c>
      <c r="S450" s="100">
        <f ca="1">_xll.meDateFromTenor(S449,"1D","FOLLOWING",T$12)</f>
        <v>43132</v>
      </c>
      <c r="T450" s="13">
        <f ca="1">_xll.meDateFromTenor(S450,T$14,T$11,T$12)</f>
        <v>43497</v>
      </c>
      <c r="U450" s="98">
        <f ca="1"/>
        <v>4.1364684986654009E-4</v>
      </c>
      <c r="V450" s="5" t="s">
        <v>4</v>
      </c>
      <c r="W450" s="84" t="s">
        <v>4</v>
      </c>
    </row>
    <row r="451" spans="1:23" x14ac:dyDescent="0.25">
      <c r="A451" s="90">
        <v>432</v>
      </c>
      <c r="B451" s="83"/>
      <c r="C451" s="100">
        <f ca="1">_xll.meDateFromTenor(C450,"1D","FOLLOWING",D$12)</f>
        <v>43133</v>
      </c>
      <c r="D451" s="13">
        <f ca="1">_xll.meDateFromTenor(C451,D$14,D$11,D$12)</f>
        <v>43136</v>
      </c>
      <c r="E451" s="98">
        <f ca="1"/>
        <v>-4.2439940541605528E-3</v>
      </c>
      <c r="F451" s="94"/>
      <c r="G451" s="100">
        <f ca="1">_xll.meDateFromTenor(G450,"1D","FOLLOWING",H$12)</f>
        <v>43133</v>
      </c>
      <c r="H451" s="13">
        <f ca="1">_xll.meDateFromTenor(G451,H$14,H$11,H$12)</f>
        <v>43161</v>
      </c>
      <c r="I451" s="98">
        <f ca="1"/>
        <v>-3.9135805929927797E-3</v>
      </c>
      <c r="J451" s="94" t="s">
        <v>4</v>
      </c>
      <c r="K451" s="100">
        <f ca="1">_xll.meDateFromTenor(K450,"1D","FOLLOWING",L$12)</f>
        <v>43133</v>
      </c>
      <c r="L451" s="13">
        <f ca="1">_xll.meDateFromTenor(K451,L$14,L$11,L$12)</f>
        <v>43222</v>
      </c>
      <c r="M451" s="98">
        <f ca="1"/>
        <v>-1.9773027440783807E-3</v>
      </c>
      <c r="N451" s="5" t="s">
        <v>4</v>
      </c>
      <c r="O451" s="100">
        <f ca="1">_xll.meDateFromTenor(O450,"1D","FOLLOWING",P$12)</f>
        <v>43133</v>
      </c>
      <c r="P451" s="13">
        <f ca="1">_xll.meDateFromTenor(O451,P$14,P$11,P$12)</f>
        <v>43314</v>
      </c>
      <c r="Q451" s="98">
        <f ca="1"/>
        <v>-1.5402329781203511E-3</v>
      </c>
      <c r="R451" s="5" t="s">
        <v>4</v>
      </c>
      <c r="S451" s="100">
        <f ca="1">_xll.meDateFromTenor(S450,"1D","FOLLOWING",T$12)</f>
        <v>43133</v>
      </c>
      <c r="T451" s="13">
        <f ca="1">_xll.meDateFromTenor(S451,T$14,T$11,T$12)</f>
        <v>43500</v>
      </c>
      <c r="U451" s="98">
        <f ca="1"/>
        <v>4.1662113864392636E-4</v>
      </c>
      <c r="V451" s="5" t="s">
        <v>4</v>
      </c>
      <c r="W451" s="84" t="s">
        <v>4</v>
      </c>
    </row>
    <row r="452" spans="1:23" x14ac:dyDescent="0.25">
      <c r="A452" s="90">
        <v>433</v>
      </c>
      <c r="B452" s="83"/>
      <c r="C452" s="100">
        <f ca="1">_xll.meDateFromTenor(C451,"1D","FOLLOWING",D$12)</f>
        <v>43136</v>
      </c>
      <c r="D452" s="13">
        <f ca="1">_xll.meDateFromTenor(C452,D$14,D$11,D$12)</f>
        <v>43137</v>
      </c>
      <c r="E452" s="98">
        <f ca="1"/>
        <v>-4.2436010741386957E-3</v>
      </c>
      <c r="F452" s="94"/>
      <c r="G452" s="100">
        <f ca="1">_xll.meDateFromTenor(G451,"1D","FOLLOWING",H$12)</f>
        <v>43136</v>
      </c>
      <c r="H452" s="13">
        <f ca="1">_xll.meDateFromTenor(G452,H$14,H$11,H$12)</f>
        <v>43164</v>
      </c>
      <c r="I452" s="98">
        <f ca="1"/>
        <v>-3.9078837981361024E-3</v>
      </c>
      <c r="J452" s="94" t="s">
        <v>4</v>
      </c>
      <c r="K452" s="100">
        <f ca="1">_xll.meDateFromTenor(K451,"1D","FOLLOWING",L$12)</f>
        <v>43136</v>
      </c>
      <c r="L452" s="13">
        <f ca="1">_xll.meDateFromTenor(K452,L$14,L$11,L$12)</f>
        <v>43227</v>
      </c>
      <c r="M452" s="98">
        <f ca="1"/>
        <v>-1.9658526129895312E-3</v>
      </c>
      <c r="N452" s="5" t="s">
        <v>4</v>
      </c>
      <c r="O452" s="100">
        <f ca="1">_xll.meDateFromTenor(O451,"1D","FOLLOWING",P$12)</f>
        <v>43136</v>
      </c>
      <c r="P452" s="13">
        <f ca="1">_xll.meDateFromTenor(O452,P$14,P$11,P$12)</f>
        <v>43318</v>
      </c>
      <c r="Q452" s="98">
        <f ca="1"/>
        <v>-1.5325469743671478E-3</v>
      </c>
      <c r="R452" s="5" t="s">
        <v>4</v>
      </c>
      <c r="S452" s="100">
        <f ca="1">_xll.meDateFromTenor(S451,"1D","FOLLOWING",T$12)</f>
        <v>43136</v>
      </c>
      <c r="T452" s="13">
        <f ca="1">_xll.meDateFromTenor(S452,T$14,T$11,T$12)</f>
        <v>43501</v>
      </c>
      <c r="U452" s="98">
        <f ca="1"/>
        <v>4.2559906711168549E-4</v>
      </c>
      <c r="V452" s="5" t="s">
        <v>4</v>
      </c>
      <c r="W452" s="84" t="s">
        <v>4</v>
      </c>
    </row>
    <row r="453" spans="1:23" x14ac:dyDescent="0.25">
      <c r="A453" s="90">
        <v>434</v>
      </c>
      <c r="B453" s="83"/>
      <c r="C453" s="100">
        <f ca="1">_xll.meDateFromTenor(C452,"1D","FOLLOWING",D$12)</f>
        <v>43137</v>
      </c>
      <c r="D453" s="13">
        <f ca="1">_xll.meDateFromTenor(C453,D$14,D$11,D$12)</f>
        <v>43138</v>
      </c>
      <c r="E453" s="98">
        <f ca="1"/>
        <v>-4.2433546027354089E-3</v>
      </c>
      <c r="F453" s="94"/>
      <c r="G453" s="100">
        <f ca="1">_xll.meDateFromTenor(G452,"1D","FOLLOWING",H$12)</f>
        <v>43137</v>
      </c>
      <c r="H453" s="13">
        <f ca="1">_xll.meDateFromTenor(G453,H$14,H$11,H$12)</f>
        <v>43165</v>
      </c>
      <c r="I453" s="98">
        <f ca="1"/>
        <v>-3.9059248901214963E-3</v>
      </c>
      <c r="J453" s="94" t="s">
        <v>4</v>
      </c>
      <c r="K453" s="100">
        <f ca="1">_xll.meDateFromTenor(K452,"1D","FOLLOWING",L$12)</f>
        <v>43137</v>
      </c>
      <c r="L453" s="13">
        <f ca="1">_xll.meDateFromTenor(K453,L$14,L$11,L$12)</f>
        <v>43227</v>
      </c>
      <c r="M453" s="98">
        <f ca="1"/>
        <v>-1.9641285086522964E-3</v>
      </c>
      <c r="N453" s="5" t="s">
        <v>4</v>
      </c>
      <c r="O453" s="100">
        <f ca="1">_xll.meDateFromTenor(O452,"1D","FOLLOWING",P$12)</f>
        <v>43137</v>
      </c>
      <c r="P453" s="13">
        <f ca="1">_xll.meDateFromTenor(O453,P$14,P$11,P$12)</f>
        <v>43318</v>
      </c>
      <c r="Q453" s="98">
        <f ca="1"/>
        <v>-1.5299601064756123E-3</v>
      </c>
      <c r="R453" s="5" t="s">
        <v>4</v>
      </c>
      <c r="S453" s="100">
        <f ca="1">_xll.meDateFromTenor(S452,"1D","FOLLOWING",T$12)</f>
        <v>43137</v>
      </c>
      <c r="T453" s="13">
        <f ca="1">_xll.meDateFromTenor(S453,T$14,T$11,T$12)</f>
        <v>43502</v>
      </c>
      <c r="U453" s="98">
        <f ca="1"/>
        <v>4.2861009852177944E-4</v>
      </c>
      <c r="V453" s="5" t="s">
        <v>4</v>
      </c>
      <c r="W453" s="84" t="s">
        <v>4</v>
      </c>
    </row>
    <row r="454" spans="1:23" x14ac:dyDescent="0.25">
      <c r="A454" s="90">
        <v>435</v>
      </c>
      <c r="B454" s="83"/>
      <c r="C454" s="100">
        <f ca="1">_xll.meDateFromTenor(C453,"1D","FOLLOWING",D$12)</f>
        <v>43138</v>
      </c>
      <c r="D454" s="13">
        <f ca="1">_xll.meDateFromTenor(C454,D$14,D$11,D$12)</f>
        <v>43139</v>
      </c>
      <c r="E454" s="98">
        <f ca="1"/>
        <v>-4.2430931531134567E-3</v>
      </c>
      <c r="F454" s="94"/>
      <c r="G454" s="100">
        <f ca="1">_xll.meDateFromTenor(G453,"1D","FOLLOWING",H$12)</f>
        <v>43138</v>
      </c>
      <c r="H454" s="13">
        <f ca="1">_xll.meDateFromTenor(G454,H$14,H$11,H$12)</f>
        <v>43166</v>
      </c>
      <c r="I454" s="98">
        <f ca="1"/>
        <v>-3.9039388492400468E-3</v>
      </c>
      <c r="J454" s="94" t="s">
        <v>4</v>
      </c>
      <c r="K454" s="100">
        <f ca="1">_xll.meDateFromTenor(K453,"1D","FOLLOWING",L$12)</f>
        <v>43138</v>
      </c>
      <c r="L454" s="13">
        <f ca="1">_xll.meDateFromTenor(K454,L$14,L$11,L$12)</f>
        <v>43227</v>
      </c>
      <c r="M454" s="98">
        <f ca="1"/>
        <v>-1.9634700398732403E-3</v>
      </c>
      <c r="N454" s="5" t="s">
        <v>4</v>
      </c>
      <c r="O454" s="100">
        <f ca="1">_xll.meDateFromTenor(O453,"1D","FOLLOWING",P$12)</f>
        <v>43138</v>
      </c>
      <c r="P454" s="13">
        <f ca="1">_xll.meDateFromTenor(O454,P$14,P$11,P$12)</f>
        <v>43319</v>
      </c>
      <c r="Q454" s="98">
        <f ca="1"/>
        <v>-1.5273608686658493E-3</v>
      </c>
      <c r="R454" s="5" t="s">
        <v>4</v>
      </c>
      <c r="S454" s="100">
        <f ca="1">_xll.meDateFromTenor(S453,"1D","FOLLOWING",T$12)</f>
        <v>43138</v>
      </c>
      <c r="T454" s="13">
        <f ca="1">_xll.meDateFromTenor(S454,T$14,T$11,T$12)</f>
        <v>43503</v>
      </c>
      <c r="U454" s="98">
        <f ca="1"/>
        <v>4.3163034149678052E-4</v>
      </c>
      <c r="V454" s="5" t="s">
        <v>4</v>
      </c>
      <c r="W454" s="84" t="s">
        <v>4</v>
      </c>
    </row>
    <row r="455" spans="1:23" x14ac:dyDescent="0.25">
      <c r="A455" s="90">
        <v>436</v>
      </c>
      <c r="B455" s="83"/>
      <c r="C455" s="100">
        <f ca="1">_xll.meDateFromTenor(C454,"1D","FOLLOWING",D$12)</f>
        <v>43139</v>
      </c>
      <c r="D455" s="13">
        <f ca="1">_xll.meDateFromTenor(C455,D$14,D$11,D$12)</f>
        <v>43140</v>
      </c>
      <c r="E455" s="98">
        <f ca="1"/>
        <v>-4.2428167263916048E-3</v>
      </c>
      <c r="F455" s="94"/>
      <c r="G455" s="100">
        <f ca="1">_xll.meDateFromTenor(G454,"1D","FOLLOWING",H$12)</f>
        <v>43139</v>
      </c>
      <c r="H455" s="13">
        <f ca="1">_xll.meDateFromTenor(G455,H$14,H$11,H$12)</f>
        <v>43167</v>
      </c>
      <c r="I455" s="98">
        <f ca="1"/>
        <v>-3.9019273886903619E-3</v>
      </c>
      <c r="J455" s="94" t="s">
        <v>4</v>
      </c>
      <c r="K455" s="100">
        <f ca="1">_xll.meDateFromTenor(K454,"1D","FOLLOWING",L$12)</f>
        <v>43139</v>
      </c>
      <c r="L455" s="13">
        <f ca="1">_xll.meDateFromTenor(K455,L$14,L$11,L$12)</f>
        <v>43228</v>
      </c>
      <c r="M455" s="98">
        <f ca="1"/>
        <v>-1.963888806179555E-3</v>
      </c>
      <c r="N455" s="5" t="s">
        <v>4</v>
      </c>
      <c r="O455" s="100">
        <f ca="1">_xll.meDateFromTenor(O454,"1D","FOLLOWING",P$12)</f>
        <v>43139</v>
      </c>
      <c r="P455" s="13">
        <f ca="1">_xll.meDateFromTenor(O455,P$14,P$11,P$12)</f>
        <v>43320</v>
      </c>
      <c r="Q455" s="98">
        <f ca="1"/>
        <v>-1.5247492989790617E-3</v>
      </c>
      <c r="R455" s="5" t="s">
        <v>4</v>
      </c>
      <c r="S455" s="100">
        <f ca="1">_xll.meDateFromTenor(S454,"1D","FOLLOWING",T$12)</f>
        <v>43139</v>
      </c>
      <c r="T455" s="13">
        <f ca="1">_xll.meDateFromTenor(S455,T$14,T$11,T$12)</f>
        <v>43504</v>
      </c>
      <c r="U455" s="98">
        <f ca="1"/>
        <v>4.3465980639938119E-4</v>
      </c>
      <c r="V455" s="5" t="s">
        <v>4</v>
      </c>
      <c r="W455" s="84" t="s">
        <v>4</v>
      </c>
    </row>
    <row r="456" spans="1:23" x14ac:dyDescent="0.25">
      <c r="A456" s="90">
        <v>437</v>
      </c>
      <c r="B456" s="83"/>
      <c r="C456" s="100">
        <f ca="1">_xll.meDateFromTenor(C455,"1D","FOLLOWING",D$12)</f>
        <v>43140</v>
      </c>
      <c r="D456" s="13">
        <f ca="1">_xll.meDateFromTenor(C456,D$14,D$11,D$12)</f>
        <v>43143</v>
      </c>
      <c r="E456" s="98">
        <f ca="1"/>
        <v>-4.2421639626155786E-3</v>
      </c>
      <c r="F456" s="94"/>
      <c r="G456" s="100">
        <f ca="1">_xll.meDateFromTenor(G455,"1D","FOLLOWING",H$12)</f>
        <v>43140</v>
      </c>
      <c r="H456" s="13">
        <f ca="1">_xll.meDateFromTenor(G456,H$14,H$11,H$12)</f>
        <v>43168</v>
      </c>
      <c r="I456" s="98">
        <f ca="1"/>
        <v>-3.8998922216710516E-3</v>
      </c>
      <c r="J456" s="94" t="s">
        <v>4</v>
      </c>
      <c r="K456" s="100">
        <f ca="1">_xll.meDateFromTenor(K455,"1D","FOLLOWING",L$12)</f>
        <v>43140</v>
      </c>
      <c r="L456" s="13">
        <f ca="1">_xll.meDateFromTenor(K456,L$14,L$11,L$12)</f>
        <v>43229</v>
      </c>
      <c r="M456" s="98">
        <f ca="1"/>
        <v>-1.9653964070984343E-3</v>
      </c>
      <c r="N456" s="5" t="s">
        <v>4</v>
      </c>
      <c r="O456" s="100">
        <f ca="1">_xll.meDateFromTenor(O455,"1D","FOLLOWING",P$12)</f>
        <v>43140</v>
      </c>
      <c r="P456" s="13">
        <f ca="1">_xll.meDateFromTenor(O456,P$14,P$11,P$12)</f>
        <v>43321</v>
      </c>
      <c r="Q456" s="98">
        <f ca="1"/>
        <v>-1.5221254354564528E-3</v>
      </c>
      <c r="R456" s="5" t="s">
        <v>4</v>
      </c>
      <c r="S456" s="100">
        <f ca="1">_xll.meDateFromTenor(S455,"1D","FOLLOWING",T$12)</f>
        <v>43140</v>
      </c>
      <c r="T456" s="13">
        <f ca="1">_xll.meDateFromTenor(S456,T$14,T$11,T$12)</f>
        <v>43507</v>
      </c>
      <c r="U456" s="98">
        <f ca="1"/>
        <v>4.3769850359227415E-4</v>
      </c>
      <c r="V456" s="5" t="s">
        <v>4</v>
      </c>
      <c r="W456" s="84" t="s">
        <v>4</v>
      </c>
    </row>
    <row r="457" spans="1:23" x14ac:dyDescent="0.25">
      <c r="A457" s="90">
        <v>438</v>
      </c>
      <c r="B457" s="83"/>
      <c r="C457" s="100">
        <f ca="1">_xll.meDateFromTenor(C456,"1D","FOLLOWING",D$12)</f>
        <v>43143</v>
      </c>
      <c r="D457" s="13">
        <f ca="1">_xll.meDateFromTenor(C457,D$14,D$11,D$12)</f>
        <v>43144</v>
      </c>
      <c r="E457" s="98">
        <f ca="1"/>
        <v>-4.2415612610202805E-3</v>
      </c>
      <c r="F457" s="94"/>
      <c r="G457" s="100">
        <f ca="1">_xll.meDateFromTenor(G456,"1D","FOLLOWING",H$12)</f>
        <v>43143</v>
      </c>
      <c r="H457" s="13">
        <f ca="1">_xll.meDateFromTenor(G457,H$14,H$11,H$12)</f>
        <v>43171</v>
      </c>
      <c r="I457" s="98">
        <f ca="1"/>
        <v>-3.8936616137814472E-3</v>
      </c>
      <c r="J457" s="94" t="s">
        <v>4</v>
      </c>
      <c r="K457" s="100">
        <f ca="1">_xll.meDateFromTenor(K456,"1D","FOLLOWING",L$12)</f>
        <v>43143</v>
      </c>
      <c r="L457" s="13">
        <f ca="1">_xll.meDateFromTenor(K457,L$14,L$11,L$12)</f>
        <v>43234</v>
      </c>
      <c r="M457" s="98">
        <f ca="1"/>
        <v>-1.9765682128023822E-3</v>
      </c>
      <c r="N457" s="5" t="s">
        <v>4</v>
      </c>
      <c r="O457" s="100">
        <f ca="1">_xll.meDateFromTenor(O456,"1D","FOLLOWING",P$12)</f>
        <v>43143</v>
      </c>
      <c r="P457" s="13">
        <f ca="1">_xll.meDateFromTenor(O457,P$14,P$11,P$12)</f>
        <v>43325</v>
      </c>
      <c r="Q457" s="98">
        <f ca="1"/>
        <v>-1.5141804622857342E-3</v>
      </c>
      <c r="R457" s="5" t="s">
        <v>4</v>
      </c>
      <c r="S457" s="100">
        <f ca="1">_xll.meDateFromTenor(S456,"1D","FOLLOWING",T$12)</f>
        <v>43143</v>
      </c>
      <c r="T457" s="13">
        <f ca="1">_xll.meDateFromTenor(S457,T$14,T$11,T$12)</f>
        <v>43508</v>
      </c>
      <c r="U457" s="98">
        <f ca="1"/>
        <v>4.4687009253962596E-4</v>
      </c>
      <c r="V457" s="5" t="s">
        <v>4</v>
      </c>
      <c r="W457" s="84" t="s">
        <v>4</v>
      </c>
    </row>
    <row r="458" spans="1:23" x14ac:dyDescent="0.25">
      <c r="A458" s="90">
        <v>439</v>
      </c>
      <c r="B458" s="83"/>
      <c r="C458" s="100">
        <f ca="1">_xll.meDateFromTenor(C457,"1D","FOLLOWING",D$12)</f>
        <v>43144</v>
      </c>
      <c r="D458" s="13">
        <f ca="1">_xll.meDateFromTenor(C458,D$14,D$11,D$12)</f>
        <v>43145</v>
      </c>
      <c r="E458" s="98">
        <f ca="1"/>
        <v>-4.2412099587530042E-3</v>
      </c>
      <c r="F458" s="94"/>
      <c r="G458" s="100">
        <f ca="1">_xll.meDateFromTenor(G457,"1D","FOLLOWING",H$12)</f>
        <v>43144</v>
      </c>
      <c r="H458" s="13">
        <f ca="1">_xll.meDateFromTenor(G458,H$14,H$11,H$12)</f>
        <v>43172</v>
      </c>
      <c r="I458" s="98">
        <f ca="1"/>
        <v>-3.891548752869717E-3</v>
      </c>
      <c r="J458" s="94" t="s">
        <v>4</v>
      </c>
      <c r="K458" s="100">
        <f ca="1">_xll.meDateFromTenor(K457,"1D","FOLLOWING",L$12)</f>
        <v>43144</v>
      </c>
      <c r="L458" s="13">
        <f ca="1">_xll.meDateFromTenor(K458,L$14,L$11,L$12)</f>
        <v>43234</v>
      </c>
      <c r="M458" s="98">
        <f ca="1"/>
        <v>-1.9825471474434445E-3</v>
      </c>
      <c r="N458" s="5" t="s">
        <v>4</v>
      </c>
      <c r="O458" s="100">
        <f ca="1">_xll.meDateFromTenor(O457,"1D","FOLLOWING",P$12)</f>
        <v>43144</v>
      </c>
      <c r="P458" s="13">
        <f ca="1">_xll.meDateFromTenor(O458,P$14,P$11,P$12)</f>
        <v>43325</v>
      </c>
      <c r="Q458" s="98">
        <f ca="1"/>
        <v>-1.5115078038318752E-3</v>
      </c>
      <c r="R458" s="5" t="s">
        <v>4</v>
      </c>
      <c r="S458" s="100">
        <f ca="1">_xll.meDateFromTenor(S457,"1D","FOLLOWING",T$12)</f>
        <v>43144</v>
      </c>
      <c r="T458" s="13">
        <f ca="1">_xll.meDateFromTenor(S458,T$14,T$11,T$12)</f>
        <v>43509</v>
      </c>
      <c r="U458" s="98">
        <f ca="1"/>
        <v>4.4994582252060836E-4</v>
      </c>
      <c r="V458" s="5" t="s">
        <v>4</v>
      </c>
      <c r="W458" s="84" t="s">
        <v>4</v>
      </c>
    </row>
    <row r="459" spans="1:23" x14ac:dyDescent="0.25">
      <c r="A459" s="90">
        <v>440</v>
      </c>
      <c r="B459" s="83"/>
      <c r="C459" s="100">
        <f ca="1">_xll.meDateFromTenor(C458,"1D","FOLLOWING",D$12)</f>
        <v>43145</v>
      </c>
      <c r="D459" s="13">
        <f ca="1">_xll.meDateFromTenor(C459,D$14,D$11,D$12)</f>
        <v>43146</v>
      </c>
      <c r="E459" s="98">
        <f ca="1"/>
        <v>-4.2408436832230981E-3</v>
      </c>
      <c r="F459" s="94"/>
      <c r="G459" s="100">
        <f ca="1">_xll.meDateFromTenor(G458,"1D","FOLLOWING",H$12)</f>
        <v>43145</v>
      </c>
      <c r="H459" s="13">
        <f ca="1">_xll.meDateFromTenor(G459,H$14,H$11,H$12)</f>
        <v>43173</v>
      </c>
      <c r="I459" s="98">
        <f ca="1"/>
        <v>-3.8894207514814029E-3</v>
      </c>
      <c r="J459" s="94" t="s">
        <v>4</v>
      </c>
      <c r="K459" s="100">
        <f ca="1">_xll.meDateFromTenor(K458,"1D","FOLLOWING",L$12)</f>
        <v>43145</v>
      </c>
      <c r="L459" s="13">
        <f ca="1">_xll.meDateFromTenor(K459,L$14,L$11,L$12)</f>
        <v>43234</v>
      </c>
      <c r="M459" s="98">
        <f ca="1"/>
        <v>-1.9896729143330343E-3</v>
      </c>
      <c r="N459" s="5" t="s">
        <v>4</v>
      </c>
      <c r="O459" s="100">
        <f ca="1">_xll.meDateFromTenor(O458,"1D","FOLLOWING",P$12)</f>
        <v>43145</v>
      </c>
      <c r="P459" s="13">
        <f ca="1">_xll.meDateFromTenor(O459,P$14,P$11,P$12)</f>
        <v>43326</v>
      </c>
      <c r="Q459" s="98">
        <f ca="1"/>
        <v>-1.5088230417482124E-3</v>
      </c>
      <c r="R459" s="5" t="s">
        <v>4</v>
      </c>
      <c r="S459" s="100">
        <f ca="1">_xll.meDateFromTenor(S458,"1D","FOLLOWING",T$12)</f>
        <v>43145</v>
      </c>
      <c r="T459" s="13">
        <f ca="1">_xll.meDateFromTenor(S459,T$14,T$11,T$12)</f>
        <v>43510</v>
      </c>
      <c r="U459" s="98">
        <f ca="1"/>
        <v>4.530308366053438E-4</v>
      </c>
      <c r="V459" s="5" t="s">
        <v>4</v>
      </c>
      <c r="W459" s="84" t="s">
        <v>4</v>
      </c>
    </row>
    <row r="460" spans="1:23" x14ac:dyDescent="0.25">
      <c r="A460" s="90">
        <v>441</v>
      </c>
      <c r="B460" s="83"/>
      <c r="C460" s="100">
        <f ca="1">_xll.meDateFromTenor(C459,"1D","FOLLOWING",D$12)</f>
        <v>43146</v>
      </c>
      <c r="D460" s="13">
        <f ca="1">_xll.meDateFromTenor(C460,D$14,D$11,D$12)</f>
        <v>43147</v>
      </c>
      <c r="E460" s="98">
        <f ca="1"/>
        <v>-4.240462435469731E-3</v>
      </c>
      <c r="F460" s="94"/>
      <c r="G460" s="100">
        <f ca="1">_xll.meDateFromTenor(G459,"1D","FOLLOWING",H$12)</f>
        <v>43146</v>
      </c>
      <c r="H460" s="13">
        <f ca="1">_xll.meDateFromTenor(G460,H$14,H$11,H$12)</f>
        <v>43174</v>
      </c>
      <c r="I460" s="98">
        <f ca="1"/>
        <v>-3.8872793228151127E-3</v>
      </c>
      <c r="J460" s="94" t="s">
        <v>4</v>
      </c>
      <c r="K460" s="100">
        <f ca="1">_xll.meDateFromTenor(K459,"1D","FOLLOWING",L$12)</f>
        <v>43146</v>
      </c>
      <c r="L460" s="13">
        <f ca="1">_xll.meDateFromTenor(K460,L$14,L$11,L$12)</f>
        <v>43235</v>
      </c>
      <c r="M460" s="98">
        <f ca="1"/>
        <v>-1.997957112998344E-3</v>
      </c>
      <c r="N460" s="5" t="s">
        <v>4</v>
      </c>
      <c r="O460" s="100">
        <f ca="1">_xll.meDateFromTenor(O459,"1D","FOLLOWING",P$12)</f>
        <v>43146</v>
      </c>
      <c r="P460" s="13">
        <f ca="1">_xll.meDateFromTenor(O460,P$14,P$11,P$12)</f>
        <v>43327</v>
      </c>
      <c r="Q460" s="98">
        <f ca="1"/>
        <v>-1.5061262140759486E-3</v>
      </c>
      <c r="R460" s="5" t="s">
        <v>4</v>
      </c>
      <c r="S460" s="100">
        <f ca="1">_xll.meDateFromTenor(S459,"1D","FOLLOWING",T$12)</f>
        <v>43146</v>
      </c>
      <c r="T460" s="13">
        <f ca="1">_xll.meDateFromTenor(S460,T$14,T$11,T$12)</f>
        <v>43511</v>
      </c>
      <c r="U460" s="98">
        <f ca="1"/>
        <v>4.5612514515652465E-4</v>
      </c>
      <c r="V460" s="5" t="s">
        <v>4</v>
      </c>
      <c r="W460" s="84" t="s">
        <v>4</v>
      </c>
    </row>
    <row r="461" spans="1:23" x14ac:dyDescent="0.25">
      <c r="A461" s="90">
        <v>442</v>
      </c>
      <c r="B461" s="83"/>
      <c r="C461" s="100">
        <f ca="1">_xll.meDateFromTenor(C460,"1D","FOLLOWING",D$12)</f>
        <v>43147</v>
      </c>
      <c r="D461" s="13">
        <f ca="1">_xll.meDateFromTenor(C461,D$14,D$11,D$12)</f>
        <v>43150</v>
      </c>
      <c r="E461" s="98">
        <f ca="1"/>
        <v>-4.2396001063682723E-3</v>
      </c>
      <c r="F461" s="94"/>
      <c r="G461" s="100">
        <f ca="1">_xll.meDateFromTenor(G460,"1D","FOLLOWING",H$12)</f>
        <v>43147</v>
      </c>
      <c r="H461" s="13">
        <f ca="1">_xll.meDateFromTenor(G461,H$14,H$11,H$12)</f>
        <v>43175</v>
      </c>
      <c r="I461" s="98">
        <f ca="1"/>
        <v>-3.8851261800694563E-3</v>
      </c>
      <c r="J461" s="94" t="s">
        <v>4</v>
      </c>
      <c r="K461" s="100">
        <f ca="1">_xll.meDateFromTenor(K460,"1D","FOLLOWING",L$12)</f>
        <v>43147</v>
      </c>
      <c r="L461" s="13">
        <f ca="1">_xll.meDateFromTenor(K461,L$14,L$11,L$12)</f>
        <v>43236</v>
      </c>
      <c r="M461" s="98">
        <f ca="1"/>
        <v>-2.0074113429665672E-3</v>
      </c>
      <c r="N461" s="5" t="s">
        <v>4</v>
      </c>
      <c r="O461" s="100">
        <f ca="1">_xll.meDateFromTenor(O460,"1D","FOLLOWING",P$12)</f>
        <v>43147</v>
      </c>
      <c r="P461" s="13">
        <f ca="1">_xll.meDateFromTenor(O461,P$14,P$11,P$12)</f>
        <v>43328</v>
      </c>
      <c r="Q461" s="98">
        <f ca="1"/>
        <v>-1.5034173588562882E-3</v>
      </c>
      <c r="R461" s="5" t="s">
        <v>4</v>
      </c>
      <c r="S461" s="100">
        <f ca="1">_xll.meDateFromTenor(S460,"1D","FOLLOWING",T$12)</f>
        <v>43147</v>
      </c>
      <c r="T461" s="13">
        <f ca="1">_xll.meDateFromTenor(S461,T$14,T$11,T$12)</f>
        <v>43514</v>
      </c>
      <c r="U461" s="98">
        <f ca="1"/>
        <v>4.5922875853684261E-4</v>
      </c>
      <c r="V461" s="5" t="s">
        <v>4</v>
      </c>
      <c r="W461" s="84" t="s">
        <v>4</v>
      </c>
    </row>
    <row r="462" spans="1:23" x14ac:dyDescent="0.25">
      <c r="A462" s="90">
        <v>443</v>
      </c>
      <c r="B462" s="83"/>
      <c r="C462" s="100">
        <f ca="1">_xll.meDateFromTenor(C461,"1D","FOLLOWING",D$12)</f>
        <v>43150</v>
      </c>
      <c r="D462" s="13">
        <f ca="1">_xll.meDateFromTenor(C462,D$14,D$11,D$12)</f>
        <v>43151</v>
      </c>
      <c r="E462" s="98">
        <f ca="1"/>
        <v>-4.2387877352112616E-3</v>
      </c>
      <c r="F462" s="94"/>
      <c r="G462" s="100">
        <f ca="1">_xll.meDateFromTenor(G461,"1D","FOLLOWING",H$12)</f>
        <v>43150</v>
      </c>
      <c r="H462" s="13">
        <f ca="1">_xll.meDateFromTenor(G462,H$14,H$11,H$12)</f>
        <v>43178</v>
      </c>
      <c r="I462" s="98">
        <f ca="1"/>
        <v>-3.8786135993423708E-3</v>
      </c>
      <c r="J462" s="94" t="s">
        <v>4</v>
      </c>
      <c r="K462" s="100">
        <f ca="1">_xll.meDateFromTenor(K461,"1D","FOLLOWING",L$12)</f>
        <v>43150</v>
      </c>
      <c r="L462" s="13">
        <f ca="1">_xll.meDateFromTenor(K462,L$14,L$11,L$12)</f>
        <v>43241</v>
      </c>
      <c r="M462" s="98">
        <f ca="1"/>
        <v>-2.0429102159606402E-3</v>
      </c>
      <c r="N462" s="5" t="s">
        <v>4</v>
      </c>
      <c r="O462" s="100">
        <f ca="1">_xll.meDateFromTenor(O461,"1D","FOLLOWING",P$12)</f>
        <v>43150</v>
      </c>
      <c r="P462" s="13">
        <f ca="1">_xll.meDateFromTenor(O462,P$14,P$11,P$12)</f>
        <v>43332</v>
      </c>
      <c r="Q462" s="98">
        <f ca="1"/>
        <v>-1.4952190083249582E-3</v>
      </c>
      <c r="R462" s="5" t="s">
        <v>4</v>
      </c>
      <c r="S462" s="100">
        <f ca="1">_xll.meDateFromTenor(S461,"1D","FOLLOWING",T$12)</f>
        <v>43150</v>
      </c>
      <c r="T462" s="13">
        <f ca="1">_xll.meDateFromTenor(S462,T$14,T$11,T$12)</f>
        <v>43515</v>
      </c>
      <c r="U462" s="98">
        <f ca="1"/>
        <v>4.6859553127954427E-4</v>
      </c>
      <c r="V462" s="5" t="s">
        <v>4</v>
      </c>
      <c r="W462" s="84" t="s">
        <v>4</v>
      </c>
    </row>
    <row r="463" spans="1:23" x14ac:dyDescent="0.25">
      <c r="A463" s="90">
        <v>444</v>
      </c>
      <c r="B463" s="83"/>
      <c r="C463" s="100">
        <f ca="1">_xll.meDateFromTenor(C462,"1D","FOLLOWING",D$12)</f>
        <v>43151</v>
      </c>
      <c r="D463" s="13">
        <f ca="1">_xll.meDateFromTenor(C463,D$14,D$11,D$12)</f>
        <v>43152</v>
      </c>
      <c r="E463" s="98">
        <f ca="1"/>
        <v>-4.2383316364125326E-3</v>
      </c>
      <c r="F463" s="94"/>
      <c r="G463" s="100">
        <f ca="1">_xll.meDateFromTenor(G462,"1D","FOLLOWING",H$12)</f>
        <v>43151</v>
      </c>
      <c r="H463" s="13">
        <f ca="1">_xll.meDateFromTenor(G463,H$14,H$11,H$12)</f>
        <v>43179</v>
      </c>
      <c r="I463" s="98">
        <f ca="1"/>
        <v>-3.8764307322653319E-3</v>
      </c>
      <c r="J463" s="94" t="s">
        <v>4</v>
      </c>
      <c r="K463" s="100">
        <f ca="1">_xll.meDateFromTenor(K462,"1D","FOLLOWING",L$12)</f>
        <v>43151</v>
      </c>
      <c r="L463" s="13">
        <f ca="1">_xll.meDateFromTenor(K463,L$14,L$11,L$12)</f>
        <v>43241</v>
      </c>
      <c r="M463" s="98">
        <f ca="1"/>
        <v>-2.0571605664124418E-3</v>
      </c>
      <c r="N463" s="5" t="s">
        <v>4</v>
      </c>
      <c r="O463" s="100">
        <f ca="1">_xll.meDateFromTenor(O462,"1D","FOLLOWING",P$12)</f>
        <v>43151</v>
      </c>
      <c r="P463" s="13">
        <f ca="1">_xll.meDateFromTenor(O463,P$14,P$11,P$12)</f>
        <v>43332</v>
      </c>
      <c r="Q463" s="98">
        <f ca="1"/>
        <v>-1.4924624233277437E-3</v>
      </c>
      <c r="R463" s="5" t="s">
        <v>4</v>
      </c>
      <c r="S463" s="100">
        <f ca="1">_xll.meDateFromTenor(S462,"1D","FOLLOWING",T$12)</f>
        <v>43151</v>
      </c>
      <c r="T463" s="13">
        <f ca="1">_xll.meDateFromTenor(S463,T$14,T$11,T$12)</f>
        <v>43516</v>
      </c>
      <c r="U463" s="98">
        <f ca="1"/>
        <v>4.7173646760333436E-4</v>
      </c>
      <c r="V463" s="5" t="s">
        <v>4</v>
      </c>
      <c r="W463" s="84" t="s">
        <v>4</v>
      </c>
    </row>
    <row r="464" spans="1:23" x14ac:dyDescent="0.25">
      <c r="A464" s="90">
        <v>445</v>
      </c>
      <c r="B464" s="83"/>
      <c r="C464" s="100">
        <f ca="1">_xll.meDateFromTenor(C463,"1D","FOLLOWING",D$12)</f>
        <v>43152</v>
      </c>
      <c r="D464" s="13">
        <f ca="1">_xll.meDateFromTenor(C464,D$14,D$11,D$12)</f>
        <v>43153</v>
      </c>
      <c r="E464" s="98">
        <f ca="1"/>
        <v>-4.2378605695869856E-3</v>
      </c>
      <c r="F464" s="94"/>
      <c r="G464" s="100">
        <f ca="1">_xll.meDateFromTenor(G463,"1D","FOLLOWING",H$12)</f>
        <v>43152</v>
      </c>
      <c r="H464" s="13">
        <f ca="1">_xll.meDateFromTenor(G464,H$14,H$11,H$12)</f>
        <v>43180</v>
      </c>
      <c r="I464" s="98">
        <f ca="1"/>
        <v>-3.8742447171019683E-3</v>
      </c>
      <c r="J464" s="94" t="s">
        <v>4</v>
      </c>
      <c r="K464" s="100">
        <f ca="1">_xll.meDateFromTenor(K463,"1D","FOLLOWING",L$12)</f>
        <v>43152</v>
      </c>
      <c r="L464" s="13">
        <f ca="1">_xll.meDateFromTenor(K464,L$14,L$11,L$12)</f>
        <v>43241</v>
      </c>
      <c r="M464" s="98">
        <f ca="1"/>
        <v>-2.0726389458031198E-3</v>
      </c>
      <c r="N464" s="5" t="s">
        <v>4</v>
      </c>
      <c r="O464" s="100">
        <f ca="1">_xll.meDateFromTenor(O463,"1D","FOLLOWING",P$12)</f>
        <v>43152</v>
      </c>
      <c r="P464" s="13">
        <f ca="1">_xll.meDateFromTenor(O464,P$14,P$11,P$12)</f>
        <v>43333</v>
      </c>
      <c r="Q464" s="98">
        <f ca="1"/>
        <v>-1.4896940009891495E-3</v>
      </c>
      <c r="R464" s="5" t="s">
        <v>4</v>
      </c>
      <c r="S464" s="100">
        <f ca="1">_xll.meDateFromTenor(S463,"1D","FOLLOWING",T$12)</f>
        <v>43152</v>
      </c>
      <c r="T464" s="13">
        <f ca="1">_xll.meDateFromTenor(S464,T$14,T$11,T$12)</f>
        <v>43517</v>
      </c>
      <c r="U464" s="98">
        <f ca="1"/>
        <v>4.7488676056972286E-4</v>
      </c>
      <c r="V464" s="5" t="s">
        <v>4</v>
      </c>
      <c r="W464" s="84" t="s">
        <v>4</v>
      </c>
    </row>
    <row r="465" spans="1:23" x14ac:dyDescent="0.25">
      <c r="A465" s="90">
        <v>446</v>
      </c>
      <c r="B465" s="83"/>
      <c r="C465" s="100">
        <f ca="1">_xll.meDateFromTenor(C464,"1D","FOLLOWING",D$12)</f>
        <v>43153</v>
      </c>
      <c r="D465" s="13">
        <f ca="1">_xll.meDateFromTenor(C465,D$14,D$11,D$12)</f>
        <v>43154</v>
      </c>
      <c r="E465" s="98">
        <f ca="1"/>
        <v>-4.2373745351343009E-3</v>
      </c>
      <c r="F465" s="94"/>
      <c r="G465" s="100">
        <f ca="1">_xll.meDateFromTenor(G464,"1D","FOLLOWING",H$12)</f>
        <v>43153</v>
      </c>
      <c r="H465" s="13">
        <f ca="1">_xll.meDateFromTenor(G465,H$14,H$11,H$12)</f>
        <v>43181</v>
      </c>
      <c r="I465" s="98">
        <f ca="1"/>
        <v>-3.8720572670508896E-3</v>
      </c>
      <c r="J465" s="94" t="s">
        <v>4</v>
      </c>
      <c r="K465" s="100">
        <f ca="1">_xll.meDateFromTenor(K464,"1D","FOLLOWING",L$12)</f>
        <v>43153</v>
      </c>
      <c r="L465" s="13">
        <f ca="1">_xll.meDateFromTenor(K465,L$14,L$11,L$12)</f>
        <v>43242</v>
      </c>
      <c r="M465" s="98">
        <f ca="1"/>
        <v>-2.0893569536598678E-3</v>
      </c>
      <c r="N465" s="5" t="s">
        <v>4</v>
      </c>
      <c r="O465" s="100">
        <f ca="1">_xll.meDateFromTenor(O464,"1D","FOLLOWING",P$12)</f>
        <v>43153</v>
      </c>
      <c r="P465" s="13">
        <f ca="1">_xll.meDateFromTenor(O465,P$14,P$11,P$12)</f>
        <v>43334</v>
      </c>
      <c r="Q465" s="98">
        <f ca="1"/>
        <v>-1.4869137793503784E-3</v>
      </c>
      <c r="R465" s="5" t="s">
        <v>4</v>
      </c>
      <c r="S465" s="100">
        <f ca="1">_xll.meDateFromTenor(S464,"1D","FOLLOWING",T$12)</f>
        <v>43153</v>
      </c>
      <c r="T465" s="13">
        <f ca="1">_xll.meDateFromTenor(S465,T$14,T$11,T$12)</f>
        <v>43518</v>
      </c>
      <c r="U465" s="98">
        <f ca="1"/>
        <v>4.7804642054140257E-4</v>
      </c>
      <c r="V465" s="5" t="s">
        <v>4</v>
      </c>
      <c r="W465" s="84" t="s">
        <v>4</v>
      </c>
    </row>
    <row r="466" spans="1:23" x14ac:dyDescent="0.25">
      <c r="A466" s="90">
        <v>447</v>
      </c>
      <c r="B466" s="83"/>
      <c r="C466" s="100">
        <f ca="1">_xll.meDateFromTenor(C465,"1D","FOLLOWING",D$12)</f>
        <v>43154</v>
      </c>
      <c r="D466" s="13">
        <f ca="1">_xll.meDateFromTenor(C466,D$14,D$11,D$12)</f>
        <v>43157</v>
      </c>
      <c r="E466" s="98">
        <f ca="1"/>
        <v>-4.2363027271053047E-3</v>
      </c>
      <c r="F466" s="94"/>
      <c r="G466" s="100">
        <f ca="1">_xll.meDateFromTenor(G465,"1D","FOLLOWING",H$12)</f>
        <v>43154</v>
      </c>
      <c r="H466" s="13">
        <f ca="1">_xll.meDateFromTenor(G466,H$14,H$11,H$12)</f>
        <v>43182</v>
      </c>
      <c r="I466" s="98">
        <f ca="1"/>
        <v>-3.8698700953107021E-3</v>
      </c>
      <c r="J466" s="94" t="s">
        <v>4</v>
      </c>
      <c r="K466" s="100">
        <f ca="1">_xll.meDateFromTenor(K465,"1D","FOLLOWING",L$12)</f>
        <v>43154</v>
      </c>
      <c r="L466" s="13">
        <f ca="1">_xll.meDateFromTenor(K466,L$14,L$11,L$12)</f>
        <v>43243</v>
      </c>
      <c r="M466" s="98">
        <f ca="1"/>
        <v>-2.1073261895098775E-3</v>
      </c>
      <c r="N466" s="5" t="s">
        <v>4</v>
      </c>
      <c r="O466" s="100">
        <f ca="1">_xll.meDateFromTenor(O465,"1D","FOLLOWING",P$12)</f>
        <v>43154</v>
      </c>
      <c r="P466" s="13">
        <f ca="1">_xll.meDateFromTenor(O466,P$14,P$11,P$12)</f>
        <v>43335</v>
      </c>
      <c r="Q466" s="98">
        <f ca="1"/>
        <v>-1.4841217964526342E-3</v>
      </c>
      <c r="R466" s="5" t="s">
        <v>4</v>
      </c>
      <c r="S466" s="100">
        <f ca="1">_xll.meDateFromTenor(S465,"1D","FOLLOWING",T$12)</f>
        <v>43154</v>
      </c>
      <c r="T466" s="13">
        <f ca="1">_xll.meDateFromTenor(S466,T$14,T$11,T$12)</f>
        <v>43521</v>
      </c>
      <c r="U466" s="98">
        <f ca="1"/>
        <v>4.8121545788106516E-4</v>
      </c>
      <c r="V466" s="5" t="s">
        <v>4</v>
      </c>
      <c r="W466" s="84" t="s">
        <v>4</v>
      </c>
    </row>
    <row r="467" spans="1:23" x14ac:dyDescent="0.25">
      <c r="A467" s="90">
        <v>448</v>
      </c>
      <c r="B467" s="83"/>
      <c r="C467" s="100">
        <f ca="1">_xll.meDateFromTenor(C466,"1D","FOLLOWING",D$12)</f>
        <v>43157</v>
      </c>
      <c r="D467" s="13">
        <f ca="1">_xll.meDateFromTenor(C467,D$14,D$11,D$12)</f>
        <v>43158</v>
      </c>
      <c r="E467" s="98">
        <f ca="1"/>
        <v>-4.2352807381585015E-3</v>
      </c>
      <c r="F467" s="94"/>
      <c r="G467" s="100">
        <f ca="1">_xll.meDateFromTenor(G466,"1D","FOLLOWING",H$12)</f>
        <v>43157</v>
      </c>
      <c r="H467" s="13">
        <f ca="1">_xll.meDateFromTenor(G467,H$14,H$11,H$12)</f>
        <v>43185</v>
      </c>
      <c r="I467" s="98">
        <f ca="1"/>
        <v>-3.8633273819415818E-3</v>
      </c>
      <c r="J467" s="94" t="s">
        <v>4</v>
      </c>
      <c r="K467" s="100">
        <f ca="1">_xll.meDateFromTenor(K466,"1D","FOLLOWING",L$12)</f>
        <v>43157</v>
      </c>
      <c r="L467" s="13">
        <f ca="1">_xll.meDateFromTenor(K467,L$14,L$11,L$12)</f>
        <v>43248</v>
      </c>
      <c r="M467" s="98">
        <f ca="1"/>
        <v>-2.1688572602914036E-3</v>
      </c>
      <c r="N467" s="5" t="s">
        <v>4</v>
      </c>
      <c r="O467" s="100">
        <f ca="1">_xll.meDateFromTenor(O466,"1D","FOLLOWING",P$12)</f>
        <v>43157</v>
      </c>
      <c r="P467" s="13">
        <f ca="1">_xll.meDateFromTenor(O467,P$14,P$11,P$12)</f>
        <v>43339</v>
      </c>
      <c r="Q467" s="98">
        <f ca="1"/>
        <v>-1.475675660617598E-3</v>
      </c>
      <c r="R467" s="5" t="s">
        <v>4</v>
      </c>
      <c r="S467" s="100">
        <f ca="1">_xll.meDateFromTenor(S466,"1D","FOLLOWING",T$12)</f>
        <v>43157</v>
      </c>
      <c r="T467" s="13">
        <f ca="1">_xll.meDateFromTenor(S467,T$14,T$11,T$12)</f>
        <v>43522</v>
      </c>
      <c r="U467" s="98">
        <f ca="1"/>
        <v>4.9077893773487324E-4</v>
      </c>
      <c r="V467" s="5" t="s">
        <v>4</v>
      </c>
      <c r="W467" s="84" t="s">
        <v>4</v>
      </c>
    </row>
    <row r="468" spans="1:23" x14ac:dyDescent="0.25">
      <c r="A468" s="90">
        <v>449</v>
      </c>
      <c r="B468" s="83"/>
      <c r="C468" s="100">
        <f ca="1">_xll.meDateFromTenor(C467,"1D","FOLLOWING",D$12)</f>
        <v>43158</v>
      </c>
      <c r="D468" s="13">
        <f ca="1">_xll.meDateFromTenor(C468,D$14,D$11,D$12)</f>
        <v>43159</v>
      </c>
      <c r="E468" s="98">
        <f ca="1"/>
        <v>-4.2347198774006648E-3</v>
      </c>
      <c r="F468" s="94"/>
      <c r="G468" s="100">
        <f ca="1">_xll.meDateFromTenor(G467,"1D","FOLLOWING",H$12)</f>
        <v>43158</v>
      </c>
      <c r="H468" s="13">
        <f ca="1">_xll.meDateFromTenor(G468,H$14,H$11,H$12)</f>
        <v>43186</v>
      </c>
      <c r="I468" s="98">
        <f ca="1"/>
        <v>-3.8611584554310496E-3</v>
      </c>
      <c r="J468" s="94" t="s">
        <v>4</v>
      </c>
      <c r="K468" s="100">
        <f ca="1">_xll.meDateFromTenor(K467,"1D","FOLLOWING",L$12)</f>
        <v>43158</v>
      </c>
      <c r="L468" s="13">
        <f ca="1">_xll.meDateFromTenor(K468,L$14,L$11,L$12)</f>
        <v>43248</v>
      </c>
      <c r="M468" s="98">
        <f ca="1"/>
        <v>-2.1919474033863877E-3</v>
      </c>
      <c r="N468" s="5" t="s">
        <v>4</v>
      </c>
      <c r="O468" s="100">
        <f ca="1">_xll.meDateFromTenor(O467,"1D","FOLLOWING",P$12)</f>
        <v>43158</v>
      </c>
      <c r="P468" s="13">
        <f ca="1">_xll.meDateFromTenor(O468,P$14,P$11,P$12)</f>
        <v>43339</v>
      </c>
      <c r="Q468" s="98">
        <f ca="1"/>
        <v>-1.4728370130959961E-3</v>
      </c>
      <c r="R468" s="5" t="s">
        <v>4</v>
      </c>
      <c r="S468" s="100">
        <f ca="1">_xll.meDateFromTenor(S467,"1D","FOLLOWING",T$12)</f>
        <v>43158</v>
      </c>
      <c r="T468" s="13">
        <f ca="1">_xll.meDateFromTenor(S468,T$14,T$11,T$12)</f>
        <v>43523</v>
      </c>
      <c r="U468" s="98">
        <f ca="1"/>
        <v>4.9398558817339015E-4</v>
      </c>
      <c r="V468" s="5" t="s">
        <v>4</v>
      </c>
      <c r="W468" s="84" t="s">
        <v>4</v>
      </c>
    </row>
    <row r="469" spans="1:23" x14ac:dyDescent="0.25">
      <c r="A469" s="90">
        <v>450</v>
      </c>
      <c r="B469" s="83"/>
      <c r="C469" s="100">
        <f ca="1">_xll.meDateFromTenor(C468,"1D","FOLLOWING",D$12)</f>
        <v>43159</v>
      </c>
      <c r="D469" s="13">
        <f ca="1">_xll.meDateFromTenor(C469,D$14,D$11,D$12)</f>
        <v>43160</v>
      </c>
      <c r="E469" s="98">
        <f ca="1"/>
        <v>-4.2341440534521416E-3</v>
      </c>
      <c r="F469" s="94"/>
      <c r="G469" s="100">
        <f ca="1">_xll.meDateFromTenor(G468,"1D","FOLLOWING",H$12)</f>
        <v>43159</v>
      </c>
      <c r="H469" s="13">
        <f ca="1">_xll.meDateFromTenor(G469,H$14,H$11,H$12)</f>
        <v>43187</v>
      </c>
      <c r="I469" s="98">
        <f ca="1"/>
        <v>-3.8589983732244528E-3</v>
      </c>
      <c r="J469" s="94" t="s">
        <v>4</v>
      </c>
      <c r="K469" s="100">
        <f ca="1">_xll.meDateFromTenor(K468,"1D","FOLLOWING",L$12)</f>
        <v>43159</v>
      </c>
      <c r="L469" s="13">
        <f ca="1">_xll.meDateFromTenor(K469,L$14,L$11,L$12)</f>
        <v>43248</v>
      </c>
      <c r="M469" s="98">
        <f ca="1"/>
        <v>-2.2163467721105987E-3</v>
      </c>
      <c r="N469" s="5" t="s">
        <v>4</v>
      </c>
      <c r="O469" s="100">
        <f ca="1">_xll.meDateFromTenor(O468,"1D","FOLLOWING",P$12)</f>
        <v>43159</v>
      </c>
      <c r="P469" s="13">
        <f ca="1">_xll.meDateFromTenor(O469,P$14,P$11,P$12)</f>
        <v>43340</v>
      </c>
      <c r="Q469" s="98">
        <f ca="1"/>
        <v>-1.4699867945214382E-3</v>
      </c>
      <c r="R469" s="5" t="s">
        <v>4</v>
      </c>
      <c r="S469" s="100">
        <f ca="1">_xll.meDateFromTenor(S468,"1D","FOLLOWING",T$12)</f>
        <v>43159</v>
      </c>
      <c r="T469" s="13">
        <f ca="1">_xll.meDateFromTenor(S469,T$14,T$11,T$12)</f>
        <v>43524</v>
      </c>
      <c r="U469" s="98">
        <f ca="1"/>
        <v>4.972016677933515E-4</v>
      </c>
      <c r="V469" s="5" t="s">
        <v>4</v>
      </c>
      <c r="W469" s="84" t="s">
        <v>4</v>
      </c>
    </row>
    <row r="470" spans="1:23" x14ac:dyDescent="0.25">
      <c r="A470" s="90">
        <v>451</v>
      </c>
      <c r="B470" s="83"/>
      <c r="C470" s="100">
        <f ca="1">_xll.meDateFromTenor(C469,"1D","FOLLOWING",D$12)</f>
        <v>43160</v>
      </c>
      <c r="D470" s="13">
        <f ca="1">_xll.meDateFromTenor(C470,D$14,D$11,D$12)</f>
        <v>43161</v>
      </c>
      <c r="E470" s="98">
        <f ca="1"/>
        <v>-4.2335532670723245E-3</v>
      </c>
      <c r="F470" s="94"/>
      <c r="G470" s="100">
        <f ca="1">_xll.meDateFromTenor(G469,"1D","FOLLOWING",H$12)</f>
        <v>43160</v>
      </c>
      <c r="H470" s="13">
        <f ca="1">_xll.meDateFromTenor(G470,H$14,H$11,H$12)</f>
        <v>43193</v>
      </c>
      <c r="I470" s="98">
        <f ca="1"/>
        <v>-3.8568488485203989E-3</v>
      </c>
      <c r="J470" s="94" t="s">
        <v>4</v>
      </c>
      <c r="K470" s="100">
        <f ca="1">_xll.meDateFromTenor(K469,"1D","FOLLOWING",L$12)</f>
        <v>43160</v>
      </c>
      <c r="L470" s="13">
        <f ca="1">_xll.meDateFromTenor(K470,L$14,L$11,L$12)</f>
        <v>43252</v>
      </c>
      <c r="M470" s="98">
        <f ca="1"/>
        <v>-2.242066965991225E-3</v>
      </c>
      <c r="N470" s="5" t="s">
        <v>4</v>
      </c>
      <c r="O470" s="100">
        <f ca="1">_xll.meDateFromTenor(O469,"1D","FOLLOWING",P$12)</f>
        <v>43160</v>
      </c>
      <c r="P470" s="13">
        <f ca="1">_xll.meDateFromTenor(O470,P$14,P$11,P$12)</f>
        <v>43346</v>
      </c>
      <c r="Q470" s="98">
        <f ca="1"/>
        <v>-1.4671250429351278E-3</v>
      </c>
      <c r="R470" s="5" t="s">
        <v>4</v>
      </c>
      <c r="S470" s="100">
        <f ca="1">_xll.meDateFromTenor(S469,"1D","FOLLOWING",T$12)</f>
        <v>43160</v>
      </c>
      <c r="T470" s="13">
        <f ca="1">_xll.meDateFromTenor(S470,T$14,T$11,T$12)</f>
        <v>43525</v>
      </c>
      <c r="U470" s="98">
        <f ca="1"/>
        <v>5.0042718695744867E-4</v>
      </c>
      <c r="V470" s="5" t="s">
        <v>4</v>
      </c>
      <c r="W470" s="84" t="s">
        <v>4</v>
      </c>
    </row>
    <row r="471" spans="1:23" x14ac:dyDescent="0.25">
      <c r="A471" s="90">
        <v>452</v>
      </c>
      <c r="B471" s="83"/>
      <c r="C471" s="100">
        <f ca="1">_xll.meDateFromTenor(C470,"1D","FOLLOWING",D$12)</f>
        <v>43161</v>
      </c>
      <c r="D471" s="13">
        <f ca="1">_xll.meDateFromTenor(C471,D$14,D$11,D$12)</f>
        <v>43164</v>
      </c>
      <c r="E471" s="98">
        <f ca="1"/>
        <v>-4.2322575191765651E-3</v>
      </c>
      <c r="F471" s="94"/>
      <c r="G471" s="100">
        <f ca="1">_xll.meDateFromTenor(G470,"1D","FOLLOWING",H$12)</f>
        <v>43161</v>
      </c>
      <c r="H471" s="13">
        <f ca="1">_xll.meDateFromTenor(G471,H$14,H$11,H$12)</f>
        <v>43193</v>
      </c>
      <c r="I471" s="98">
        <f ca="1"/>
        <v>-3.8547115945174971E-3</v>
      </c>
      <c r="J471" s="94" t="s">
        <v>4</v>
      </c>
      <c r="K471" s="100">
        <f ca="1">_xll.meDateFromTenor(K470,"1D","FOLLOWING",L$12)</f>
        <v>43161</v>
      </c>
      <c r="L471" s="13">
        <f ca="1">_xll.meDateFromTenor(K471,L$14,L$11,L$12)</f>
        <v>43255</v>
      </c>
      <c r="M471" s="98">
        <f ca="1"/>
        <v>-2.2691195845554626E-3</v>
      </c>
      <c r="N471" s="5" t="s">
        <v>4</v>
      </c>
      <c r="O471" s="100">
        <f ca="1">_xll.meDateFromTenor(O470,"1D","FOLLOWING",P$12)</f>
        <v>43161</v>
      </c>
      <c r="P471" s="13">
        <f ca="1">_xll.meDateFromTenor(O471,P$14,P$11,P$12)</f>
        <v>43346</v>
      </c>
      <c r="Q471" s="98">
        <f ca="1"/>
        <v>-1.4642517963782686E-3</v>
      </c>
      <c r="R471" s="5" t="s">
        <v>4</v>
      </c>
      <c r="S471" s="100">
        <f ca="1">_xll.meDateFromTenor(S470,"1D","FOLLOWING",T$12)</f>
        <v>43161</v>
      </c>
      <c r="T471" s="13">
        <f ca="1">_xll.meDateFromTenor(S471,T$14,T$11,T$12)</f>
        <v>43528</v>
      </c>
      <c r="U471" s="98">
        <f ca="1"/>
        <v>5.0366215602837467E-4</v>
      </c>
      <c r="V471" s="5" t="s">
        <v>4</v>
      </c>
      <c r="W471" s="84" t="s">
        <v>4</v>
      </c>
    </row>
    <row r="472" spans="1:23" x14ac:dyDescent="0.25">
      <c r="A472" s="90">
        <v>453</v>
      </c>
      <c r="B472" s="83"/>
      <c r="C472" s="100">
        <f ca="1">_xll.meDateFromTenor(C471,"1D","FOLLOWING",D$12)</f>
        <v>43164</v>
      </c>
      <c r="D472" s="13">
        <f ca="1">_xll.meDateFromTenor(C472,D$14,D$11,D$12)</f>
        <v>43165</v>
      </c>
      <c r="E472" s="98">
        <f ca="1"/>
        <v>-4.2309807070273356E-3</v>
      </c>
      <c r="F472" s="94"/>
      <c r="G472" s="100">
        <f ca="1">_xll.meDateFromTenor(G471,"1D","FOLLOWING",H$12)</f>
        <v>43164</v>
      </c>
      <c r="H472" s="13">
        <f ca="1">_xll.meDateFromTenor(G472,H$14,H$11,H$12)</f>
        <v>43195</v>
      </c>
      <c r="I472" s="98">
        <f ca="1"/>
        <v>-3.8483748810148625E-3</v>
      </c>
      <c r="J472" s="94" t="s">
        <v>4</v>
      </c>
      <c r="K472" s="100">
        <f ca="1">_xll.meDateFromTenor(K471,"1D","FOLLOWING",L$12)</f>
        <v>43164</v>
      </c>
      <c r="L472" s="13">
        <f ca="1">_xll.meDateFromTenor(K472,L$14,L$11,L$12)</f>
        <v>43256</v>
      </c>
      <c r="M472" s="98">
        <f ca="1"/>
        <v>-2.3577757082156666E-3</v>
      </c>
      <c r="N472" s="5" t="s">
        <v>4</v>
      </c>
      <c r="O472" s="100">
        <f ca="1">_xll.meDateFromTenor(O471,"1D","FOLLOWING",P$12)</f>
        <v>43164</v>
      </c>
      <c r="P472" s="13">
        <f ca="1">_xll.meDateFromTenor(O472,P$14,P$11,P$12)</f>
        <v>43348</v>
      </c>
      <c r="Q472" s="98">
        <f ca="1"/>
        <v>-1.4555634672964305E-3</v>
      </c>
      <c r="R472" s="5" t="s">
        <v>4</v>
      </c>
      <c r="S472" s="100">
        <f ca="1">_xll.meDateFromTenor(S471,"1D","FOLLOWING",T$12)</f>
        <v>43164</v>
      </c>
      <c r="T472" s="13">
        <f ca="1">_xll.meDateFromTenor(S472,T$14,T$11,T$12)</f>
        <v>43529</v>
      </c>
      <c r="U472" s="98">
        <f ca="1"/>
        <v>5.1342386630904701E-4</v>
      </c>
      <c r="V472" s="5" t="s">
        <v>4</v>
      </c>
      <c r="W472" s="84" t="s">
        <v>4</v>
      </c>
    </row>
    <row r="473" spans="1:23" x14ac:dyDescent="0.25">
      <c r="A473" s="90">
        <v>454</v>
      </c>
      <c r="B473" s="83"/>
      <c r="C473" s="100">
        <f ca="1">_xll.meDateFromTenor(C472,"1D","FOLLOWING",D$12)</f>
        <v>43165</v>
      </c>
      <c r="D473" s="13">
        <f ca="1">_xll.meDateFromTenor(C473,D$14,D$11,D$12)</f>
        <v>43166</v>
      </c>
      <c r="E473" s="98">
        <f ca="1"/>
        <v>-4.2302763288315651E-3</v>
      </c>
      <c r="F473" s="94"/>
      <c r="G473" s="100">
        <f ca="1">_xll.meDateFromTenor(G472,"1D","FOLLOWING",H$12)</f>
        <v>43165</v>
      </c>
      <c r="H473" s="13">
        <f ca="1">_xll.meDateFromTenor(G473,H$14,H$11,H$12)</f>
        <v>43196</v>
      </c>
      <c r="I473" s="98">
        <f ca="1"/>
        <v>-3.8462823164539029E-3</v>
      </c>
      <c r="J473" s="94" t="s">
        <v>4</v>
      </c>
      <c r="K473" s="100">
        <f ca="1">_xll.meDateFromTenor(K472,"1D","FOLLOWING",L$12)</f>
        <v>43165</v>
      </c>
      <c r="L473" s="13">
        <f ca="1">_xll.meDateFromTenor(K473,L$14,L$11,L$12)</f>
        <v>43257</v>
      </c>
      <c r="M473" s="98">
        <f ca="1"/>
        <v>-2.3894349767112394E-3</v>
      </c>
      <c r="N473" s="5" t="s">
        <v>4</v>
      </c>
      <c r="O473" s="100">
        <f ca="1">_xll.meDateFromTenor(O472,"1D","FOLLOWING",P$12)</f>
        <v>43165</v>
      </c>
      <c r="P473" s="13">
        <f ca="1">_xll.meDateFromTenor(O473,P$14,P$11,P$12)</f>
        <v>43349</v>
      </c>
      <c r="Q473" s="98">
        <f ca="1"/>
        <v>-1.4526446212694091E-3</v>
      </c>
      <c r="R473" s="5" t="s">
        <v>4</v>
      </c>
      <c r="S473" s="100">
        <f ca="1">_xll.meDateFromTenor(S472,"1D","FOLLOWING",T$12)</f>
        <v>43165</v>
      </c>
      <c r="T473" s="13">
        <f ca="1">_xll.meDateFromTenor(S473,T$14,T$11,T$12)</f>
        <v>43530</v>
      </c>
      <c r="U473" s="98">
        <f ca="1"/>
        <v>5.1669673863420943E-4</v>
      </c>
      <c r="V473" s="5" t="s">
        <v>4</v>
      </c>
      <c r="W473" s="84" t="s">
        <v>4</v>
      </c>
    </row>
    <row r="474" spans="1:23" x14ac:dyDescent="0.25">
      <c r="A474" s="90">
        <v>455</v>
      </c>
      <c r="B474" s="83"/>
      <c r="C474" s="100">
        <f ca="1">_xll.meDateFromTenor(C473,"1D","FOLLOWING",D$12)</f>
        <v>43166</v>
      </c>
      <c r="D474" s="13">
        <f ca="1">_xll.meDateFromTenor(C474,D$14,D$11,D$12)</f>
        <v>43167</v>
      </c>
      <c r="E474" s="98">
        <f ca="1"/>
        <v>-4.2295472957176875E-3</v>
      </c>
      <c r="F474" s="94"/>
      <c r="G474" s="100">
        <f ca="1">_xll.meDateFromTenor(G473,"1D","FOLLOWING",H$12)</f>
        <v>43166</v>
      </c>
      <c r="H474" s="13">
        <f ca="1">_xll.meDateFromTenor(G474,H$14,H$11,H$12)</f>
        <v>43199</v>
      </c>
      <c r="I474" s="98">
        <f ca="1"/>
        <v>-3.8441966261987598E-3</v>
      </c>
      <c r="J474" s="94" t="s">
        <v>4</v>
      </c>
      <c r="K474" s="100">
        <f ca="1">_xll.meDateFromTenor(K473,"1D","FOLLOWING",L$12)</f>
        <v>43166</v>
      </c>
      <c r="L474" s="13">
        <f ca="1">_xll.meDateFromTenor(K474,L$14,L$11,L$12)</f>
        <v>43258</v>
      </c>
      <c r="M474" s="98">
        <f ca="1"/>
        <v>-2.4219404227209572E-3</v>
      </c>
      <c r="N474" s="5" t="s">
        <v>4</v>
      </c>
      <c r="O474" s="100">
        <f ca="1">_xll.meDateFromTenor(O473,"1D","FOLLOWING",P$12)</f>
        <v>43166</v>
      </c>
      <c r="P474" s="13">
        <f ca="1">_xll.meDateFromTenor(O474,P$14,P$11,P$12)</f>
        <v>43350</v>
      </c>
      <c r="Q474" s="98">
        <f ca="1"/>
        <v>-1.4497144704778565E-3</v>
      </c>
      <c r="R474" s="5" t="s">
        <v>4</v>
      </c>
      <c r="S474" s="100">
        <f ca="1">_xll.meDateFromTenor(S473,"1D","FOLLOWING",T$12)</f>
        <v>43166</v>
      </c>
      <c r="T474" s="13">
        <f ca="1">_xll.meDateFromTenor(S474,T$14,T$11,T$12)</f>
        <v>43531</v>
      </c>
      <c r="U474" s="98">
        <f ca="1"/>
        <v>5.1997911267966167E-4</v>
      </c>
      <c r="V474" s="5" t="s">
        <v>4</v>
      </c>
      <c r="W474" s="84" t="s">
        <v>4</v>
      </c>
    </row>
    <row r="475" spans="1:23" x14ac:dyDescent="0.25">
      <c r="A475" s="90">
        <v>456</v>
      </c>
      <c r="B475" s="83"/>
      <c r="C475" s="100">
        <f ca="1">_xll.meDateFromTenor(C474,"1D","FOLLOWING",D$12)</f>
        <v>43167</v>
      </c>
      <c r="D475" s="13">
        <f ca="1">_xll.meDateFromTenor(C475,D$14,D$11,D$12)</f>
        <v>43168</v>
      </c>
      <c r="E475" s="98">
        <f ca="1"/>
        <v>-4.2287936092044879E-3</v>
      </c>
      <c r="F475" s="94"/>
      <c r="G475" s="100">
        <f ca="1">_xll.meDateFromTenor(G474,"1D","FOLLOWING",H$12)</f>
        <v>43167</v>
      </c>
      <c r="H475" s="13">
        <f ca="1">_xll.meDateFromTenor(G475,H$14,H$11,H$12)</f>
        <v>43199</v>
      </c>
      <c r="I475" s="98">
        <f ca="1"/>
        <v>-3.8421160328509464E-3</v>
      </c>
      <c r="J475" s="94" t="s">
        <v>4</v>
      </c>
      <c r="K475" s="100">
        <f ca="1">_xll.meDateFromTenor(K474,"1D","FOLLOWING",L$12)</f>
        <v>43167</v>
      </c>
      <c r="L475" s="13">
        <f ca="1">_xll.meDateFromTenor(K475,L$14,L$11,L$12)</f>
        <v>43259</v>
      </c>
      <c r="M475" s="98">
        <f ca="1"/>
        <v>-2.4551675845706595E-3</v>
      </c>
      <c r="N475" s="5" t="s">
        <v>4</v>
      </c>
      <c r="O475" s="100">
        <f ca="1">_xll.meDateFromTenor(O474,"1D","FOLLOWING",P$12)</f>
        <v>43167</v>
      </c>
      <c r="P475" s="13">
        <f ca="1">_xll.meDateFromTenor(O475,P$14,P$11,P$12)</f>
        <v>43353</v>
      </c>
      <c r="Q475" s="98">
        <f ca="1"/>
        <v>-1.4467730529629749E-3</v>
      </c>
      <c r="R475" s="5" t="s">
        <v>4</v>
      </c>
      <c r="S475" s="100">
        <f ca="1">_xll.meDateFromTenor(S474,"1D","FOLLOWING",T$12)</f>
        <v>43167</v>
      </c>
      <c r="T475" s="13">
        <f ca="1">_xll.meDateFromTenor(S475,T$14,T$11,T$12)</f>
        <v>43532</v>
      </c>
      <c r="U475" s="98">
        <f ca="1"/>
        <v>5.2327099880809607E-4</v>
      </c>
      <c r="V475" s="5" t="s">
        <v>4</v>
      </c>
      <c r="W475" s="84" t="s">
        <v>4</v>
      </c>
    </row>
    <row r="476" spans="1:23" x14ac:dyDescent="0.25">
      <c r="A476" s="90">
        <v>457</v>
      </c>
      <c r="B476" s="83"/>
      <c r="C476" s="100">
        <f ca="1">_xll.meDateFromTenor(C475,"1D","FOLLOWING",D$12)</f>
        <v>43168</v>
      </c>
      <c r="D476" s="13">
        <f ca="1">_xll.meDateFromTenor(C476,D$14,D$11,D$12)</f>
        <v>43171</v>
      </c>
      <c r="E476" s="98">
        <f ca="1"/>
        <v>-4.2271544270011821E-3</v>
      </c>
      <c r="F476" s="94"/>
      <c r="G476" s="100">
        <f ca="1">_xll.meDateFromTenor(G475,"1D","FOLLOWING",H$12)</f>
        <v>43168</v>
      </c>
      <c r="H476" s="13">
        <f ca="1">_xll.meDateFromTenor(G476,H$14,H$11,H$12)</f>
        <v>43199</v>
      </c>
      <c r="I476" s="98">
        <f ca="1"/>
        <v>-3.840038759011977E-3</v>
      </c>
      <c r="J476" s="94" t="s">
        <v>4</v>
      </c>
      <c r="K476" s="100">
        <f ca="1">_xll.meDateFromTenor(K475,"1D","FOLLOWING",L$12)</f>
        <v>43168</v>
      </c>
      <c r="L476" s="13">
        <f ca="1">_xll.meDateFromTenor(K476,L$14,L$11,L$12)</f>
        <v>43262</v>
      </c>
      <c r="M476" s="98">
        <f ca="1"/>
        <v>-2.4889920005861793E-3</v>
      </c>
      <c r="N476" s="5" t="s">
        <v>4</v>
      </c>
      <c r="O476" s="100">
        <f ca="1">_xll.meDateFromTenor(O475,"1D","FOLLOWING",P$12)</f>
        <v>43168</v>
      </c>
      <c r="P476" s="13">
        <f ca="1">_xll.meDateFromTenor(O476,P$14,P$11,P$12)</f>
        <v>43353</v>
      </c>
      <c r="Q476" s="98">
        <f ca="1"/>
        <v>-1.4438204067659683E-3</v>
      </c>
      <c r="R476" s="5" t="s">
        <v>4</v>
      </c>
      <c r="S476" s="100">
        <f ca="1">_xll.meDateFromTenor(S475,"1D","FOLLOWING",T$12)</f>
        <v>43168</v>
      </c>
      <c r="T476" s="13">
        <f ca="1">_xll.meDateFromTenor(S476,T$14,T$11,T$12)</f>
        <v>43535</v>
      </c>
      <c r="U476" s="98">
        <f ca="1"/>
        <v>5.265724073822049E-4</v>
      </c>
      <c r="V476" s="5" t="s">
        <v>4</v>
      </c>
      <c r="W476" s="84" t="s">
        <v>4</v>
      </c>
    </row>
    <row r="477" spans="1:23" x14ac:dyDescent="0.25">
      <c r="A477" s="90">
        <v>458</v>
      </c>
      <c r="B477" s="83"/>
      <c r="C477" s="100">
        <f ca="1">_xll.meDateFromTenor(C476,"1D","FOLLOWING",D$12)</f>
        <v>43171</v>
      </c>
      <c r="D477" s="13">
        <f ca="1">_xll.meDateFromTenor(C477,D$14,D$11,D$12)</f>
        <v>43172</v>
      </c>
      <c r="E477" s="98">
        <f ca="1"/>
        <v>-4.2255323512607893E-3</v>
      </c>
      <c r="F477" s="94"/>
      <c r="G477" s="100">
        <f ca="1">_xll.meDateFromTenor(G476,"1D","FOLLOWING",H$12)</f>
        <v>43171</v>
      </c>
      <c r="H477" s="13">
        <f ca="1">_xll.meDateFromTenor(G477,H$14,H$11,H$12)</f>
        <v>43202</v>
      </c>
      <c r="I477" s="98">
        <f ca="1"/>
        <v>-3.8338090805632697E-3</v>
      </c>
      <c r="J477" s="94" t="s">
        <v>4</v>
      </c>
      <c r="K477" s="100">
        <f ca="1">_xll.meDateFromTenor(K476,"1D","FOLLOWING",L$12)</f>
        <v>43171</v>
      </c>
      <c r="L477" s="13">
        <f ca="1">_xll.meDateFromTenor(K477,L$14,L$11,L$12)</f>
        <v>43263</v>
      </c>
      <c r="M477" s="98">
        <f ca="1"/>
        <v>-2.5928041568859918E-3</v>
      </c>
      <c r="N477" s="5" t="s">
        <v>4</v>
      </c>
      <c r="O477" s="100">
        <f ca="1">_xll.meDateFromTenor(O476,"1D","FOLLOWING",P$12)</f>
        <v>43171</v>
      </c>
      <c r="P477" s="13">
        <f ca="1">_xll.meDateFromTenor(O477,P$14,P$11,P$12)</f>
        <v>43355</v>
      </c>
      <c r="Q477" s="98">
        <f ca="1"/>
        <v>-1.4348954764942334E-3</v>
      </c>
      <c r="R477" s="5" t="s">
        <v>4</v>
      </c>
      <c r="S477" s="100">
        <f ca="1">_xll.meDateFromTenor(S476,"1D","FOLLOWING",T$12)</f>
        <v>43171</v>
      </c>
      <c r="T477" s="13">
        <f ca="1">_xll.meDateFromTenor(S477,T$14,T$11,T$12)</f>
        <v>43536</v>
      </c>
      <c r="U477" s="98">
        <f ca="1"/>
        <v>5.3653387140549752E-4</v>
      </c>
      <c r="V477" s="5" t="s">
        <v>4</v>
      </c>
      <c r="W477" s="84" t="s">
        <v>4</v>
      </c>
    </row>
    <row r="478" spans="1:23" x14ac:dyDescent="0.25">
      <c r="A478" s="90">
        <v>459</v>
      </c>
      <c r="B478" s="83"/>
      <c r="C478" s="100">
        <f ca="1">_xll.meDateFromTenor(C477,"1D","FOLLOWING",D$12)</f>
        <v>43172</v>
      </c>
      <c r="D478" s="13">
        <f ca="1">_xll.meDateFromTenor(C478,D$14,D$11,D$12)</f>
        <v>43173</v>
      </c>
      <c r="E478" s="98">
        <f ca="1"/>
        <v>-4.2246554144176477E-3</v>
      </c>
      <c r="F478" s="94"/>
      <c r="G478" s="100">
        <f ca="1">_xll.meDateFromTenor(G477,"1D","FOLLOWING",H$12)</f>
        <v>43172</v>
      </c>
      <c r="H478" s="13">
        <f ca="1">_xll.meDateFromTenor(G478,H$14,H$11,H$12)</f>
        <v>43203</v>
      </c>
      <c r="I478" s="98">
        <f ca="1"/>
        <v>-3.8317273107748148E-3</v>
      </c>
      <c r="J478" s="94" t="s">
        <v>4</v>
      </c>
      <c r="K478" s="100">
        <f ca="1">_xll.meDateFromTenor(K477,"1D","FOLLOWING",L$12)</f>
        <v>43172</v>
      </c>
      <c r="L478" s="13">
        <f ca="1">_xll.meDateFromTenor(K478,L$14,L$11,L$12)</f>
        <v>43264</v>
      </c>
      <c r="M478" s="98">
        <f ca="1"/>
        <v>-2.6277729728231367E-3</v>
      </c>
      <c r="N478" s="5" t="s">
        <v>4</v>
      </c>
      <c r="O478" s="100">
        <f ca="1">_xll.meDateFromTenor(O477,"1D","FOLLOWING",P$12)</f>
        <v>43172</v>
      </c>
      <c r="P478" s="13">
        <f ca="1">_xll.meDateFromTenor(O478,P$14,P$11,P$12)</f>
        <v>43356</v>
      </c>
      <c r="Q478" s="98">
        <f ca="1"/>
        <v>-1.4318982959807612E-3</v>
      </c>
      <c r="R478" s="5" t="s">
        <v>4</v>
      </c>
      <c r="S478" s="100">
        <f ca="1">_xll.meDateFromTenor(S477,"1D","FOLLOWING",T$12)</f>
        <v>43172</v>
      </c>
      <c r="T478" s="13">
        <f ca="1">_xll.meDateFromTenor(S478,T$14,T$11,T$12)</f>
        <v>43537</v>
      </c>
      <c r="U478" s="98">
        <f ca="1"/>
        <v>5.3987347338922513E-4</v>
      </c>
      <c r="V478" s="5" t="s">
        <v>4</v>
      </c>
      <c r="W478" s="84" t="s">
        <v>4</v>
      </c>
    </row>
    <row r="479" spans="1:23" x14ac:dyDescent="0.25">
      <c r="A479" s="90">
        <v>460</v>
      </c>
      <c r="B479" s="83"/>
      <c r="C479" s="100">
        <f ca="1">_xll.meDateFromTenor(C478,"1D","FOLLOWING",D$12)</f>
        <v>43173</v>
      </c>
      <c r="D479" s="13">
        <f ca="1">_xll.meDateFromTenor(C479,D$14,D$11,D$12)</f>
        <v>43174</v>
      </c>
      <c r="E479" s="98">
        <f ca="1"/>
        <v>-4.2237538311296211E-3</v>
      </c>
      <c r="F479" s="94"/>
      <c r="G479" s="100">
        <f ca="1">_xll.meDateFromTenor(G478,"1D","FOLLOWING",H$12)</f>
        <v>43173</v>
      </c>
      <c r="H479" s="13">
        <f ca="1">_xll.meDateFromTenor(G479,H$14,H$11,H$12)</f>
        <v>43206</v>
      </c>
      <c r="I479" s="98">
        <f ca="1"/>
        <v>-3.8296399735027733E-3</v>
      </c>
      <c r="J479" s="94" t="s">
        <v>4</v>
      </c>
      <c r="K479" s="100">
        <f ca="1">_xll.meDateFromTenor(K478,"1D","FOLLOWING",L$12)</f>
        <v>43173</v>
      </c>
      <c r="L479" s="13">
        <f ca="1">_xll.meDateFromTenor(K479,L$14,L$11,L$12)</f>
        <v>43265</v>
      </c>
      <c r="M479" s="98">
        <f ca="1"/>
        <v>-2.6627167345552767E-3</v>
      </c>
      <c r="N479" s="5" t="s">
        <v>4</v>
      </c>
      <c r="O479" s="100">
        <f ca="1">_xll.meDateFromTenor(O478,"1D","FOLLOWING",P$12)</f>
        <v>43173</v>
      </c>
      <c r="P479" s="13">
        <f ca="1">_xll.meDateFromTenor(O479,P$14,P$11,P$12)</f>
        <v>43357</v>
      </c>
      <c r="Q479" s="98">
        <f ca="1"/>
        <v>-1.4288900769911809E-3</v>
      </c>
      <c r="R479" s="5" t="s">
        <v>4</v>
      </c>
      <c r="S479" s="100">
        <f ca="1">_xll.meDateFromTenor(S478,"1D","FOLLOWING",T$12)</f>
        <v>43173</v>
      </c>
      <c r="T479" s="13">
        <f ca="1">_xll.meDateFromTenor(S479,T$14,T$11,T$12)</f>
        <v>43538</v>
      </c>
      <c r="U479" s="98">
        <f ca="1"/>
        <v>5.4322264963208803E-4</v>
      </c>
      <c r="V479" s="5" t="s">
        <v>4</v>
      </c>
      <c r="W479" s="84" t="s">
        <v>4</v>
      </c>
    </row>
    <row r="480" spans="1:23" x14ac:dyDescent="0.25">
      <c r="A480" s="90">
        <v>461</v>
      </c>
      <c r="B480" s="83"/>
      <c r="C480" s="100">
        <f ca="1">_xll.meDateFromTenor(C479,"1D","FOLLOWING",D$12)</f>
        <v>43174</v>
      </c>
      <c r="D480" s="13">
        <f ca="1">_xll.meDateFromTenor(C480,D$14,D$11,D$12)</f>
        <v>43175</v>
      </c>
      <c r="E480" s="98">
        <f ca="1"/>
        <v>-4.2228276024358783E-3</v>
      </c>
      <c r="F480" s="94"/>
      <c r="G480" s="100">
        <f ca="1">_xll.meDateFromTenor(G479,"1D","FOLLOWING",H$12)</f>
        <v>43174</v>
      </c>
      <c r="H480" s="13">
        <f ca="1">_xll.meDateFromTenor(G480,H$14,H$11,H$12)</f>
        <v>43206</v>
      </c>
      <c r="I480" s="98">
        <f ca="1"/>
        <v>-3.8275452913486595E-3</v>
      </c>
      <c r="J480" s="94" t="s">
        <v>4</v>
      </c>
      <c r="K480" s="100">
        <f ca="1">_xll.meDateFromTenor(K479,"1D","FOLLOWING",L$12)</f>
        <v>43174</v>
      </c>
      <c r="L480" s="13">
        <f ca="1">_xll.meDateFromTenor(K480,L$14,L$11,L$12)</f>
        <v>43266</v>
      </c>
      <c r="M480" s="98">
        <f ca="1"/>
        <v>-2.6975109804082439E-3</v>
      </c>
      <c r="N480" s="5" t="s">
        <v>4</v>
      </c>
      <c r="O480" s="100">
        <f ca="1">_xll.meDateFromTenor(O479,"1D","FOLLOWING",P$12)</f>
        <v>43174</v>
      </c>
      <c r="P480" s="13">
        <f ca="1">_xll.meDateFromTenor(O480,P$14,P$11,P$12)</f>
        <v>43360</v>
      </c>
      <c r="Q480" s="98">
        <f ca="1"/>
        <v>-1.4258708575666968E-3</v>
      </c>
      <c r="R480" s="5" t="s">
        <v>4</v>
      </c>
      <c r="S480" s="100">
        <f ca="1">_xll.meDateFromTenor(S479,"1D","FOLLOWING",T$12)</f>
        <v>43174</v>
      </c>
      <c r="T480" s="13">
        <f ca="1">_xll.meDateFromTenor(S480,T$14,T$11,T$12)</f>
        <v>43539</v>
      </c>
      <c r="U480" s="98">
        <f ca="1"/>
        <v>5.4658141049677804E-4</v>
      </c>
      <c r="V480" s="5" t="s">
        <v>4</v>
      </c>
      <c r="W480" s="84" t="s">
        <v>4</v>
      </c>
    </row>
    <row r="481" spans="1:23" x14ac:dyDescent="0.25">
      <c r="A481" s="90">
        <v>462</v>
      </c>
      <c r="B481" s="83"/>
      <c r="C481" s="100">
        <f ca="1">_xll.meDateFromTenor(C480,"1D","FOLLOWING",D$12)</f>
        <v>43175</v>
      </c>
      <c r="D481" s="13">
        <f ca="1">_xll.meDateFromTenor(C481,D$14,D$11,D$12)</f>
        <v>43178</v>
      </c>
      <c r="E481" s="98">
        <f ca="1"/>
        <v>-4.2208435105983858E-3</v>
      </c>
      <c r="F481" s="94"/>
      <c r="G481" s="100">
        <f ca="1">_xll.meDateFromTenor(G480,"1D","FOLLOWING",H$12)</f>
        <v>43175</v>
      </c>
      <c r="H481" s="13">
        <f ca="1">_xll.meDateFromTenor(G481,H$14,H$11,H$12)</f>
        <v>43206</v>
      </c>
      <c r="I481" s="98">
        <f ca="1"/>
        <v>-3.8254414869139863E-3</v>
      </c>
      <c r="J481" s="94" t="s">
        <v>4</v>
      </c>
      <c r="K481" s="100">
        <f ca="1">_xll.meDateFromTenor(K480,"1D","FOLLOWING",L$12)</f>
        <v>43175</v>
      </c>
      <c r="L481" s="13">
        <f ca="1">_xll.meDateFromTenor(K481,L$14,L$11,L$12)</f>
        <v>43269</v>
      </c>
      <c r="M481" s="98">
        <f ca="1"/>
        <v>-2.7320312487078779E-3</v>
      </c>
      <c r="N481" s="5" t="s">
        <v>4</v>
      </c>
      <c r="O481" s="100">
        <f ca="1">_xll.meDateFromTenor(O480,"1D","FOLLOWING",P$12)</f>
        <v>43175</v>
      </c>
      <c r="P481" s="13">
        <f ca="1">_xll.meDateFromTenor(O481,P$14,P$11,P$12)</f>
        <v>43360</v>
      </c>
      <c r="Q481" s="98">
        <f ca="1"/>
        <v>-1.4228406757485117E-3</v>
      </c>
      <c r="R481" s="5" t="s">
        <v>4</v>
      </c>
      <c r="S481" s="100">
        <f ca="1">_xll.meDateFromTenor(S480,"1D","FOLLOWING",T$12)</f>
        <v>43175</v>
      </c>
      <c r="T481" s="13">
        <f ca="1">_xll.meDateFromTenor(S481,T$14,T$11,T$12)</f>
        <v>43542</v>
      </c>
      <c r="U481" s="98">
        <f ca="1"/>
        <v>5.4994976634598796E-4</v>
      </c>
      <c r="V481" s="5" t="s">
        <v>4</v>
      </c>
      <c r="W481" s="84" t="s">
        <v>4</v>
      </c>
    </row>
    <row r="482" spans="1:23" x14ac:dyDescent="0.25">
      <c r="A482" s="90">
        <v>463</v>
      </c>
      <c r="B482" s="83"/>
      <c r="C482" s="100">
        <f ca="1">_xll.meDateFromTenor(C481,"1D","FOLLOWING",D$12)</f>
        <v>43178</v>
      </c>
      <c r="D482" s="13">
        <f ca="1">_xll.meDateFromTenor(C482,D$14,D$11,D$12)</f>
        <v>43179</v>
      </c>
      <c r="E482" s="98">
        <f ca="1"/>
        <v>-4.2188762557860008E-3</v>
      </c>
      <c r="F482" s="94"/>
      <c r="G482" s="100">
        <f ca="1">_xll.meDateFromTenor(G481,"1D","FOLLOWING",H$12)</f>
        <v>43178</v>
      </c>
      <c r="H482" s="13">
        <f ca="1">_xll.meDateFromTenor(G482,H$14,H$11,H$12)</f>
        <v>43209</v>
      </c>
      <c r="I482" s="98">
        <f ca="1"/>
        <v>-3.8190575659417547E-3</v>
      </c>
      <c r="J482" s="94" t="s">
        <v>4</v>
      </c>
      <c r="K482" s="100">
        <f ca="1">_xll.meDateFromTenor(K481,"1D","FOLLOWING",L$12)</f>
        <v>43178</v>
      </c>
      <c r="L482" s="13">
        <f ca="1">_xll.meDateFromTenor(K482,L$14,L$11,L$12)</f>
        <v>43270</v>
      </c>
      <c r="M482" s="98">
        <f ca="1"/>
        <v>-2.8327035715451409E-3</v>
      </c>
      <c r="N482" s="5" t="s">
        <v>4</v>
      </c>
      <c r="O482" s="100">
        <f ca="1">_xll.meDateFromTenor(O481,"1D","FOLLOWING",P$12)</f>
        <v>43178</v>
      </c>
      <c r="P482" s="13">
        <f ca="1">_xll.meDateFromTenor(O482,P$14,P$11,P$12)</f>
        <v>43362</v>
      </c>
      <c r="Q482" s="98">
        <f ca="1"/>
        <v>-1.413684736343784E-3</v>
      </c>
      <c r="R482" s="5" t="s">
        <v>4</v>
      </c>
      <c r="S482" s="100">
        <f ca="1">_xll.meDateFromTenor(S481,"1D","FOLLOWING",T$12)</f>
        <v>43178</v>
      </c>
      <c r="T482" s="13">
        <f ca="1">_xll.meDateFromTenor(S482,T$14,T$11,T$12)</f>
        <v>43543</v>
      </c>
      <c r="U482" s="98">
        <f ca="1"/>
        <v>5.6011250742765901E-4</v>
      </c>
      <c r="V482" s="5" t="s">
        <v>4</v>
      </c>
      <c r="W482" s="84" t="s">
        <v>4</v>
      </c>
    </row>
    <row r="483" spans="1:23" x14ac:dyDescent="0.25">
      <c r="A483" s="90">
        <v>464</v>
      </c>
      <c r="B483" s="83"/>
      <c r="C483" s="100">
        <f ca="1">_xll.meDateFromTenor(C482,"1D","FOLLOWING",D$12)</f>
        <v>43179</v>
      </c>
      <c r="D483" s="13">
        <f ca="1">_xll.meDateFromTenor(C483,D$14,D$11,D$12)</f>
        <v>43180</v>
      </c>
      <c r="E483" s="98">
        <f ca="1"/>
        <v>-4.2178268172099612E-3</v>
      </c>
      <c r="F483" s="94"/>
      <c r="G483" s="100">
        <f ca="1">_xll.meDateFromTenor(G482,"1D","FOLLOWING",H$12)</f>
        <v>43179</v>
      </c>
      <c r="H483" s="13">
        <f ca="1">_xll.meDateFromTenor(G483,H$14,H$11,H$12)</f>
        <v>43210</v>
      </c>
      <c r="I483" s="98">
        <f ca="1"/>
        <v>-3.8168994983999861E-3</v>
      </c>
      <c r="J483" s="94" t="s">
        <v>4</v>
      </c>
      <c r="K483" s="100">
        <f ca="1">_xll.meDateFromTenor(K482,"1D","FOLLOWING",L$12)</f>
        <v>43179</v>
      </c>
      <c r="L483" s="13">
        <f ca="1">_xll.meDateFromTenor(K483,L$14,L$11,L$12)</f>
        <v>43271</v>
      </c>
      <c r="M483" s="98">
        <f ca="1"/>
        <v>-2.864883312889796E-3</v>
      </c>
      <c r="N483" s="5" t="s">
        <v>4</v>
      </c>
      <c r="O483" s="100">
        <f ca="1">_xll.meDateFromTenor(O482,"1D","FOLLOWING",P$12)</f>
        <v>43179</v>
      </c>
      <c r="P483" s="13">
        <f ca="1">_xll.meDateFromTenor(O483,P$14,P$11,P$12)</f>
        <v>43363</v>
      </c>
      <c r="Q483" s="98">
        <f ca="1"/>
        <v>-1.4106110853628292E-3</v>
      </c>
      <c r="R483" s="5" t="s">
        <v>4</v>
      </c>
      <c r="S483" s="100">
        <f ca="1">_xll.meDateFromTenor(S482,"1D","FOLLOWING",T$12)</f>
        <v>43179</v>
      </c>
      <c r="T483" s="13">
        <f ca="1">_xll.meDateFromTenor(S483,T$14,T$11,T$12)</f>
        <v>43544</v>
      </c>
      <c r="U483" s="98">
        <f ca="1"/>
        <v>5.6351934684187018E-4</v>
      </c>
      <c r="V483" s="5" t="s">
        <v>4</v>
      </c>
      <c r="W483" s="84" t="s">
        <v>4</v>
      </c>
    </row>
    <row r="484" spans="1:23" x14ac:dyDescent="0.25">
      <c r="A484" s="90">
        <v>465</v>
      </c>
      <c r="B484" s="83"/>
      <c r="C484" s="100">
        <f ca="1">_xll.meDateFromTenor(C483,"1D","FOLLOWING",D$12)</f>
        <v>43180</v>
      </c>
      <c r="D484" s="13">
        <f ca="1">_xll.meDateFromTenor(C484,D$14,D$11,D$12)</f>
        <v>43181</v>
      </c>
      <c r="E484" s="98">
        <f ca="1"/>
        <v>-4.2167527398628982E-3</v>
      </c>
      <c r="F484" s="94"/>
      <c r="G484" s="100">
        <f ca="1">_xll.meDateFromTenor(G483,"1D","FOLLOWING",H$12)</f>
        <v>43180</v>
      </c>
      <c r="H484" s="13">
        <f ca="1">_xll.meDateFromTenor(G484,H$14,H$11,H$12)</f>
        <v>43213</v>
      </c>
      <c r="I484" s="98">
        <f ca="1"/>
        <v>-3.814723421585228E-3</v>
      </c>
      <c r="J484" s="94" t="s">
        <v>4</v>
      </c>
      <c r="K484" s="100">
        <f ca="1">_xll.meDateFromTenor(K483,"1D","FOLLOWING",L$12)</f>
        <v>43180</v>
      </c>
      <c r="L484" s="13">
        <f ca="1">_xll.meDateFromTenor(K484,L$14,L$11,L$12)</f>
        <v>43272</v>
      </c>
      <c r="M484" s="98">
        <f ca="1"/>
        <v>-2.8961667683102994E-3</v>
      </c>
      <c r="N484" s="5" t="s">
        <v>4</v>
      </c>
      <c r="O484" s="100">
        <f ca="1">_xll.meDateFromTenor(O483,"1D","FOLLOWING",P$12)</f>
        <v>43180</v>
      </c>
      <c r="P484" s="13">
        <f ca="1">_xll.meDateFromTenor(O484,P$14,P$11,P$12)</f>
        <v>43364</v>
      </c>
      <c r="Q484" s="98">
        <f ca="1"/>
        <v>-1.4075266621941906E-3</v>
      </c>
      <c r="R484" s="5" t="s">
        <v>4</v>
      </c>
      <c r="S484" s="100">
        <f ca="1">_xll.meDateFromTenor(S483,"1D","FOLLOWING",T$12)</f>
        <v>43180</v>
      </c>
      <c r="T484" s="13">
        <f ca="1">_xll.meDateFromTenor(S484,T$14,T$11,T$12)</f>
        <v>43545</v>
      </c>
      <c r="U484" s="98">
        <f ca="1"/>
        <v>5.6693583305406233E-4</v>
      </c>
      <c r="V484" s="5" t="s">
        <v>4</v>
      </c>
      <c r="W484" s="84" t="s">
        <v>4</v>
      </c>
    </row>
    <row r="485" spans="1:23" x14ac:dyDescent="0.25">
      <c r="A485" s="90">
        <v>466</v>
      </c>
      <c r="B485" s="83"/>
      <c r="C485" s="100">
        <f ca="1">_xll.meDateFromTenor(C484,"1D","FOLLOWING",D$12)</f>
        <v>43181</v>
      </c>
      <c r="D485" s="13">
        <f ca="1">_xll.meDateFromTenor(C485,D$14,D$11,D$12)</f>
        <v>43182</v>
      </c>
      <c r="E485" s="98">
        <f ca="1"/>
        <v>-4.2156540252236288E-3</v>
      </c>
      <c r="F485" s="94"/>
      <c r="G485" s="100">
        <f ca="1">_xll.meDateFromTenor(G484,"1D","FOLLOWING",H$12)</f>
        <v>43181</v>
      </c>
      <c r="H485" s="13">
        <f ca="1">_xll.meDateFromTenor(G485,H$14,H$11,H$12)</f>
        <v>43213</v>
      </c>
      <c r="I485" s="98">
        <f ca="1"/>
        <v>-3.812527558098995E-3</v>
      </c>
      <c r="J485" s="94" t="s">
        <v>4</v>
      </c>
      <c r="K485" s="100">
        <f ca="1">_xll.meDateFromTenor(K484,"1D","FOLLOWING",L$12)</f>
        <v>43181</v>
      </c>
      <c r="L485" s="13">
        <f ca="1">_xll.meDateFromTenor(K485,L$14,L$11,L$12)</f>
        <v>43273</v>
      </c>
      <c r="M485" s="98">
        <f ca="1"/>
        <v>-2.9264523607483938E-3</v>
      </c>
      <c r="N485" s="5" t="s">
        <v>4</v>
      </c>
      <c r="O485" s="100">
        <f ca="1">_xll.meDateFromTenor(O484,"1D","FOLLOWING",P$12)</f>
        <v>43181</v>
      </c>
      <c r="P485" s="13">
        <f ca="1">_xll.meDateFromTenor(O485,P$14,P$11,P$12)</f>
        <v>43367</v>
      </c>
      <c r="Q485" s="98">
        <f ca="1"/>
        <v>-1.4044315048790713E-3</v>
      </c>
      <c r="R485" s="5" t="s">
        <v>4</v>
      </c>
      <c r="S485" s="100">
        <f ca="1">_xll.meDateFromTenor(S484,"1D","FOLLOWING",T$12)</f>
        <v>43181</v>
      </c>
      <c r="T485" s="13">
        <f ca="1">_xll.meDateFromTenor(S485,T$14,T$11,T$12)</f>
        <v>43546</v>
      </c>
      <c r="U485" s="98">
        <f ca="1"/>
        <v>5.7036197642692773E-4</v>
      </c>
      <c r="V485" s="5" t="s">
        <v>4</v>
      </c>
      <c r="W485" s="84" t="s">
        <v>4</v>
      </c>
    </row>
    <row r="486" spans="1:23" x14ac:dyDescent="0.25">
      <c r="A486" s="90">
        <v>467</v>
      </c>
      <c r="B486" s="83"/>
      <c r="C486" s="100">
        <f ca="1">_xll.meDateFromTenor(C485,"1D","FOLLOWING",D$12)</f>
        <v>43182</v>
      </c>
      <c r="D486" s="13">
        <f ca="1">_xll.meDateFromTenor(C486,D$14,D$11,D$12)</f>
        <v>43185</v>
      </c>
      <c r="E486" s="98">
        <f ca="1"/>
        <v>-4.213325164412654E-3</v>
      </c>
      <c r="F486" s="94"/>
      <c r="G486" s="100">
        <f ca="1">_xll.meDateFromTenor(G485,"1D","FOLLOWING",H$12)</f>
        <v>43182</v>
      </c>
      <c r="H486" s="13">
        <f ca="1">_xll.meDateFromTenor(G486,H$14,H$11,H$12)</f>
        <v>43213</v>
      </c>
      <c r="I486" s="98">
        <f ca="1"/>
        <v>-3.8103101305428009E-3</v>
      </c>
      <c r="J486" s="94" t="s">
        <v>4</v>
      </c>
      <c r="K486" s="100">
        <f ca="1">_xll.meDateFromTenor(K485,"1D","FOLLOWING",L$12)</f>
        <v>43182</v>
      </c>
      <c r="L486" s="13">
        <f ca="1">_xll.meDateFromTenor(K486,L$14,L$11,L$12)</f>
        <v>43276</v>
      </c>
      <c r="M486" s="98">
        <f ca="1"/>
        <v>-2.9557300516094669E-3</v>
      </c>
      <c r="N486" s="5" t="s">
        <v>4</v>
      </c>
      <c r="O486" s="100">
        <f ca="1">_xll.meDateFromTenor(O485,"1D","FOLLOWING",P$12)</f>
        <v>43182</v>
      </c>
      <c r="P486" s="13">
        <f ca="1">_xll.meDateFromTenor(O486,P$14,P$11,P$12)</f>
        <v>43367</v>
      </c>
      <c r="Q486" s="98">
        <f ca="1"/>
        <v>-1.4013256514586753E-3</v>
      </c>
      <c r="R486" s="5" t="s">
        <v>4</v>
      </c>
      <c r="S486" s="100">
        <f ca="1">_xll.meDateFromTenor(S485,"1D","FOLLOWING",T$12)</f>
        <v>43182</v>
      </c>
      <c r="T486" s="13">
        <f ca="1">_xll.meDateFromTenor(S486,T$14,T$11,T$12)</f>
        <v>43549</v>
      </c>
      <c r="U486" s="98">
        <f ca="1"/>
        <v>5.7379778732315819E-4</v>
      </c>
      <c r="V486" s="5" t="s">
        <v>4</v>
      </c>
      <c r="W486" s="84" t="s">
        <v>4</v>
      </c>
    </row>
    <row r="487" spans="1:23" x14ac:dyDescent="0.25">
      <c r="A487" s="90">
        <v>468</v>
      </c>
      <c r="B487" s="83"/>
      <c r="C487" s="100">
        <f ca="1">_xll.meDateFromTenor(C486,"1D","FOLLOWING",D$12)</f>
        <v>43185</v>
      </c>
      <c r="D487" s="13">
        <f ca="1">_xll.meDateFromTenor(C487,D$14,D$11,D$12)</f>
        <v>43186</v>
      </c>
      <c r="E487" s="98">
        <f ca="1"/>
        <v>-4.2110128153272234E-3</v>
      </c>
      <c r="F487" s="94"/>
      <c r="G487" s="100">
        <f ca="1">_xll.meDateFromTenor(G486,"1D","FOLLOWING",H$12)</f>
        <v>43185</v>
      </c>
      <c r="H487" s="13">
        <f ca="1">_xll.meDateFromTenor(G487,H$14,H$11,H$12)</f>
        <v>43216</v>
      </c>
      <c r="I487" s="98">
        <f ca="1"/>
        <v>-3.8035106894695903E-3</v>
      </c>
      <c r="J487" s="94" t="s">
        <v>4</v>
      </c>
      <c r="K487" s="100">
        <f ca="1">_xll.meDateFromTenor(K486,"1D","FOLLOWING",L$12)</f>
        <v>43185</v>
      </c>
      <c r="L487" s="13">
        <f ca="1">_xll.meDateFromTenor(K487,L$14,L$11,L$12)</f>
        <v>43277</v>
      </c>
      <c r="M487" s="98">
        <f ca="1"/>
        <v>-3.0376441749435982E-3</v>
      </c>
      <c r="N487" s="5" t="s">
        <v>4</v>
      </c>
      <c r="O487" s="100">
        <f ca="1">_xll.meDateFromTenor(O486,"1D","FOLLOWING",P$12)</f>
        <v>43185</v>
      </c>
      <c r="P487" s="13">
        <f ca="1">_xll.meDateFromTenor(O487,P$14,P$11,P$12)</f>
        <v>43369</v>
      </c>
      <c r="Q487" s="98">
        <f ca="1"/>
        <v>-1.3919442949778596E-3</v>
      </c>
      <c r="R487" s="5" t="s">
        <v>4</v>
      </c>
      <c r="S487" s="100">
        <f ca="1">_xll.meDateFromTenor(S486,"1D","FOLLOWING",T$12)</f>
        <v>43185</v>
      </c>
      <c r="T487" s="13">
        <f ca="1">_xll.meDateFromTenor(S487,T$14,T$11,T$12)</f>
        <v>43550</v>
      </c>
      <c r="U487" s="98">
        <f ca="1"/>
        <v>5.8416332877896408E-4</v>
      </c>
      <c r="V487" s="5" t="s">
        <v>4</v>
      </c>
      <c r="W487" s="84" t="s">
        <v>4</v>
      </c>
    </row>
    <row r="488" spans="1:23" x14ac:dyDescent="0.25">
      <c r="A488" s="90">
        <v>469</v>
      </c>
      <c r="B488" s="83"/>
      <c r="C488" s="100">
        <f ca="1">_xll.meDateFromTenor(C487,"1D","FOLLOWING",D$12)</f>
        <v>43186</v>
      </c>
      <c r="D488" s="13">
        <f ca="1">_xll.meDateFromTenor(C488,D$14,D$11,D$12)</f>
        <v>43187</v>
      </c>
      <c r="E488" s="98">
        <f ca="1"/>
        <v>-4.209790930653782E-3</v>
      </c>
      <c r="F488" s="94"/>
      <c r="G488" s="100">
        <f ca="1">_xll.meDateFromTenor(G487,"1D","FOLLOWING",H$12)</f>
        <v>43186</v>
      </c>
      <c r="H488" s="13">
        <f ca="1">_xll.meDateFromTenor(G488,H$14,H$11,H$12)</f>
        <v>43217</v>
      </c>
      <c r="I488" s="98">
        <f ca="1"/>
        <v>-3.8011892316486898E-3</v>
      </c>
      <c r="J488" s="94" t="s">
        <v>4</v>
      </c>
      <c r="K488" s="100">
        <f ca="1">_xll.meDateFromTenor(K487,"1D","FOLLOWING",L$12)</f>
        <v>43186</v>
      </c>
      <c r="L488" s="13">
        <f ca="1">_xll.meDateFromTenor(K488,L$14,L$11,L$12)</f>
        <v>43278</v>
      </c>
      <c r="M488" s="98">
        <f ca="1"/>
        <v>-3.0630187197096177E-3</v>
      </c>
      <c r="N488" s="5" t="s">
        <v>4</v>
      </c>
      <c r="O488" s="100">
        <f ca="1">_xll.meDateFromTenor(O487,"1D","FOLLOWING",P$12)</f>
        <v>43186</v>
      </c>
      <c r="P488" s="13">
        <f ca="1">_xll.meDateFromTenor(O488,P$14,P$11,P$12)</f>
        <v>43370</v>
      </c>
      <c r="Q488" s="98">
        <f ca="1"/>
        <v>-1.3887960375483903E-3</v>
      </c>
      <c r="R488" s="5" t="s">
        <v>4</v>
      </c>
      <c r="S488" s="100">
        <f ca="1">_xll.meDateFromTenor(S487,"1D","FOLLOWING",T$12)</f>
        <v>43186</v>
      </c>
      <c r="T488" s="13">
        <f ca="1">_xll.meDateFromTenor(S488,T$14,T$11,T$12)</f>
        <v>43551</v>
      </c>
      <c r="U488" s="98">
        <f ca="1"/>
        <v>5.8763791339557848E-4</v>
      </c>
      <c r="V488" s="5" t="s">
        <v>4</v>
      </c>
      <c r="W488" s="84" t="s">
        <v>4</v>
      </c>
    </row>
    <row r="489" spans="1:23" x14ac:dyDescent="0.25">
      <c r="A489" s="90">
        <v>470</v>
      </c>
      <c r="B489" s="83"/>
      <c r="C489" s="100">
        <f ca="1">_xll.meDateFromTenor(C488,"1D","FOLLOWING",D$12)</f>
        <v>43187</v>
      </c>
      <c r="D489" s="13">
        <f ca="1">_xll.meDateFromTenor(C489,D$14,D$11,D$12)</f>
        <v>43188</v>
      </c>
      <c r="E489" s="98">
        <f ca="1"/>
        <v>-4.2085444155626353E-3</v>
      </c>
      <c r="F489" s="94"/>
      <c r="G489" s="100">
        <f ca="1">_xll.meDateFromTenor(G488,"1D","FOLLOWING",H$12)</f>
        <v>43187</v>
      </c>
      <c r="H489" s="13">
        <f ca="1">_xll.meDateFromTenor(G489,H$14,H$11,H$12)</f>
        <v>43220</v>
      </c>
      <c r="I489" s="98">
        <f ca="1"/>
        <v>-3.7988373227653975E-3</v>
      </c>
      <c r="J489" s="94" t="s">
        <v>4</v>
      </c>
      <c r="K489" s="100">
        <f ca="1">_xll.meDateFromTenor(K488,"1D","FOLLOWING",L$12)</f>
        <v>43187</v>
      </c>
      <c r="L489" s="13">
        <f ca="1">_xll.meDateFromTenor(K489,L$14,L$11,L$12)</f>
        <v>43279</v>
      </c>
      <c r="M489" s="98">
        <f ca="1"/>
        <v>-3.0874495930051245E-3</v>
      </c>
      <c r="N489" s="5" t="s">
        <v>4</v>
      </c>
      <c r="O489" s="100">
        <f ca="1">_xll.meDateFromTenor(O488,"1D","FOLLOWING",P$12)</f>
        <v>43187</v>
      </c>
      <c r="P489" s="13">
        <f ca="1">_xll.meDateFromTenor(O489,P$14,P$11,P$12)</f>
        <v>43371</v>
      </c>
      <c r="Q489" s="98">
        <f ca="1"/>
        <v>-1.3856372742196608E-3</v>
      </c>
      <c r="R489" s="5" t="s">
        <v>4</v>
      </c>
      <c r="S489" s="100">
        <f ca="1">_xll.meDateFromTenor(S488,"1D","FOLLOWING",T$12)</f>
        <v>43187</v>
      </c>
      <c r="T489" s="13">
        <f ca="1">_xll.meDateFromTenor(S489,T$14,T$11,T$12)</f>
        <v>43552</v>
      </c>
      <c r="U489" s="98">
        <f ca="1"/>
        <v>5.911222173490188E-4</v>
      </c>
      <c r="V489" s="5" t="s">
        <v>4</v>
      </c>
      <c r="W489" s="84" t="s">
        <v>4</v>
      </c>
    </row>
    <row r="490" spans="1:23" x14ac:dyDescent="0.25">
      <c r="A490" s="90">
        <v>471</v>
      </c>
      <c r="B490" s="83"/>
      <c r="C490" s="100">
        <f ca="1">_xll.meDateFromTenor(C489,"1D","FOLLOWING",D$12)</f>
        <v>43188</v>
      </c>
      <c r="D490" s="13">
        <f ca="1">_xll.meDateFromTenor(C490,D$14,D$11,D$12)</f>
        <v>43193</v>
      </c>
      <c r="E490" s="98">
        <f ca="1"/>
        <v>-4.2045342571572922E-3</v>
      </c>
      <c r="F490" s="94"/>
      <c r="G490" s="100">
        <f ca="1">_xll.meDateFromTenor(G489,"1D","FOLLOWING",H$12)</f>
        <v>43188</v>
      </c>
      <c r="H490" s="13">
        <f ca="1">_xll.meDateFromTenor(G490,H$14,H$11,H$12)</f>
        <v>43220</v>
      </c>
      <c r="I490" s="98">
        <f ca="1"/>
        <v>-3.7964531854212278E-3</v>
      </c>
      <c r="J490" s="94" t="s">
        <v>4</v>
      </c>
      <c r="K490" s="100">
        <f ca="1">_xll.meDateFromTenor(K489,"1D","FOLLOWING",L$12)</f>
        <v>43188</v>
      </c>
      <c r="L490" s="13">
        <f ca="1">_xll.meDateFromTenor(K490,L$14,L$11,L$12)</f>
        <v>43280</v>
      </c>
      <c r="M490" s="98">
        <f ca="1"/>
        <v>-3.110949640851424E-3</v>
      </c>
      <c r="N490" s="5" t="s">
        <v>4</v>
      </c>
      <c r="O490" s="100">
        <f ca="1">_xll.meDateFromTenor(O489,"1D","FOLLOWING",P$12)</f>
        <v>43188</v>
      </c>
      <c r="P490" s="13">
        <f ca="1">_xll.meDateFromTenor(O490,P$14,P$11,P$12)</f>
        <v>43371</v>
      </c>
      <c r="Q490" s="98">
        <f ca="1"/>
        <v>-1.3824680430328754E-3</v>
      </c>
      <c r="R490" s="5" t="s">
        <v>4</v>
      </c>
      <c r="S490" s="100">
        <f ca="1">_xll.meDateFromTenor(S489,"1D","FOLLOWING",T$12)</f>
        <v>43188</v>
      </c>
      <c r="T490" s="13">
        <f ca="1">_xll.meDateFromTenor(S490,T$14,T$11,T$12)</f>
        <v>43553</v>
      </c>
      <c r="U490" s="98">
        <f ca="1"/>
        <v>5.9461625100197784E-4</v>
      </c>
      <c r="V490" s="5" t="s">
        <v>4</v>
      </c>
      <c r="W490" s="84" t="s">
        <v>4</v>
      </c>
    </row>
    <row r="491" spans="1:23" x14ac:dyDescent="0.25">
      <c r="A491" s="90">
        <v>472</v>
      </c>
      <c r="B491" s="83"/>
      <c r="C491" s="100">
        <f ca="1">_xll.meDateFromTenor(C490,"1D","FOLLOWING",D$12)</f>
        <v>43193</v>
      </c>
      <c r="D491" s="13">
        <f ca="1">_xll.meDateFromTenor(C491,D$14,D$11,D$12)</f>
        <v>43194</v>
      </c>
      <c r="E491" s="98">
        <f ca="1"/>
        <v>-4.2005481471152498E-3</v>
      </c>
      <c r="F491" s="94"/>
      <c r="G491" s="100">
        <f ca="1">_xll.meDateFromTenor(G490,"1D","FOLLOWING",H$12)</f>
        <v>43193</v>
      </c>
      <c r="H491" s="13">
        <f ca="1">_xll.meDateFromTenor(G491,H$14,H$11,H$12)</f>
        <v>43223</v>
      </c>
      <c r="I491" s="98">
        <f ca="1"/>
        <v>-3.7839868628401995E-3</v>
      </c>
      <c r="J491" s="94" t="s">
        <v>4</v>
      </c>
      <c r="K491" s="100">
        <f ca="1">_xll.meDateFromTenor(K490,"1D","FOLLOWING",L$12)</f>
        <v>43193</v>
      </c>
      <c r="L491" s="13">
        <f ca="1">_xll.meDateFromTenor(K491,L$14,L$11,L$12)</f>
        <v>43284</v>
      </c>
      <c r="M491" s="98">
        <f ca="1"/>
        <v>-3.2149371090903624E-3</v>
      </c>
      <c r="N491" s="5" t="s">
        <v>4</v>
      </c>
      <c r="O491" s="100">
        <f ca="1">_xll.meDateFromTenor(O490,"1D","FOLLOWING",P$12)</f>
        <v>43193</v>
      </c>
      <c r="P491" s="13">
        <f ca="1">_xll.meDateFromTenor(O491,P$14,P$11,P$12)</f>
        <v>43376</v>
      </c>
      <c r="Q491" s="98">
        <f ca="1"/>
        <v>-1.3664662006702222E-3</v>
      </c>
      <c r="R491" s="5" t="s">
        <v>4</v>
      </c>
      <c r="S491" s="100">
        <f ca="1">_xll.meDateFromTenor(S490,"1D","FOLLOWING",T$12)</f>
        <v>43193</v>
      </c>
      <c r="T491" s="13">
        <f ca="1">_xll.meDateFromTenor(S491,T$14,T$11,T$12)</f>
        <v>43558</v>
      </c>
      <c r="U491" s="98">
        <f ca="1"/>
        <v>6.1223272745378199E-4</v>
      </c>
      <c r="V491" s="5" t="s">
        <v>4</v>
      </c>
      <c r="W491" s="84" t="s">
        <v>4</v>
      </c>
    </row>
    <row r="492" spans="1:23" x14ac:dyDescent="0.25">
      <c r="A492" s="90">
        <v>473</v>
      </c>
      <c r="B492" s="83"/>
      <c r="C492" s="100">
        <f ca="1">_xll.meDateFromTenor(C491,"1D","FOLLOWING",D$12)</f>
        <v>43194</v>
      </c>
      <c r="D492" s="13">
        <f ca="1">_xll.meDateFromTenor(C492,D$14,D$11,D$12)</f>
        <v>43195</v>
      </c>
      <c r="E492" s="98">
        <f ca="1"/>
        <v>-4.1991292499155156E-3</v>
      </c>
      <c r="F492" s="94"/>
      <c r="G492" s="100">
        <f ca="1">_xll.meDateFromTenor(G491,"1D","FOLLOWING",H$12)</f>
        <v>43194</v>
      </c>
      <c r="H492" s="13">
        <f ca="1">_xll.meDateFromTenor(G492,H$14,H$11,H$12)</f>
        <v>43224</v>
      </c>
      <c r="I492" s="98">
        <f ca="1"/>
        <v>-3.7813727102634686E-3</v>
      </c>
      <c r="J492" s="94" t="s">
        <v>4</v>
      </c>
      <c r="K492" s="100">
        <f ca="1">_xll.meDateFromTenor(K491,"1D","FOLLOWING",L$12)</f>
        <v>43194</v>
      </c>
      <c r="L492" s="13">
        <f ca="1">_xll.meDateFromTenor(K492,L$14,L$11,L$12)</f>
        <v>43285</v>
      </c>
      <c r="M492" s="98">
        <f ca="1"/>
        <v>-3.2331219706887493E-3</v>
      </c>
      <c r="N492" s="5" t="s">
        <v>4</v>
      </c>
      <c r="O492" s="100">
        <f ca="1">_xll.meDateFromTenor(O491,"1D","FOLLOWING",P$12)</f>
        <v>43194</v>
      </c>
      <c r="P492" s="13">
        <f ca="1">_xll.meDateFromTenor(O492,P$14,P$11,P$12)</f>
        <v>43377</v>
      </c>
      <c r="Q492" s="98">
        <f ca="1"/>
        <v>-1.3632349612003704E-3</v>
      </c>
      <c r="R492" s="5" t="s">
        <v>4</v>
      </c>
      <c r="S492" s="100">
        <f ca="1">_xll.meDateFromTenor(S491,"1D","FOLLOWING",T$12)</f>
        <v>43194</v>
      </c>
      <c r="T492" s="13">
        <f ca="1">_xll.meDateFromTenor(S492,T$14,T$11,T$12)</f>
        <v>43559</v>
      </c>
      <c r="U492" s="98">
        <f ca="1"/>
        <v>6.1578535692039015E-4</v>
      </c>
      <c r="V492" s="5" t="s">
        <v>4</v>
      </c>
      <c r="W492" s="84" t="s">
        <v>4</v>
      </c>
    </row>
    <row r="493" spans="1:23" x14ac:dyDescent="0.25">
      <c r="A493" s="90">
        <v>474</v>
      </c>
      <c r="B493" s="83"/>
      <c r="C493" s="100">
        <f ca="1">_xll.meDateFromTenor(C492,"1D","FOLLOWING",D$12)</f>
        <v>43195</v>
      </c>
      <c r="D493" s="13">
        <f ca="1">_xll.meDateFromTenor(C493,D$14,D$11,D$12)</f>
        <v>43196</v>
      </c>
      <c r="E493" s="98">
        <f ca="1"/>
        <v>-4.1976857314107866E-3</v>
      </c>
      <c r="F493" s="94"/>
      <c r="G493" s="100">
        <f ca="1">_xll.meDateFromTenor(G492,"1D","FOLLOWING",H$12)</f>
        <v>43195</v>
      </c>
      <c r="H493" s="13">
        <f ca="1">_xll.meDateFromTenor(G493,H$14,H$11,H$12)</f>
        <v>43227</v>
      </c>
      <c r="I493" s="98">
        <f ca="1"/>
        <v>-3.7787179728419381E-3</v>
      </c>
      <c r="J493" s="94" t="s">
        <v>4</v>
      </c>
      <c r="K493" s="100">
        <f ca="1">_xll.meDateFromTenor(K492,"1D","FOLLOWING",L$12)</f>
        <v>43195</v>
      </c>
      <c r="L493" s="13">
        <f ca="1">_xll.meDateFromTenor(K493,L$14,L$11,L$12)</f>
        <v>43286</v>
      </c>
      <c r="M493" s="98">
        <f ca="1"/>
        <v>-3.2504659289870402E-3</v>
      </c>
      <c r="N493" s="5" t="s">
        <v>4</v>
      </c>
      <c r="O493" s="100">
        <f ca="1">_xll.meDateFromTenor(O492,"1D","FOLLOWING",P$12)</f>
        <v>43195</v>
      </c>
      <c r="P493" s="13">
        <f ca="1">_xll.meDateFromTenor(O493,P$14,P$11,P$12)</f>
        <v>43378</v>
      </c>
      <c r="Q493" s="98">
        <f ca="1"/>
        <v>-1.3599935201608862E-3</v>
      </c>
      <c r="R493" s="5" t="s">
        <v>4</v>
      </c>
      <c r="S493" s="100">
        <f ca="1">_xll.meDateFromTenor(S492,"1D","FOLLOWING",T$12)</f>
        <v>43195</v>
      </c>
      <c r="T493" s="13">
        <f ca="1">_xll.meDateFromTenor(S493,T$14,T$11,T$12)</f>
        <v>43560</v>
      </c>
      <c r="U493" s="98">
        <f ca="1"/>
        <v>6.1934778862536251E-4</v>
      </c>
      <c r="V493" s="5" t="s">
        <v>4</v>
      </c>
      <c r="W493" s="84" t="s">
        <v>4</v>
      </c>
    </row>
    <row r="494" spans="1:23" x14ac:dyDescent="0.25">
      <c r="A494" s="90">
        <v>475</v>
      </c>
      <c r="B494" s="83"/>
      <c r="C494" s="100">
        <f ca="1">_xll.meDateFromTenor(C493,"1D","FOLLOWING",D$12)</f>
        <v>43196</v>
      </c>
      <c r="D494" s="13">
        <f ca="1">_xll.meDateFromTenor(C494,D$14,D$11,D$12)</f>
        <v>43199</v>
      </c>
      <c r="E494" s="98">
        <f ca="1"/>
        <v>-4.1946677518112244E-3</v>
      </c>
      <c r="F494" s="94"/>
      <c r="G494" s="100">
        <f ca="1">_xll.meDateFromTenor(G493,"1D","FOLLOWING",H$12)</f>
        <v>43196</v>
      </c>
      <c r="H494" s="13">
        <f ca="1">_xll.meDateFromTenor(G494,H$14,H$11,H$12)</f>
        <v>43227</v>
      </c>
      <c r="I494" s="98">
        <f ca="1"/>
        <v>-3.7760249585826024E-3</v>
      </c>
      <c r="J494" s="94" t="s">
        <v>4</v>
      </c>
      <c r="K494" s="100">
        <f ca="1">_xll.meDateFromTenor(K493,"1D","FOLLOWING",L$12)</f>
        <v>43196</v>
      </c>
      <c r="L494" s="13">
        <f ca="1">_xll.meDateFromTenor(K494,L$14,L$11,L$12)</f>
        <v>43287</v>
      </c>
      <c r="M494" s="98">
        <f ca="1"/>
        <v>-3.2669818300065344E-3</v>
      </c>
      <c r="N494" s="5" t="s">
        <v>4</v>
      </c>
      <c r="O494" s="100">
        <f ca="1">_xll.meDateFromTenor(O493,"1D","FOLLOWING",P$12)</f>
        <v>43196</v>
      </c>
      <c r="P494" s="13">
        <f ca="1">_xll.meDateFromTenor(O494,P$14,P$11,P$12)</f>
        <v>43381</v>
      </c>
      <c r="Q494" s="98">
        <f ca="1"/>
        <v>-1.3567419155929735E-3</v>
      </c>
      <c r="R494" s="5" t="s">
        <v>4</v>
      </c>
      <c r="S494" s="100">
        <f ca="1">_xll.meDateFromTenor(S493,"1D","FOLLOWING",T$12)</f>
        <v>43196</v>
      </c>
      <c r="T494" s="13">
        <f ca="1">_xll.meDateFromTenor(S494,T$14,T$11,T$12)</f>
        <v>43563</v>
      </c>
      <c r="U494" s="98">
        <f ca="1"/>
        <v>6.2292003293139102E-4</v>
      </c>
      <c r="V494" s="5" t="s">
        <v>4</v>
      </c>
      <c r="W494" s="84" t="s">
        <v>4</v>
      </c>
    </row>
    <row r="495" spans="1:23" x14ac:dyDescent="0.25">
      <c r="A495" s="90">
        <v>476</v>
      </c>
      <c r="B495" s="83"/>
      <c r="C495" s="100">
        <f ca="1">_xll.meDateFromTenor(C494,"1D","FOLLOWING",D$12)</f>
        <v>43199</v>
      </c>
      <c r="D495" s="13">
        <f ca="1">_xll.meDateFromTenor(C495,D$14,D$11,D$12)</f>
        <v>43200</v>
      </c>
      <c r="E495" s="98">
        <f ca="1"/>
        <v>-4.1916654652052335E-3</v>
      </c>
      <c r="F495" s="94"/>
      <c r="G495" s="100">
        <f ca="1">_xll.meDateFromTenor(G494,"1D","FOLLOWING",H$12)</f>
        <v>43199</v>
      </c>
      <c r="H495" s="13">
        <f ca="1">_xll.meDateFromTenor(G495,H$14,H$11,H$12)</f>
        <v>43229</v>
      </c>
      <c r="I495" s="98">
        <f ca="1"/>
        <v>-3.7677393348477116E-3</v>
      </c>
      <c r="J495" s="94" t="s">
        <v>4</v>
      </c>
      <c r="K495" s="100">
        <f ca="1">_xll.meDateFromTenor(K494,"1D","FOLLOWING",L$12)</f>
        <v>43199</v>
      </c>
      <c r="L495" s="13">
        <f ca="1">_xll.meDateFromTenor(K495,L$14,L$11,L$12)</f>
        <v>43290</v>
      </c>
      <c r="M495" s="98">
        <f ca="1"/>
        <v>-3.3116896496052702E-3</v>
      </c>
      <c r="N495" s="5" t="s">
        <v>4</v>
      </c>
      <c r="O495" s="100">
        <f ca="1">_xll.meDateFromTenor(O494,"1D","FOLLOWING",P$12)</f>
        <v>43199</v>
      </c>
      <c r="P495" s="13">
        <f ca="1">_xll.meDateFromTenor(O495,P$14,P$11,P$12)</f>
        <v>43382</v>
      </c>
      <c r="Q495" s="98">
        <f ca="1"/>
        <v>-1.3469265011306962E-3</v>
      </c>
      <c r="R495" s="5" t="s">
        <v>4</v>
      </c>
      <c r="S495" s="100">
        <f ca="1">_xll.meDateFromTenor(S494,"1D","FOLLOWING",T$12)</f>
        <v>43199</v>
      </c>
      <c r="T495" s="13">
        <f ca="1">_xll.meDateFromTenor(S495,T$14,T$11,T$12)</f>
        <v>43564</v>
      </c>
      <c r="U495" s="98">
        <f ca="1"/>
        <v>6.3369574508273844E-4</v>
      </c>
      <c r="V495" s="5" t="s">
        <v>4</v>
      </c>
      <c r="W495" s="84" t="s">
        <v>4</v>
      </c>
    </row>
    <row r="496" spans="1:23" x14ac:dyDescent="0.25">
      <c r="A496" s="90">
        <v>477</v>
      </c>
      <c r="B496" s="83"/>
      <c r="C496" s="100">
        <f ca="1">_xll.meDateFromTenor(C495,"1D","FOLLOWING",D$12)</f>
        <v>43200</v>
      </c>
      <c r="D496" s="13">
        <f ca="1">_xll.meDateFromTenor(C496,D$14,D$11,D$12)</f>
        <v>43201</v>
      </c>
      <c r="E496" s="98">
        <f ca="1"/>
        <v>-4.1900988563226141E-3</v>
      </c>
      <c r="F496" s="94"/>
      <c r="G496" s="100">
        <f ca="1">_xll.meDateFromTenor(G495,"1D","FOLLOWING",H$12)</f>
        <v>43200</v>
      </c>
      <c r="H496" s="13">
        <f ca="1">_xll.meDateFromTenor(G496,H$14,H$11,H$12)</f>
        <v>43230</v>
      </c>
      <c r="I496" s="98">
        <f ca="1"/>
        <v>-3.7649162933071022E-3</v>
      </c>
      <c r="J496" s="94" t="s">
        <v>4</v>
      </c>
      <c r="K496" s="100">
        <f ca="1">_xll.meDateFromTenor(K495,"1D","FOLLOWING",L$12)</f>
        <v>43200</v>
      </c>
      <c r="L496" s="13">
        <f ca="1">_xll.meDateFromTenor(K496,L$14,L$11,L$12)</f>
        <v>43291</v>
      </c>
      <c r="M496" s="98">
        <f ca="1"/>
        <v>-3.3250217817226025E-3</v>
      </c>
      <c r="N496" s="5" t="s">
        <v>4</v>
      </c>
      <c r="O496" s="100">
        <f ca="1">_xll.meDateFromTenor(O495,"1D","FOLLOWING",P$12)</f>
        <v>43200</v>
      </c>
      <c r="P496" s="13">
        <f ca="1">_xll.meDateFromTenor(O496,P$14,P$11,P$12)</f>
        <v>43383</v>
      </c>
      <c r="Q496" s="98">
        <f ca="1"/>
        <v>-1.3436346228611023E-3</v>
      </c>
      <c r="R496" s="5" t="s">
        <v>4</v>
      </c>
      <c r="S496" s="100">
        <f ca="1">_xll.meDateFromTenor(S495,"1D","FOLLOWING",T$12)</f>
        <v>43200</v>
      </c>
      <c r="T496" s="13">
        <f ca="1">_xll.meDateFromTenor(S496,T$14,T$11,T$12)</f>
        <v>43565</v>
      </c>
      <c r="U496" s="98">
        <f ca="1"/>
        <v>6.3730734341991505E-4</v>
      </c>
      <c r="V496" s="5" t="s">
        <v>4</v>
      </c>
      <c r="W496" s="84" t="s">
        <v>4</v>
      </c>
    </row>
    <row r="497" spans="1:23" x14ac:dyDescent="0.25">
      <c r="A497" s="90">
        <v>478</v>
      </c>
      <c r="B497" s="83"/>
      <c r="C497" s="100">
        <f ca="1">_xll.meDateFromTenor(C496,"1D","FOLLOWING",D$12)</f>
        <v>43201</v>
      </c>
      <c r="D497" s="13">
        <f ca="1">_xll.meDateFromTenor(C497,D$14,D$11,D$12)</f>
        <v>43202</v>
      </c>
      <c r="E497" s="98">
        <f ca="1"/>
        <v>-4.1885076327696927E-3</v>
      </c>
      <c r="F497" s="94"/>
      <c r="G497" s="100">
        <f ca="1">_xll.meDateFromTenor(G496,"1D","FOLLOWING",H$12)</f>
        <v>43201</v>
      </c>
      <c r="H497" s="13">
        <f ca="1">_xll.meDateFromTenor(G497,H$14,H$11,H$12)</f>
        <v>43231</v>
      </c>
      <c r="I497" s="98">
        <f ca="1"/>
        <v>-3.7620665149636608E-3</v>
      </c>
      <c r="J497" s="94" t="s">
        <v>4</v>
      </c>
      <c r="K497" s="100">
        <f ca="1">_xll.meDateFromTenor(K496,"1D","FOLLOWING",L$12)</f>
        <v>43201</v>
      </c>
      <c r="L497" s="13">
        <f ca="1">_xll.meDateFromTenor(K497,L$14,L$11,L$12)</f>
        <v>43292</v>
      </c>
      <c r="M497" s="98">
        <f ca="1"/>
        <v>-3.3375900866676493E-3</v>
      </c>
      <c r="N497" s="5" t="s">
        <v>4</v>
      </c>
      <c r="O497" s="100">
        <f ca="1">_xll.meDateFromTenor(O496,"1D","FOLLOWING",P$12)</f>
        <v>43201</v>
      </c>
      <c r="P497" s="13">
        <f ca="1">_xll.meDateFromTenor(O497,P$14,P$11,P$12)</f>
        <v>43384</v>
      </c>
      <c r="Q497" s="98">
        <f ca="1"/>
        <v>-1.3403327712690966E-3</v>
      </c>
      <c r="R497" s="5" t="s">
        <v>4</v>
      </c>
      <c r="S497" s="100">
        <f ca="1">_xll.meDateFromTenor(S496,"1D","FOLLOWING",T$12)</f>
        <v>43201</v>
      </c>
      <c r="T497" s="13">
        <f ca="1">_xll.meDateFromTenor(S497,T$14,T$11,T$12)</f>
        <v>43566</v>
      </c>
      <c r="U497" s="98">
        <f ca="1"/>
        <v>6.4092880617160942E-4</v>
      </c>
      <c r="V497" s="5" t="s">
        <v>4</v>
      </c>
      <c r="W497" s="84" t="s">
        <v>4</v>
      </c>
    </row>
    <row r="498" spans="1:23" x14ac:dyDescent="0.25">
      <c r="A498" s="90">
        <v>479</v>
      </c>
      <c r="B498" s="83"/>
      <c r="C498" s="100">
        <f ca="1">_xll.meDateFromTenor(C497,"1D","FOLLOWING",D$12)</f>
        <v>43202</v>
      </c>
      <c r="D498" s="13">
        <f ca="1">_xll.meDateFromTenor(C498,D$14,D$11,D$12)</f>
        <v>43203</v>
      </c>
      <c r="E498" s="98">
        <f ca="1"/>
        <v>-4.1868917956256061E-3</v>
      </c>
      <c r="F498" s="94"/>
      <c r="G498" s="100">
        <f ca="1">_xll.meDateFromTenor(G497,"1D","FOLLOWING",H$12)</f>
        <v>43202</v>
      </c>
      <c r="H498" s="13">
        <f ca="1">_xll.meDateFromTenor(G498,H$14,H$11,H$12)</f>
        <v>43234</v>
      </c>
      <c r="I498" s="98">
        <f ca="1"/>
        <v>-3.7591923078243816E-3</v>
      </c>
      <c r="J498" s="94" t="s">
        <v>4</v>
      </c>
      <c r="K498" s="100">
        <f ca="1">_xll.meDateFromTenor(K497,"1D","FOLLOWING",L$12)</f>
        <v>43202</v>
      </c>
      <c r="L498" s="13">
        <f ca="1">_xll.meDateFromTenor(K498,L$14,L$11,L$12)</f>
        <v>43293</v>
      </c>
      <c r="M498" s="98">
        <f ca="1"/>
        <v>-3.3494074104617115E-3</v>
      </c>
      <c r="N498" s="5" t="s">
        <v>4</v>
      </c>
      <c r="O498" s="100">
        <f ca="1">_xll.meDateFromTenor(O497,"1D","FOLLOWING",P$12)</f>
        <v>43202</v>
      </c>
      <c r="P498" s="13">
        <f ca="1">_xll.meDateFromTenor(O498,P$14,P$11,P$12)</f>
        <v>43385</v>
      </c>
      <c r="Q498" s="98">
        <f ca="1"/>
        <v>-1.3370209843958823E-3</v>
      </c>
      <c r="R498" s="5" t="s">
        <v>4</v>
      </c>
      <c r="S498" s="100">
        <f ca="1">_xll.meDateFromTenor(S497,"1D","FOLLOWING",T$12)</f>
        <v>43202</v>
      </c>
      <c r="T498" s="13">
        <f ca="1">_xll.meDateFromTenor(S498,T$14,T$11,T$12)</f>
        <v>43567</v>
      </c>
      <c r="U498" s="98">
        <f ca="1"/>
        <v>6.445601437005137E-4</v>
      </c>
      <c r="V498" s="5" t="s">
        <v>4</v>
      </c>
      <c r="W498" s="84" t="s">
        <v>4</v>
      </c>
    </row>
    <row r="499" spans="1:23" x14ac:dyDescent="0.25">
      <c r="A499" s="90">
        <v>480</v>
      </c>
      <c r="B499" s="83"/>
      <c r="C499" s="100">
        <f ca="1">_xll.meDateFromTenor(C498,"1D","FOLLOWING",D$12)</f>
        <v>43203</v>
      </c>
      <c r="D499" s="13">
        <f ca="1">_xll.meDateFromTenor(C499,D$14,D$11,D$12)</f>
        <v>43206</v>
      </c>
      <c r="E499" s="98">
        <f ca="1"/>
        <v>-4.1835294644254764E-3</v>
      </c>
      <c r="F499" s="94"/>
      <c r="G499" s="100">
        <f ca="1">_xll.meDateFromTenor(G498,"1D","FOLLOWING",H$12)</f>
        <v>43203</v>
      </c>
      <c r="H499" s="13">
        <f ca="1">_xll.meDateFromTenor(G499,H$14,H$11,H$12)</f>
        <v>43234</v>
      </c>
      <c r="I499" s="98">
        <f ca="1"/>
        <v>-3.7562959798962603E-3</v>
      </c>
      <c r="J499" s="94" t="s">
        <v>4</v>
      </c>
      <c r="K499" s="100">
        <f ca="1">_xll.meDateFromTenor(K498,"1D","FOLLOWING",L$12)</f>
        <v>43203</v>
      </c>
      <c r="L499" s="13">
        <f ca="1">_xll.meDateFromTenor(K499,L$14,L$11,L$12)</f>
        <v>43294</v>
      </c>
      <c r="M499" s="98">
        <f ca="1"/>
        <v>-3.3604865991260918E-3</v>
      </c>
      <c r="N499" s="5" t="s">
        <v>4</v>
      </c>
      <c r="O499" s="100">
        <f ca="1">_xll.meDateFromTenor(O498,"1D","FOLLOWING",P$12)</f>
        <v>43203</v>
      </c>
      <c r="P499" s="13">
        <f ca="1">_xll.meDateFromTenor(O499,P$14,P$11,P$12)</f>
        <v>43388</v>
      </c>
      <c r="Q499" s="98">
        <f ca="1"/>
        <v>-1.3336993002826634E-3</v>
      </c>
      <c r="R499" s="5" t="s">
        <v>4</v>
      </c>
      <c r="S499" s="100">
        <f ca="1">_xll.meDateFromTenor(S498,"1D","FOLLOWING",T$12)</f>
        <v>43203</v>
      </c>
      <c r="T499" s="13">
        <f ca="1">_xll.meDateFromTenor(S499,T$14,T$11,T$12)</f>
        <v>43570</v>
      </c>
      <c r="U499" s="98">
        <f ca="1"/>
        <v>6.4820136636932024E-4</v>
      </c>
      <c r="V499" s="5" t="s">
        <v>4</v>
      </c>
      <c r="W499" s="84" t="s">
        <v>4</v>
      </c>
    </row>
    <row r="500" spans="1:23" x14ac:dyDescent="0.25">
      <c r="A500" s="90">
        <v>481</v>
      </c>
      <c r="B500" s="83"/>
      <c r="C500" s="100">
        <f ca="1">_xll.meDateFromTenor(C499,"1D","FOLLOWING",D$12)</f>
        <v>43206</v>
      </c>
      <c r="D500" s="13">
        <f ca="1">_xll.meDateFromTenor(C500,D$14,D$11,D$12)</f>
        <v>43207</v>
      </c>
      <c r="E500" s="98">
        <f ca="1"/>
        <v>-4.1801823340392877E-3</v>
      </c>
      <c r="F500" s="94"/>
      <c r="G500" s="100">
        <f ca="1">_xll.meDateFromTenor(G499,"1D","FOLLOWING",H$12)</f>
        <v>43206</v>
      </c>
      <c r="H500" s="13">
        <f ca="1">_xll.meDateFromTenor(G500,H$14,H$11,H$12)</f>
        <v>43236</v>
      </c>
      <c r="I500" s="98">
        <f ca="1"/>
        <v>-3.7474973514487844E-3</v>
      </c>
      <c r="J500" s="94" t="s">
        <v>4</v>
      </c>
      <c r="K500" s="100">
        <f ca="1">_xll.meDateFromTenor(K499,"1D","FOLLOWING",L$12)</f>
        <v>43206</v>
      </c>
      <c r="L500" s="13">
        <f ca="1">_xll.meDateFromTenor(K500,L$14,L$11,L$12)</f>
        <v>43297</v>
      </c>
      <c r="M500" s="98">
        <f ca="1"/>
        <v>-3.3894238145541489E-3</v>
      </c>
      <c r="N500" s="5" t="s">
        <v>4</v>
      </c>
      <c r="O500" s="100">
        <f ca="1">_xll.meDateFromTenor(O499,"1D","FOLLOWING",P$12)</f>
        <v>43206</v>
      </c>
      <c r="P500" s="13">
        <f ca="1">_xll.meDateFromTenor(O500,P$14,P$11,P$12)</f>
        <v>43389</v>
      </c>
      <c r="Q500" s="98">
        <f ca="1"/>
        <v>-1.3236752449150122E-3</v>
      </c>
      <c r="R500" s="5" t="s">
        <v>4</v>
      </c>
      <c r="S500" s="100">
        <f ca="1">_xll.meDateFromTenor(S499,"1D","FOLLOWING",T$12)</f>
        <v>43206</v>
      </c>
      <c r="T500" s="13">
        <f ca="1">_xll.meDateFromTenor(S500,T$14,T$11,T$12)</f>
        <v>43571</v>
      </c>
      <c r="U500" s="98">
        <f ca="1"/>
        <v>6.5918444884207358E-4</v>
      </c>
      <c r="V500" s="5" t="s">
        <v>4</v>
      </c>
      <c r="W500" s="84" t="s">
        <v>4</v>
      </c>
    </row>
    <row r="501" spans="1:23" x14ac:dyDescent="0.25">
      <c r="A501" s="90">
        <v>482</v>
      </c>
      <c r="B501" s="83"/>
      <c r="C501" s="100">
        <f ca="1">_xll.meDateFromTenor(C500,"1D","FOLLOWING",D$12)</f>
        <v>43207</v>
      </c>
      <c r="D501" s="13">
        <f ca="1">_xll.meDateFromTenor(C501,D$14,D$11,D$12)</f>
        <v>43208</v>
      </c>
      <c r="E501" s="98">
        <f ca="1"/>
        <v>-4.1784434459654213E-3</v>
      </c>
      <c r="F501" s="94"/>
      <c r="G501" s="100">
        <f ca="1">_xll.meDateFromTenor(G500,"1D","FOLLOWING",H$12)</f>
        <v>43207</v>
      </c>
      <c r="H501" s="13">
        <f ca="1">_xll.meDateFromTenor(G501,H$14,H$11,H$12)</f>
        <v>43237</v>
      </c>
      <c r="I501" s="98">
        <f ca="1"/>
        <v>-3.7445356204352381E-3</v>
      </c>
      <c r="J501" s="94" t="s">
        <v>4</v>
      </c>
      <c r="K501" s="100">
        <f ca="1">_xll.meDateFromTenor(K500,"1D","FOLLOWING",L$12)</f>
        <v>43207</v>
      </c>
      <c r="L501" s="13">
        <f ca="1">_xll.meDateFromTenor(K501,L$14,L$11,L$12)</f>
        <v>43298</v>
      </c>
      <c r="M501" s="98">
        <f ca="1"/>
        <v>-3.3976789229128133E-3</v>
      </c>
      <c r="N501" s="5" t="s">
        <v>4</v>
      </c>
      <c r="O501" s="100">
        <f ca="1">_xll.meDateFromTenor(O500,"1D","FOLLOWING",P$12)</f>
        <v>43207</v>
      </c>
      <c r="P501" s="13">
        <f ca="1">_xll.meDateFromTenor(O501,P$14,P$11,P$12)</f>
        <v>43390</v>
      </c>
      <c r="Q501" s="98">
        <f ca="1"/>
        <v>-1.3203143522538079E-3</v>
      </c>
      <c r="R501" s="5" t="s">
        <v>4</v>
      </c>
      <c r="S501" s="100">
        <f ca="1">_xll.meDateFromTenor(S500,"1D","FOLLOWING",T$12)</f>
        <v>43207</v>
      </c>
      <c r="T501" s="13">
        <f ca="1">_xll.meDateFromTenor(S501,T$14,T$11,T$12)</f>
        <v>43572</v>
      </c>
      <c r="U501" s="98">
        <f ca="1"/>
        <v>6.6286531569741049E-4</v>
      </c>
      <c r="V501" s="5" t="s">
        <v>4</v>
      </c>
      <c r="W501" s="84" t="s">
        <v>4</v>
      </c>
    </row>
    <row r="502" spans="1:23" x14ac:dyDescent="0.25">
      <c r="A502" s="90">
        <v>483</v>
      </c>
      <c r="B502" s="83"/>
      <c r="C502" s="100">
        <f ca="1">_xll.meDateFromTenor(C501,"1D","FOLLOWING",D$12)</f>
        <v>43208</v>
      </c>
      <c r="D502" s="13">
        <f ca="1">_xll.meDateFromTenor(C502,D$14,D$11,D$12)</f>
        <v>43209</v>
      </c>
      <c r="E502" s="98">
        <f ca="1"/>
        <v>-4.1766799510956224E-3</v>
      </c>
      <c r="F502" s="94"/>
      <c r="G502" s="100">
        <f ca="1">_xll.meDateFromTenor(G501,"1D","FOLLOWING",H$12)</f>
        <v>43208</v>
      </c>
      <c r="H502" s="13">
        <f ca="1">_xll.meDateFromTenor(G502,H$14,H$11,H$12)</f>
        <v>43238</v>
      </c>
      <c r="I502" s="98">
        <f ca="1"/>
        <v>-3.741563308667822E-3</v>
      </c>
      <c r="J502" s="94" t="s">
        <v>4</v>
      </c>
      <c r="K502" s="100">
        <f ca="1">_xll.meDateFromTenor(K501,"1D","FOLLOWING",L$12)</f>
        <v>43208</v>
      </c>
      <c r="L502" s="13">
        <f ca="1">_xll.meDateFromTenor(K502,L$14,L$11,L$12)</f>
        <v>43299</v>
      </c>
      <c r="M502" s="98">
        <f ca="1"/>
        <v>-3.4052601262483037E-3</v>
      </c>
      <c r="N502" s="5" t="s">
        <v>4</v>
      </c>
      <c r="O502" s="100">
        <f ca="1">_xll.meDateFromTenor(O501,"1D","FOLLOWING",P$12)</f>
        <v>43208</v>
      </c>
      <c r="P502" s="13">
        <f ca="1">_xll.meDateFromTenor(O502,P$14,P$11,P$12)</f>
        <v>43391</v>
      </c>
      <c r="Q502" s="98">
        <f ca="1"/>
        <v>-1.316943752558616E-3</v>
      </c>
      <c r="R502" s="5" t="s">
        <v>4</v>
      </c>
      <c r="S502" s="100">
        <f ca="1">_xll.meDateFromTenor(S501,"1D","FOLLOWING",T$12)</f>
        <v>43208</v>
      </c>
      <c r="T502" s="13">
        <f ca="1">_xll.meDateFromTenor(S502,T$14,T$11,T$12)</f>
        <v>43573</v>
      </c>
      <c r="U502" s="98">
        <f ca="1"/>
        <v>6.6655611950611063E-4</v>
      </c>
      <c r="V502" s="5" t="s">
        <v>4</v>
      </c>
      <c r="W502" s="84" t="s">
        <v>4</v>
      </c>
    </row>
    <row r="503" spans="1:23" x14ac:dyDescent="0.25">
      <c r="A503" s="90">
        <v>484</v>
      </c>
      <c r="B503" s="83"/>
      <c r="C503" s="100">
        <f ca="1">_xll.meDateFromTenor(C502,"1D","FOLLOWING",D$12)</f>
        <v>43209</v>
      </c>
      <c r="D503" s="13">
        <f ca="1">_xll.meDateFromTenor(C503,D$14,D$11,D$12)</f>
        <v>43210</v>
      </c>
      <c r="E503" s="98">
        <f ca="1"/>
        <v>-4.174891850468058E-3</v>
      </c>
      <c r="F503" s="94"/>
      <c r="G503" s="100">
        <f ca="1">_xll.meDateFromTenor(G502,"1D","FOLLOWING",H$12)</f>
        <v>43209</v>
      </c>
      <c r="H503" s="13">
        <f ca="1">_xll.meDateFromTenor(G503,H$14,H$11,H$12)</f>
        <v>43241</v>
      </c>
      <c r="I503" s="98">
        <f ca="1"/>
        <v>-3.7385827241535313E-3</v>
      </c>
      <c r="J503" s="94" t="s">
        <v>4</v>
      </c>
      <c r="K503" s="100">
        <f ca="1">_xll.meDateFromTenor(K502,"1D","FOLLOWING",L$12)</f>
        <v>43209</v>
      </c>
      <c r="L503" s="13">
        <f ca="1">_xll.meDateFromTenor(K503,L$14,L$11,L$12)</f>
        <v>43300</v>
      </c>
      <c r="M503" s="98">
        <f ca="1"/>
        <v>-3.4121802705819205E-3</v>
      </c>
      <c r="N503" s="5" t="s">
        <v>4</v>
      </c>
      <c r="O503" s="100">
        <f ca="1">_xll.meDateFromTenor(O502,"1D","FOLLOWING",P$12)</f>
        <v>43209</v>
      </c>
      <c r="P503" s="13">
        <f ca="1">_xll.meDateFromTenor(O503,P$14,P$11,P$12)</f>
        <v>43392</v>
      </c>
      <c r="Q503" s="98">
        <f ca="1"/>
        <v>-1.3135634838706404E-3</v>
      </c>
      <c r="R503" s="5" t="s">
        <v>4</v>
      </c>
      <c r="S503" s="100">
        <f ca="1">_xll.meDateFromTenor(S502,"1D","FOLLOWING",T$12)</f>
        <v>43209</v>
      </c>
      <c r="T503" s="13">
        <f ca="1">_xll.meDateFromTenor(S503,T$14,T$11,T$12)</f>
        <v>43578</v>
      </c>
      <c r="U503" s="98">
        <f ca="1"/>
        <v>6.7025687063086562E-4</v>
      </c>
      <c r="V503" s="5" t="s">
        <v>4</v>
      </c>
      <c r="W503" s="84" t="s">
        <v>4</v>
      </c>
    </row>
    <row r="504" spans="1:23" x14ac:dyDescent="0.25">
      <c r="A504" s="90">
        <v>485</v>
      </c>
      <c r="B504" s="83"/>
      <c r="C504" s="100">
        <f ca="1">_xll.meDateFromTenor(C503,"1D","FOLLOWING",D$12)</f>
        <v>43210</v>
      </c>
      <c r="D504" s="13">
        <f ca="1">_xll.meDateFromTenor(C504,D$14,D$11,D$12)</f>
        <v>43213</v>
      </c>
      <c r="E504" s="98">
        <f ca="1"/>
        <v>-4.1711853049308948E-3</v>
      </c>
      <c r="F504" s="94"/>
      <c r="G504" s="100">
        <f ca="1">_xll.meDateFromTenor(G503,"1D","FOLLOWING",H$12)</f>
        <v>43210</v>
      </c>
      <c r="H504" s="13">
        <f ca="1">_xll.meDateFromTenor(G504,H$14,H$11,H$12)</f>
        <v>43241</v>
      </c>
      <c r="I504" s="98">
        <f ca="1"/>
        <v>-3.7355961748993592E-3</v>
      </c>
      <c r="J504" s="94" t="s">
        <v>4</v>
      </c>
      <c r="K504" s="100">
        <f ca="1">_xll.meDateFromTenor(K503,"1D","FOLLOWING",L$12)</f>
        <v>43210</v>
      </c>
      <c r="L504" s="13">
        <f ca="1">_xll.meDateFromTenor(K504,L$14,L$11,L$12)</f>
        <v>43301</v>
      </c>
      <c r="M504" s="98">
        <f ca="1"/>
        <v>-3.4184522019349664E-3</v>
      </c>
      <c r="N504" s="5" t="s">
        <v>4</v>
      </c>
      <c r="O504" s="100">
        <f ca="1">_xll.meDateFromTenor(O503,"1D","FOLLOWING",P$12)</f>
        <v>43210</v>
      </c>
      <c r="P504" s="13">
        <f ca="1">_xll.meDateFromTenor(O504,P$14,P$11,P$12)</f>
        <v>43395</v>
      </c>
      <c r="Q504" s="98">
        <f ca="1"/>
        <v>-1.3101735842310838E-3</v>
      </c>
      <c r="R504" s="5" t="s">
        <v>4</v>
      </c>
      <c r="S504" s="100">
        <f ca="1">_xll.meDateFromTenor(S503,"1D","FOLLOWING",T$12)</f>
        <v>43210</v>
      </c>
      <c r="T504" s="13">
        <f ca="1">_xll.meDateFromTenor(S504,T$14,T$11,T$12)</f>
        <v>43578</v>
      </c>
      <c r="U504" s="98">
        <f ca="1"/>
        <v>6.7396757943436858E-4</v>
      </c>
      <c r="V504" s="5" t="s">
        <v>4</v>
      </c>
      <c r="W504" s="84" t="s">
        <v>4</v>
      </c>
    </row>
    <row r="505" spans="1:23" x14ac:dyDescent="0.25">
      <c r="A505" s="90">
        <v>486</v>
      </c>
      <c r="B505" s="83"/>
      <c r="C505" s="100">
        <f ca="1">_xll.meDateFromTenor(C504,"1D","FOLLOWING",D$12)</f>
        <v>43213</v>
      </c>
      <c r="D505" s="13">
        <f ca="1">_xll.meDateFromTenor(C505,D$14,D$11,D$12)</f>
        <v>43214</v>
      </c>
      <c r="E505" s="98">
        <f ca="1"/>
        <v>-4.1674934132851652E-3</v>
      </c>
      <c r="F505" s="94"/>
      <c r="G505" s="100">
        <f ca="1">_xll.meDateFromTenor(G504,"1D","FOLLOWING",H$12)</f>
        <v>43213</v>
      </c>
      <c r="H505" s="13">
        <f ca="1">_xll.meDateFromTenor(G505,H$14,H$11,H$12)</f>
        <v>43243</v>
      </c>
      <c r="I505" s="98">
        <f ca="1"/>
        <v>-3.7266238187675083E-3</v>
      </c>
      <c r="J505" s="94" t="s">
        <v>4</v>
      </c>
      <c r="K505" s="100">
        <f ca="1">_xll.meDateFromTenor(K504,"1D","FOLLOWING",L$12)</f>
        <v>43213</v>
      </c>
      <c r="L505" s="13">
        <f ca="1">_xll.meDateFromTenor(K505,L$14,L$11,L$12)</f>
        <v>43304</v>
      </c>
      <c r="M505" s="98">
        <f ca="1"/>
        <v>-3.4335071783236945E-3</v>
      </c>
      <c r="N505" s="5" t="s">
        <v>4</v>
      </c>
      <c r="O505" s="100">
        <f ca="1">_xll.meDateFromTenor(O504,"1D","FOLLOWING",P$12)</f>
        <v>43213</v>
      </c>
      <c r="P505" s="13">
        <f ca="1">_xll.meDateFromTenor(O505,P$14,P$11,P$12)</f>
        <v>43396</v>
      </c>
      <c r="Q505" s="98">
        <f ca="1"/>
        <v>-1.2999464800149622E-3</v>
      </c>
      <c r="R505" s="5" t="s">
        <v>4</v>
      </c>
      <c r="S505" s="100">
        <f ca="1">_xll.meDateFromTenor(S504,"1D","FOLLOWING",T$12)</f>
        <v>43213</v>
      </c>
      <c r="T505" s="13">
        <f ca="1">_xll.meDateFromTenor(S505,T$14,T$11,T$12)</f>
        <v>43578</v>
      </c>
      <c r="U505" s="98">
        <f ca="1"/>
        <v>6.8515955554428588E-4</v>
      </c>
      <c r="V505" s="5" t="s">
        <v>4</v>
      </c>
      <c r="W505" s="84" t="s">
        <v>4</v>
      </c>
    </row>
    <row r="506" spans="1:23" x14ac:dyDescent="0.25">
      <c r="A506" s="90">
        <v>487</v>
      </c>
      <c r="B506" s="83"/>
      <c r="C506" s="100">
        <f ca="1">_xll.meDateFromTenor(C505,"1D","FOLLOWING",D$12)</f>
        <v>43214</v>
      </c>
      <c r="D506" s="13">
        <f ca="1">_xll.meDateFromTenor(C506,D$14,D$11,D$12)</f>
        <v>43215</v>
      </c>
      <c r="E506" s="98">
        <f ca="1"/>
        <v>-4.1655823007769191E-3</v>
      </c>
      <c r="F506" s="94"/>
      <c r="G506" s="100">
        <f ca="1">_xll.meDateFromTenor(G505,"1D","FOLLOWING",H$12)</f>
        <v>43214</v>
      </c>
      <c r="H506" s="13">
        <f ca="1">_xll.meDateFromTenor(G506,H$14,H$11,H$12)</f>
        <v>43244</v>
      </c>
      <c r="I506" s="98">
        <f ca="1"/>
        <v>-3.723636490623761E-3</v>
      </c>
      <c r="J506" s="94" t="s">
        <v>4</v>
      </c>
      <c r="K506" s="100">
        <f ca="1">_xll.meDateFromTenor(K505,"1D","FOLLOWING",L$12)</f>
        <v>43214</v>
      </c>
      <c r="L506" s="13">
        <f ca="1">_xll.meDateFromTenor(K506,L$14,L$11,L$12)</f>
        <v>43305</v>
      </c>
      <c r="M506" s="98">
        <f ca="1"/>
        <v>-3.4373147179674723E-3</v>
      </c>
      <c r="N506" s="5" t="s">
        <v>4</v>
      </c>
      <c r="O506" s="100">
        <f ca="1">_xll.meDateFromTenor(O505,"1D","FOLLOWING",P$12)</f>
        <v>43214</v>
      </c>
      <c r="P506" s="13">
        <f ca="1">_xll.meDateFromTenor(O506,P$14,P$11,P$12)</f>
        <v>43397</v>
      </c>
      <c r="Q506" s="98">
        <f ca="1"/>
        <v>-1.2965184369811168E-3</v>
      </c>
      <c r="R506" s="5" t="s">
        <v>4</v>
      </c>
      <c r="S506" s="100">
        <f ca="1">_xll.meDateFromTenor(S505,"1D","FOLLOWING",T$12)</f>
        <v>43214</v>
      </c>
      <c r="T506" s="13">
        <f ca="1">_xll.meDateFromTenor(S506,T$14,T$11,T$12)</f>
        <v>43579</v>
      </c>
      <c r="U506" s="98">
        <f ca="1"/>
        <v>6.8891019868970135E-4</v>
      </c>
      <c r="V506" s="5" t="s">
        <v>4</v>
      </c>
      <c r="W506" s="84" t="s">
        <v>4</v>
      </c>
    </row>
    <row r="507" spans="1:23" x14ac:dyDescent="0.25">
      <c r="A507" s="90">
        <v>488</v>
      </c>
      <c r="B507" s="83"/>
      <c r="C507" s="100">
        <f ca="1">_xll.meDateFromTenor(C506,"1D","FOLLOWING",D$12)</f>
        <v>43215</v>
      </c>
      <c r="D507" s="13">
        <f ca="1">_xll.meDateFromTenor(C507,D$14,D$11,D$12)</f>
        <v>43216</v>
      </c>
      <c r="E507" s="98">
        <f ca="1"/>
        <v>-4.1636465894257105E-3</v>
      </c>
      <c r="F507" s="94"/>
      <c r="G507" s="100">
        <f ca="1">_xll.meDateFromTenor(G506,"1D","FOLLOWING",H$12)</f>
        <v>43215</v>
      </c>
      <c r="H507" s="13">
        <f ca="1">_xll.meDateFromTenor(G507,H$14,H$11,H$12)</f>
        <v>43245</v>
      </c>
      <c r="I507" s="98">
        <f ca="1"/>
        <v>-3.720654737775107E-3</v>
      </c>
      <c r="J507" s="94" t="s">
        <v>4</v>
      </c>
      <c r="K507" s="100">
        <f ca="1">_xll.meDateFromTenor(K506,"1D","FOLLOWING",L$12)</f>
        <v>43215</v>
      </c>
      <c r="L507" s="13">
        <f ca="1">_xll.meDateFromTenor(K507,L$14,L$11,L$12)</f>
        <v>43306</v>
      </c>
      <c r="M507" s="98">
        <f ca="1"/>
        <v>-3.4405382747371874E-3</v>
      </c>
      <c r="N507" s="5" t="s">
        <v>4</v>
      </c>
      <c r="O507" s="100">
        <f ca="1">_xll.meDateFromTenor(O506,"1D","FOLLOWING",P$12)</f>
        <v>43215</v>
      </c>
      <c r="P507" s="13">
        <f ca="1">_xll.meDateFromTenor(O507,P$14,P$11,P$12)</f>
        <v>43398</v>
      </c>
      <c r="Q507" s="98">
        <f ca="1"/>
        <v>-1.2930809532017075E-3</v>
      </c>
      <c r="R507" s="5" t="s">
        <v>4</v>
      </c>
      <c r="S507" s="100">
        <f ca="1">_xll.meDateFromTenor(S506,"1D","FOLLOWING",T$12)</f>
        <v>43215</v>
      </c>
      <c r="T507" s="13">
        <f ca="1">_xll.meDateFromTenor(S507,T$14,T$11,T$12)</f>
        <v>43580</v>
      </c>
      <c r="U507" s="98">
        <f ca="1"/>
        <v>6.9267085132732552E-4</v>
      </c>
      <c r="V507" s="5" t="s">
        <v>4</v>
      </c>
      <c r="W507" s="84" t="s">
        <v>4</v>
      </c>
    </row>
    <row r="508" spans="1:23" x14ac:dyDescent="0.25">
      <c r="A508" s="90">
        <v>489</v>
      </c>
      <c r="B508" s="83"/>
      <c r="C508" s="100">
        <f ca="1">_xll.meDateFromTenor(C507,"1D","FOLLOWING",D$12)</f>
        <v>43216</v>
      </c>
      <c r="D508" s="13">
        <f ca="1">_xll.meDateFromTenor(C508,D$14,D$11,D$12)</f>
        <v>43217</v>
      </c>
      <c r="E508" s="98">
        <f ca="1"/>
        <v>-4.1616862799909319E-3</v>
      </c>
      <c r="F508" s="94"/>
      <c r="G508" s="100">
        <f ca="1">_xll.meDateFromTenor(G507,"1D","FOLLOWING",H$12)</f>
        <v>43216</v>
      </c>
      <c r="H508" s="13">
        <f ca="1">_xll.meDateFromTenor(G508,H$14,H$11,H$12)</f>
        <v>43248</v>
      </c>
      <c r="I508" s="98">
        <f ca="1"/>
        <v>-3.71768086822854E-3</v>
      </c>
      <c r="J508" s="94" t="s">
        <v>4</v>
      </c>
      <c r="K508" s="100">
        <f ca="1">_xll.meDateFromTenor(K507,"1D","FOLLOWING",L$12)</f>
        <v>43216</v>
      </c>
      <c r="L508" s="13">
        <f ca="1">_xll.meDateFromTenor(K508,L$14,L$11,L$12)</f>
        <v>43307</v>
      </c>
      <c r="M508" s="98">
        <f ca="1"/>
        <v>-3.443190694654142E-3</v>
      </c>
      <c r="N508" s="5" t="s">
        <v>4</v>
      </c>
      <c r="O508" s="100">
        <f ca="1">_xll.meDateFromTenor(O507,"1D","FOLLOWING",P$12)</f>
        <v>43216</v>
      </c>
      <c r="P508" s="13">
        <f ca="1">_xll.meDateFromTenor(O508,P$14,P$11,P$12)</f>
        <v>43399</v>
      </c>
      <c r="Q508" s="98">
        <f ca="1"/>
        <v>-1.2896340667179378E-3</v>
      </c>
      <c r="R508" s="5" t="s">
        <v>4</v>
      </c>
      <c r="S508" s="100">
        <f ca="1">_xll.meDateFromTenor(S507,"1D","FOLLOWING",T$12)</f>
        <v>43216</v>
      </c>
      <c r="T508" s="13">
        <f ca="1">_xll.meDateFromTenor(S508,T$14,T$11,T$12)</f>
        <v>43581</v>
      </c>
      <c r="U508" s="98">
        <f ca="1"/>
        <v>6.9644152381985122E-4</v>
      </c>
      <c r="V508" s="5" t="s">
        <v>4</v>
      </c>
      <c r="W508" s="84" t="s">
        <v>4</v>
      </c>
    </row>
    <row r="509" spans="1:23" x14ac:dyDescent="0.25">
      <c r="A509" s="90">
        <v>490</v>
      </c>
      <c r="B509" s="83"/>
      <c r="C509" s="100">
        <f ca="1">_xll.meDateFromTenor(C508,"1D","FOLLOWING",D$12)</f>
        <v>43217</v>
      </c>
      <c r="D509" s="13">
        <f ca="1">_xll.meDateFromTenor(C509,D$14,D$11,D$12)</f>
        <v>43220</v>
      </c>
      <c r="E509" s="98">
        <f ca="1"/>
        <v>-4.1576356562478415E-3</v>
      </c>
      <c r="F509" s="94"/>
      <c r="G509" s="100">
        <f ca="1">_xll.meDateFromTenor(G508,"1D","FOLLOWING",H$12)</f>
        <v>43217</v>
      </c>
      <c r="H509" s="13">
        <f ca="1">_xll.meDateFromTenor(G509,H$14,H$11,H$12)</f>
        <v>43248</v>
      </c>
      <c r="I509" s="98">
        <f ca="1"/>
        <v>-3.7147171899910543E-3</v>
      </c>
      <c r="J509" s="94" t="s">
        <v>4</v>
      </c>
      <c r="K509" s="100">
        <f ca="1">_xll.meDateFromTenor(K508,"1D","FOLLOWING",L$12)</f>
        <v>43217</v>
      </c>
      <c r="L509" s="13">
        <f ca="1">_xll.meDateFromTenor(K509,L$14,L$11,L$12)</f>
        <v>43308</v>
      </c>
      <c r="M509" s="98">
        <f ca="1"/>
        <v>-3.4452848237396367E-3</v>
      </c>
      <c r="N509" s="5" t="s">
        <v>4</v>
      </c>
      <c r="O509" s="100">
        <f ca="1">_xll.meDateFromTenor(O508,"1D","FOLLOWING",P$12)</f>
        <v>43217</v>
      </c>
      <c r="P509" s="13">
        <f ca="1">_xll.meDateFromTenor(O509,P$14,P$11,P$12)</f>
        <v>43402</v>
      </c>
      <c r="Q509" s="98">
        <f ca="1"/>
        <v>-1.2861778155710112E-3</v>
      </c>
      <c r="R509" s="5" t="s">
        <v>4</v>
      </c>
      <c r="S509" s="100">
        <f ca="1">_xll.meDateFromTenor(S508,"1D","FOLLOWING",T$12)</f>
        <v>43217</v>
      </c>
      <c r="T509" s="13">
        <f ca="1">_xll.meDateFromTenor(S509,T$14,T$11,T$12)</f>
        <v>43584</v>
      </c>
      <c r="U509" s="98">
        <f ca="1"/>
        <v>7.0022222652996982E-4</v>
      </c>
      <c r="V509" s="5" t="s">
        <v>4</v>
      </c>
      <c r="W509" s="84" t="s">
        <v>4</v>
      </c>
    </row>
    <row r="510" spans="1:23" x14ac:dyDescent="0.25">
      <c r="A510" s="90">
        <v>491</v>
      </c>
      <c r="B510" s="83"/>
      <c r="C510" s="100">
        <f ca="1">_xll.meDateFromTenor(C509,"1D","FOLLOWING",D$12)</f>
        <v>43220</v>
      </c>
      <c r="D510" s="13">
        <f ca="1">_xll.meDateFromTenor(C510,D$14,D$11,D$12)</f>
        <v>43222</v>
      </c>
      <c r="E510" s="98">
        <f ca="1"/>
        <v>-4.1525334944414608E-3</v>
      </c>
      <c r="F510" s="94"/>
      <c r="G510" s="100">
        <f ca="1">_xll.meDateFromTenor(G509,"1D","FOLLOWING",H$12)</f>
        <v>43220</v>
      </c>
      <c r="H510" s="13">
        <f ca="1">_xll.meDateFromTenor(G510,H$14,H$11,H$12)</f>
        <v>43250</v>
      </c>
      <c r="I510" s="98">
        <f ca="1"/>
        <v>-3.7059103832030359E-3</v>
      </c>
      <c r="J510" s="94" t="s">
        <v>4</v>
      </c>
      <c r="K510" s="100">
        <f ca="1">_xll.meDateFromTenor(K509,"1D","FOLLOWING",L$12)</f>
        <v>43220</v>
      </c>
      <c r="L510" s="13">
        <f ca="1">_xll.meDateFromTenor(K510,L$14,L$11,L$12)</f>
        <v>43311</v>
      </c>
      <c r="M510" s="98">
        <f ca="1"/>
        <v>-3.4483459262203819E-3</v>
      </c>
      <c r="N510" s="5" t="s">
        <v>4</v>
      </c>
      <c r="O510" s="100">
        <f ca="1">_xll.meDateFromTenor(O509,"1D","FOLLOWING",P$12)</f>
        <v>43220</v>
      </c>
      <c r="P510" s="13">
        <f ca="1">_xll.meDateFromTenor(O510,P$14,P$11,P$12)</f>
        <v>43403</v>
      </c>
      <c r="Q510" s="98">
        <f ca="1"/>
        <v>-1.2757532545633254E-3</v>
      </c>
      <c r="R510" s="5" t="s">
        <v>4</v>
      </c>
      <c r="S510" s="100">
        <f ca="1">_xll.meDateFromTenor(S509,"1D","FOLLOWING",T$12)</f>
        <v>43220</v>
      </c>
      <c r="T510" s="13">
        <f ca="1">_xll.meDateFromTenor(S510,T$14,T$11,T$12)</f>
        <v>43585</v>
      </c>
      <c r="U510" s="98">
        <f ca="1"/>
        <v>7.1162461959280697E-4</v>
      </c>
      <c r="V510" s="5" t="s">
        <v>4</v>
      </c>
      <c r="W510" s="84" t="s">
        <v>4</v>
      </c>
    </row>
    <row r="511" spans="1:23" x14ac:dyDescent="0.25">
      <c r="A511" s="90">
        <v>492</v>
      </c>
      <c r="B511" s="83"/>
      <c r="C511" s="100">
        <f ca="1">_xll.meDateFromTenor(C510,"1D","FOLLOWING",D$12)</f>
        <v>43222</v>
      </c>
      <c r="D511" s="13">
        <f ca="1">_xll.meDateFromTenor(C511,D$14,D$11,D$12)</f>
        <v>43223</v>
      </c>
      <c r="E511" s="98">
        <f ca="1"/>
        <v>-4.1494079290949207E-3</v>
      </c>
      <c r="F511" s="94"/>
      <c r="G511" s="100">
        <f ca="1">_xll.meDateFromTenor(G510,"1D","FOLLOWING",H$12)</f>
        <v>43222</v>
      </c>
      <c r="H511" s="13">
        <f ca="1">_xll.meDateFromTenor(G511,H$14,H$11,H$12)</f>
        <v>43255</v>
      </c>
      <c r="I511" s="98">
        <f ca="1"/>
        <v>-3.7001324486846676E-3</v>
      </c>
      <c r="J511" s="94" t="s">
        <v>4</v>
      </c>
      <c r="K511" s="100">
        <f ca="1">_xll.meDateFromTenor(K510,"1D","FOLLOWING",L$12)</f>
        <v>43222</v>
      </c>
      <c r="L511" s="13">
        <f ca="1">_xll.meDateFromTenor(K511,L$14,L$11,L$12)</f>
        <v>43314</v>
      </c>
      <c r="M511" s="98">
        <f ca="1"/>
        <v>-3.4478307174407793E-3</v>
      </c>
      <c r="N511" s="5" t="s">
        <v>4</v>
      </c>
      <c r="O511" s="100">
        <f ca="1">_xll.meDateFromTenor(O510,"1D","FOLLOWING",P$12)</f>
        <v>43222</v>
      </c>
      <c r="P511" s="13">
        <f ca="1">_xll.meDateFromTenor(O511,P$14,P$11,P$12)</f>
        <v>43406</v>
      </c>
      <c r="Q511" s="98">
        <f ca="1"/>
        <v>-1.268757421331147E-3</v>
      </c>
      <c r="R511" s="5" t="s">
        <v>4</v>
      </c>
      <c r="S511" s="100">
        <f ca="1">_xll.meDateFromTenor(S510,"1D","FOLLOWING",T$12)</f>
        <v>43222</v>
      </c>
      <c r="T511" s="13">
        <f ca="1">_xll.meDateFromTenor(S511,T$14,T$11,T$12)</f>
        <v>43587</v>
      </c>
      <c r="U511" s="98">
        <f ca="1"/>
        <v>7.1927655603868897E-4</v>
      </c>
      <c r="V511" s="5" t="s">
        <v>4</v>
      </c>
      <c r="W511" s="84" t="s">
        <v>4</v>
      </c>
    </row>
    <row r="512" spans="1:23" x14ac:dyDescent="0.25">
      <c r="A512" s="90">
        <v>493</v>
      </c>
      <c r="B512" s="83"/>
      <c r="C512" s="100">
        <f ca="1">_xll.meDateFromTenor(C511,"1D","FOLLOWING",D$12)</f>
        <v>43223</v>
      </c>
      <c r="D512" s="13">
        <f ca="1">_xll.meDateFromTenor(C512,D$14,D$11,D$12)</f>
        <v>43224</v>
      </c>
      <c r="E512" s="98">
        <f ca="1"/>
        <v>-4.1472754652094471E-3</v>
      </c>
      <c r="F512" s="94"/>
      <c r="G512" s="100">
        <f ca="1">_xll.meDateFromTenor(G511,"1D","FOLLOWING",H$12)</f>
        <v>43223</v>
      </c>
      <c r="H512" s="13">
        <f ca="1">_xll.meDateFromTenor(G512,H$14,H$11,H$12)</f>
        <v>43255</v>
      </c>
      <c r="I512" s="98">
        <f ca="1"/>
        <v>-3.6972777012979972E-3</v>
      </c>
      <c r="J512" s="94" t="s">
        <v>4</v>
      </c>
      <c r="K512" s="100">
        <f ca="1">_xll.meDateFromTenor(K511,"1D","FOLLOWING",L$12)</f>
        <v>43223</v>
      </c>
      <c r="L512" s="13">
        <f ca="1">_xll.meDateFromTenor(K512,L$14,L$11,L$12)</f>
        <v>43315</v>
      </c>
      <c r="M512" s="98">
        <f ca="1"/>
        <v>-3.4468448679848534E-3</v>
      </c>
      <c r="N512" s="5" t="s">
        <v>4</v>
      </c>
      <c r="O512" s="100">
        <f ca="1">_xll.meDateFromTenor(O511,"1D","FOLLOWING",P$12)</f>
        <v>43223</v>
      </c>
      <c r="P512" s="13">
        <f ca="1">_xll.meDateFromTenor(O512,P$14,P$11,P$12)</f>
        <v>43409</v>
      </c>
      <c r="Q512" s="98">
        <f ca="1"/>
        <v>-1.2652457810705519E-3</v>
      </c>
      <c r="R512" s="5" t="s">
        <v>4</v>
      </c>
      <c r="S512" s="100">
        <f ca="1">_xll.meDateFromTenor(S511,"1D","FOLLOWING",T$12)</f>
        <v>43223</v>
      </c>
      <c r="T512" s="13">
        <f ca="1">_xll.meDateFromTenor(S512,T$14,T$11,T$12)</f>
        <v>43588</v>
      </c>
      <c r="U512" s="98">
        <f ca="1"/>
        <v>7.2311765767090342E-4</v>
      </c>
      <c r="V512" s="5" t="s">
        <v>4</v>
      </c>
      <c r="W512" s="84" t="s">
        <v>4</v>
      </c>
    </row>
    <row r="513" spans="1:23" x14ac:dyDescent="0.25">
      <c r="A513" s="90">
        <v>494</v>
      </c>
      <c r="B513" s="83"/>
      <c r="C513" s="100">
        <f ca="1">_xll.meDateFromTenor(C512,"1D","FOLLOWING",D$12)</f>
        <v>43224</v>
      </c>
      <c r="D513" s="13">
        <f ca="1">_xll.meDateFromTenor(C513,D$14,D$11,D$12)</f>
        <v>43227</v>
      </c>
      <c r="E513" s="98">
        <f ca="1"/>
        <v>-4.1428808982191404E-3</v>
      </c>
      <c r="F513" s="94"/>
      <c r="G513" s="100">
        <f ca="1">_xll.meDateFromTenor(G512,"1D","FOLLOWING",H$12)</f>
        <v>43224</v>
      </c>
      <c r="H513" s="13">
        <f ca="1">_xll.meDateFromTenor(G513,H$14,H$11,H$12)</f>
        <v>43255</v>
      </c>
      <c r="I513" s="98">
        <f ca="1"/>
        <v>-3.6944451903659884E-3</v>
      </c>
      <c r="J513" s="94" t="s">
        <v>4</v>
      </c>
      <c r="K513" s="100">
        <f ca="1">_xll.meDateFromTenor(K512,"1D","FOLLOWING",L$12)</f>
        <v>43224</v>
      </c>
      <c r="L513" s="13">
        <f ca="1">_xll.meDateFromTenor(K513,L$14,L$11,L$12)</f>
        <v>43318</v>
      </c>
      <c r="M513" s="98">
        <f ca="1"/>
        <v>-3.4453906498465793E-3</v>
      </c>
      <c r="N513" s="5" t="s">
        <v>4</v>
      </c>
      <c r="O513" s="100">
        <f ca="1">_xll.meDateFromTenor(O512,"1D","FOLLOWING",P$12)</f>
        <v>43224</v>
      </c>
      <c r="P513" s="13">
        <f ca="1">_xll.meDateFromTenor(O513,P$14,P$11,P$12)</f>
        <v>43409</v>
      </c>
      <c r="Q513" s="98">
        <f ca="1"/>
        <v>-1.2617250424352242E-3</v>
      </c>
      <c r="R513" s="5" t="s">
        <v>4</v>
      </c>
      <c r="S513" s="100">
        <f ca="1">_xll.meDateFromTenor(S512,"1D","FOLLOWING",T$12)</f>
        <v>43224</v>
      </c>
      <c r="T513" s="13">
        <f ca="1">_xll.meDateFromTenor(S513,T$14,T$11,T$12)</f>
        <v>43591</v>
      </c>
      <c r="U513" s="98">
        <f ca="1"/>
        <v>7.2696886205955648E-4</v>
      </c>
      <c r="V513" s="5" t="s">
        <v>4</v>
      </c>
      <c r="W513" s="84" t="s">
        <v>4</v>
      </c>
    </row>
    <row r="514" spans="1:23" x14ac:dyDescent="0.25">
      <c r="A514" s="90">
        <v>495</v>
      </c>
      <c r="B514" s="83"/>
      <c r="C514" s="100">
        <f ca="1">_xll.meDateFromTenor(C513,"1D","FOLLOWING",D$12)</f>
        <v>43227</v>
      </c>
      <c r="D514" s="13">
        <f ca="1">_xll.meDateFromTenor(C514,D$14,D$11,D$12)</f>
        <v>43228</v>
      </c>
      <c r="E514" s="98">
        <f ca="1"/>
        <v>-4.138499729311477E-3</v>
      </c>
      <c r="F514" s="94"/>
      <c r="G514" s="100">
        <f ca="1">_xll.meDateFromTenor(G513,"1D","FOLLOWING",H$12)</f>
        <v>43227</v>
      </c>
      <c r="H514" s="13">
        <f ca="1">_xll.meDateFromTenor(G514,H$14,H$11,H$12)</f>
        <v>43258</v>
      </c>
      <c r="I514" s="98">
        <f ca="1"/>
        <v>-3.6860630473340536E-3</v>
      </c>
      <c r="J514" s="94" t="s">
        <v>4</v>
      </c>
      <c r="K514" s="100">
        <f ca="1">_xll.meDateFromTenor(K513,"1D","FOLLOWING",L$12)</f>
        <v>43227</v>
      </c>
      <c r="L514" s="13">
        <f ca="1">_xll.meDateFromTenor(K514,L$14,L$11,L$12)</f>
        <v>43319</v>
      </c>
      <c r="M514" s="98">
        <f ca="1"/>
        <v>-3.4383462435506897E-3</v>
      </c>
      <c r="N514" s="5" t="s">
        <v>4</v>
      </c>
      <c r="O514" s="100">
        <f ca="1">_xll.meDateFromTenor(O513,"1D","FOLLOWING",P$12)</f>
        <v>43227</v>
      </c>
      <c r="P514" s="13">
        <f ca="1">_xll.meDateFromTenor(O514,P$14,P$11,P$12)</f>
        <v>43411</v>
      </c>
      <c r="Q514" s="98">
        <f ca="1"/>
        <v>-1.2511086166928781E-3</v>
      </c>
      <c r="R514" s="5" t="s">
        <v>4</v>
      </c>
      <c r="S514" s="100">
        <f ca="1">_xll.meDateFromTenor(S513,"1D","FOLLOWING",T$12)</f>
        <v>43227</v>
      </c>
      <c r="T514" s="13">
        <f ca="1">_xll.meDateFromTenor(S514,T$14,T$11,T$12)</f>
        <v>43592</v>
      </c>
      <c r="U514" s="98">
        <f ca="1"/>
        <v>7.3858319539107139E-4</v>
      </c>
      <c r="V514" s="5" t="s">
        <v>4</v>
      </c>
      <c r="W514" s="84" t="s">
        <v>4</v>
      </c>
    </row>
    <row r="515" spans="1:23" x14ac:dyDescent="0.25">
      <c r="A515" s="90">
        <v>496</v>
      </c>
      <c r="B515" s="83"/>
      <c r="C515" s="100">
        <f ca="1">_xll.meDateFromTenor(C514,"1D","FOLLOWING",D$12)</f>
        <v>43228</v>
      </c>
      <c r="D515" s="13">
        <f ca="1">_xll.meDateFromTenor(C515,D$14,D$11,D$12)</f>
        <v>43229</v>
      </c>
      <c r="E515" s="98">
        <f ca="1"/>
        <v>-4.1362443306436495E-3</v>
      </c>
      <c r="F515" s="94"/>
      <c r="G515" s="100">
        <f ca="1">_xll.meDateFromTenor(G514,"1D","FOLLOWING",H$12)</f>
        <v>43228</v>
      </c>
      <c r="H515" s="13">
        <f ca="1">_xll.meDateFromTenor(G515,H$14,H$11,H$12)</f>
        <v>43259</v>
      </c>
      <c r="I515" s="98">
        <f ca="1"/>
        <v>-3.6833014532568131E-3</v>
      </c>
      <c r="J515" s="94" t="s">
        <v>4</v>
      </c>
      <c r="K515" s="100">
        <f ca="1">_xll.meDateFromTenor(K514,"1D","FOLLOWING",L$12)</f>
        <v>43228</v>
      </c>
      <c r="L515" s="13">
        <f ca="1">_xll.meDateFromTenor(K515,L$14,L$11,L$12)</f>
        <v>43320</v>
      </c>
      <c r="M515" s="98">
        <f ca="1"/>
        <v>-3.4351470108960423E-3</v>
      </c>
      <c r="N515" s="5" t="s">
        <v>4</v>
      </c>
      <c r="O515" s="100">
        <f ca="1">_xll.meDateFromTenor(O514,"1D","FOLLOWING",P$12)</f>
        <v>43228</v>
      </c>
      <c r="P515" s="13">
        <f ca="1">_xll.meDateFromTenor(O515,P$14,P$11,P$12)</f>
        <v>43412</v>
      </c>
      <c r="Q515" s="98">
        <f ca="1"/>
        <v>-1.2475518649706537E-3</v>
      </c>
      <c r="R515" s="5" t="s">
        <v>4</v>
      </c>
      <c r="S515" s="100">
        <f ca="1">_xll.meDateFromTenor(S514,"1D","FOLLOWING",T$12)</f>
        <v>43228</v>
      </c>
      <c r="T515" s="13">
        <f ca="1">_xll.meDateFromTenor(S515,T$14,T$11,T$12)</f>
        <v>43593</v>
      </c>
      <c r="U515" s="98">
        <f ca="1"/>
        <v>7.4247491443240178E-4</v>
      </c>
      <c r="V515" s="5" t="s">
        <v>4</v>
      </c>
      <c r="W515" s="84" t="s">
        <v>4</v>
      </c>
    </row>
    <row r="516" spans="1:23" x14ac:dyDescent="0.25">
      <c r="A516" s="90">
        <v>497</v>
      </c>
      <c r="B516" s="83"/>
      <c r="C516" s="100">
        <f ca="1">_xll.meDateFromTenor(C515,"1D","FOLLOWING",D$12)</f>
        <v>43229</v>
      </c>
      <c r="D516" s="13">
        <f ca="1">_xll.meDateFromTenor(C516,D$14,D$11,D$12)</f>
        <v>43230</v>
      </c>
      <c r="E516" s="98">
        <f ca="1"/>
        <v>-4.133964348440284E-3</v>
      </c>
      <c r="F516" s="94"/>
      <c r="G516" s="100">
        <f ca="1">_xll.meDateFromTenor(G515,"1D","FOLLOWING",H$12)</f>
        <v>43229</v>
      </c>
      <c r="H516" s="13">
        <f ca="1">_xll.meDateFromTenor(G516,H$14,H$11,H$12)</f>
        <v>43262</v>
      </c>
      <c r="I516" s="98">
        <f ca="1"/>
        <v>-3.680553081152295E-3</v>
      </c>
      <c r="J516" s="94" t="s">
        <v>4</v>
      </c>
      <c r="K516" s="100">
        <f ca="1">_xll.meDateFromTenor(K515,"1D","FOLLOWING",L$12)</f>
        <v>43229</v>
      </c>
      <c r="L516" s="13">
        <f ca="1">_xll.meDateFromTenor(K516,L$14,L$11,L$12)</f>
        <v>43321</v>
      </c>
      <c r="M516" s="98">
        <f ca="1"/>
        <v>-3.4315436396655558E-3</v>
      </c>
      <c r="N516" s="5" t="s">
        <v>4</v>
      </c>
      <c r="O516" s="100">
        <f ca="1">_xll.meDateFromTenor(O515,"1D","FOLLOWING",P$12)</f>
        <v>43229</v>
      </c>
      <c r="P516" s="13">
        <f ca="1">_xll.meDateFromTenor(O516,P$14,P$11,P$12)</f>
        <v>43413</v>
      </c>
      <c r="Q516" s="98">
        <f ca="1"/>
        <v>-1.2439862050797131E-3</v>
      </c>
      <c r="R516" s="5" t="s">
        <v>4</v>
      </c>
      <c r="S516" s="100">
        <f ca="1">_xll.meDateFromTenor(S515,"1D","FOLLOWING",T$12)</f>
        <v>43229</v>
      </c>
      <c r="T516" s="13">
        <f ca="1">_xll.meDateFromTenor(S516,T$14,T$11,T$12)</f>
        <v>43594</v>
      </c>
      <c r="U516" s="98">
        <f ca="1"/>
        <v>7.463767880436325E-4</v>
      </c>
      <c r="V516" s="5" t="s">
        <v>4</v>
      </c>
      <c r="W516" s="84" t="s">
        <v>4</v>
      </c>
    </row>
    <row r="517" spans="1:23" x14ac:dyDescent="0.25">
      <c r="A517" s="90">
        <v>498</v>
      </c>
      <c r="B517" s="83"/>
      <c r="C517" s="100">
        <f ca="1">_xll.meDateFromTenor(C516,"1D","FOLLOWING",D$12)</f>
        <v>43230</v>
      </c>
      <c r="D517" s="13">
        <f ca="1">_xll.meDateFromTenor(C517,D$14,D$11,D$12)</f>
        <v>43231</v>
      </c>
      <c r="E517" s="98">
        <f ca="1"/>
        <v>-4.1316597837415406E-3</v>
      </c>
      <c r="F517" s="94"/>
      <c r="G517" s="100">
        <f ca="1">_xll.meDateFromTenor(G516,"1D","FOLLOWING",H$12)</f>
        <v>43230</v>
      </c>
      <c r="H517" s="13">
        <f ca="1">_xll.meDateFromTenor(G517,H$14,H$11,H$12)</f>
        <v>43262</v>
      </c>
      <c r="I517" s="98">
        <f ca="1"/>
        <v>-3.6778161281241116E-3</v>
      </c>
      <c r="J517" s="94" t="s">
        <v>4</v>
      </c>
      <c r="K517" s="100">
        <f ca="1">_xll.meDateFromTenor(K516,"1D","FOLLOWING",L$12)</f>
        <v>43230</v>
      </c>
      <c r="L517" s="13">
        <f ca="1">_xll.meDateFromTenor(K517,L$14,L$11,L$12)</f>
        <v>43322</v>
      </c>
      <c r="M517" s="98">
        <f ca="1"/>
        <v>-3.4275489758805316E-3</v>
      </c>
      <c r="N517" s="5" t="s">
        <v>4</v>
      </c>
      <c r="O517" s="100">
        <f ca="1">_xll.meDateFromTenor(O516,"1D","FOLLOWING",P$12)</f>
        <v>43230</v>
      </c>
      <c r="P517" s="13">
        <f ca="1">_xll.meDateFromTenor(O517,P$14,P$11,P$12)</f>
        <v>43416</v>
      </c>
      <c r="Q517" s="98">
        <f ca="1"/>
        <v>-1.2404116750612604E-3</v>
      </c>
      <c r="R517" s="5" t="s">
        <v>4</v>
      </c>
      <c r="S517" s="100">
        <f ca="1">_xll.meDateFromTenor(S516,"1D","FOLLOWING",T$12)</f>
        <v>43230</v>
      </c>
      <c r="T517" s="13">
        <f ca="1">_xll.meDateFromTenor(S517,T$14,T$11,T$12)</f>
        <v>43595</v>
      </c>
      <c r="U517" s="98">
        <f ca="1"/>
        <v>7.5028882658745516E-4</v>
      </c>
      <c r="V517" s="5" t="s">
        <v>4</v>
      </c>
      <c r="W517" s="84" t="s">
        <v>4</v>
      </c>
    </row>
    <row r="518" spans="1:23" x14ac:dyDescent="0.25">
      <c r="A518" s="90">
        <v>499</v>
      </c>
      <c r="B518" s="83"/>
      <c r="C518" s="100">
        <f ca="1">_xll.meDateFromTenor(C517,"1D","FOLLOWING",D$12)</f>
        <v>43231</v>
      </c>
      <c r="D518" s="13">
        <f ca="1">_xll.meDateFromTenor(C518,D$14,D$11,D$12)</f>
        <v>43234</v>
      </c>
      <c r="E518" s="98">
        <f ca="1"/>
        <v>-4.1269214071837515E-3</v>
      </c>
      <c r="F518" s="94"/>
      <c r="G518" s="100">
        <f ca="1">_xll.meDateFromTenor(G517,"1D","FOLLOWING",H$12)</f>
        <v>43231</v>
      </c>
      <c r="H518" s="13">
        <f ca="1">_xll.meDateFromTenor(G518,H$14,H$11,H$12)</f>
        <v>43262</v>
      </c>
      <c r="I518" s="98">
        <f ca="1"/>
        <v>-3.6750887912758755E-3</v>
      </c>
      <c r="J518" s="94" t="s">
        <v>4</v>
      </c>
      <c r="K518" s="100">
        <f ca="1">_xll.meDateFromTenor(K517,"1D","FOLLOWING",L$12)</f>
        <v>43231</v>
      </c>
      <c r="L518" s="13">
        <f ca="1">_xll.meDateFromTenor(K518,L$14,L$11,L$12)</f>
        <v>43325</v>
      </c>
      <c r="M518" s="98">
        <f ca="1"/>
        <v>-3.4231758655622721E-3</v>
      </c>
      <c r="N518" s="5" t="s">
        <v>4</v>
      </c>
      <c r="O518" s="100">
        <f ca="1">_xll.meDateFromTenor(O517,"1D","FOLLOWING",P$12)</f>
        <v>43231</v>
      </c>
      <c r="P518" s="13">
        <f ca="1">_xll.meDateFromTenor(O518,P$14,P$11,P$12)</f>
        <v>43416</v>
      </c>
      <c r="Q518" s="98">
        <f ca="1"/>
        <v>-1.2368283129564996E-3</v>
      </c>
      <c r="R518" s="5" t="s">
        <v>4</v>
      </c>
      <c r="S518" s="100">
        <f ca="1">_xll.meDateFromTenor(S517,"1D","FOLLOWING",T$12)</f>
        <v>43231</v>
      </c>
      <c r="T518" s="13">
        <f ca="1">_xll.meDateFromTenor(S518,T$14,T$11,T$12)</f>
        <v>43598</v>
      </c>
      <c r="U518" s="98">
        <f ca="1"/>
        <v>7.5421104042656213E-4</v>
      </c>
      <c r="V518" s="5" t="s">
        <v>4</v>
      </c>
      <c r="W518" s="84" t="s">
        <v>4</v>
      </c>
    </row>
    <row r="519" spans="1:23" x14ac:dyDescent="0.25">
      <c r="A519" s="90">
        <v>500</v>
      </c>
      <c r="B519" s="83"/>
      <c r="C519" s="100">
        <f ca="1">_xll.meDateFromTenor(C518,"1D","FOLLOWING",D$12)</f>
        <v>43234</v>
      </c>
      <c r="D519" s="13">
        <f ca="1">_xll.meDateFromTenor(C519,D$14,D$11,D$12)</f>
        <v>43235</v>
      </c>
      <c r="E519" s="98">
        <f ca="1"/>
        <v>-4.1221957208082008E-3</v>
      </c>
      <c r="F519" s="94"/>
      <c r="G519" s="100">
        <f ca="1">_xll.meDateFromTenor(G518,"1D","FOLLOWING",H$12)</f>
        <v>43234</v>
      </c>
      <c r="H519" s="13">
        <f ca="1">_xll.meDateFromTenor(G519,H$14,H$11,H$12)</f>
        <v>43265</v>
      </c>
      <c r="I519" s="98">
        <f ca="1"/>
        <v>-3.6669464488469686E-3</v>
      </c>
      <c r="J519" s="94" t="s">
        <v>4</v>
      </c>
      <c r="K519" s="100">
        <f ca="1">_xll.meDateFromTenor(K518,"1D","FOLLOWING",L$12)</f>
        <v>43234</v>
      </c>
      <c r="L519" s="13">
        <f ca="1">_xll.meDateFromTenor(K519,L$14,L$11,L$12)</f>
        <v>43326</v>
      </c>
      <c r="M519" s="98">
        <f ca="1"/>
        <v>-3.4079143156210932E-3</v>
      </c>
      <c r="N519" s="5" t="s">
        <v>4</v>
      </c>
      <c r="O519" s="100">
        <f ca="1">_xll.meDateFromTenor(O518,"1D","FOLLOWING",P$12)</f>
        <v>43234</v>
      </c>
      <c r="P519" s="13">
        <f ca="1">_xll.meDateFromTenor(O519,P$14,P$11,P$12)</f>
        <v>43418</v>
      </c>
      <c r="Q519" s="98">
        <f ca="1"/>
        <v>-1.2260256145363978E-3</v>
      </c>
      <c r="R519" s="5" t="s">
        <v>4</v>
      </c>
      <c r="S519" s="100">
        <f ca="1">_xll.meDateFromTenor(S518,"1D","FOLLOWING",T$12)</f>
        <v>43234</v>
      </c>
      <c r="T519" s="13">
        <f ca="1">_xll.meDateFromTenor(S519,T$14,T$11,T$12)</f>
        <v>43599</v>
      </c>
      <c r="U519" s="98">
        <f ca="1"/>
        <v>7.6603883734251176E-4</v>
      </c>
      <c r="V519" s="5" t="s">
        <v>4</v>
      </c>
      <c r="W519" s="84" t="s">
        <v>4</v>
      </c>
    </row>
    <row r="520" spans="1:23" x14ac:dyDescent="0.25">
      <c r="A520" s="90">
        <v>501</v>
      </c>
      <c r="B520" s="83"/>
      <c r="C520" s="100">
        <f ca="1">_xll.meDateFromTenor(C519,"1D","FOLLOWING",D$12)</f>
        <v>43235</v>
      </c>
      <c r="D520" s="13">
        <f ca="1">_xll.meDateFromTenor(C520,D$14,D$11,D$12)</f>
        <v>43236</v>
      </c>
      <c r="E520" s="98">
        <f ca="1"/>
        <v>-4.1197682594562727E-3</v>
      </c>
      <c r="F520" s="94"/>
      <c r="G520" s="100">
        <f ca="1">_xll.meDateFromTenor(G519,"1D","FOLLOWING",H$12)</f>
        <v>43235</v>
      </c>
      <c r="H520" s="13">
        <f ca="1">_xll.meDateFromTenor(G520,H$14,H$11,H$12)</f>
        <v>43266</v>
      </c>
      <c r="I520" s="98">
        <f ca="1"/>
        <v>-3.6642395477546412E-3</v>
      </c>
      <c r="J520" s="94" t="s">
        <v>4</v>
      </c>
      <c r="K520" s="100">
        <f ca="1">_xll.meDateFromTenor(K519,"1D","FOLLOWING",L$12)</f>
        <v>43235</v>
      </c>
      <c r="L520" s="13">
        <f ca="1">_xll.meDateFromTenor(K520,L$14,L$11,L$12)</f>
        <v>43327</v>
      </c>
      <c r="M520" s="98">
        <f ca="1"/>
        <v>-3.4021558793829072E-3</v>
      </c>
      <c r="N520" s="5" t="s">
        <v>4</v>
      </c>
      <c r="O520" s="100">
        <f ca="1">_xll.meDateFromTenor(O519,"1D","FOLLOWING",P$12)</f>
        <v>43235</v>
      </c>
      <c r="P520" s="13">
        <f ca="1">_xll.meDateFromTenor(O520,P$14,P$11,P$12)</f>
        <v>43419</v>
      </c>
      <c r="Q520" s="98">
        <f ca="1"/>
        <v>-1.2224073044984356E-3</v>
      </c>
      <c r="R520" s="5" t="s">
        <v>4</v>
      </c>
      <c r="S520" s="100">
        <f ca="1">_xll.meDateFromTenor(S519,"1D","FOLLOWING",T$12)</f>
        <v>43235</v>
      </c>
      <c r="T520" s="13">
        <f ca="1">_xll.meDateFromTenor(S520,T$14,T$11,T$12)</f>
        <v>43600</v>
      </c>
      <c r="U520" s="98">
        <f ca="1"/>
        <v>7.7000185598967853E-4</v>
      </c>
      <c r="V520" s="5" t="s">
        <v>4</v>
      </c>
      <c r="W520" s="84" t="s">
        <v>4</v>
      </c>
    </row>
    <row r="521" spans="1:23" x14ac:dyDescent="0.25">
      <c r="A521" s="90">
        <v>502</v>
      </c>
      <c r="B521" s="83"/>
      <c r="C521" s="100">
        <f ca="1">_xll.meDateFromTenor(C520,"1D","FOLLOWING",D$12)</f>
        <v>43236</v>
      </c>
      <c r="D521" s="13">
        <f ca="1">_xll.meDateFromTenor(C521,D$14,D$11,D$12)</f>
        <v>43237</v>
      </c>
      <c r="E521" s="98">
        <f ca="1"/>
        <v>-4.1173162220031903E-3</v>
      </c>
      <c r="F521" s="94"/>
      <c r="G521" s="100">
        <f ca="1">_xll.meDateFromTenor(G520,"1D","FOLLOWING",H$12)</f>
        <v>43236</v>
      </c>
      <c r="H521" s="13">
        <f ca="1">_xll.meDateFromTenor(G521,H$14,H$11,H$12)</f>
        <v>43269</v>
      </c>
      <c r="I521" s="98">
        <f ca="1"/>
        <v>-3.6615332483603217E-3</v>
      </c>
      <c r="J521" s="94" t="s">
        <v>4</v>
      </c>
      <c r="K521" s="100">
        <f ca="1">_xll.meDateFromTenor(K520,"1D","FOLLOWING",L$12)</f>
        <v>43236</v>
      </c>
      <c r="L521" s="13">
        <f ca="1">_xll.meDateFromTenor(K521,L$14,L$11,L$12)</f>
        <v>43328</v>
      </c>
      <c r="M521" s="98">
        <f ca="1"/>
        <v>-3.3960832267179932E-3</v>
      </c>
      <c r="N521" s="5" t="s">
        <v>4</v>
      </c>
      <c r="O521" s="100">
        <f ca="1">_xll.meDateFromTenor(O520,"1D","FOLLOWING",P$12)</f>
        <v>43236</v>
      </c>
      <c r="P521" s="13">
        <f ca="1">_xll.meDateFromTenor(O521,P$14,P$11,P$12)</f>
        <v>43420</v>
      </c>
      <c r="Q521" s="98">
        <f ca="1"/>
        <v>-1.2187803525801825E-3</v>
      </c>
      <c r="R521" s="5" t="s">
        <v>4</v>
      </c>
      <c r="S521" s="100">
        <f ca="1">_xll.meDateFromTenor(S520,"1D","FOLLOWING",T$12)</f>
        <v>43236</v>
      </c>
      <c r="T521" s="13">
        <f ca="1">_xll.meDateFromTenor(S521,T$14,T$11,T$12)</f>
        <v>43601</v>
      </c>
      <c r="U521" s="98">
        <f ca="1"/>
        <v>7.7397510174559046E-4</v>
      </c>
      <c r="V521" s="5" t="s">
        <v>4</v>
      </c>
      <c r="W521" s="84" t="s">
        <v>4</v>
      </c>
    </row>
    <row r="522" spans="1:23" x14ac:dyDescent="0.25">
      <c r="A522" s="90">
        <v>503</v>
      </c>
      <c r="B522" s="83"/>
      <c r="C522" s="100">
        <f ca="1">_xll.meDateFromTenor(C521,"1D","FOLLOWING",D$12)</f>
        <v>43237</v>
      </c>
      <c r="D522" s="13">
        <f ca="1">_xll.meDateFromTenor(C522,D$14,D$11,D$12)</f>
        <v>43238</v>
      </c>
      <c r="E522" s="98">
        <f ca="1"/>
        <v>-4.1148396096879628E-3</v>
      </c>
      <c r="F522" s="94"/>
      <c r="G522" s="100">
        <f ca="1">_xll.meDateFromTenor(G521,"1D","FOLLOWING",H$12)</f>
        <v>43237</v>
      </c>
      <c r="H522" s="13">
        <f ca="1">_xll.meDateFromTenor(G522,H$14,H$11,H$12)</f>
        <v>43269</v>
      </c>
      <c r="I522" s="98">
        <f ca="1"/>
        <v>-3.6588257477676214E-3</v>
      </c>
      <c r="J522" s="94" t="s">
        <v>4</v>
      </c>
      <c r="K522" s="100">
        <f ca="1">_xll.meDateFromTenor(K521,"1D","FOLLOWING",L$12)</f>
        <v>43237</v>
      </c>
      <c r="L522" s="13">
        <f ca="1">_xll.meDateFromTenor(K522,L$14,L$11,L$12)</f>
        <v>43329</v>
      </c>
      <c r="M522" s="98">
        <f ca="1"/>
        <v>-3.3897092036476537E-3</v>
      </c>
      <c r="N522" s="5" t="s">
        <v>4</v>
      </c>
      <c r="O522" s="100">
        <f ca="1">_xll.meDateFromTenor(O521,"1D","FOLLOWING",P$12)</f>
        <v>43237</v>
      </c>
      <c r="P522" s="13">
        <f ca="1">_xll.meDateFromTenor(O522,P$14,P$11,P$12)</f>
        <v>43423</v>
      </c>
      <c r="Q522" s="98">
        <f ca="1"/>
        <v>-1.215144796822841E-3</v>
      </c>
      <c r="R522" s="5" t="s">
        <v>4</v>
      </c>
      <c r="S522" s="100">
        <f ca="1">_xll.meDateFromTenor(S521,"1D","FOLLOWING",T$12)</f>
        <v>43237</v>
      </c>
      <c r="T522" s="13">
        <f ca="1">_xll.meDateFromTenor(S522,T$14,T$11,T$12)</f>
        <v>43602</v>
      </c>
      <c r="U522" s="98">
        <f ca="1"/>
        <v>7.7795858497294002E-4</v>
      </c>
      <c r="V522" s="5" t="s">
        <v>4</v>
      </c>
      <c r="W522" s="84" t="s">
        <v>4</v>
      </c>
    </row>
    <row r="523" spans="1:23" x14ac:dyDescent="0.25">
      <c r="A523" s="90">
        <v>504</v>
      </c>
      <c r="B523" s="83"/>
      <c r="C523" s="100">
        <f ca="1">_xll.meDateFromTenor(C522,"1D","FOLLOWING",D$12)</f>
        <v>43238</v>
      </c>
      <c r="D523" s="13">
        <f ca="1">_xll.meDateFromTenor(C523,D$14,D$11,D$12)</f>
        <v>43241</v>
      </c>
      <c r="E523" s="98">
        <f ca="1"/>
        <v>-4.1097575557636082E-3</v>
      </c>
      <c r="F523" s="94"/>
      <c r="G523" s="100">
        <f ca="1">_xll.meDateFromTenor(G522,"1D","FOLLOWING",H$12)</f>
        <v>43238</v>
      </c>
      <c r="H523" s="13">
        <f ca="1">_xll.meDateFromTenor(G523,H$14,H$11,H$12)</f>
        <v>43269</v>
      </c>
      <c r="I523" s="98">
        <f ca="1"/>
        <v>-3.6561152430801529E-3</v>
      </c>
      <c r="J523" s="94" t="s">
        <v>4</v>
      </c>
      <c r="K523" s="100">
        <f ca="1">_xll.meDateFromTenor(K522,"1D","FOLLOWING",L$12)</f>
        <v>43238</v>
      </c>
      <c r="L523" s="13">
        <f ca="1">_xll.meDateFromTenor(K523,L$14,L$11,L$12)</f>
        <v>43332</v>
      </c>
      <c r="M523" s="98">
        <f ca="1"/>
        <v>-3.3830466561931903E-3</v>
      </c>
      <c r="N523" s="5" t="s">
        <v>4</v>
      </c>
      <c r="O523" s="100">
        <f ca="1">_xll.meDateFromTenor(O522,"1D","FOLLOWING",P$12)</f>
        <v>43238</v>
      </c>
      <c r="P523" s="13">
        <f ca="1">_xll.meDateFromTenor(O523,P$14,P$11,P$12)</f>
        <v>43423</v>
      </c>
      <c r="Q523" s="98">
        <f ca="1"/>
        <v>-1.2115006752676147E-3</v>
      </c>
      <c r="R523" s="5" t="s">
        <v>4</v>
      </c>
      <c r="S523" s="100">
        <f ca="1">_xll.meDateFromTenor(S522,"1D","FOLLOWING",T$12)</f>
        <v>43238</v>
      </c>
      <c r="T523" s="13">
        <f ca="1">_xll.meDateFromTenor(S523,T$14,T$11,T$12)</f>
        <v>43605</v>
      </c>
      <c r="U523" s="98">
        <f ca="1"/>
        <v>7.8195231603442003E-4</v>
      </c>
      <c r="V523" s="5" t="s">
        <v>4</v>
      </c>
      <c r="W523" s="84" t="s">
        <v>4</v>
      </c>
    </row>
    <row r="524" spans="1:23" x14ac:dyDescent="0.25">
      <c r="A524" s="90">
        <v>505</v>
      </c>
      <c r="B524" s="83"/>
      <c r="C524" s="100">
        <f ca="1">_xll.meDateFromTenor(C523,"1D","FOLLOWING",D$12)</f>
        <v>43241</v>
      </c>
      <c r="D524" s="13">
        <f ca="1">_xll.meDateFromTenor(C524,D$14,D$11,D$12)</f>
        <v>43242</v>
      </c>
      <c r="E524" s="98">
        <f ca="1"/>
        <v>-4.1046874316297425E-3</v>
      </c>
      <c r="F524" s="94"/>
      <c r="G524" s="100">
        <f ca="1">_xll.meDateFromTenor(G523,"1D","FOLLOWING",H$12)</f>
        <v>43241</v>
      </c>
      <c r="H524" s="13">
        <f ca="1">_xll.meDateFromTenor(G524,H$14,H$11,H$12)</f>
        <v>43272</v>
      </c>
      <c r="I524" s="98">
        <f ca="1"/>
        <v>-3.6479476754852618E-3</v>
      </c>
      <c r="J524" s="94" t="s">
        <v>4</v>
      </c>
      <c r="K524" s="100">
        <f ca="1">_xll.meDateFromTenor(K523,"1D","FOLLOWING",L$12)</f>
        <v>43241</v>
      </c>
      <c r="L524" s="13">
        <f ca="1">_xll.meDateFromTenor(K524,L$14,L$11,L$12)</f>
        <v>43333</v>
      </c>
      <c r="M524" s="98">
        <f ca="1"/>
        <v>-3.3614563277380716E-3</v>
      </c>
      <c r="N524" s="5" t="s">
        <v>4</v>
      </c>
      <c r="O524" s="100">
        <f ca="1">_xll.meDateFromTenor(O523,"1D","FOLLOWING",P$12)</f>
        <v>43241</v>
      </c>
      <c r="P524" s="13">
        <f ca="1">_xll.meDateFromTenor(O524,P$14,P$11,P$12)</f>
        <v>43425</v>
      </c>
      <c r="Q524" s="98">
        <f ca="1"/>
        <v>-1.2005172962266622E-3</v>
      </c>
      <c r="R524" s="5" t="s">
        <v>4</v>
      </c>
      <c r="S524" s="100">
        <f ca="1">_xll.meDateFromTenor(S523,"1D","FOLLOWING",T$12)</f>
        <v>43241</v>
      </c>
      <c r="T524" s="13">
        <f ca="1">_xll.meDateFromTenor(S524,T$14,T$11,T$12)</f>
        <v>43606</v>
      </c>
      <c r="U524" s="98">
        <f ca="1"/>
        <v>7.9399509985056079E-4</v>
      </c>
      <c r="V524" s="5" t="s">
        <v>4</v>
      </c>
      <c r="W524" s="84" t="s">
        <v>4</v>
      </c>
    </row>
    <row r="525" spans="1:23" x14ac:dyDescent="0.25">
      <c r="A525" s="90">
        <v>506</v>
      </c>
      <c r="B525" s="83"/>
      <c r="C525" s="100">
        <f ca="1">_xll.meDateFromTenor(C524,"1D","FOLLOWING",D$12)</f>
        <v>43242</v>
      </c>
      <c r="D525" s="13">
        <f ca="1">_xll.meDateFromTenor(C525,D$14,D$11,D$12)</f>
        <v>43243</v>
      </c>
      <c r="E525" s="98">
        <f ca="1"/>
        <v>-4.1020879604314478E-3</v>
      </c>
      <c r="F525" s="94"/>
      <c r="G525" s="100">
        <f ca="1">_xll.meDateFromTenor(G524,"1D","FOLLOWING",H$12)</f>
        <v>43242</v>
      </c>
      <c r="H525" s="13">
        <f ca="1">_xll.meDateFromTenor(G525,H$14,H$11,H$12)</f>
        <v>43273</v>
      </c>
      <c r="I525" s="98">
        <f ca="1"/>
        <v>-3.6452071254548424E-3</v>
      </c>
      <c r="J525" s="94" t="s">
        <v>4</v>
      </c>
      <c r="K525" s="100">
        <f ca="1">_xll.meDateFromTenor(K524,"1D","FOLLOWING",L$12)</f>
        <v>43242</v>
      </c>
      <c r="L525" s="13">
        <f ca="1">_xll.meDateFromTenor(K525,L$14,L$11,L$12)</f>
        <v>43334</v>
      </c>
      <c r="M525" s="98">
        <f ca="1"/>
        <v>-3.353768142960129E-3</v>
      </c>
      <c r="N525" s="5" t="s">
        <v>4</v>
      </c>
      <c r="O525" s="100">
        <f ca="1">_xll.meDateFromTenor(O524,"1D","FOLLOWING",P$12)</f>
        <v>43242</v>
      </c>
      <c r="P525" s="13">
        <f ca="1">_xll.meDateFromTenor(O525,P$14,P$11,P$12)</f>
        <v>43426</v>
      </c>
      <c r="Q525" s="98">
        <f ca="1"/>
        <v>-1.1968392918919313E-3</v>
      </c>
      <c r="R525" s="5" t="s">
        <v>4</v>
      </c>
      <c r="S525" s="100">
        <f ca="1">_xll.meDateFromTenor(S524,"1D","FOLLOWING",T$12)</f>
        <v>43242</v>
      </c>
      <c r="T525" s="13">
        <f ca="1">_xll.meDateFromTenor(S525,T$14,T$11,T$12)</f>
        <v>43607</v>
      </c>
      <c r="U525" s="98">
        <f ca="1"/>
        <v>7.9802992587548274E-4</v>
      </c>
      <c r="V525" s="5" t="s">
        <v>4</v>
      </c>
      <c r="W525" s="84" t="s">
        <v>4</v>
      </c>
    </row>
    <row r="526" spans="1:23" x14ac:dyDescent="0.25">
      <c r="A526" s="90">
        <v>507</v>
      </c>
      <c r="B526" s="83"/>
      <c r="C526" s="100">
        <f ca="1">_xll.meDateFromTenor(C525,"1D","FOLLOWING",D$12)</f>
        <v>43243</v>
      </c>
      <c r="D526" s="13">
        <f ca="1">_xll.meDateFromTenor(C526,D$14,D$11,D$12)</f>
        <v>43244</v>
      </c>
      <c r="E526" s="98">
        <f ca="1"/>
        <v>-4.0994639205260844E-3</v>
      </c>
      <c r="F526" s="94"/>
      <c r="G526" s="100">
        <f ca="1">_xll.meDateFromTenor(G525,"1D","FOLLOWING",H$12)</f>
        <v>43243</v>
      </c>
      <c r="H526" s="13">
        <f ca="1">_xll.meDateFromTenor(G526,H$14,H$11,H$12)</f>
        <v>43276</v>
      </c>
      <c r="I526" s="98">
        <f ca="1"/>
        <v>-3.6424545568477162E-3</v>
      </c>
      <c r="J526" s="94" t="s">
        <v>4</v>
      </c>
      <c r="K526" s="100">
        <f ca="1">_xll.meDateFromTenor(K525,"1D","FOLLOWING",L$12)</f>
        <v>43243</v>
      </c>
      <c r="L526" s="13">
        <f ca="1">_xll.meDateFromTenor(K526,L$14,L$11,L$12)</f>
        <v>43335</v>
      </c>
      <c r="M526" s="98">
        <f ca="1"/>
        <v>-3.3458556639045698E-3</v>
      </c>
      <c r="N526" s="5" t="s">
        <v>4</v>
      </c>
      <c r="O526" s="100">
        <f ca="1">_xll.meDateFromTenor(O525,"1D","FOLLOWING",P$12)</f>
        <v>43243</v>
      </c>
      <c r="P526" s="13">
        <f ca="1">_xll.meDateFromTenor(O526,P$14,P$11,P$12)</f>
        <v>43427</v>
      </c>
      <c r="Q526" s="98">
        <f ca="1"/>
        <v>-1.193152911965333E-3</v>
      </c>
      <c r="R526" s="5" t="s">
        <v>4</v>
      </c>
      <c r="S526" s="100">
        <f ca="1">_xll.meDateFromTenor(S525,"1D","FOLLOWING",T$12)</f>
        <v>43243</v>
      </c>
      <c r="T526" s="13">
        <f ca="1">_xll.meDateFromTenor(S526,T$14,T$11,T$12)</f>
        <v>43608</v>
      </c>
      <c r="U526" s="98">
        <f ca="1"/>
        <v>8.0207505154799555E-4</v>
      </c>
      <c r="V526" s="5" t="s">
        <v>4</v>
      </c>
      <c r="W526" s="84" t="s">
        <v>4</v>
      </c>
    </row>
    <row r="527" spans="1:23" x14ac:dyDescent="0.25">
      <c r="A527" s="90">
        <v>508</v>
      </c>
      <c r="B527" s="83"/>
      <c r="C527" s="100">
        <f ca="1">_xll.meDateFromTenor(C526,"1D","FOLLOWING",D$12)</f>
        <v>43244</v>
      </c>
      <c r="D527" s="13">
        <f ca="1">_xll.meDateFromTenor(C527,D$14,D$11,D$12)</f>
        <v>43245</v>
      </c>
      <c r="E527" s="98">
        <f ca="1"/>
        <v>-4.0968153131526611E-3</v>
      </c>
      <c r="F527" s="94"/>
      <c r="G527" s="100">
        <f ca="1">_xll.meDateFromTenor(G526,"1D","FOLLOWING",H$12)</f>
        <v>43244</v>
      </c>
      <c r="H527" s="13">
        <f ca="1">_xll.meDateFromTenor(G527,H$14,H$11,H$12)</f>
        <v>43276</v>
      </c>
      <c r="I527" s="98">
        <f ca="1"/>
        <v>-3.6396881667674946E-3</v>
      </c>
      <c r="J527" s="94" t="s">
        <v>4</v>
      </c>
      <c r="K527" s="100">
        <f ca="1">_xll.meDateFromTenor(K526,"1D","FOLLOWING",L$12)</f>
        <v>43244</v>
      </c>
      <c r="L527" s="13">
        <f ca="1">_xll.meDateFromTenor(K527,L$14,L$11,L$12)</f>
        <v>43336</v>
      </c>
      <c r="M527" s="98">
        <f ca="1"/>
        <v>-3.3377317365926966E-3</v>
      </c>
      <c r="N527" s="5" t="s">
        <v>4</v>
      </c>
      <c r="O527" s="100">
        <f ca="1">_xll.meDateFromTenor(O526,"1D","FOLLOWING",P$12)</f>
        <v>43244</v>
      </c>
      <c r="P527" s="13">
        <f ca="1">_xll.meDateFromTenor(O527,P$14,P$11,P$12)</f>
        <v>43430</v>
      </c>
      <c r="Q527" s="98">
        <f ca="1"/>
        <v>-1.1894581944880704E-3</v>
      </c>
      <c r="R527" s="5" t="s">
        <v>4</v>
      </c>
      <c r="S527" s="100">
        <f ca="1">_xll.meDateFromTenor(S526,"1D","FOLLOWING",T$12)</f>
        <v>43244</v>
      </c>
      <c r="T527" s="13">
        <f ca="1">_xll.meDateFromTenor(S527,T$14,T$11,T$12)</f>
        <v>43609</v>
      </c>
      <c r="U527" s="98">
        <f ca="1"/>
        <v>8.061304872307918E-4</v>
      </c>
      <c r="V527" s="5" t="s">
        <v>4</v>
      </c>
      <c r="W527" s="84" t="s">
        <v>4</v>
      </c>
    </row>
    <row r="528" spans="1:23" x14ac:dyDescent="0.25">
      <c r="A528" s="90">
        <v>509</v>
      </c>
      <c r="B528" s="83"/>
      <c r="C528" s="100">
        <f ca="1">_xll.meDateFromTenor(C527,"1D","FOLLOWING",D$12)</f>
        <v>43245</v>
      </c>
      <c r="D528" s="13">
        <f ca="1">_xll.meDateFromTenor(C528,D$14,D$11,D$12)</f>
        <v>43248</v>
      </c>
      <c r="E528" s="98">
        <f ca="1"/>
        <v>-4.0913897126770996E-3</v>
      </c>
      <c r="F528" s="94"/>
      <c r="G528" s="100">
        <f ca="1">_xll.meDateFromTenor(G527,"1D","FOLLOWING",H$12)</f>
        <v>43245</v>
      </c>
      <c r="H528" s="13">
        <f ca="1">_xll.meDateFromTenor(G528,H$14,H$11,H$12)</f>
        <v>43276</v>
      </c>
      <c r="I528" s="98">
        <f ca="1"/>
        <v>-3.6369061523177908E-3</v>
      </c>
      <c r="J528" s="94" t="s">
        <v>4</v>
      </c>
      <c r="K528" s="100">
        <f ca="1">_xll.meDateFromTenor(K527,"1D","FOLLOWING",L$12)</f>
        <v>43245</v>
      </c>
      <c r="L528" s="13">
        <f ca="1">_xll.meDateFromTenor(K528,L$14,L$11,L$12)</f>
        <v>43339</v>
      </c>
      <c r="M528" s="98">
        <f ca="1"/>
        <v>-3.3294092070458117E-3</v>
      </c>
      <c r="N528" s="5" t="s">
        <v>4</v>
      </c>
      <c r="O528" s="100">
        <f ca="1">_xll.meDateFromTenor(O527,"1D","FOLLOWING",P$12)</f>
        <v>43245</v>
      </c>
      <c r="P528" s="13">
        <f ca="1">_xll.meDateFromTenor(O528,P$14,P$11,P$12)</f>
        <v>43430</v>
      </c>
      <c r="Q528" s="98">
        <f ca="1"/>
        <v>-1.1857551775013475E-3</v>
      </c>
      <c r="R528" s="5" t="s">
        <v>4</v>
      </c>
      <c r="S528" s="100">
        <f ca="1">_xll.meDateFromTenor(S527,"1D","FOLLOWING",T$12)</f>
        <v>43245</v>
      </c>
      <c r="T528" s="13">
        <f ca="1">_xll.meDateFromTenor(S528,T$14,T$11,T$12)</f>
        <v>43612</v>
      </c>
      <c r="U528" s="98">
        <f ca="1"/>
        <v>8.1019624328656321E-4</v>
      </c>
      <c r="V528" s="5" t="s">
        <v>4</v>
      </c>
      <c r="W528" s="84" t="s">
        <v>4</v>
      </c>
    </row>
    <row r="529" spans="1:23" x14ac:dyDescent="0.25">
      <c r="A529" s="90">
        <v>510</v>
      </c>
      <c r="B529" s="83"/>
      <c r="C529" s="100">
        <f ca="1">_xll.meDateFromTenor(C528,"1D","FOLLOWING",D$12)</f>
        <v>43248</v>
      </c>
      <c r="D529" s="13">
        <f ca="1">_xll.meDateFromTenor(C529,D$14,D$11,D$12)</f>
        <v>43249</v>
      </c>
      <c r="E529" s="98">
        <f ca="1"/>
        <v>-4.0859752298017119E-3</v>
      </c>
      <c r="F529" s="94"/>
      <c r="G529" s="100">
        <f ca="1">_xll.meDateFromTenor(G528,"1D","FOLLOWING",H$12)</f>
        <v>43248</v>
      </c>
      <c r="H529" s="13">
        <f ca="1">_xll.meDateFromTenor(G529,H$14,H$11,H$12)</f>
        <v>43279</v>
      </c>
      <c r="I529" s="98">
        <f ca="1"/>
        <v>-3.6284483337879012E-3</v>
      </c>
      <c r="J529" s="94" t="s">
        <v>4</v>
      </c>
      <c r="K529" s="100">
        <f ca="1">_xll.meDateFromTenor(K528,"1D","FOLLOWING",L$12)</f>
        <v>43248</v>
      </c>
      <c r="L529" s="13">
        <f ca="1">_xll.meDateFromTenor(K529,L$14,L$11,L$12)</f>
        <v>43340</v>
      </c>
      <c r="M529" s="98">
        <f ca="1"/>
        <v>-3.3033784652080995E-3</v>
      </c>
      <c r="N529" s="5" t="s">
        <v>4</v>
      </c>
      <c r="O529" s="100">
        <f ca="1">_xll.meDateFromTenor(O528,"1D","FOLLOWING",P$12)</f>
        <v>43248</v>
      </c>
      <c r="P529" s="13">
        <f ca="1">_xll.meDateFromTenor(O529,P$14,P$11,P$12)</f>
        <v>43432</v>
      </c>
      <c r="Q529" s="98">
        <f ca="1"/>
        <v>-1.1745967098964482E-3</v>
      </c>
      <c r="R529" s="5" t="s">
        <v>4</v>
      </c>
      <c r="S529" s="100">
        <f ca="1">_xll.meDateFromTenor(S528,"1D","FOLLOWING",T$12)</f>
        <v>43248</v>
      </c>
      <c r="T529" s="13">
        <f ca="1">_xll.meDateFromTenor(S529,T$14,T$11,T$12)</f>
        <v>43613</v>
      </c>
      <c r="U529" s="98">
        <f ca="1"/>
        <v>8.2245553731865304E-4</v>
      </c>
      <c r="V529" s="5" t="s">
        <v>4</v>
      </c>
      <c r="W529" s="84" t="s">
        <v>4</v>
      </c>
    </row>
    <row r="530" spans="1:23" x14ac:dyDescent="0.25">
      <c r="A530" s="90">
        <v>511</v>
      </c>
      <c r="B530" s="83"/>
      <c r="C530" s="100">
        <f ca="1">_xll.meDateFromTenor(C529,"1D","FOLLOWING",D$12)</f>
        <v>43249</v>
      </c>
      <c r="D530" s="13">
        <f ca="1">_xll.meDateFromTenor(C530,D$14,D$11,D$12)</f>
        <v>43250</v>
      </c>
      <c r="E530" s="98">
        <f ca="1"/>
        <v>-4.0832038007554564E-3</v>
      </c>
      <c r="F530" s="94"/>
      <c r="G530" s="100">
        <f ca="1">_xll.meDateFromTenor(G529,"1D","FOLLOWING",H$12)</f>
        <v>43249</v>
      </c>
      <c r="H530" s="13">
        <f ca="1">_xll.meDateFromTenor(G530,H$14,H$11,H$12)</f>
        <v>43280</v>
      </c>
      <c r="I530" s="98">
        <f ca="1"/>
        <v>-3.6255857928963872E-3</v>
      </c>
      <c r="J530" s="94" t="s">
        <v>4</v>
      </c>
      <c r="K530" s="100">
        <f ca="1">_xll.meDateFromTenor(K529,"1D","FOLLOWING",L$12)</f>
        <v>43249</v>
      </c>
      <c r="L530" s="13">
        <f ca="1">_xll.meDateFromTenor(K530,L$14,L$11,L$12)</f>
        <v>43341</v>
      </c>
      <c r="M530" s="98">
        <f ca="1"/>
        <v>-3.2943899869341832E-3</v>
      </c>
      <c r="N530" s="5" t="s">
        <v>4</v>
      </c>
      <c r="O530" s="100">
        <f ca="1">_xll.meDateFromTenor(O529,"1D","FOLLOWING",P$12)</f>
        <v>43249</v>
      </c>
      <c r="P530" s="13">
        <f ca="1">_xll.meDateFromTenor(O530,P$14,P$11,P$12)</f>
        <v>43433</v>
      </c>
      <c r="Q530" s="98">
        <f ca="1"/>
        <v>-1.1708608752839169E-3</v>
      </c>
      <c r="R530" s="5" t="s">
        <v>4</v>
      </c>
      <c r="S530" s="100">
        <f ca="1">_xll.meDateFromTenor(S529,"1D","FOLLOWING",T$12)</f>
        <v>43249</v>
      </c>
      <c r="T530" s="13">
        <f ca="1">_xll.meDateFromTenor(S530,T$14,T$11,T$12)</f>
        <v>43614</v>
      </c>
      <c r="U530" s="98">
        <f ca="1"/>
        <v>8.2656267849324865E-4</v>
      </c>
      <c r="V530" s="5" t="s">
        <v>4</v>
      </c>
      <c r="W530" s="84" t="s">
        <v>4</v>
      </c>
    </row>
    <row r="531" spans="1:23" x14ac:dyDescent="0.25">
      <c r="A531" s="90">
        <v>512</v>
      </c>
      <c r="B531" s="83"/>
      <c r="C531" s="100">
        <f ca="1">_xll.meDateFromTenor(C530,"1D","FOLLOWING",D$12)</f>
        <v>43250</v>
      </c>
      <c r="D531" s="13">
        <f ca="1">_xll.meDateFromTenor(C531,D$14,D$11,D$12)</f>
        <v>43251</v>
      </c>
      <c r="E531" s="98">
        <f ca="1"/>
        <v>-4.0804078105960576E-3</v>
      </c>
      <c r="F531" s="94"/>
      <c r="G531" s="100">
        <f ca="1">_xll.meDateFromTenor(G530,"1D","FOLLOWING",H$12)</f>
        <v>43250</v>
      </c>
      <c r="H531" s="13">
        <f ca="1">_xll.meDateFromTenor(G531,H$14,H$11,H$12)</f>
        <v>43280</v>
      </c>
      <c r="I531" s="98">
        <f ca="1"/>
        <v>-3.62269861315345E-3</v>
      </c>
      <c r="J531" s="94" t="s">
        <v>4</v>
      </c>
      <c r="K531" s="100">
        <f ca="1">_xll.meDateFromTenor(K530,"1D","FOLLOWING",L$12)</f>
        <v>43250</v>
      </c>
      <c r="L531" s="13">
        <f ca="1">_xll.meDateFromTenor(K531,L$14,L$11,L$12)</f>
        <v>43342</v>
      </c>
      <c r="M531" s="98">
        <f ca="1"/>
        <v>-3.2852671365317626E-3</v>
      </c>
      <c r="N531" s="5" t="s">
        <v>4</v>
      </c>
      <c r="O531" s="100">
        <f ca="1">_xll.meDateFromTenor(O530,"1D","FOLLOWING",P$12)</f>
        <v>43250</v>
      </c>
      <c r="P531" s="13">
        <f ca="1">_xll.meDateFromTenor(O531,P$14,P$11,P$12)</f>
        <v>43434</v>
      </c>
      <c r="Q531" s="98">
        <f ca="1"/>
        <v>-1.1671169313679419E-3</v>
      </c>
      <c r="R531" s="5" t="s">
        <v>4</v>
      </c>
      <c r="S531" s="100">
        <f ca="1">_xll.meDateFromTenor(S530,"1D","FOLLOWING",T$12)</f>
        <v>43250</v>
      </c>
      <c r="T531" s="13">
        <f ca="1">_xll.meDateFromTenor(S531,T$14,T$11,T$12)</f>
        <v>43615</v>
      </c>
      <c r="U531" s="98">
        <f ca="1"/>
        <v>8.3068019185428082E-4</v>
      </c>
      <c r="V531" s="5" t="s">
        <v>4</v>
      </c>
      <c r="W531" s="84" t="s">
        <v>4</v>
      </c>
    </row>
    <row r="532" spans="1:23" x14ac:dyDescent="0.25">
      <c r="A532" s="90">
        <v>513</v>
      </c>
      <c r="B532" s="83"/>
      <c r="C532" s="100">
        <f ca="1">_xll.meDateFromTenor(C531,"1D","FOLLOWING",D$12)</f>
        <v>43251</v>
      </c>
      <c r="D532" s="13">
        <f ca="1">_xll.meDateFromTenor(C532,D$14,D$11,D$12)</f>
        <v>43252</v>
      </c>
      <c r="E532" s="98">
        <f ca="1"/>
        <v>-4.0775872602427802E-3</v>
      </c>
      <c r="F532" s="94"/>
      <c r="G532" s="100">
        <f ca="1">_xll.meDateFromTenor(G531,"1D","FOLLOWING",H$12)</f>
        <v>43251</v>
      </c>
      <c r="H532" s="13">
        <f ca="1">_xll.meDateFromTenor(G532,H$14,H$11,H$12)</f>
        <v>43280</v>
      </c>
      <c r="I532" s="98">
        <f ca="1"/>
        <v>-3.6197849916627029E-3</v>
      </c>
      <c r="J532" s="94" t="s">
        <v>4</v>
      </c>
      <c r="K532" s="100">
        <f ca="1">_xll.meDateFromTenor(K531,"1D","FOLLOWING",L$12)</f>
        <v>43251</v>
      </c>
      <c r="L532" s="13">
        <f ca="1">_xll.meDateFromTenor(K532,L$14,L$11,L$12)</f>
        <v>43343</v>
      </c>
      <c r="M532" s="98">
        <f ca="1"/>
        <v>-3.2760227600221385E-3</v>
      </c>
      <c r="N532" s="5" t="s">
        <v>4</v>
      </c>
      <c r="O532" s="100">
        <f ca="1">_xll.meDateFromTenor(O531,"1D","FOLLOWING",P$12)</f>
        <v>43251</v>
      </c>
      <c r="P532" s="13">
        <f ca="1">_xll.meDateFromTenor(O532,P$14,P$11,P$12)</f>
        <v>43434</v>
      </c>
      <c r="Q532" s="98">
        <f ca="1"/>
        <v>-1.163364916189727E-3</v>
      </c>
      <c r="R532" s="5" t="s">
        <v>4</v>
      </c>
      <c r="S532" s="100">
        <f ca="1">_xll.meDateFromTenor(S531,"1D","FOLLOWING",T$12)</f>
        <v>43251</v>
      </c>
      <c r="T532" s="13">
        <f ca="1">_xll.meDateFromTenor(S532,T$14,T$11,T$12)</f>
        <v>43616</v>
      </c>
      <c r="U532" s="98">
        <f ca="1"/>
        <v>8.3480808776444223E-4</v>
      </c>
      <c r="V532" s="5" t="s">
        <v>4</v>
      </c>
      <c r="W532" s="84" t="s">
        <v>4</v>
      </c>
    </row>
    <row r="533" spans="1:23" x14ac:dyDescent="0.25">
      <c r="A533" s="90">
        <v>514</v>
      </c>
      <c r="B533" s="83"/>
      <c r="C533" s="100">
        <f ca="1">_xll.meDateFromTenor(C532,"1D","FOLLOWING",D$12)</f>
        <v>43252</v>
      </c>
      <c r="D533" s="13">
        <f ca="1">_xll.meDateFromTenor(C533,D$14,D$11,D$12)</f>
        <v>43255</v>
      </c>
      <c r="E533" s="98">
        <f ca="1"/>
        <v>-4.0718182422194863E-3</v>
      </c>
      <c r="F533" s="94"/>
      <c r="G533" s="100">
        <f ca="1">_xll.meDateFromTenor(G532,"1D","FOLLOWING",H$12)</f>
        <v>43252</v>
      </c>
      <c r="H533" s="13">
        <f ca="1">_xll.meDateFromTenor(G533,H$14,H$11,H$12)</f>
        <v>43283</v>
      </c>
      <c r="I533" s="98">
        <f ca="1"/>
        <v>-3.6168431255277577E-3</v>
      </c>
      <c r="J533" s="94" t="s">
        <v>4</v>
      </c>
      <c r="K533" s="100">
        <f ca="1">_xll.meDateFromTenor(K532,"1D","FOLLOWING",L$12)</f>
        <v>43252</v>
      </c>
      <c r="L533" s="13">
        <f ca="1">_xll.meDateFromTenor(K533,L$14,L$11,L$12)</f>
        <v>43346</v>
      </c>
      <c r="M533" s="98">
        <f ca="1"/>
        <v>-3.2666697034266145E-3</v>
      </c>
      <c r="N533" s="5" t="s">
        <v>4</v>
      </c>
      <c r="O533" s="100">
        <f ca="1">_xll.meDateFromTenor(O532,"1D","FOLLOWING",P$12)</f>
        <v>43252</v>
      </c>
      <c r="P533" s="13">
        <f ca="1">_xll.meDateFromTenor(O533,P$14,P$11,P$12)</f>
        <v>43437</v>
      </c>
      <c r="Q533" s="98">
        <f ca="1"/>
        <v>-1.159604867790475E-3</v>
      </c>
      <c r="R533" s="5" t="s">
        <v>4</v>
      </c>
      <c r="S533" s="100">
        <f ca="1">_xll.meDateFromTenor(S532,"1D","FOLLOWING",T$12)</f>
        <v>43252</v>
      </c>
      <c r="T533" s="13">
        <f ca="1">_xll.meDateFromTenor(S533,T$14,T$11,T$12)</f>
        <v>43619</v>
      </c>
      <c r="U533" s="98">
        <f ca="1"/>
        <v>8.3894637658642462E-4</v>
      </c>
      <c r="V533" s="5" t="s">
        <v>4</v>
      </c>
      <c r="W533" s="84" t="s">
        <v>4</v>
      </c>
    </row>
    <row r="534" spans="1:23" x14ac:dyDescent="0.25">
      <c r="A534" s="90">
        <v>515</v>
      </c>
      <c r="B534" s="83"/>
      <c r="C534" s="100">
        <f ca="1">_xll.meDateFromTenor(C533,"1D","FOLLOWING",D$12)</f>
        <v>43255</v>
      </c>
      <c r="D534" s="13">
        <f ca="1">_xll.meDateFromTenor(C534,D$14,D$11,D$12)</f>
        <v>43256</v>
      </c>
      <c r="E534" s="98">
        <f ca="1"/>
        <v>-4.0660632898248542E-3</v>
      </c>
      <c r="F534" s="94"/>
      <c r="G534" s="100">
        <f ca="1">_xll.meDateFromTenor(G533,"1D","FOLLOWING",H$12)</f>
        <v>43255</v>
      </c>
      <c r="H534" s="13">
        <f ca="1">_xll.meDateFromTenor(G534,H$14,H$11,H$12)</f>
        <v>43285</v>
      </c>
      <c r="I534" s="98">
        <f ca="1"/>
        <v>-3.6078300302938579E-3</v>
      </c>
      <c r="J534" s="94" t="s">
        <v>4</v>
      </c>
      <c r="K534" s="100">
        <f ca="1">_xll.meDateFromTenor(K533,"1D","FOLLOWING",L$12)</f>
        <v>43255</v>
      </c>
      <c r="L534" s="13">
        <f ca="1">_xll.meDateFromTenor(K534,L$14,L$11,L$12)</f>
        <v>43347</v>
      </c>
      <c r="M534" s="98">
        <f ca="1"/>
        <v>-3.2380869133376575E-3</v>
      </c>
      <c r="N534" s="5" t="s">
        <v>4</v>
      </c>
      <c r="O534" s="100">
        <f ca="1">_xll.meDateFromTenor(O533,"1D","FOLLOWING",P$12)</f>
        <v>43255</v>
      </c>
      <c r="P534" s="13">
        <f ca="1">_xll.meDateFromTenor(O534,P$14,P$11,P$12)</f>
        <v>43438</v>
      </c>
      <c r="Q534" s="98">
        <f ca="1"/>
        <v>-1.1482769036785343E-3</v>
      </c>
      <c r="R534" s="5" t="s">
        <v>4</v>
      </c>
      <c r="S534" s="100">
        <f ca="1">_xll.meDateFromTenor(S533,"1D","FOLLOWING",T$12)</f>
        <v>43255</v>
      </c>
      <c r="T534" s="13">
        <f ca="1">_xll.meDateFromTenor(S534,T$14,T$11,T$12)</f>
        <v>43620</v>
      </c>
      <c r="U534" s="98">
        <f ca="1"/>
        <v>8.5142370415022014E-4</v>
      </c>
      <c r="V534" s="5" t="s">
        <v>4</v>
      </c>
      <c r="W534" s="84" t="s">
        <v>4</v>
      </c>
    </row>
    <row r="535" spans="1:23" x14ac:dyDescent="0.25">
      <c r="A535" s="90">
        <v>516</v>
      </c>
      <c r="B535" s="83"/>
      <c r="C535" s="100">
        <f ca="1">_xll.meDateFromTenor(C534,"1D","FOLLOWING",D$12)</f>
        <v>43256</v>
      </c>
      <c r="D535" s="13">
        <f ca="1">_xll.meDateFromTenor(C535,D$14,D$11,D$12)</f>
        <v>43257</v>
      </c>
      <c r="E535" s="98">
        <f ca="1"/>
        <v>-4.0631428210380497E-3</v>
      </c>
      <c r="F535" s="94"/>
      <c r="G535" s="100">
        <f ca="1">_xll.meDateFromTenor(G534,"1D","FOLLOWING",H$12)</f>
        <v>43256</v>
      </c>
      <c r="H535" s="13">
        <f ca="1">_xll.meDateFromTenor(G535,H$14,H$11,H$12)</f>
        <v>43286</v>
      </c>
      <c r="I535" s="98">
        <f ca="1"/>
        <v>-3.6047577102234609E-3</v>
      </c>
      <c r="J535" s="94" t="s">
        <v>4</v>
      </c>
      <c r="K535" s="100">
        <f ca="1">_xll.meDateFromTenor(K534,"1D","FOLLOWING",L$12)</f>
        <v>43256</v>
      </c>
      <c r="L535" s="13">
        <f ca="1">_xll.meDateFromTenor(K535,L$14,L$11,L$12)</f>
        <v>43348</v>
      </c>
      <c r="M535" s="98">
        <f ca="1"/>
        <v>-3.2284256562395207E-3</v>
      </c>
      <c r="N535" s="5" t="s">
        <v>4</v>
      </c>
      <c r="O535" s="100">
        <f ca="1">_xll.meDateFromTenor(O534,"1D","FOLLOWING",P$12)</f>
        <v>43256</v>
      </c>
      <c r="P535" s="13">
        <f ca="1">_xll.meDateFromTenor(O535,P$14,P$11,P$12)</f>
        <v>43439</v>
      </c>
      <c r="Q535" s="98">
        <f ca="1"/>
        <v>-1.1444850964219655E-3</v>
      </c>
      <c r="R535" s="5" t="s">
        <v>4</v>
      </c>
      <c r="S535" s="100">
        <f ca="1">_xll.meDateFromTenor(S534,"1D","FOLLOWING",T$12)</f>
        <v>43256</v>
      </c>
      <c r="T535" s="13">
        <f ca="1">_xll.meDateFromTenor(S535,T$14,T$11,T$12)</f>
        <v>43621</v>
      </c>
      <c r="U535" s="98">
        <f ca="1"/>
        <v>8.5560366061318463E-4</v>
      </c>
      <c r="V535" s="5" t="s">
        <v>4</v>
      </c>
      <c r="W535" s="84" t="s">
        <v>4</v>
      </c>
    </row>
    <row r="536" spans="1:23" x14ac:dyDescent="0.25">
      <c r="A536" s="90">
        <v>517</v>
      </c>
      <c r="B536" s="83"/>
      <c r="C536" s="100">
        <f ca="1">_xll.meDateFromTenor(C535,"1D","FOLLOWING",D$12)</f>
        <v>43257</v>
      </c>
      <c r="D536" s="13">
        <f ca="1">_xll.meDateFromTenor(C536,D$14,D$11,D$12)</f>
        <v>43258</v>
      </c>
      <c r="E536" s="98">
        <f ca="1"/>
        <v>-4.0602206636419927E-3</v>
      </c>
      <c r="F536" s="94"/>
      <c r="G536" s="100">
        <f ca="1">_xll.meDateFromTenor(G535,"1D","FOLLOWING",H$12)</f>
        <v>43257</v>
      </c>
      <c r="H536" s="13">
        <f ca="1">_xll.meDateFromTenor(G536,H$14,H$11,H$12)</f>
        <v>43287</v>
      </c>
      <c r="I536" s="98">
        <f ca="1"/>
        <v>-3.6016514526582329E-3</v>
      </c>
      <c r="J536" s="94" t="s">
        <v>4</v>
      </c>
      <c r="K536" s="100">
        <f ca="1">_xll.meDateFromTenor(K535,"1D","FOLLOWING",L$12)</f>
        <v>43257</v>
      </c>
      <c r="L536" s="13">
        <f ca="1">_xll.meDateFromTenor(K536,L$14,L$11,L$12)</f>
        <v>43349</v>
      </c>
      <c r="M536" s="98">
        <f ca="1"/>
        <v>-3.2187083069298273E-3</v>
      </c>
      <c r="N536" s="5" t="s">
        <v>4</v>
      </c>
      <c r="O536" s="100">
        <f ca="1">_xll.meDateFromTenor(O535,"1D","FOLLOWING",P$12)</f>
        <v>43257</v>
      </c>
      <c r="P536" s="13">
        <f ca="1">_xll.meDateFromTenor(O536,P$14,P$11,P$12)</f>
        <v>43440</v>
      </c>
      <c r="Q536" s="98">
        <f ca="1"/>
        <v>-1.1406854078391494E-3</v>
      </c>
      <c r="R536" s="5" t="s">
        <v>4</v>
      </c>
      <c r="S536" s="100">
        <f ca="1">_xll.meDateFromTenor(S535,"1D","FOLLOWING",T$12)</f>
        <v>43257</v>
      </c>
      <c r="T536" s="13">
        <f ca="1">_xll.meDateFromTenor(S536,T$14,T$11,T$12)</f>
        <v>43622</v>
      </c>
      <c r="U536" s="98">
        <f ca="1"/>
        <v>8.5979401600208441E-4</v>
      </c>
      <c r="V536" s="5" t="s">
        <v>4</v>
      </c>
      <c r="W536" s="84" t="s">
        <v>4</v>
      </c>
    </row>
    <row r="537" spans="1:23" x14ac:dyDescent="0.25">
      <c r="A537" s="90">
        <v>518</v>
      </c>
      <c r="B537" s="83"/>
      <c r="C537" s="100">
        <f ca="1">_xll.meDateFromTenor(C536,"1D","FOLLOWING",D$12)</f>
        <v>43258</v>
      </c>
      <c r="D537" s="13">
        <f ca="1">_xll.meDateFromTenor(C537,D$14,D$11,D$12)</f>
        <v>43259</v>
      </c>
      <c r="E537" s="98">
        <f ca="1"/>
        <v>-4.0572968180363636E-3</v>
      </c>
      <c r="F537" s="94"/>
      <c r="G537" s="100">
        <f ca="1">_xll.meDateFromTenor(G536,"1D","FOLLOWING",H$12)</f>
        <v>43258</v>
      </c>
      <c r="H537" s="13">
        <f ca="1">_xll.meDateFromTenor(G537,H$14,H$11,H$12)</f>
        <v>43290</v>
      </c>
      <c r="I537" s="98">
        <f ca="1"/>
        <v>-3.5985127763330936E-3</v>
      </c>
      <c r="J537" s="94" t="s">
        <v>4</v>
      </c>
      <c r="K537" s="100">
        <f ca="1">_xll.meDateFromTenor(K536,"1D","FOLLOWING",L$12)</f>
        <v>43258</v>
      </c>
      <c r="L537" s="13">
        <f ca="1">_xll.meDateFromTenor(K537,L$14,L$11,L$12)</f>
        <v>43350</v>
      </c>
      <c r="M537" s="98">
        <f ca="1"/>
        <v>-3.2089360691977134E-3</v>
      </c>
      <c r="N537" s="5" t="s">
        <v>4</v>
      </c>
      <c r="O537" s="100">
        <f ca="1">_xll.meDateFromTenor(O536,"1D","FOLLOWING",P$12)</f>
        <v>43258</v>
      </c>
      <c r="P537" s="13">
        <f ca="1">_xll.meDateFromTenor(O537,P$14,P$11,P$12)</f>
        <v>43441</v>
      </c>
      <c r="Q537" s="98">
        <f ca="1"/>
        <v>-1.1368778376600617E-3</v>
      </c>
      <c r="R537" s="5" t="s">
        <v>4</v>
      </c>
      <c r="S537" s="100">
        <f ca="1">_xll.meDateFromTenor(S536,"1D","FOLLOWING",T$12)</f>
        <v>43258</v>
      </c>
      <c r="T537" s="13">
        <f ca="1">_xll.meDateFromTenor(S537,T$14,T$11,T$12)</f>
        <v>43623</v>
      </c>
      <c r="U537" s="98">
        <f ca="1"/>
        <v>8.6399473488026448E-4</v>
      </c>
      <c r="V537" s="5" t="s">
        <v>4</v>
      </c>
      <c r="W537" s="84" t="s">
        <v>4</v>
      </c>
    </row>
    <row r="538" spans="1:23" x14ac:dyDescent="0.25">
      <c r="A538" s="90">
        <v>519</v>
      </c>
      <c r="B538" s="83"/>
      <c r="C538" s="100">
        <f ca="1">_xll.meDateFromTenor(C537,"1D","FOLLOWING",D$12)</f>
        <v>43259</v>
      </c>
      <c r="D538" s="13">
        <f ca="1">_xll.meDateFromTenor(C538,D$14,D$11,D$12)</f>
        <v>43262</v>
      </c>
      <c r="E538" s="98">
        <f ca="1"/>
        <v>-4.0513979037992845E-3</v>
      </c>
      <c r="F538" s="94"/>
      <c r="G538" s="100">
        <f ca="1">_xll.meDateFromTenor(G537,"1D","FOLLOWING",H$12)</f>
        <v>43259</v>
      </c>
      <c r="H538" s="13">
        <f ca="1">_xll.meDateFromTenor(G538,H$14,H$11,H$12)</f>
        <v>43290</v>
      </c>
      <c r="I538" s="98">
        <f ca="1"/>
        <v>-3.5953431999829625E-3</v>
      </c>
      <c r="J538" s="94" t="s">
        <v>4</v>
      </c>
      <c r="K538" s="100">
        <f ca="1">_xll.meDateFromTenor(K537,"1D","FOLLOWING",L$12)</f>
        <v>43259</v>
      </c>
      <c r="L538" s="13">
        <f ca="1">_xll.meDateFromTenor(K538,L$14,L$11,L$12)</f>
        <v>43353</v>
      </c>
      <c r="M538" s="98">
        <f ca="1"/>
        <v>-3.1991101468323178E-3</v>
      </c>
      <c r="N538" s="5" t="s">
        <v>4</v>
      </c>
      <c r="O538" s="100">
        <f ca="1">_xll.meDateFromTenor(O537,"1D","FOLLOWING",P$12)</f>
        <v>43259</v>
      </c>
      <c r="P538" s="13">
        <f ca="1">_xll.meDateFromTenor(O538,P$14,P$11,P$12)</f>
        <v>43444</v>
      </c>
      <c r="Q538" s="98">
        <f ca="1"/>
        <v>-1.1330623856146776E-3</v>
      </c>
      <c r="R538" s="5" t="s">
        <v>4</v>
      </c>
      <c r="S538" s="100">
        <f ca="1">_xll.meDateFromTenor(S537,"1D","FOLLOWING",T$12)</f>
        <v>43259</v>
      </c>
      <c r="T538" s="13">
        <f ca="1">_xll.meDateFromTenor(S538,T$14,T$11,T$12)</f>
        <v>43626</v>
      </c>
      <c r="U538" s="98">
        <f ca="1"/>
        <v>8.6820578181107013E-4</v>
      </c>
      <c r="V538" s="5" t="s">
        <v>4</v>
      </c>
      <c r="W538" s="84" t="s">
        <v>4</v>
      </c>
    </row>
    <row r="539" spans="1:23" x14ac:dyDescent="0.25">
      <c r="A539" s="90">
        <v>520</v>
      </c>
      <c r="B539" s="83"/>
      <c r="C539" s="100">
        <f ca="1">_xll.meDateFromTenor(C538,"1D","FOLLOWING",D$12)</f>
        <v>43262</v>
      </c>
      <c r="D539" s="13">
        <f ca="1">_xll.meDateFromTenor(C539,D$14,D$11,D$12)</f>
        <v>43263</v>
      </c>
      <c r="E539" s="98">
        <f ca="1"/>
        <v>-4.0455845511999803E-3</v>
      </c>
      <c r="F539" s="94"/>
      <c r="G539" s="100">
        <f ca="1">_xll.meDateFromTenor(G538,"1D","FOLLOWING",H$12)</f>
        <v>43262</v>
      </c>
      <c r="H539" s="13">
        <f ca="1">_xll.meDateFromTenor(G539,H$14,H$11,H$12)</f>
        <v>43292</v>
      </c>
      <c r="I539" s="98">
        <f ca="1"/>
        <v>-3.5856642581317986E-3</v>
      </c>
      <c r="J539" s="94" t="s">
        <v>4</v>
      </c>
      <c r="K539" s="100">
        <f ca="1">_xll.meDateFromTenor(K538,"1D","FOLLOWING",L$12)</f>
        <v>43262</v>
      </c>
      <c r="L539" s="13">
        <f ca="1">_xll.meDateFromTenor(K539,L$14,L$11,L$12)</f>
        <v>43354</v>
      </c>
      <c r="M539" s="98">
        <f ca="1"/>
        <v>-3.1693223098278093E-3</v>
      </c>
      <c r="N539" s="5" t="s">
        <v>4</v>
      </c>
      <c r="O539" s="100">
        <f ca="1">_xll.meDateFromTenor(O538,"1D","FOLLOWING",P$12)</f>
        <v>43262</v>
      </c>
      <c r="P539" s="13">
        <f ca="1">_xll.meDateFromTenor(O539,P$14,P$11,P$12)</f>
        <v>43445</v>
      </c>
      <c r="Q539" s="98">
        <f ca="1"/>
        <v>-1.1215687355805072E-3</v>
      </c>
      <c r="R539" s="5" t="s">
        <v>4</v>
      </c>
      <c r="S539" s="100">
        <f ca="1">_xll.meDateFromTenor(S538,"1D","FOLLOWING",T$12)</f>
        <v>43262</v>
      </c>
      <c r="T539" s="13">
        <f ca="1">_xll.meDateFromTenor(S539,T$14,T$11,T$12)</f>
        <v>43627</v>
      </c>
      <c r="U539" s="98">
        <f ca="1"/>
        <v>8.809005365526916E-4</v>
      </c>
      <c r="V539" s="5" t="s">
        <v>4</v>
      </c>
      <c r="W539" s="84" t="s">
        <v>4</v>
      </c>
    </row>
    <row r="540" spans="1:23" x14ac:dyDescent="0.25">
      <c r="A540" s="90">
        <v>521</v>
      </c>
      <c r="B540" s="83"/>
      <c r="C540" s="100">
        <f ca="1">_xll.meDateFromTenor(C539,"1D","FOLLOWING",D$12)</f>
        <v>43263</v>
      </c>
      <c r="D540" s="13">
        <f ca="1">_xll.meDateFromTenor(C540,D$14,D$11,D$12)</f>
        <v>43264</v>
      </c>
      <c r="E540" s="98">
        <f ca="1"/>
        <v>-4.0426522634667067E-3</v>
      </c>
      <c r="F540" s="94"/>
      <c r="G540" s="100">
        <f ca="1">_xll.meDateFromTenor(G539,"1D","FOLLOWING",H$12)</f>
        <v>43263</v>
      </c>
      <c r="H540" s="13">
        <f ca="1">_xll.meDateFromTenor(G540,H$14,H$11,H$12)</f>
        <v>43293</v>
      </c>
      <c r="I540" s="98">
        <f ca="1"/>
        <v>-3.5823862690308834E-3</v>
      </c>
      <c r="J540" s="94" t="s">
        <v>4</v>
      </c>
      <c r="K540" s="100">
        <f ca="1">_xll.meDateFromTenor(K539,"1D","FOLLOWING",L$12)</f>
        <v>43263</v>
      </c>
      <c r="L540" s="13">
        <f ca="1">_xll.meDateFromTenor(K540,L$14,L$11,L$12)</f>
        <v>43355</v>
      </c>
      <c r="M540" s="98">
        <f ca="1"/>
        <v>-3.1592936868206538E-3</v>
      </c>
      <c r="N540" s="5" t="s">
        <v>4</v>
      </c>
      <c r="O540" s="100">
        <f ca="1">_xll.meDateFromTenor(O539,"1D","FOLLOWING",P$12)</f>
        <v>43263</v>
      </c>
      <c r="P540" s="13">
        <f ca="1">_xll.meDateFromTenor(O540,P$14,P$11,P$12)</f>
        <v>43446</v>
      </c>
      <c r="Q540" s="98">
        <f ca="1"/>
        <v>-1.1177217533696955E-3</v>
      </c>
      <c r="R540" s="5" t="s">
        <v>4</v>
      </c>
      <c r="S540" s="100">
        <f ca="1">_xll.meDateFromTenor(S539,"1D","FOLLOWING",T$12)</f>
        <v>43263</v>
      </c>
      <c r="T540" s="13">
        <f ca="1">_xll.meDateFromTenor(S540,T$14,T$11,T$12)</f>
        <v>43628</v>
      </c>
      <c r="U540" s="98">
        <f ca="1"/>
        <v>8.8515254132745199E-4</v>
      </c>
      <c r="V540" s="5" t="s">
        <v>4</v>
      </c>
      <c r="W540" s="84" t="s">
        <v>4</v>
      </c>
    </row>
    <row r="541" spans="1:23" x14ac:dyDescent="0.25">
      <c r="A541" s="90">
        <v>522</v>
      </c>
      <c r="B541" s="83"/>
      <c r="C541" s="100">
        <f ca="1">_xll.meDateFromTenor(C540,"1D","FOLLOWING",D$12)</f>
        <v>43264</v>
      </c>
      <c r="D541" s="13">
        <f ca="1">_xll.meDateFromTenor(C541,D$14,D$11,D$12)</f>
        <v>43265</v>
      </c>
      <c r="E541" s="98">
        <f ca="1"/>
        <v>-4.039718287445219E-3</v>
      </c>
      <c r="F541" s="94"/>
      <c r="G541" s="100">
        <f ca="1">_xll.meDateFromTenor(G540,"1D","FOLLOWING",H$12)</f>
        <v>43264</v>
      </c>
      <c r="H541" s="13">
        <f ca="1">_xll.meDateFromTenor(G541,H$14,H$11,H$12)</f>
        <v>43294</v>
      </c>
      <c r="I541" s="98">
        <f ca="1"/>
        <v>-3.5790849735795696E-3</v>
      </c>
      <c r="J541" s="94" t="s">
        <v>4</v>
      </c>
      <c r="K541" s="100">
        <f ca="1">_xll.meDateFromTenor(K540,"1D","FOLLOWING",L$12)</f>
        <v>43264</v>
      </c>
      <c r="L541" s="13">
        <f ca="1">_xll.meDateFromTenor(K541,L$14,L$11,L$12)</f>
        <v>43356</v>
      </c>
      <c r="M541" s="98">
        <f ca="1"/>
        <v>-3.1492173981259009E-3</v>
      </c>
      <c r="N541" s="5" t="s">
        <v>4</v>
      </c>
      <c r="O541" s="100">
        <f ca="1">_xll.meDateFromTenor(O540,"1D","FOLLOWING",P$12)</f>
        <v>43264</v>
      </c>
      <c r="P541" s="13">
        <f ca="1">_xll.meDateFromTenor(O541,P$14,P$11,P$12)</f>
        <v>43447</v>
      </c>
      <c r="Q541" s="98">
        <f ca="1"/>
        <v>-1.1138668879424659E-3</v>
      </c>
      <c r="R541" s="5" t="s">
        <v>4</v>
      </c>
      <c r="S541" s="100">
        <f ca="1">_xll.meDateFromTenor(S540,"1D","FOLLOWING",T$12)</f>
        <v>43264</v>
      </c>
      <c r="T541" s="13">
        <f ca="1">_xll.meDateFromTenor(S541,T$14,T$11,T$12)</f>
        <v>43629</v>
      </c>
      <c r="U541" s="98">
        <f ca="1"/>
        <v>8.8941469697156395E-4</v>
      </c>
      <c r="V541" s="5" t="s">
        <v>4</v>
      </c>
      <c r="W541" s="84" t="s">
        <v>4</v>
      </c>
    </row>
    <row r="542" spans="1:23" x14ac:dyDescent="0.25">
      <c r="A542" s="90">
        <v>523</v>
      </c>
      <c r="B542" s="83"/>
      <c r="C542" s="100">
        <f ca="1">_xll.meDateFromTenor(C541,"1D","FOLLOWING",D$12)</f>
        <v>43265</v>
      </c>
      <c r="D542" s="13">
        <f ca="1">_xll.meDateFromTenor(C542,D$14,D$11,D$12)</f>
        <v>43266</v>
      </c>
      <c r="E542" s="98">
        <f ca="1"/>
        <v>-4.0367826229337359E-3</v>
      </c>
      <c r="F542" s="94"/>
      <c r="G542" s="100">
        <f ca="1">_xll.meDateFromTenor(G541,"1D","FOLLOWING",H$12)</f>
        <v>43265</v>
      </c>
      <c r="H542" s="13">
        <f ca="1">_xll.meDateFromTenor(G542,H$14,H$11,H$12)</f>
        <v>43297</v>
      </c>
      <c r="I542" s="98">
        <f ca="1"/>
        <v>-3.5757618905127761E-3</v>
      </c>
      <c r="J542" s="94" t="s">
        <v>4</v>
      </c>
      <c r="K542" s="100">
        <f ca="1">_xll.meDateFromTenor(K541,"1D","FOLLOWING",L$12)</f>
        <v>43265</v>
      </c>
      <c r="L542" s="13">
        <f ca="1">_xll.meDateFromTenor(K542,L$14,L$11,L$12)</f>
        <v>43357</v>
      </c>
      <c r="M542" s="98">
        <f ca="1"/>
        <v>-3.1390946475326875E-3</v>
      </c>
      <c r="N542" s="5" t="s">
        <v>4</v>
      </c>
      <c r="O542" s="100">
        <f ca="1">_xll.meDateFromTenor(O541,"1D","FOLLOWING",P$12)</f>
        <v>43265</v>
      </c>
      <c r="P542" s="13">
        <f ca="1">_xll.meDateFromTenor(O542,P$14,P$11,P$12)</f>
        <v>43448</v>
      </c>
      <c r="Q542" s="98">
        <f ca="1"/>
        <v>-1.1100041390287936E-3</v>
      </c>
      <c r="R542" s="5" t="s">
        <v>4</v>
      </c>
      <c r="S542" s="100">
        <f ca="1">_xll.meDateFromTenor(S541,"1D","FOLLOWING",T$12)</f>
        <v>43265</v>
      </c>
      <c r="T542" s="13">
        <f ca="1">_xll.meDateFromTenor(S542,T$14,T$11,T$12)</f>
        <v>43630</v>
      </c>
      <c r="U542" s="98">
        <f ca="1"/>
        <v>8.9368696804837278E-4</v>
      </c>
      <c r="V542" s="5" t="s">
        <v>4</v>
      </c>
      <c r="W542" s="84" t="s">
        <v>4</v>
      </c>
    </row>
    <row r="543" spans="1:23" x14ac:dyDescent="0.25">
      <c r="A543" s="90">
        <v>524</v>
      </c>
      <c r="B543" s="83"/>
      <c r="C543" s="100">
        <f ca="1">_xll.meDateFromTenor(C542,"1D","FOLLOWING",D$12)</f>
        <v>43266</v>
      </c>
      <c r="D543" s="13">
        <f ca="1">_xll.meDateFromTenor(C543,D$14,D$11,D$12)</f>
        <v>43269</v>
      </c>
      <c r="E543" s="98">
        <f ca="1"/>
        <v>-4.030860532449069E-3</v>
      </c>
      <c r="F543" s="94"/>
      <c r="G543" s="100">
        <f ca="1">_xll.meDateFromTenor(G542,"1D","FOLLOWING",H$12)</f>
        <v>43266</v>
      </c>
      <c r="H543" s="13">
        <f ca="1">_xll.meDateFromTenor(G543,H$14,H$11,H$12)</f>
        <v>43297</v>
      </c>
      <c r="I543" s="98">
        <f ca="1"/>
        <v>-3.5724185385654209E-3</v>
      </c>
      <c r="J543" s="94" t="s">
        <v>4</v>
      </c>
      <c r="K543" s="100">
        <f ca="1">_xll.meDateFromTenor(K542,"1D","FOLLOWING",L$12)</f>
        <v>43266</v>
      </c>
      <c r="L543" s="13">
        <f ca="1">_xll.meDateFromTenor(K543,L$14,L$11,L$12)</f>
        <v>43360</v>
      </c>
      <c r="M543" s="98">
        <f ca="1"/>
        <v>-3.1289266388301513E-3</v>
      </c>
      <c r="N543" s="5" t="s">
        <v>4</v>
      </c>
      <c r="O543" s="100">
        <f ca="1">_xll.meDateFromTenor(O542,"1D","FOLLOWING",P$12)</f>
        <v>43266</v>
      </c>
      <c r="P543" s="13">
        <f ca="1">_xll.meDateFromTenor(O543,P$14,P$11,P$12)</f>
        <v>43451</v>
      </c>
      <c r="Q543" s="98">
        <f ca="1"/>
        <v>-1.1061335063586547E-3</v>
      </c>
      <c r="R543" s="5" t="s">
        <v>4</v>
      </c>
      <c r="S543" s="100">
        <f ca="1">_xll.meDateFromTenor(S542,"1D","FOLLOWING",T$12)</f>
        <v>43266</v>
      </c>
      <c r="T543" s="13">
        <f ca="1">_xll.meDateFromTenor(S543,T$14,T$11,T$12)</f>
        <v>43633</v>
      </c>
      <c r="U543" s="98">
        <f ca="1"/>
        <v>8.9796931912122368E-4</v>
      </c>
      <c r="V543" s="5" t="s">
        <v>4</v>
      </c>
      <c r="W543" s="84" t="s">
        <v>4</v>
      </c>
    </row>
    <row r="544" spans="1:23" x14ac:dyDescent="0.25">
      <c r="A544" s="90">
        <v>525</v>
      </c>
      <c r="B544" s="83"/>
      <c r="C544" s="100">
        <f ca="1">_xll.meDateFromTenor(C543,"1D","FOLLOWING",D$12)</f>
        <v>43269</v>
      </c>
      <c r="D544" s="13">
        <f ca="1">_xll.meDateFromTenor(C544,D$14,D$11,D$12)</f>
        <v>43270</v>
      </c>
      <c r="E544" s="98">
        <f ca="1"/>
        <v>-4.0250230815131044E-3</v>
      </c>
      <c r="F544" s="94"/>
      <c r="G544" s="100">
        <f ca="1">_xll.meDateFromTenor(G543,"1D","FOLLOWING",H$12)</f>
        <v>43269</v>
      </c>
      <c r="H544" s="13">
        <f ca="1">_xll.meDateFromTenor(G544,H$14,H$11,H$12)</f>
        <v>43299</v>
      </c>
      <c r="I544" s="98">
        <f ca="1"/>
        <v>-3.5622820567891796E-3</v>
      </c>
      <c r="J544" s="94" t="s">
        <v>4</v>
      </c>
      <c r="K544" s="100">
        <f ca="1">_xll.meDateFromTenor(K543,"1D","FOLLOWING",L$12)</f>
        <v>43269</v>
      </c>
      <c r="L544" s="13">
        <f ca="1">_xll.meDateFromTenor(K544,L$14,L$11,L$12)</f>
        <v>43361</v>
      </c>
      <c r="M544" s="98">
        <f ca="1"/>
        <v>-3.098163101957976E-3</v>
      </c>
      <c r="N544" s="5" t="s">
        <v>4</v>
      </c>
      <c r="O544" s="100">
        <f ca="1">_xll.meDateFromTenor(O543,"1D","FOLLOWING",P$12)</f>
        <v>43269</v>
      </c>
      <c r="P544" s="13">
        <f ca="1">_xll.meDateFromTenor(O544,P$14,P$11,P$12)</f>
        <v>43452</v>
      </c>
      <c r="Q544" s="98">
        <f ca="1"/>
        <v>-1.0944743031091953E-3</v>
      </c>
      <c r="R544" s="5" t="s">
        <v>4</v>
      </c>
      <c r="S544" s="100">
        <f ca="1">_xll.meDateFromTenor(S543,"1D","FOLLOWING",T$12)</f>
        <v>43269</v>
      </c>
      <c r="T544" s="13">
        <f ca="1">_xll.meDateFromTenor(S544,T$14,T$11,T$12)</f>
        <v>43634</v>
      </c>
      <c r="U544" s="98">
        <f ca="1"/>
        <v>9.1087649794948072E-4</v>
      </c>
      <c r="V544" s="5" t="s">
        <v>4</v>
      </c>
      <c r="W544" s="84" t="s">
        <v>4</v>
      </c>
    </row>
    <row r="545" spans="1:23" x14ac:dyDescent="0.25">
      <c r="A545" s="90">
        <v>526</v>
      </c>
      <c r="B545" s="83"/>
      <c r="C545" s="100">
        <f ca="1">_xll.meDateFromTenor(C544,"1D","FOLLOWING",D$12)</f>
        <v>43270</v>
      </c>
      <c r="D545" s="13">
        <f ca="1">_xll.meDateFromTenor(C545,D$14,D$11,D$12)</f>
        <v>43271</v>
      </c>
      <c r="E545" s="98">
        <f ca="1"/>
        <v>-4.0220789752343361E-3</v>
      </c>
      <c r="F545" s="94"/>
      <c r="G545" s="100">
        <f ca="1">_xll.meDateFromTenor(G544,"1D","FOLLOWING",H$12)</f>
        <v>43270</v>
      </c>
      <c r="H545" s="13">
        <f ca="1">_xll.meDateFromTenor(G545,H$14,H$11,H$12)</f>
        <v>43300</v>
      </c>
      <c r="I545" s="98">
        <f ca="1"/>
        <v>-3.5588728166687689E-3</v>
      </c>
      <c r="J545" s="94" t="s">
        <v>4</v>
      </c>
      <c r="K545" s="100">
        <f ca="1">_xll.meDateFromTenor(K544,"1D","FOLLOWING",L$12)</f>
        <v>43270</v>
      </c>
      <c r="L545" s="13">
        <f ca="1">_xll.meDateFromTenor(K545,L$14,L$11,L$12)</f>
        <v>43362</v>
      </c>
      <c r="M545" s="98">
        <f ca="1"/>
        <v>-3.0878260987095177E-3</v>
      </c>
      <c r="N545" s="5" t="s">
        <v>4</v>
      </c>
      <c r="O545" s="100">
        <f ca="1">_xll.meDateFromTenor(O544,"1D","FOLLOWING",P$12)</f>
        <v>43270</v>
      </c>
      <c r="P545" s="13">
        <f ca="1">_xll.meDateFromTenor(O545,P$14,P$11,P$12)</f>
        <v>43453</v>
      </c>
      <c r="Q545" s="98">
        <f ca="1"/>
        <v>-1.0905721327129456E-3</v>
      </c>
      <c r="R545" s="5" t="s">
        <v>4</v>
      </c>
      <c r="S545" s="100">
        <f ca="1">_xll.meDateFromTenor(S544,"1D","FOLLOWING",T$12)</f>
        <v>43270</v>
      </c>
      <c r="T545" s="13">
        <f ca="1">_xll.meDateFromTenor(S545,T$14,T$11,T$12)</f>
        <v>43635</v>
      </c>
      <c r="U545" s="98">
        <f ca="1"/>
        <v>9.1519881463995216E-4</v>
      </c>
      <c r="V545" s="5" t="s">
        <v>4</v>
      </c>
      <c r="W545" s="84" t="s">
        <v>4</v>
      </c>
    </row>
    <row r="546" spans="1:23" x14ac:dyDescent="0.25">
      <c r="A546" s="90">
        <v>527</v>
      </c>
      <c r="B546" s="83"/>
      <c r="C546" s="100">
        <f ca="1">_xll.meDateFromTenor(C545,"1D","FOLLOWING",D$12)</f>
        <v>43271</v>
      </c>
      <c r="D546" s="13">
        <f ca="1">_xll.meDateFromTenor(C546,D$14,D$11,D$12)</f>
        <v>43272</v>
      </c>
      <c r="E546" s="98">
        <f ca="1"/>
        <v>-4.0191331807859637E-3</v>
      </c>
      <c r="F546" s="94"/>
      <c r="G546" s="100">
        <f ca="1">_xll.meDateFromTenor(G545,"1D","FOLLOWING",H$12)</f>
        <v>43271</v>
      </c>
      <c r="H546" s="13">
        <f ca="1">_xll.meDateFromTenor(G546,H$14,H$11,H$12)</f>
        <v>43301</v>
      </c>
      <c r="I546" s="98">
        <f ca="1"/>
        <v>-3.5554509013423921E-3</v>
      </c>
      <c r="J546" s="94" t="s">
        <v>4</v>
      </c>
      <c r="K546" s="100">
        <f ca="1">_xll.meDateFromTenor(K545,"1D","FOLLOWING",L$12)</f>
        <v>43271</v>
      </c>
      <c r="L546" s="13">
        <f ca="1">_xll.meDateFromTenor(K546,L$14,L$11,L$12)</f>
        <v>43363</v>
      </c>
      <c r="M546" s="98">
        <f ca="1"/>
        <v>-3.0774498562974231E-3</v>
      </c>
      <c r="N546" s="5" t="s">
        <v>4</v>
      </c>
      <c r="O546" s="100">
        <f ca="1">_xll.meDateFromTenor(O545,"1D","FOLLOWING",P$12)</f>
        <v>43271</v>
      </c>
      <c r="P546" s="13">
        <f ca="1">_xll.meDateFromTenor(O546,P$14,P$11,P$12)</f>
        <v>43454</v>
      </c>
      <c r="Q546" s="98">
        <f ca="1"/>
        <v>-1.0866620772101083E-3</v>
      </c>
      <c r="R546" s="5" t="s">
        <v>4</v>
      </c>
      <c r="S546" s="100">
        <f ca="1">_xll.meDateFromTenor(S545,"1D","FOLLOWING",T$12)</f>
        <v>43271</v>
      </c>
      <c r="T546" s="13">
        <f ca="1">_xll.meDateFromTenor(S546,T$14,T$11,T$12)</f>
        <v>43636</v>
      </c>
      <c r="U546" s="98">
        <f ca="1"/>
        <v>9.1953103414319122E-4</v>
      </c>
      <c r="V546" s="5" t="s">
        <v>4</v>
      </c>
      <c r="W546" s="84" t="s">
        <v>4</v>
      </c>
    </row>
    <row r="547" spans="1:23" x14ac:dyDescent="0.25">
      <c r="A547" s="90">
        <v>528</v>
      </c>
      <c r="B547" s="83"/>
      <c r="C547" s="100">
        <f ca="1">_xll.meDateFromTenor(C546,"1D","FOLLOWING",D$12)</f>
        <v>43272</v>
      </c>
      <c r="D547" s="13">
        <f ca="1">_xll.meDateFromTenor(C547,D$14,D$11,D$12)</f>
        <v>43273</v>
      </c>
      <c r="E547" s="98">
        <f ca="1"/>
        <v>-4.0161856978082749E-3</v>
      </c>
      <c r="F547" s="94"/>
      <c r="G547" s="100">
        <f ca="1">_xll.meDateFromTenor(G546,"1D","FOLLOWING",H$12)</f>
        <v>43272</v>
      </c>
      <c r="H547" s="13">
        <f ca="1">_xll.meDateFromTenor(G547,H$14,H$11,H$12)</f>
        <v>43304</v>
      </c>
      <c r="I547" s="98">
        <f ca="1"/>
        <v>-3.5520178295449663E-3</v>
      </c>
      <c r="J547" s="94" t="s">
        <v>4</v>
      </c>
      <c r="K547" s="100">
        <f ca="1">_xll.meDateFromTenor(K546,"1D","FOLLOWING",L$12)</f>
        <v>43272</v>
      </c>
      <c r="L547" s="13">
        <f ca="1">_xll.meDateFromTenor(K547,L$14,L$11,L$12)</f>
        <v>43364</v>
      </c>
      <c r="M547" s="98">
        <f ca="1"/>
        <v>-3.0670355785108257E-3</v>
      </c>
      <c r="N547" s="5" t="s">
        <v>4</v>
      </c>
      <c r="O547" s="100">
        <f ca="1">_xll.meDateFromTenor(O546,"1D","FOLLOWING",P$12)</f>
        <v>43272</v>
      </c>
      <c r="P547" s="13">
        <f ca="1">_xll.meDateFromTenor(O547,P$14,P$11,P$12)</f>
        <v>43455</v>
      </c>
      <c r="Q547" s="98">
        <f ca="1"/>
        <v>-1.0827441363306573E-3</v>
      </c>
      <c r="R547" s="5" t="s">
        <v>4</v>
      </c>
      <c r="S547" s="100">
        <f ca="1">_xll.meDateFromTenor(S546,"1D","FOLLOWING",T$12)</f>
        <v>43272</v>
      </c>
      <c r="T547" s="13">
        <f ca="1">_xll.meDateFromTenor(S547,T$14,T$11,T$12)</f>
        <v>43637</v>
      </c>
      <c r="U547" s="98">
        <f ca="1"/>
        <v>9.2387312102254417E-4</v>
      </c>
      <c r="V547" s="5" t="s">
        <v>4</v>
      </c>
      <c r="W547" s="84" t="s">
        <v>4</v>
      </c>
    </row>
    <row r="548" spans="1:23" x14ac:dyDescent="0.25">
      <c r="A548" s="90">
        <v>529</v>
      </c>
      <c r="B548" s="83"/>
      <c r="C548" s="100">
        <f ca="1">_xll.meDateFromTenor(C547,"1D","FOLLOWING",D$12)</f>
        <v>43273</v>
      </c>
      <c r="D548" s="13">
        <f ca="1">_xll.meDateFromTenor(C548,D$14,D$11,D$12)</f>
        <v>43276</v>
      </c>
      <c r="E548" s="98">
        <f ca="1"/>
        <v>-4.0102404311826018E-3</v>
      </c>
      <c r="F548" s="94"/>
      <c r="G548" s="100">
        <f ca="1">_xll.meDateFromTenor(G547,"1D","FOLLOWING",H$12)</f>
        <v>43273</v>
      </c>
      <c r="H548" s="13">
        <f ca="1">_xll.meDateFromTenor(G548,H$14,H$11,H$12)</f>
        <v>43304</v>
      </c>
      <c r="I548" s="98">
        <f ca="1"/>
        <v>-3.548575120011411E-3</v>
      </c>
      <c r="J548" s="94" t="s">
        <v>4</v>
      </c>
      <c r="K548" s="100">
        <f ca="1">_xll.meDateFromTenor(K547,"1D","FOLLOWING",L$12)</f>
        <v>43273</v>
      </c>
      <c r="L548" s="13">
        <f ca="1">_xll.meDateFromTenor(K548,L$14,L$11,L$12)</f>
        <v>43367</v>
      </c>
      <c r="M548" s="98">
        <f ca="1"/>
        <v>-3.0565844691388647E-3</v>
      </c>
      <c r="N548" s="5" t="s">
        <v>4</v>
      </c>
      <c r="O548" s="100">
        <f ca="1">_xll.meDateFromTenor(O547,"1D","FOLLOWING",P$12)</f>
        <v>43273</v>
      </c>
      <c r="P548" s="13">
        <f ca="1">_xll.meDateFromTenor(O548,P$14,P$11,P$12)</f>
        <v>43458</v>
      </c>
      <c r="Q548" s="98">
        <f ca="1"/>
        <v>-1.0788183098045694E-3</v>
      </c>
      <c r="R548" s="5" t="s">
        <v>4</v>
      </c>
      <c r="S548" s="100">
        <f ca="1">_xll.meDateFromTenor(S547,"1D","FOLLOWING",T$12)</f>
        <v>43273</v>
      </c>
      <c r="T548" s="13">
        <f ca="1">_xll.meDateFromTenor(S548,T$14,T$11,T$12)</f>
        <v>43640</v>
      </c>
      <c r="U548" s="98">
        <f ca="1"/>
        <v>9.2822503984135577E-4</v>
      </c>
      <c r="V548" s="5" t="s">
        <v>4</v>
      </c>
      <c r="W548" s="84" t="s">
        <v>4</v>
      </c>
    </row>
    <row r="549" spans="1:23" x14ac:dyDescent="0.25">
      <c r="A549" s="90">
        <v>530</v>
      </c>
      <c r="B549" s="83"/>
      <c r="C549" s="100">
        <f ca="1">_xll.meDateFromTenor(C548,"1D","FOLLOWING",D$12)</f>
        <v>43276</v>
      </c>
      <c r="D549" s="13">
        <f ca="1">_xll.meDateFromTenor(C549,D$14,D$11,D$12)</f>
        <v>43277</v>
      </c>
      <c r="E549" s="98">
        <f ca="1"/>
        <v>-4.0043788830024379E-3</v>
      </c>
      <c r="F549" s="94"/>
      <c r="G549" s="100">
        <f ca="1">_xll.meDateFromTenor(G548,"1D","FOLLOWING",H$12)</f>
        <v>43276</v>
      </c>
      <c r="H549" s="13">
        <f ca="1">_xll.meDateFromTenor(G549,H$14,H$11,H$12)</f>
        <v>43306</v>
      </c>
      <c r="I549" s="98">
        <f ca="1"/>
        <v>-3.5382043523431578E-3</v>
      </c>
      <c r="J549" s="94" t="s">
        <v>4</v>
      </c>
      <c r="K549" s="100">
        <f ca="1">_xll.meDateFromTenor(K548,"1D","FOLLOWING",L$12)</f>
        <v>43276</v>
      </c>
      <c r="L549" s="13">
        <f ca="1">_xll.meDateFromTenor(K549,L$14,L$11,L$12)</f>
        <v>43368</v>
      </c>
      <c r="M549" s="98">
        <f ca="1"/>
        <v>-3.0250221894021711E-3</v>
      </c>
      <c r="N549" s="5" t="s">
        <v>4</v>
      </c>
      <c r="O549" s="100">
        <f ca="1">_xll.meDateFromTenor(O548,"1D","FOLLOWING",P$12)</f>
        <v>43276</v>
      </c>
      <c r="P549" s="13">
        <f ca="1">_xll.meDateFromTenor(O549,P$14,P$11,P$12)</f>
        <v>43461</v>
      </c>
      <c r="Q549" s="98">
        <f ca="1"/>
        <v>-1.0669935136462367E-3</v>
      </c>
      <c r="R549" s="5" t="s">
        <v>4</v>
      </c>
      <c r="S549" s="100">
        <f ca="1">_xll.meDateFromTenor(S548,"1D","FOLLOWING",T$12)</f>
        <v>43276</v>
      </c>
      <c r="T549" s="13">
        <f ca="1">_xll.meDateFromTenor(S549,T$14,T$11,T$12)</f>
        <v>43641</v>
      </c>
      <c r="U549" s="98">
        <f ca="1"/>
        <v>9.4133943356799446E-4</v>
      </c>
      <c r="V549" s="5" t="s">
        <v>4</v>
      </c>
      <c r="W549" s="84" t="s">
        <v>4</v>
      </c>
    </row>
    <row r="550" spans="1:23" x14ac:dyDescent="0.25">
      <c r="A550" s="90">
        <v>531</v>
      </c>
      <c r="B550" s="83"/>
      <c r="C550" s="100">
        <f ca="1">_xll.meDateFromTenor(C549,"1D","FOLLOWING",D$12)</f>
        <v>43277</v>
      </c>
      <c r="D550" s="13">
        <f ca="1">_xll.meDateFromTenor(C550,D$14,D$11,D$12)</f>
        <v>43278</v>
      </c>
      <c r="E550" s="98">
        <f ca="1"/>
        <v>-4.0014229584972721E-3</v>
      </c>
      <c r="F550" s="94"/>
      <c r="G550" s="100">
        <f ca="1">_xll.meDateFromTenor(G549,"1D","FOLLOWING",H$12)</f>
        <v>43277</v>
      </c>
      <c r="H550" s="13">
        <f ca="1">_xll.meDateFromTenor(G550,H$14,H$11,H$12)</f>
        <v>43307</v>
      </c>
      <c r="I550" s="98">
        <f ca="1"/>
        <v>-3.534738279214274E-3</v>
      </c>
      <c r="J550" s="94" t="s">
        <v>4</v>
      </c>
      <c r="K550" s="100">
        <f ca="1">_xll.meDateFromTenor(K549,"1D","FOLLOWING",L$12)</f>
        <v>43277</v>
      </c>
      <c r="L550" s="13">
        <f ca="1">_xll.meDateFromTenor(K550,L$14,L$11,L$12)</f>
        <v>43369</v>
      </c>
      <c r="M550" s="98">
        <f ca="1"/>
        <v>-3.0144357915801254E-3</v>
      </c>
      <c r="N550" s="5" t="s">
        <v>4</v>
      </c>
      <c r="O550" s="100">
        <f ca="1">_xll.meDateFromTenor(O549,"1D","FOLLOWING",P$12)</f>
        <v>43277</v>
      </c>
      <c r="P550" s="13">
        <f ca="1">_xll.meDateFromTenor(O550,P$14,P$11,P$12)</f>
        <v>43461</v>
      </c>
      <c r="Q550" s="98">
        <f ca="1"/>
        <v>-1.0630361418333552E-3</v>
      </c>
      <c r="R550" s="5" t="s">
        <v>4</v>
      </c>
      <c r="S550" s="100">
        <f ca="1">_xll.meDateFromTenor(S549,"1D","FOLLOWING",T$12)</f>
        <v>43277</v>
      </c>
      <c r="T550" s="13">
        <f ca="1">_xll.meDateFromTenor(S550,T$14,T$11,T$12)</f>
        <v>43642</v>
      </c>
      <c r="U550" s="98">
        <f ca="1"/>
        <v>9.4573032577809275E-4</v>
      </c>
      <c r="V550" s="5" t="s">
        <v>4</v>
      </c>
      <c r="W550" s="84" t="s">
        <v>4</v>
      </c>
    </row>
    <row r="551" spans="1:23" x14ac:dyDescent="0.25">
      <c r="A551" s="90">
        <v>532</v>
      </c>
      <c r="B551" s="83"/>
      <c r="C551" s="100">
        <f ca="1">_xll.meDateFromTenor(C550,"1D","FOLLOWING",D$12)</f>
        <v>43278</v>
      </c>
      <c r="D551" s="13">
        <f ca="1">_xll.meDateFromTenor(C551,D$14,D$11,D$12)</f>
        <v>43279</v>
      </c>
      <c r="E551" s="98">
        <f ca="1"/>
        <v>-3.9984653456226621E-3</v>
      </c>
      <c r="F551" s="94"/>
      <c r="G551" s="100">
        <f ca="1">_xll.meDateFromTenor(G550,"1D","FOLLOWING",H$12)</f>
        <v>43278</v>
      </c>
      <c r="H551" s="13">
        <f ca="1">_xll.meDateFromTenor(G551,H$14,H$11,H$12)</f>
        <v>43308</v>
      </c>
      <c r="I551" s="98">
        <f ca="1"/>
        <v>-3.5312701620238553E-3</v>
      </c>
      <c r="J551" s="94" t="s">
        <v>4</v>
      </c>
      <c r="K551" s="100">
        <f ca="1">_xll.meDateFromTenor(K550,"1D","FOLLOWING",L$12)</f>
        <v>43278</v>
      </c>
      <c r="L551" s="13">
        <f ca="1">_xll.meDateFromTenor(K551,L$14,L$11,L$12)</f>
        <v>43370</v>
      </c>
      <c r="M551" s="98">
        <f ca="1"/>
        <v>-3.0038185811184035E-3</v>
      </c>
      <c r="N551" s="5" t="s">
        <v>4</v>
      </c>
      <c r="O551" s="100">
        <f ca="1">_xll.meDateFromTenor(O550,"1D","FOLLOWING",P$12)</f>
        <v>43278</v>
      </c>
      <c r="P551" s="13">
        <f ca="1">_xll.meDateFromTenor(O551,P$14,P$11,P$12)</f>
        <v>43461</v>
      </c>
      <c r="Q551" s="98">
        <f ca="1"/>
        <v>-1.0590708830237152E-3</v>
      </c>
      <c r="R551" s="5" t="s">
        <v>4</v>
      </c>
      <c r="S551" s="100">
        <f ca="1">_xll.meDateFromTenor(S550,"1D","FOLLOWING",T$12)</f>
        <v>43278</v>
      </c>
      <c r="T551" s="13">
        <f ca="1">_xll.meDateFromTenor(S551,T$14,T$11,T$12)</f>
        <v>43643</v>
      </c>
      <c r="U551" s="98">
        <f ca="1"/>
        <v>9.501308727443748E-4</v>
      </c>
      <c r="V551" s="5" t="s">
        <v>4</v>
      </c>
      <c r="W551" s="84" t="s">
        <v>4</v>
      </c>
    </row>
    <row r="552" spans="1:23" x14ac:dyDescent="0.25">
      <c r="A552" s="90">
        <v>533</v>
      </c>
      <c r="B552" s="83"/>
      <c r="C552" s="100">
        <f ca="1">_xll.meDateFromTenor(C551,"1D","FOLLOWING",D$12)</f>
        <v>43279</v>
      </c>
      <c r="D552" s="13">
        <f ca="1">_xll.meDateFromTenor(C552,D$14,D$11,D$12)</f>
        <v>43280</v>
      </c>
      <c r="E552" s="98">
        <f ca="1"/>
        <v>-3.995506044658384E-3</v>
      </c>
      <c r="F552" s="94"/>
      <c r="G552" s="100">
        <f ca="1">_xll.meDateFromTenor(G551,"1D","FOLLOWING",H$12)</f>
        <v>43279</v>
      </c>
      <c r="H552" s="13">
        <f ca="1">_xll.meDateFromTenor(G552,H$14,H$11,H$12)</f>
        <v>43311</v>
      </c>
      <c r="I552" s="98">
        <f ca="1"/>
        <v>-3.5278015195068192E-3</v>
      </c>
      <c r="J552" s="94" t="s">
        <v>4</v>
      </c>
      <c r="K552" s="100">
        <f ca="1">_xll.meDateFromTenor(K551,"1D","FOLLOWING",L$12)</f>
        <v>43279</v>
      </c>
      <c r="L552" s="13">
        <f ca="1">_xll.meDateFromTenor(K552,L$14,L$11,L$12)</f>
        <v>43371</v>
      </c>
      <c r="M552" s="98">
        <f ca="1"/>
        <v>-2.9931717618061388E-3</v>
      </c>
      <c r="N552" s="5" t="s">
        <v>4</v>
      </c>
      <c r="O552" s="100">
        <f ca="1">_xll.meDateFromTenor(O551,"1D","FOLLOWING",P$12)</f>
        <v>43279</v>
      </c>
      <c r="P552" s="13">
        <f ca="1">_xll.meDateFromTenor(O552,P$14,P$11,P$12)</f>
        <v>43462</v>
      </c>
      <c r="Q552" s="98">
        <f ca="1"/>
        <v>-1.0550977369472912E-3</v>
      </c>
      <c r="R552" s="5" t="s">
        <v>4</v>
      </c>
      <c r="S552" s="100">
        <f ca="1">_xll.meDateFromTenor(S551,"1D","FOLLOWING",T$12)</f>
        <v>43279</v>
      </c>
      <c r="T552" s="13">
        <f ca="1">_xll.meDateFromTenor(S552,T$14,T$11,T$12)</f>
        <v>43644</v>
      </c>
      <c r="U552" s="98">
        <f ca="1"/>
        <v>9.5454103903018755E-4</v>
      </c>
      <c r="V552" s="5" t="s">
        <v>4</v>
      </c>
      <c r="W552" s="84" t="s">
        <v>4</v>
      </c>
    </row>
    <row r="553" spans="1:23" x14ac:dyDescent="0.25">
      <c r="A553" s="90">
        <v>534</v>
      </c>
      <c r="B553" s="83"/>
      <c r="C553" s="100">
        <f ca="1">_xll.meDateFromTenor(C552,"1D","FOLLOWING",D$12)</f>
        <v>43280</v>
      </c>
      <c r="D553" s="13">
        <f ca="1">_xll.meDateFromTenor(C553,D$14,D$11,D$12)</f>
        <v>43283</v>
      </c>
      <c r="E553" s="98">
        <f ca="1"/>
        <v>-3.9895376017318324E-3</v>
      </c>
      <c r="F553" s="94"/>
      <c r="G553" s="100">
        <f ca="1">_xll.meDateFromTenor(G552,"1D","FOLLOWING",H$12)</f>
        <v>43280</v>
      </c>
      <c r="H553" s="13">
        <f ca="1">_xll.meDateFromTenor(G553,H$14,H$11,H$12)</f>
        <v>43311</v>
      </c>
      <c r="I553" s="98">
        <f ca="1"/>
        <v>-3.5243338703980862E-3</v>
      </c>
      <c r="J553" s="94" t="s">
        <v>4</v>
      </c>
      <c r="K553" s="100">
        <f ca="1">_xll.meDateFromTenor(K552,"1D","FOLLOWING",L$12)</f>
        <v>43280</v>
      </c>
      <c r="L553" s="13">
        <f ca="1">_xll.meDateFromTenor(K553,L$14,L$11,L$12)</f>
        <v>43371</v>
      </c>
      <c r="M553" s="98">
        <f ca="1"/>
        <v>-2.9824965374324708E-3</v>
      </c>
      <c r="N553" s="5" t="s">
        <v>4</v>
      </c>
      <c r="O553" s="100">
        <f ca="1">_xll.meDateFromTenor(O552,"1D","FOLLOWING",P$12)</f>
        <v>43280</v>
      </c>
      <c r="P553" s="13">
        <f ca="1">_xll.meDateFromTenor(O553,P$14,P$11,P$12)</f>
        <v>43465</v>
      </c>
      <c r="Q553" s="98">
        <f ca="1"/>
        <v>-1.0511167033340596E-3</v>
      </c>
      <c r="R553" s="5" t="s">
        <v>4</v>
      </c>
      <c r="S553" s="100">
        <f ca="1">_xll.meDateFromTenor(S552,"1D","FOLLOWING",T$12)</f>
        <v>43280</v>
      </c>
      <c r="T553" s="13">
        <f ca="1">_xll.meDateFromTenor(S553,T$14,T$11,T$12)</f>
        <v>43644</v>
      </c>
      <c r="U553" s="98">
        <f ca="1"/>
        <v>9.5896078919887446E-4</v>
      </c>
      <c r="V553" s="5" t="s">
        <v>4</v>
      </c>
      <c r="W553" s="84" t="s">
        <v>4</v>
      </c>
    </row>
    <row r="554" spans="1:23" x14ac:dyDescent="0.25">
      <c r="A554" s="90">
        <v>535</v>
      </c>
      <c r="B554" s="83"/>
      <c r="C554" s="100">
        <f ca="1">_xll.meDateFromTenor(C553,"1D","FOLLOWING",D$12)</f>
        <v>43283</v>
      </c>
      <c r="D554" s="13">
        <f ca="1">_xll.meDateFromTenor(C554,D$14,D$11,D$12)</f>
        <v>43284</v>
      </c>
      <c r="E554" s="98">
        <f ca="1"/>
        <v>-3.9836519573866053E-3</v>
      </c>
      <c r="F554" s="94"/>
      <c r="G554" s="100">
        <f ca="1">_xll.meDateFromTenor(G553,"1D","FOLLOWING",H$12)</f>
        <v>43283</v>
      </c>
      <c r="H554" s="13">
        <f ca="1">_xll.meDateFromTenor(G554,H$14,H$11,H$12)</f>
        <v>43314</v>
      </c>
      <c r="I554" s="98">
        <f ca="1"/>
        <v>-3.5139520708708889E-3</v>
      </c>
      <c r="J554" s="94" t="s">
        <v>4</v>
      </c>
      <c r="K554" s="100">
        <f ca="1">_xll.meDateFromTenor(K553,"1D","FOLLOWING",L$12)</f>
        <v>43283</v>
      </c>
      <c r="L554" s="13">
        <f ca="1">_xll.meDateFromTenor(K554,L$14,L$11,L$12)</f>
        <v>43375</v>
      </c>
      <c r="M554" s="98">
        <f ca="1"/>
        <v>-2.950312471834408E-3</v>
      </c>
      <c r="N554" s="5" t="s">
        <v>4</v>
      </c>
      <c r="O554" s="100">
        <f ca="1">_xll.meDateFromTenor(O553,"1D","FOLLOWING",P$12)</f>
        <v>43283</v>
      </c>
      <c r="P554" s="13">
        <f ca="1">_xll.meDateFromTenor(O554,P$14,P$11,P$12)</f>
        <v>43467</v>
      </c>
      <c r="Q554" s="98">
        <f ca="1"/>
        <v>-1.039126274573271E-3</v>
      </c>
      <c r="R554" s="5" t="s">
        <v>4</v>
      </c>
      <c r="S554" s="100">
        <f ca="1">_xll.meDateFromTenor(S553,"1D","FOLLOWING",T$12)</f>
        <v>43283</v>
      </c>
      <c r="T554" s="13">
        <f ca="1">_xll.meDateFromTenor(S554,T$14,T$11,T$12)</f>
        <v>43648</v>
      </c>
      <c r="U554" s="98">
        <f ca="1"/>
        <v>9.7227718863564054E-4</v>
      </c>
      <c r="V554" s="5" t="s">
        <v>4</v>
      </c>
      <c r="W554" s="84" t="s">
        <v>4</v>
      </c>
    </row>
    <row r="555" spans="1:23" x14ac:dyDescent="0.25">
      <c r="A555" s="90">
        <v>536</v>
      </c>
      <c r="B555" s="83"/>
      <c r="C555" s="100">
        <f ca="1">_xll.meDateFromTenor(C554,"1D","FOLLOWING",D$12)</f>
        <v>43284</v>
      </c>
      <c r="D555" s="13">
        <f ca="1">_xll.meDateFromTenor(C555,D$14,D$11,D$12)</f>
        <v>43285</v>
      </c>
      <c r="E555" s="98">
        <f ca="1"/>
        <v>-3.9806842147749461E-3</v>
      </c>
      <c r="F555" s="94"/>
      <c r="G555" s="100">
        <f ca="1">_xll.meDateFromTenor(G554,"1D","FOLLOWING",H$12)</f>
        <v>43284</v>
      </c>
      <c r="H555" s="13">
        <f ca="1">_xll.meDateFromTenor(G555,H$14,H$11,H$12)</f>
        <v>43315</v>
      </c>
      <c r="I555" s="98">
        <f ca="1"/>
        <v>-3.5105033424739783E-3</v>
      </c>
      <c r="J555" s="94" t="s">
        <v>4</v>
      </c>
      <c r="K555" s="100">
        <f ca="1">_xll.meDateFromTenor(K554,"1D","FOLLOWING",L$12)</f>
        <v>43284</v>
      </c>
      <c r="L555" s="13">
        <f ca="1">_xll.meDateFromTenor(K555,L$14,L$11,L$12)</f>
        <v>43376</v>
      </c>
      <c r="M555" s="98">
        <f ca="1"/>
        <v>-2.9395356651064912E-3</v>
      </c>
      <c r="N555" s="5" t="s">
        <v>4</v>
      </c>
      <c r="O555" s="100">
        <f ca="1">_xll.meDateFromTenor(O554,"1D","FOLLOWING",P$12)</f>
        <v>43284</v>
      </c>
      <c r="P555" s="13">
        <f ca="1">_xll.meDateFromTenor(O555,P$14,P$11,P$12)</f>
        <v>43468</v>
      </c>
      <c r="Q555" s="98">
        <f ca="1"/>
        <v>-1.0351136881125633E-3</v>
      </c>
      <c r="R555" s="5" t="s">
        <v>4</v>
      </c>
      <c r="S555" s="100">
        <f ca="1">_xll.meDateFromTenor(S554,"1D","FOLLOWING",T$12)</f>
        <v>43284</v>
      </c>
      <c r="T555" s="13">
        <f ca="1">_xll.meDateFromTenor(S555,T$14,T$11,T$12)</f>
        <v>43649</v>
      </c>
      <c r="U555" s="98">
        <f ca="1"/>
        <v>9.7673491996928081E-4</v>
      </c>
      <c r="V555" s="5" t="s">
        <v>4</v>
      </c>
      <c r="W555" s="84" t="s">
        <v>4</v>
      </c>
    </row>
    <row r="556" spans="1:23" x14ac:dyDescent="0.25">
      <c r="A556" s="90">
        <v>537</v>
      </c>
      <c r="B556" s="83"/>
      <c r="C556" s="100">
        <f ca="1">_xll.meDateFromTenor(C555,"1D","FOLLOWING",D$12)</f>
        <v>43285</v>
      </c>
      <c r="D556" s="13">
        <f ca="1">_xll.meDateFromTenor(C556,D$14,D$11,D$12)</f>
        <v>43286</v>
      </c>
      <c r="E556" s="98">
        <f ca="1"/>
        <v>-3.9777147838737786E-3</v>
      </c>
      <c r="F556" s="94"/>
      <c r="G556" s="100">
        <f ca="1">_xll.meDateFromTenor(G555,"1D","FOLLOWING",H$12)</f>
        <v>43285</v>
      </c>
      <c r="H556" s="13">
        <f ca="1">_xll.meDateFromTenor(G556,H$14,H$11,H$12)</f>
        <v>43318</v>
      </c>
      <c r="I556" s="98">
        <f ca="1"/>
        <v>-3.5070617595365106E-3</v>
      </c>
      <c r="J556" s="94" t="s">
        <v>4</v>
      </c>
      <c r="K556" s="100">
        <f ca="1">_xll.meDateFromTenor(K555,"1D","FOLLOWING",L$12)</f>
        <v>43285</v>
      </c>
      <c r="L556" s="13">
        <f ca="1">_xll.meDateFromTenor(K556,L$14,L$11,L$12)</f>
        <v>43377</v>
      </c>
      <c r="M556" s="98">
        <f ca="1"/>
        <v>-2.9287364722628559E-3</v>
      </c>
      <c r="N556" s="5" t="s">
        <v>4</v>
      </c>
      <c r="O556" s="100">
        <f ca="1">_xll.meDateFromTenor(O555,"1D","FOLLOWING",P$12)</f>
        <v>43285</v>
      </c>
      <c r="P556" s="13">
        <f ca="1">_xll.meDateFromTenor(O556,P$14,P$11,P$12)</f>
        <v>43469</v>
      </c>
      <c r="Q556" s="98">
        <f ca="1"/>
        <v>-1.0310932127649255E-3</v>
      </c>
      <c r="R556" s="5" t="s">
        <v>4</v>
      </c>
      <c r="S556" s="100">
        <f ca="1">_xll.meDateFromTenor(S555,"1D","FOLLOWING",T$12)</f>
        <v>43285</v>
      </c>
      <c r="T556" s="13">
        <f ca="1">_xll.meDateFromTenor(S556,T$14,T$11,T$12)</f>
        <v>43650</v>
      </c>
      <c r="U556" s="98">
        <f ca="1"/>
        <v>9.8120205800252209E-4</v>
      </c>
      <c r="V556" s="5" t="s">
        <v>4</v>
      </c>
      <c r="W556" s="84" t="s">
        <v>4</v>
      </c>
    </row>
    <row r="557" spans="1:23" x14ac:dyDescent="0.25">
      <c r="A557" s="90">
        <v>538</v>
      </c>
      <c r="B557" s="83"/>
      <c r="C557" s="100">
        <f ca="1">_xll.meDateFromTenor(C556,"1D","FOLLOWING",D$12)</f>
        <v>43286</v>
      </c>
      <c r="D557" s="13">
        <f ca="1">_xll.meDateFromTenor(C557,D$14,D$11,D$12)</f>
        <v>43287</v>
      </c>
      <c r="E557" s="98">
        <f ca="1"/>
        <v>-3.9747436649229112E-3</v>
      </c>
      <c r="F557" s="94"/>
      <c r="G557" s="100">
        <f ca="1">_xll.meDateFromTenor(G556,"1D","FOLLOWING",H$12)</f>
        <v>43286</v>
      </c>
      <c r="H557" s="13">
        <f ca="1">_xll.meDateFromTenor(G557,H$14,H$11,H$12)</f>
        <v>43318</v>
      </c>
      <c r="I557" s="98">
        <f ca="1"/>
        <v>-3.5036273991699536E-3</v>
      </c>
      <c r="J557" s="94" t="s">
        <v>4</v>
      </c>
      <c r="K557" s="100">
        <f ca="1">_xll.meDateFromTenor(K556,"1D","FOLLOWING",L$12)</f>
        <v>43286</v>
      </c>
      <c r="L557" s="13">
        <f ca="1">_xll.meDateFromTenor(K557,L$14,L$11,L$12)</f>
        <v>43378</v>
      </c>
      <c r="M557" s="98">
        <f ca="1"/>
        <v>-2.917916097092639E-3</v>
      </c>
      <c r="N557" s="5" t="s">
        <v>4</v>
      </c>
      <c r="O557" s="100">
        <f ca="1">_xll.meDateFromTenor(O556,"1D","FOLLOWING",P$12)</f>
        <v>43286</v>
      </c>
      <c r="P557" s="13">
        <f ca="1">_xll.meDateFromTenor(O557,P$14,P$11,P$12)</f>
        <v>43472</v>
      </c>
      <c r="Q557" s="98">
        <f ca="1"/>
        <v>-1.0270648482603333E-3</v>
      </c>
      <c r="R557" s="5" t="s">
        <v>4</v>
      </c>
      <c r="S557" s="100">
        <f ca="1">_xll.meDateFromTenor(S556,"1D","FOLLOWING",T$12)</f>
        <v>43286</v>
      </c>
      <c r="T557" s="13">
        <f ca="1">_xll.meDateFromTenor(S557,T$14,T$11,T$12)</f>
        <v>43651</v>
      </c>
      <c r="U557" s="98">
        <f ca="1"/>
        <v>9.8567856729870978E-4</v>
      </c>
      <c r="V557" s="5" t="s">
        <v>4</v>
      </c>
      <c r="W557" s="84" t="s">
        <v>4</v>
      </c>
    </row>
    <row r="558" spans="1:23" x14ac:dyDescent="0.25">
      <c r="A558" s="90">
        <v>539</v>
      </c>
      <c r="B558" s="83"/>
      <c r="C558" s="100">
        <f ca="1">_xll.meDateFromTenor(C557,"1D","FOLLOWING",D$12)</f>
        <v>43287</v>
      </c>
      <c r="D558" s="13">
        <f ca="1">_xll.meDateFromTenor(C558,D$14,D$11,D$12)</f>
        <v>43290</v>
      </c>
      <c r="E558" s="98">
        <f ca="1"/>
        <v>-3.968752045535609E-3</v>
      </c>
      <c r="F558" s="94"/>
      <c r="G558" s="100">
        <f ca="1">_xll.meDateFromTenor(G557,"1D","FOLLOWING",H$12)</f>
        <v>43287</v>
      </c>
      <c r="H558" s="13">
        <f ca="1">_xll.meDateFromTenor(G558,H$14,H$11,H$12)</f>
        <v>43318</v>
      </c>
      <c r="I558" s="98">
        <f ca="1"/>
        <v>-3.500200338485773E-3</v>
      </c>
      <c r="J558" s="94" t="s">
        <v>4</v>
      </c>
      <c r="K558" s="100">
        <f ca="1">_xll.meDateFromTenor(K557,"1D","FOLLOWING",L$12)</f>
        <v>43287</v>
      </c>
      <c r="L558" s="13">
        <f ca="1">_xll.meDateFromTenor(K558,L$14,L$11,L$12)</f>
        <v>43381</v>
      </c>
      <c r="M558" s="98">
        <f ca="1"/>
        <v>-2.9070757433849789E-3</v>
      </c>
      <c r="N558" s="5" t="s">
        <v>4</v>
      </c>
      <c r="O558" s="100">
        <f ca="1">_xll.meDateFromTenor(O557,"1D","FOLLOWING",P$12)</f>
        <v>43287</v>
      </c>
      <c r="P558" s="13">
        <f ca="1">_xll.meDateFromTenor(O558,P$14,P$11,P$12)</f>
        <v>43472</v>
      </c>
      <c r="Q558" s="98">
        <f ca="1"/>
        <v>-1.0230285943287633E-3</v>
      </c>
      <c r="R558" s="5" t="s">
        <v>4</v>
      </c>
      <c r="S558" s="100">
        <f ca="1">_xll.meDateFromTenor(S557,"1D","FOLLOWING",T$12)</f>
        <v>43287</v>
      </c>
      <c r="T558" s="13">
        <f ca="1">_xll.meDateFromTenor(S558,T$14,T$11,T$12)</f>
        <v>43654</v>
      </c>
      <c r="U558" s="98">
        <f ca="1"/>
        <v>9.9016441242118854E-4</v>
      </c>
      <c r="V558" s="5" t="s">
        <v>4</v>
      </c>
      <c r="W558" s="84" t="s">
        <v>4</v>
      </c>
    </row>
    <row r="559" spans="1:23" x14ac:dyDescent="0.25">
      <c r="A559" s="90">
        <v>540</v>
      </c>
      <c r="B559" s="83"/>
      <c r="C559" s="100">
        <f ca="1">_xll.meDateFromTenor(C558,"1D","FOLLOWING",D$12)</f>
        <v>43290</v>
      </c>
      <c r="D559" s="13">
        <f ca="1">_xll.meDateFromTenor(C559,D$14,D$11,D$12)</f>
        <v>43291</v>
      </c>
      <c r="E559" s="98">
        <f ca="1"/>
        <v>-3.9628423058646473E-3</v>
      </c>
      <c r="F559" s="94"/>
      <c r="G559" s="100">
        <f ca="1">_xll.meDateFromTenor(G558,"1D","FOLLOWING",H$12)</f>
        <v>43290</v>
      </c>
      <c r="H559" s="13">
        <f ca="1">_xll.meDateFromTenor(G559,H$14,H$11,H$12)</f>
        <v>43321</v>
      </c>
      <c r="I559" s="98">
        <f ca="1"/>
        <v>-3.4899637256421475E-3</v>
      </c>
      <c r="J559" s="94" t="s">
        <v>4</v>
      </c>
      <c r="K559" s="100">
        <f ca="1">_xll.meDateFromTenor(K558,"1D","FOLLOWING",L$12)</f>
        <v>43290</v>
      </c>
      <c r="L559" s="13">
        <f ca="1">_xll.meDateFromTenor(K559,L$14,L$11,L$12)</f>
        <v>43382</v>
      </c>
      <c r="M559" s="98">
        <f ca="1"/>
        <v>-2.8744468489286957E-3</v>
      </c>
      <c r="N559" s="5" t="s">
        <v>4</v>
      </c>
      <c r="O559" s="100">
        <f ca="1">_xll.meDateFromTenor(O558,"1D","FOLLOWING",P$12)</f>
        <v>43290</v>
      </c>
      <c r="P559" s="13">
        <f ca="1">_xll.meDateFromTenor(O559,P$14,P$11,P$12)</f>
        <v>43474</v>
      </c>
      <c r="Q559" s="98">
        <f ca="1"/>
        <v>-1.0108724932719364E-3</v>
      </c>
      <c r="R559" s="5" t="s">
        <v>4</v>
      </c>
      <c r="S559" s="100">
        <f ca="1">_xll.meDateFromTenor(S558,"1D","FOLLOWING",T$12)</f>
        <v>43290</v>
      </c>
      <c r="T559" s="13">
        <f ca="1">_xll.meDateFromTenor(S559,T$14,T$11,T$12)</f>
        <v>43655</v>
      </c>
      <c r="U559" s="98">
        <f ca="1"/>
        <v>1.0036776083798273E-3</v>
      </c>
      <c r="V559" s="5" t="s">
        <v>4</v>
      </c>
      <c r="W559" s="84" t="s">
        <v>4</v>
      </c>
    </row>
    <row r="560" spans="1:23" x14ac:dyDescent="0.25">
      <c r="A560" s="90">
        <v>541</v>
      </c>
      <c r="B560" s="83"/>
      <c r="C560" s="100">
        <f ca="1">_xll.meDateFromTenor(C559,"1D","FOLLOWING",D$12)</f>
        <v>43291</v>
      </c>
      <c r="D560" s="13">
        <f ca="1">_xll.meDateFromTenor(C560,D$14,D$11,D$12)</f>
        <v>43292</v>
      </c>
      <c r="E560" s="98">
        <f ca="1"/>
        <v>-3.9598627453863028E-3</v>
      </c>
      <c r="F560" s="94"/>
      <c r="G560" s="100">
        <f ca="1">_xll.meDateFromTenor(G559,"1D","FOLLOWING",H$12)</f>
        <v>43291</v>
      </c>
      <c r="H560" s="13">
        <f ca="1">_xll.meDateFromTenor(G560,H$14,H$11,H$12)</f>
        <v>43322</v>
      </c>
      <c r="I560" s="98">
        <f ca="1"/>
        <v>-3.4865666348021318E-3</v>
      </c>
      <c r="J560" s="94" t="s">
        <v>4</v>
      </c>
      <c r="K560" s="100">
        <f ca="1">_xll.meDateFromTenor(K559,"1D","FOLLOWING",L$12)</f>
        <v>43291</v>
      </c>
      <c r="L560" s="13">
        <f ca="1">_xll.meDateFromTenor(K560,L$14,L$11,L$12)</f>
        <v>43383</v>
      </c>
      <c r="M560" s="98">
        <f ca="1"/>
        <v>-2.8635386189626248E-3</v>
      </c>
      <c r="N560" s="5" t="s">
        <v>4</v>
      </c>
      <c r="O560" s="100">
        <f ca="1">_xll.meDateFromTenor(O559,"1D","FOLLOWING",P$12)</f>
        <v>43291</v>
      </c>
      <c r="P560" s="13">
        <f ca="1">_xll.meDateFromTenor(O560,P$14,P$11,P$12)</f>
        <v>43475</v>
      </c>
      <c r="Q560" s="98">
        <f ca="1"/>
        <v>-1.0068046789322074E-3</v>
      </c>
      <c r="R560" s="5" t="s">
        <v>4</v>
      </c>
      <c r="S560" s="100">
        <f ca="1">_xll.meDateFromTenor(S559,"1D","FOLLOWING",T$12)</f>
        <v>43291</v>
      </c>
      <c r="T560" s="13">
        <f ca="1">_xll.meDateFromTenor(S560,T$14,T$11,T$12)</f>
        <v>43656</v>
      </c>
      <c r="U560" s="98">
        <f ca="1"/>
        <v>1.0082004424409252E-3</v>
      </c>
      <c r="V560" s="5" t="s">
        <v>4</v>
      </c>
      <c r="W560" s="84" t="s">
        <v>4</v>
      </c>
    </row>
    <row r="561" spans="1:23" x14ac:dyDescent="0.25">
      <c r="A561" s="90">
        <v>542</v>
      </c>
      <c r="B561" s="83"/>
      <c r="C561" s="100">
        <f ca="1">_xll.meDateFromTenor(C560,"1D","FOLLOWING",D$12)</f>
        <v>43292</v>
      </c>
      <c r="D561" s="13">
        <f ca="1">_xll.meDateFromTenor(C561,D$14,D$11,D$12)</f>
        <v>43293</v>
      </c>
      <c r="E561" s="98">
        <f ca="1"/>
        <v>-3.9568814967383542E-3</v>
      </c>
      <c r="F561" s="94"/>
      <c r="G561" s="100">
        <f ca="1">_xll.meDateFromTenor(G560,"1D","FOLLOWING",H$12)</f>
        <v>43292</v>
      </c>
      <c r="H561" s="13">
        <f ca="1">_xll.meDateFromTenor(G561,H$14,H$11,H$12)</f>
        <v>43325</v>
      </c>
      <c r="I561" s="98">
        <f ca="1"/>
        <v>-3.4831772292018229E-3</v>
      </c>
      <c r="J561" s="94" t="s">
        <v>4</v>
      </c>
      <c r="K561" s="100">
        <f ca="1">_xll.meDateFromTenor(K560,"1D","FOLLOWING",L$12)</f>
        <v>43292</v>
      </c>
      <c r="L561" s="13">
        <f ca="1">_xll.meDateFromTenor(K561,L$14,L$11,L$12)</f>
        <v>43384</v>
      </c>
      <c r="M561" s="98">
        <f ca="1"/>
        <v>-2.8526164294047939E-3</v>
      </c>
      <c r="N561" s="5" t="s">
        <v>4</v>
      </c>
      <c r="O561" s="100">
        <f ca="1">_xll.meDateFromTenor(O560,"1D","FOLLOWING",P$12)</f>
        <v>43292</v>
      </c>
      <c r="P561" s="13">
        <f ca="1">_xll.meDateFromTenor(O561,P$14,P$11,P$12)</f>
        <v>43476</v>
      </c>
      <c r="Q561" s="98">
        <f ca="1"/>
        <v>-1.0027289738153778E-3</v>
      </c>
      <c r="R561" s="5" t="s">
        <v>4</v>
      </c>
      <c r="S561" s="100">
        <f ca="1">_xll.meDateFromTenor(S560,"1D","FOLLOWING",T$12)</f>
        <v>43292</v>
      </c>
      <c r="T561" s="13">
        <f ca="1">_xll.meDateFromTenor(S561,T$14,T$11,T$12)</f>
        <v>43657</v>
      </c>
      <c r="U561" s="98">
        <f ca="1"/>
        <v>1.0127324351450406E-3</v>
      </c>
      <c r="V561" s="5" t="s">
        <v>4</v>
      </c>
      <c r="W561" s="84" t="s">
        <v>4</v>
      </c>
    </row>
    <row r="562" spans="1:23" x14ac:dyDescent="0.25">
      <c r="A562" s="90">
        <v>543</v>
      </c>
      <c r="B562" s="83"/>
      <c r="C562" s="100">
        <f ca="1">_xll.meDateFromTenor(C561,"1D","FOLLOWING",D$12)</f>
        <v>43293</v>
      </c>
      <c r="D562" s="13">
        <f ca="1">_xll.meDateFromTenor(C562,D$14,D$11,D$12)</f>
        <v>43294</v>
      </c>
      <c r="E562" s="98">
        <f ca="1"/>
        <v>-3.9538985596809934E-3</v>
      </c>
      <c r="F562" s="94"/>
      <c r="G562" s="100">
        <f ca="1">_xll.meDateFromTenor(G561,"1D","FOLLOWING",H$12)</f>
        <v>43293</v>
      </c>
      <c r="H562" s="13">
        <f ca="1">_xll.meDateFromTenor(G562,H$14,H$11,H$12)</f>
        <v>43325</v>
      </c>
      <c r="I562" s="98">
        <f ca="1"/>
        <v>-3.4797955859526856E-3</v>
      </c>
      <c r="J562" s="94" t="s">
        <v>4</v>
      </c>
      <c r="K562" s="100">
        <f ca="1">_xll.meDateFromTenor(K561,"1D","FOLLOWING",L$12)</f>
        <v>43293</v>
      </c>
      <c r="L562" s="13">
        <f ca="1">_xll.meDateFromTenor(K562,L$14,L$11,L$12)</f>
        <v>43385</v>
      </c>
      <c r="M562" s="98">
        <f ca="1"/>
        <v>-2.8416814840443402E-3</v>
      </c>
      <c r="N562" s="5" t="s">
        <v>4</v>
      </c>
      <c r="O562" s="100">
        <f ca="1">_xll.meDateFromTenor(O561,"1D","FOLLOWING",P$12)</f>
        <v>43293</v>
      </c>
      <c r="P562" s="13">
        <f ca="1">_xll.meDateFromTenor(O562,P$14,P$11,P$12)</f>
        <v>43479</v>
      </c>
      <c r="Q562" s="98">
        <f ca="1"/>
        <v>-9.9864537765142342E-4</v>
      </c>
      <c r="R562" s="5" t="s">
        <v>4</v>
      </c>
      <c r="S562" s="100">
        <f ca="1">_xll.meDateFromTenor(S561,"1D","FOLLOWING",T$12)</f>
        <v>43293</v>
      </c>
      <c r="T562" s="13">
        <f ca="1">_xll.meDateFromTenor(S562,T$14,T$11,T$12)</f>
        <v>43658</v>
      </c>
      <c r="U562" s="98">
        <f ca="1"/>
        <v>1.0172735510555189E-3</v>
      </c>
      <c r="V562" s="5" t="s">
        <v>4</v>
      </c>
      <c r="W562" s="84" t="s">
        <v>4</v>
      </c>
    </row>
    <row r="563" spans="1:23" x14ac:dyDescent="0.25">
      <c r="A563" s="90">
        <v>544</v>
      </c>
      <c r="B563" s="83"/>
      <c r="C563" s="100">
        <f ca="1">_xll.meDateFromTenor(C562,"1D","FOLLOWING",D$12)</f>
        <v>43294</v>
      </c>
      <c r="D563" s="13">
        <f ca="1">_xll.meDateFromTenor(C563,D$14,D$11,D$12)</f>
        <v>43297</v>
      </c>
      <c r="E563" s="98">
        <f ca="1"/>
        <v>-3.9478837638196179E-3</v>
      </c>
      <c r="F563" s="94"/>
      <c r="G563" s="100">
        <f ca="1">_xll.meDateFromTenor(G562,"1D","FOLLOWING",H$12)</f>
        <v>43294</v>
      </c>
      <c r="H563" s="13">
        <f ca="1">_xll.meDateFromTenor(G563,H$14,H$11,H$12)</f>
        <v>43325</v>
      </c>
      <c r="I563" s="98">
        <f ca="1"/>
        <v>-3.476421782166189E-3</v>
      </c>
      <c r="J563" s="94" t="s">
        <v>4</v>
      </c>
      <c r="K563" s="100">
        <f ca="1">_xll.meDateFromTenor(K562,"1D","FOLLOWING",L$12)</f>
        <v>43294</v>
      </c>
      <c r="L563" s="13">
        <f ca="1">_xll.meDateFromTenor(K563,L$14,L$11,L$12)</f>
        <v>43388</v>
      </c>
      <c r="M563" s="98">
        <f ca="1"/>
        <v>-2.8307349866704017E-3</v>
      </c>
      <c r="N563" s="5" t="s">
        <v>4</v>
      </c>
      <c r="O563" s="100">
        <f ca="1">_xll.meDateFromTenor(O562,"1D","FOLLOWING",P$12)</f>
        <v>43294</v>
      </c>
      <c r="P563" s="13">
        <f ca="1">_xll.meDateFromTenor(O563,P$14,P$11,P$12)</f>
        <v>43479</v>
      </c>
      <c r="Q563" s="98">
        <f ca="1"/>
        <v>-9.9455389017031985E-4</v>
      </c>
      <c r="R563" s="5" t="s">
        <v>4</v>
      </c>
      <c r="S563" s="100">
        <f ca="1">_xll.meDateFromTenor(S562,"1D","FOLLOWING",T$12)</f>
        <v>43294</v>
      </c>
      <c r="T563" s="13">
        <f ca="1">_xll.meDateFromTenor(S563,T$14,T$11,T$12)</f>
        <v>43661</v>
      </c>
      <c r="U563" s="98">
        <f ca="1"/>
        <v>1.0218237547357054E-3</v>
      </c>
      <c r="V563" s="5" t="s">
        <v>4</v>
      </c>
      <c r="W563" s="84" t="s">
        <v>4</v>
      </c>
    </row>
    <row r="564" spans="1:23" x14ac:dyDescent="0.25">
      <c r="A564" s="90">
        <v>545</v>
      </c>
      <c r="B564" s="83"/>
      <c r="C564" s="100">
        <f ca="1">_xll.meDateFromTenor(C563,"1D","FOLLOWING",D$12)</f>
        <v>43297</v>
      </c>
      <c r="D564" s="13">
        <f ca="1">_xll.meDateFromTenor(C564,D$14,D$11,D$12)</f>
        <v>43298</v>
      </c>
      <c r="E564" s="98">
        <f ca="1"/>
        <v>-3.9419499295157007E-3</v>
      </c>
      <c r="F564" s="94"/>
      <c r="G564" s="100">
        <f ca="1">_xll.meDateFromTenor(G563,"1D","FOLLOWING",H$12)</f>
        <v>43297</v>
      </c>
      <c r="H564" s="13">
        <f ca="1">_xll.meDateFromTenor(G564,H$14,H$11,H$12)</f>
        <v>43328</v>
      </c>
      <c r="I564" s="98">
        <f ca="1"/>
        <v>-3.4663481786971909E-3</v>
      </c>
      <c r="J564" s="94" t="s">
        <v>4</v>
      </c>
      <c r="K564" s="100">
        <f ca="1">_xll.meDateFromTenor(K563,"1D","FOLLOWING",L$12)</f>
        <v>43297</v>
      </c>
      <c r="L564" s="13">
        <f ca="1">_xll.meDateFromTenor(K564,L$14,L$11,L$12)</f>
        <v>43389</v>
      </c>
      <c r="M564" s="98">
        <f ca="1"/>
        <v>-2.7978382203590452E-3</v>
      </c>
      <c r="N564" s="5" t="s">
        <v>4</v>
      </c>
      <c r="O564" s="100">
        <f ca="1">_xll.meDateFromTenor(O563,"1D","FOLLOWING",P$12)</f>
        <v>43297</v>
      </c>
      <c r="P564" s="13">
        <f ca="1">_xll.meDateFromTenor(O564,P$14,P$11,P$12)</f>
        <v>43481</v>
      </c>
      <c r="Q564" s="98">
        <f ca="1"/>
        <v>-9.8223207712386999E-4</v>
      </c>
      <c r="R564" s="5" t="s">
        <v>4</v>
      </c>
      <c r="S564" s="100">
        <f ca="1">_xll.meDateFromTenor(S563,"1D","FOLLOWING",T$12)</f>
        <v>43297</v>
      </c>
      <c r="T564" s="13">
        <f ca="1">_xll.meDateFromTenor(S564,T$14,T$11,T$12)</f>
        <v>43662</v>
      </c>
      <c r="U564" s="98">
        <f ca="1"/>
        <v>1.0355285380279639E-3</v>
      </c>
      <c r="V564" s="5" t="s">
        <v>4</v>
      </c>
      <c r="W564" s="84" t="s">
        <v>4</v>
      </c>
    </row>
    <row r="565" spans="1:23" x14ac:dyDescent="0.25">
      <c r="A565" s="90">
        <v>546</v>
      </c>
      <c r="B565" s="83"/>
      <c r="C565" s="100">
        <f ca="1">_xll.meDateFromTenor(C564,"1D","FOLLOWING",D$12)</f>
        <v>43298</v>
      </c>
      <c r="D565" s="13">
        <f ca="1">_xll.meDateFromTenor(C565,D$14,D$11,D$12)</f>
        <v>43299</v>
      </c>
      <c r="E565" s="98">
        <f ca="1"/>
        <v>-3.9389585514104791E-3</v>
      </c>
      <c r="F565" s="94"/>
      <c r="G565" s="100">
        <f ca="1">_xll.meDateFromTenor(G564,"1D","FOLLOWING",H$12)</f>
        <v>43298</v>
      </c>
      <c r="H565" s="13">
        <f ca="1">_xll.meDateFromTenor(G565,H$14,H$11,H$12)</f>
        <v>43329</v>
      </c>
      <c r="I565" s="98">
        <f ca="1"/>
        <v>-3.4630065038759104E-3</v>
      </c>
      <c r="J565" s="94" t="s">
        <v>4</v>
      </c>
      <c r="K565" s="100">
        <f ca="1">_xll.meDateFromTenor(K564,"1D","FOLLOWING",L$12)</f>
        <v>43298</v>
      </c>
      <c r="L565" s="13">
        <f ca="1">_xll.meDateFromTenor(K565,L$14,L$11,L$12)</f>
        <v>43390</v>
      </c>
      <c r="M565" s="98">
        <f ca="1"/>
        <v>-2.7868575528225371E-3</v>
      </c>
      <c r="N565" s="5" t="s">
        <v>4</v>
      </c>
      <c r="O565" s="100">
        <f ca="1">_xll.meDateFromTenor(O564,"1D","FOLLOWING",P$12)</f>
        <v>43298</v>
      </c>
      <c r="P565" s="13">
        <f ca="1">_xll.meDateFromTenor(O565,P$14,P$11,P$12)</f>
        <v>43482</v>
      </c>
      <c r="Q565" s="98">
        <f ca="1"/>
        <v>-9.7810902167392634E-4</v>
      </c>
      <c r="R565" s="5" t="s">
        <v>4</v>
      </c>
      <c r="S565" s="100">
        <f ca="1">_xll.meDateFromTenor(S564,"1D","FOLLOWING",T$12)</f>
        <v>43298</v>
      </c>
      <c r="T565" s="13">
        <f ca="1">_xll.meDateFromTenor(S565,T$14,T$11,T$12)</f>
        <v>43663</v>
      </c>
      <c r="U565" s="98">
        <f ca="1"/>
        <v>1.0401147384204341E-3</v>
      </c>
      <c r="V565" s="5" t="s">
        <v>4</v>
      </c>
      <c r="W565" s="84" t="s">
        <v>4</v>
      </c>
    </row>
    <row r="566" spans="1:23" x14ac:dyDescent="0.25">
      <c r="A566" s="90">
        <v>547</v>
      </c>
      <c r="B566" s="83"/>
      <c r="C566" s="100">
        <f ca="1">_xll.meDateFromTenor(C565,"1D","FOLLOWING",D$12)</f>
        <v>43299</v>
      </c>
      <c r="D566" s="13">
        <f ca="1">_xll.meDateFromTenor(C566,D$14,D$11,D$12)</f>
        <v>43300</v>
      </c>
      <c r="E566" s="98">
        <f ca="1"/>
        <v>-3.9359654849358133E-3</v>
      </c>
      <c r="F566" s="94"/>
      <c r="G566" s="100">
        <f ca="1">_xll.meDateFromTenor(G565,"1D","FOLLOWING",H$12)</f>
        <v>43299</v>
      </c>
      <c r="H566" s="13">
        <f ca="1">_xll.meDateFromTenor(G566,H$14,H$11,H$12)</f>
        <v>43332</v>
      </c>
      <c r="I566" s="98">
        <f ca="1"/>
        <v>-3.4596730540745989E-3</v>
      </c>
      <c r="J566" s="94" t="s">
        <v>4</v>
      </c>
      <c r="K566" s="100">
        <f ca="1">_xll.meDateFromTenor(K565,"1D","FOLLOWING",L$12)</f>
        <v>43299</v>
      </c>
      <c r="L566" s="13">
        <f ca="1">_xll.meDateFromTenor(K566,L$14,L$11,L$12)</f>
        <v>43391</v>
      </c>
      <c r="M566" s="98">
        <f ca="1"/>
        <v>-2.7758713522182264E-3</v>
      </c>
      <c r="N566" s="5" t="s">
        <v>4</v>
      </c>
      <c r="O566" s="100">
        <f ca="1">_xll.meDateFromTenor(O565,"1D","FOLLOWING",P$12)</f>
        <v>43299</v>
      </c>
      <c r="P566" s="13">
        <f ca="1">_xll.meDateFromTenor(O566,P$14,P$11,P$12)</f>
        <v>43483</v>
      </c>
      <c r="Q566" s="98">
        <f ca="1"/>
        <v>-9.7397807355671055E-4</v>
      </c>
      <c r="R566" s="5" t="s">
        <v>4</v>
      </c>
      <c r="S566" s="100">
        <f ca="1">_xll.meDateFromTenor(S565,"1D","FOLLOWING",T$12)</f>
        <v>43299</v>
      </c>
      <c r="T566" s="13">
        <f ca="1">_xll.meDateFromTenor(S566,T$14,T$11,T$12)</f>
        <v>43664</v>
      </c>
      <c r="U566" s="98">
        <f ca="1"/>
        <v>1.0447098493993388E-3</v>
      </c>
      <c r="V566" s="5" t="s">
        <v>4</v>
      </c>
      <c r="W566" s="84" t="s">
        <v>4</v>
      </c>
    </row>
    <row r="567" spans="1:23" x14ac:dyDescent="0.25">
      <c r="A567" s="90">
        <v>548</v>
      </c>
      <c r="B567" s="83"/>
      <c r="C567" s="100">
        <f ca="1">_xll.meDateFromTenor(C566,"1D","FOLLOWING",D$12)</f>
        <v>43300</v>
      </c>
      <c r="D567" s="13">
        <f ca="1">_xll.meDateFromTenor(C567,D$14,D$11,D$12)</f>
        <v>43301</v>
      </c>
      <c r="E567" s="98">
        <f ca="1"/>
        <v>-3.9329707302515754E-3</v>
      </c>
      <c r="F567" s="94"/>
      <c r="G567" s="100">
        <f ca="1">_xll.meDateFromTenor(G566,"1D","FOLLOWING",H$12)</f>
        <v>43300</v>
      </c>
      <c r="H567" s="13">
        <f ca="1">_xll.meDateFromTenor(G567,H$14,H$11,H$12)</f>
        <v>43332</v>
      </c>
      <c r="I567" s="98">
        <f ca="1"/>
        <v>-3.4563479064047224E-3</v>
      </c>
      <c r="J567" s="94" t="s">
        <v>4</v>
      </c>
      <c r="K567" s="100">
        <f ca="1">_xll.meDateFromTenor(K566,"1D","FOLLOWING",L$12)</f>
        <v>43300</v>
      </c>
      <c r="L567" s="13">
        <f ca="1">_xll.meDateFromTenor(K567,L$14,L$11,L$12)</f>
        <v>43392</v>
      </c>
      <c r="M567" s="98">
        <f ca="1"/>
        <v>-2.7648808223352532E-3</v>
      </c>
      <c r="N567" s="5" t="s">
        <v>4</v>
      </c>
      <c r="O567" s="100">
        <f ca="1">_xll.meDateFromTenor(O566,"1D","FOLLOWING",P$12)</f>
        <v>43300</v>
      </c>
      <c r="P567" s="13">
        <f ca="1">_xll.meDateFromTenor(O567,P$14,P$11,P$12)</f>
        <v>43486</v>
      </c>
      <c r="Q567" s="98">
        <f ca="1"/>
        <v>-9.6983923250219925E-4</v>
      </c>
      <c r="R567" s="5" t="s">
        <v>4</v>
      </c>
      <c r="S567" s="100">
        <f ca="1">_xll.meDateFromTenor(S566,"1D","FOLLOWING",T$12)</f>
        <v>43300</v>
      </c>
      <c r="T567" s="13">
        <f ca="1">_xll.meDateFromTenor(S567,T$14,T$11,T$12)</f>
        <v>43665</v>
      </c>
      <c r="U567" s="98">
        <f ca="1"/>
        <v>1.0493138355280231E-3</v>
      </c>
      <c r="V567" s="5" t="s">
        <v>4</v>
      </c>
      <c r="W567" s="84" t="s">
        <v>4</v>
      </c>
    </row>
    <row r="568" spans="1:23" x14ac:dyDescent="0.25">
      <c r="A568" s="90">
        <v>549</v>
      </c>
      <c r="B568" s="83"/>
      <c r="C568" s="100">
        <f ca="1">_xll.meDateFromTenor(C567,"1D","FOLLOWING",D$12)</f>
        <v>43301</v>
      </c>
      <c r="D568" s="13">
        <f ca="1">_xll.meDateFromTenor(C568,D$14,D$11,D$12)</f>
        <v>43304</v>
      </c>
      <c r="E568" s="98">
        <f ca="1"/>
        <v>-3.9269327571300888E-3</v>
      </c>
      <c r="F568" s="94"/>
      <c r="G568" s="100">
        <f ca="1">_xll.meDateFromTenor(G567,"1D","FOLLOWING",H$12)</f>
        <v>43301</v>
      </c>
      <c r="H568" s="13">
        <f ca="1">_xll.meDateFromTenor(G568,H$14,H$11,H$12)</f>
        <v>43332</v>
      </c>
      <c r="I568" s="98">
        <f ca="1"/>
        <v>-3.4530311379777478E-3</v>
      </c>
      <c r="J568" s="94" t="s">
        <v>4</v>
      </c>
      <c r="K568" s="100">
        <f ca="1">_xll.meDateFromTenor(K567,"1D","FOLLOWING",L$12)</f>
        <v>43301</v>
      </c>
      <c r="L568" s="13">
        <f ca="1">_xll.meDateFromTenor(K568,L$14,L$11,L$12)</f>
        <v>43395</v>
      </c>
      <c r="M568" s="98">
        <f ca="1"/>
        <v>-2.753887166962754E-3</v>
      </c>
      <c r="N568" s="5" t="s">
        <v>4</v>
      </c>
      <c r="O568" s="100">
        <f ca="1">_xll.meDateFromTenor(O567,"1D","FOLLOWING",P$12)</f>
        <v>43301</v>
      </c>
      <c r="P568" s="13">
        <f ca="1">_xll.meDateFromTenor(O568,P$14,P$11,P$12)</f>
        <v>43486</v>
      </c>
      <c r="Q568" s="98">
        <f ca="1"/>
        <v>-9.6569249824036811E-4</v>
      </c>
      <c r="R568" s="5" t="s">
        <v>4</v>
      </c>
      <c r="S568" s="100">
        <f ca="1">_xll.meDateFromTenor(S567,"1D","FOLLOWING",T$12)</f>
        <v>43301</v>
      </c>
      <c r="T568" s="13">
        <f ca="1">_xll.meDateFromTenor(S568,T$14,T$11,T$12)</f>
        <v>43668</v>
      </c>
      <c r="U568" s="98">
        <f ca="1"/>
        <v>1.0539266613698319E-3</v>
      </c>
      <c r="V568" s="5" t="s">
        <v>4</v>
      </c>
      <c r="W568" s="84" t="s">
        <v>4</v>
      </c>
    </row>
    <row r="569" spans="1:23" x14ac:dyDescent="0.25">
      <c r="A569" s="90">
        <v>550</v>
      </c>
      <c r="B569" s="83"/>
      <c r="C569" s="100">
        <f ca="1">_xll.meDateFromTenor(C568,"1D","FOLLOWING",D$12)</f>
        <v>43304</v>
      </c>
      <c r="D569" s="13">
        <f ca="1">_xll.meDateFromTenor(C569,D$14,D$11,D$12)</f>
        <v>43305</v>
      </c>
      <c r="E569" s="98">
        <f ca="1"/>
        <v>-3.9209748290991581E-3</v>
      </c>
      <c r="F569" s="94"/>
      <c r="G569" s="100">
        <f ca="1">_xll.meDateFromTenor(G568,"1D","FOLLOWING",H$12)</f>
        <v>43304</v>
      </c>
      <c r="H569" s="13">
        <f ca="1">_xll.meDateFromTenor(G569,H$14,H$11,H$12)</f>
        <v>43335</v>
      </c>
      <c r="I569" s="98">
        <f ca="1"/>
        <v>-3.4431318792688959E-3</v>
      </c>
      <c r="J569" s="94" t="s">
        <v>4</v>
      </c>
      <c r="K569" s="100">
        <f ca="1">_xll.meDateFromTenor(K568,"1D","FOLLOWING",L$12)</f>
        <v>43304</v>
      </c>
      <c r="L569" s="13">
        <f ca="1">_xll.meDateFromTenor(K569,L$14,L$11,L$12)</f>
        <v>43396</v>
      </c>
      <c r="M569" s="98">
        <f ca="1"/>
        <v>-2.7208994857994715E-3</v>
      </c>
      <c r="N569" s="5" t="s">
        <v>4</v>
      </c>
      <c r="O569" s="100">
        <f ca="1">_xll.meDateFromTenor(O568,"1D","FOLLOWING",P$12)</f>
        <v>43304</v>
      </c>
      <c r="P569" s="13">
        <f ca="1">_xll.meDateFromTenor(O569,P$14,P$11,P$12)</f>
        <v>43488</v>
      </c>
      <c r="Q569" s="98">
        <f ca="1"/>
        <v>-9.5320493351071212E-4</v>
      </c>
      <c r="R569" s="5" t="s">
        <v>4</v>
      </c>
      <c r="S569" s="100">
        <f ca="1">_xll.meDateFromTenor(S568,"1D","FOLLOWING",T$12)</f>
        <v>43304</v>
      </c>
      <c r="T569" s="13">
        <f ca="1">_xll.meDateFromTenor(S569,T$14,T$11,T$12)</f>
        <v>43669</v>
      </c>
      <c r="U569" s="98">
        <f ca="1"/>
        <v>1.0678178228074569E-3</v>
      </c>
      <c r="V569" s="5" t="s">
        <v>4</v>
      </c>
      <c r="W569" s="84" t="s">
        <v>4</v>
      </c>
    </row>
    <row r="570" spans="1:23" x14ac:dyDescent="0.25">
      <c r="A570" s="90">
        <v>551</v>
      </c>
      <c r="B570" s="83"/>
      <c r="C570" s="100">
        <f ca="1">_xll.meDateFromTenor(C569,"1D","FOLLOWING",D$12)</f>
        <v>43305</v>
      </c>
      <c r="D570" s="13">
        <f ca="1">_xll.meDateFromTenor(C570,D$14,D$11,D$12)</f>
        <v>43306</v>
      </c>
      <c r="E570" s="98">
        <f ca="1"/>
        <v>-3.9179716333270914E-3</v>
      </c>
      <c r="F570" s="94"/>
      <c r="G570" s="100">
        <f ca="1">_xll.meDateFromTenor(G569,"1D","FOLLOWING",H$12)</f>
        <v>43305</v>
      </c>
      <c r="H570" s="13">
        <f ca="1">_xll.meDateFromTenor(G570,H$14,H$11,H$12)</f>
        <v>43336</v>
      </c>
      <c r="I570" s="98">
        <f ca="1"/>
        <v>-3.43984939892819E-3</v>
      </c>
      <c r="J570" s="94" t="s">
        <v>4</v>
      </c>
      <c r="K570" s="100">
        <f ca="1">_xll.meDateFromTenor(K569,"1D","FOLLOWING",L$12)</f>
        <v>43305</v>
      </c>
      <c r="L570" s="13">
        <f ca="1">_xll.meDateFromTenor(K570,L$14,L$11,L$12)</f>
        <v>43397</v>
      </c>
      <c r="M570" s="98">
        <f ca="1"/>
        <v>-2.709905366360238E-3</v>
      </c>
      <c r="N570" s="5" t="s">
        <v>4</v>
      </c>
      <c r="O570" s="100">
        <f ca="1">_xll.meDateFromTenor(O569,"1D","FOLLOWING",P$12)</f>
        <v>43305</v>
      </c>
      <c r="P570" s="13">
        <f ca="1">_xll.meDateFromTenor(O570,P$14,P$11,P$12)</f>
        <v>43489</v>
      </c>
      <c r="Q570" s="98">
        <f ca="1"/>
        <v>-9.4902662371935758E-4</v>
      </c>
      <c r="R570" s="5" t="s">
        <v>4</v>
      </c>
      <c r="S570" s="100">
        <f ca="1">_xll.meDateFromTenor(S569,"1D","FOLLOWING",T$12)</f>
        <v>43305</v>
      </c>
      <c r="T570" s="13">
        <f ca="1">_xll.meDateFromTenor(S570,T$14,T$11,T$12)</f>
        <v>43670</v>
      </c>
      <c r="U570" s="98">
        <f ca="1"/>
        <v>1.0724656531352164E-3</v>
      </c>
      <c r="V570" s="5" t="s">
        <v>4</v>
      </c>
      <c r="W570" s="84" t="s">
        <v>4</v>
      </c>
    </row>
    <row r="571" spans="1:23" x14ac:dyDescent="0.25">
      <c r="A571" s="90">
        <v>552</v>
      </c>
      <c r="B571" s="83"/>
      <c r="C571" s="100">
        <f ca="1">_xll.meDateFromTenor(C570,"1D","FOLLOWING",D$12)</f>
        <v>43306</v>
      </c>
      <c r="D571" s="13">
        <f ca="1">_xll.meDateFromTenor(C571,D$14,D$11,D$12)</f>
        <v>43307</v>
      </c>
      <c r="E571" s="98">
        <f ca="1"/>
        <v>-3.9149667492655166E-3</v>
      </c>
      <c r="F571" s="94"/>
      <c r="G571" s="100">
        <f ca="1">_xll.meDateFromTenor(G570,"1D","FOLLOWING",H$12)</f>
        <v>43306</v>
      </c>
      <c r="H571" s="13">
        <f ca="1">_xll.meDateFromTenor(G571,H$14,H$11,H$12)</f>
        <v>43339</v>
      </c>
      <c r="I571" s="98">
        <f ca="1"/>
        <v>-3.4365756833877152E-3</v>
      </c>
      <c r="J571" s="94" t="s">
        <v>4</v>
      </c>
      <c r="K571" s="100">
        <f ca="1">_xll.meDateFromTenor(K570,"1D","FOLLOWING",L$12)</f>
        <v>43306</v>
      </c>
      <c r="L571" s="13">
        <f ca="1">_xll.meDateFromTenor(K571,L$14,L$11,L$12)</f>
        <v>43398</v>
      </c>
      <c r="M571" s="98">
        <f ca="1"/>
        <v>-2.6989141403771641E-3</v>
      </c>
      <c r="N571" s="5" t="s">
        <v>4</v>
      </c>
      <c r="O571" s="100">
        <f ca="1">_xll.meDateFromTenor(O570,"1D","FOLLOWING",P$12)</f>
        <v>43306</v>
      </c>
      <c r="P571" s="13">
        <f ca="1">_xll.meDateFromTenor(O571,P$14,P$11,P$12)</f>
        <v>43490</v>
      </c>
      <c r="Q571" s="98">
        <f ca="1"/>
        <v>-9.4484041937056113E-4</v>
      </c>
      <c r="R571" s="5" t="s">
        <v>4</v>
      </c>
      <c r="S571" s="100">
        <f ca="1">_xll.meDateFromTenor(S570,"1D","FOLLOWING",T$12)</f>
        <v>43306</v>
      </c>
      <c r="T571" s="13">
        <f ca="1">_xll.meDateFromTenor(S571,T$14,T$11,T$12)</f>
        <v>43671</v>
      </c>
      <c r="U571" s="98">
        <f ca="1"/>
        <v>1.0771221459928259E-3</v>
      </c>
      <c r="V571" s="5" t="s">
        <v>4</v>
      </c>
      <c r="W571" s="84" t="s">
        <v>4</v>
      </c>
    </row>
    <row r="572" spans="1:23" x14ac:dyDescent="0.25">
      <c r="A572" s="90">
        <v>553</v>
      </c>
      <c r="B572" s="83"/>
      <c r="C572" s="100">
        <f ca="1">_xll.meDateFromTenor(C571,"1D","FOLLOWING",D$12)</f>
        <v>43307</v>
      </c>
      <c r="D572" s="13">
        <f ca="1">_xll.meDateFromTenor(C572,D$14,D$11,D$12)</f>
        <v>43308</v>
      </c>
      <c r="E572" s="98">
        <f ca="1"/>
        <v>-3.9119601768344975E-3</v>
      </c>
      <c r="F572" s="94"/>
      <c r="G572" s="100">
        <f ca="1">_xll.meDateFromTenor(G571,"1D","FOLLOWING",H$12)</f>
        <v>43307</v>
      </c>
      <c r="H572" s="13">
        <f ca="1">_xll.meDateFromTenor(G572,H$14,H$11,H$12)</f>
        <v>43339</v>
      </c>
      <c r="I572" s="98">
        <f ca="1"/>
        <v>-3.4333108097589393E-3</v>
      </c>
      <c r="J572" s="94" t="s">
        <v>4</v>
      </c>
      <c r="K572" s="100">
        <f ca="1">_xll.meDateFromTenor(K571,"1D","FOLLOWING",L$12)</f>
        <v>43307</v>
      </c>
      <c r="L572" s="13">
        <f ca="1">_xll.meDateFromTenor(K572,L$14,L$11,L$12)</f>
        <v>43399</v>
      </c>
      <c r="M572" s="98">
        <f ca="1"/>
        <v>-2.6879270116393883E-3</v>
      </c>
      <c r="N572" s="5" t="s">
        <v>4</v>
      </c>
      <c r="O572" s="100">
        <f ca="1">_xll.meDateFromTenor(O571,"1D","FOLLOWING",P$12)</f>
        <v>43307</v>
      </c>
      <c r="P572" s="13">
        <f ca="1">_xll.meDateFromTenor(O572,P$14,P$11,P$12)</f>
        <v>43493</v>
      </c>
      <c r="Q572" s="98">
        <f ca="1"/>
        <v>-9.4064632019429909E-4</v>
      </c>
      <c r="R572" s="5" t="s">
        <v>4</v>
      </c>
      <c r="S572" s="100">
        <f ca="1">_xll.meDateFromTenor(S571,"1D","FOLLOWING",T$12)</f>
        <v>43307</v>
      </c>
      <c r="T572" s="13">
        <f ca="1">_xll.meDateFromTenor(S572,T$14,T$11,T$12)</f>
        <v>43672</v>
      </c>
      <c r="U572" s="98">
        <f ca="1"/>
        <v>1.0817872659436307E-3</v>
      </c>
      <c r="V572" s="5" t="s">
        <v>4</v>
      </c>
      <c r="W572" s="84" t="s">
        <v>4</v>
      </c>
    </row>
    <row r="573" spans="1:23" x14ac:dyDescent="0.25">
      <c r="A573" s="90">
        <v>554</v>
      </c>
      <c r="B573" s="83"/>
      <c r="C573" s="100">
        <f ca="1">_xll.meDateFromTenor(C572,"1D","FOLLOWING",D$12)</f>
        <v>43308</v>
      </c>
      <c r="D573" s="13">
        <f ca="1">_xll.meDateFromTenor(C573,D$14,D$11,D$12)</f>
        <v>43311</v>
      </c>
      <c r="E573" s="98">
        <f ca="1"/>
        <v>-3.9058990260530113E-3</v>
      </c>
      <c r="F573" s="94"/>
      <c r="G573" s="100">
        <f ca="1">_xll.meDateFromTenor(G572,"1D","FOLLOWING",H$12)</f>
        <v>43308</v>
      </c>
      <c r="H573" s="13">
        <f ca="1">_xll.meDateFromTenor(G573,H$14,H$11,H$12)</f>
        <v>43339</v>
      </c>
      <c r="I573" s="98">
        <f ca="1"/>
        <v>-3.430054855153328E-3</v>
      </c>
      <c r="J573" s="94" t="s">
        <v>4</v>
      </c>
      <c r="K573" s="100">
        <f ca="1">_xll.meDateFromTenor(K572,"1D","FOLLOWING",L$12)</f>
        <v>43308</v>
      </c>
      <c r="L573" s="13">
        <f ca="1">_xll.meDateFromTenor(K573,L$14,L$11,L$12)</f>
        <v>43402</v>
      </c>
      <c r="M573" s="98">
        <f ca="1"/>
        <v>-2.6769451839360439E-3</v>
      </c>
      <c r="N573" s="5" t="s">
        <v>4</v>
      </c>
      <c r="O573" s="100">
        <f ca="1">_xll.meDateFromTenor(O572,"1D","FOLLOWING",P$12)</f>
        <v>43308</v>
      </c>
      <c r="P573" s="13">
        <f ca="1">_xll.meDateFromTenor(O573,P$14,P$11,P$12)</f>
        <v>43493</v>
      </c>
      <c r="Q573" s="98">
        <f ca="1"/>
        <v>-9.3644432592054612E-4</v>
      </c>
      <c r="R573" s="5" t="s">
        <v>4</v>
      </c>
      <c r="S573" s="100">
        <f ca="1">_xll.meDateFromTenor(S572,"1D","FOLLOWING",T$12)</f>
        <v>43308</v>
      </c>
      <c r="T573" s="13">
        <f ca="1">_xll.meDateFromTenor(S573,T$14,T$11,T$12)</f>
        <v>43675</v>
      </c>
      <c r="U573" s="98">
        <f ca="1"/>
        <v>1.0864609775509775E-3</v>
      </c>
      <c r="V573" s="5" t="s">
        <v>4</v>
      </c>
      <c r="W573" s="84" t="s">
        <v>4</v>
      </c>
    </row>
    <row r="574" spans="1:23" x14ac:dyDescent="0.25">
      <c r="A574" s="90">
        <v>555</v>
      </c>
      <c r="B574" s="83"/>
      <c r="C574" s="100">
        <f ca="1">_xll.meDateFromTenor(C573,"1D","FOLLOWING",D$12)</f>
        <v>43311</v>
      </c>
      <c r="D574" s="13">
        <f ca="1">_xll.meDateFromTenor(C574,D$14,D$11,D$12)</f>
        <v>43312</v>
      </c>
      <c r="E574" s="98">
        <f ca="1"/>
        <v>-3.8999170051346038E-3</v>
      </c>
      <c r="F574" s="94"/>
      <c r="G574" s="100">
        <f ca="1">_xll.meDateFromTenor(G573,"1D","FOLLOWING",H$12)</f>
        <v>43311</v>
      </c>
      <c r="H574" s="13">
        <f ca="1">_xll.meDateFromTenor(G574,H$14,H$11,H$12)</f>
        <v>43342</v>
      </c>
      <c r="I574" s="98">
        <f ca="1"/>
        <v>-3.4203412765901409E-3</v>
      </c>
      <c r="J574" s="94" t="s">
        <v>4</v>
      </c>
      <c r="K574" s="100">
        <f ca="1">_xll.meDateFromTenor(K573,"1D","FOLLOWING",L$12)</f>
        <v>43311</v>
      </c>
      <c r="L574" s="13">
        <f ca="1">_xll.meDateFromTenor(K574,L$14,L$11,L$12)</f>
        <v>43403</v>
      </c>
      <c r="M574" s="98">
        <f ca="1"/>
        <v>-2.6440435449239822E-3</v>
      </c>
      <c r="N574" s="5" t="s">
        <v>4</v>
      </c>
      <c r="O574" s="100">
        <f ca="1">_xll.meDateFromTenor(O573,"1D","FOLLOWING",P$12)</f>
        <v>43311</v>
      </c>
      <c r="P574" s="13">
        <f ca="1">_xll.meDateFromTenor(O574,P$14,P$11,P$12)</f>
        <v>43495</v>
      </c>
      <c r="Q574" s="98">
        <f ca="1"/>
        <v>-9.2379096981409965E-4</v>
      </c>
      <c r="R574" s="5" t="s">
        <v>4</v>
      </c>
      <c r="S574" s="100">
        <f ca="1">_xll.meDateFromTenor(S573,"1D","FOLLOWING",T$12)</f>
        <v>43311</v>
      </c>
      <c r="T574" s="13">
        <f ca="1">_xll.meDateFromTenor(S574,T$14,T$11,T$12)</f>
        <v>43676</v>
      </c>
      <c r="U574" s="98">
        <f ca="1"/>
        <v>1.1005333079457157E-3</v>
      </c>
      <c r="V574" s="5" t="s">
        <v>4</v>
      </c>
      <c r="W574" s="84" t="s">
        <v>4</v>
      </c>
    </row>
    <row r="575" spans="1:23" x14ac:dyDescent="0.25">
      <c r="A575" s="90">
        <v>556</v>
      </c>
      <c r="B575" s="83"/>
      <c r="C575" s="100">
        <f ca="1">_xll.meDateFromTenor(C574,"1D","FOLLOWING",D$12)</f>
        <v>43312</v>
      </c>
      <c r="D575" s="13">
        <f ca="1">_xll.meDateFromTenor(C575,D$14,D$11,D$12)</f>
        <v>43313</v>
      </c>
      <c r="E575" s="98">
        <f ca="1"/>
        <v>-3.89690199153582E-3</v>
      </c>
      <c r="F575" s="94"/>
      <c r="G575" s="100">
        <f ca="1">_xll.meDateFromTenor(G574,"1D","FOLLOWING",H$12)</f>
        <v>43312</v>
      </c>
      <c r="H575" s="13">
        <f ca="1">_xll.meDateFromTenor(G575,H$14,H$11,H$12)</f>
        <v>43343</v>
      </c>
      <c r="I575" s="98">
        <f ca="1"/>
        <v>-3.4171217691918486E-3</v>
      </c>
      <c r="J575" s="94" t="s">
        <v>4</v>
      </c>
      <c r="K575" s="100">
        <f ca="1">_xll.meDateFromTenor(K574,"1D","FOLLOWING",L$12)</f>
        <v>43312</v>
      </c>
      <c r="L575" s="13">
        <f ca="1">_xll.meDateFromTenor(K575,L$14,L$11,L$12)</f>
        <v>43404</v>
      </c>
      <c r="M575" s="98">
        <f ca="1"/>
        <v>-2.633094959249742E-3</v>
      </c>
      <c r="N575" s="5" t="s">
        <v>4</v>
      </c>
      <c r="O575" s="100">
        <f ca="1">_xll.meDateFromTenor(O574,"1D","FOLLOWING",P$12)</f>
        <v>43312</v>
      </c>
      <c r="P575" s="13">
        <f ca="1">_xll.meDateFromTenor(O575,P$14,P$11,P$12)</f>
        <v>43496</v>
      </c>
      <c r="Q575" s="98">
        <f ca="1"/>
        <v>-9.1955739245014052E-4</v>
      </c>
      <c r="R575" s="5" t="s">
        <v>4</v>
      </c>
      <c r="S575" s="100">
        <f ca="1">_xll.meDateFromTenor(S574,"1D","FOLLOWING",T$12)</f>
        <v>43312</v>
      </c>
      <c r="T575" s="13">
        <f ca="1">_xll.meDateFromTenor(S575,T$14,T$11,T$12)</f>
        <v>43677</v>
      </c>
      <c r="U575" s="98">
        <f ca="1"/>
        <v>1.1052410318126789E-3</v>
      </c>
      <c r="V575" s="5" t="s">
        <v>4</v>
      </c>
      <c r="W575" s="84" t="s">
        <v>4</v>
      </c>
    </row>
    <row r="576" spans="1:23" x14ac:dyDescent="0.25">
      <c r="A576" s="90">
        <v>557</v>
      </c>
      <c r="B576" s="83"/>
      <c r="C576" s="100">
        <f ca="1">_xll.meDateFromTenor(C575,"1D","FOLLOWING",D$12)</f>
        <v>43313</v>
      </c>
      <c r="D576" s="13">
        <f ca="1">_xll.meDateFromTenor(C576,D$14,D$11,D$12)</f>
        <v>43314</v>
      </c>
      <c r="E576" s="98">
        <f ca="1"/>
        <v>-3.8938852898074E-3</v>
      </c>
      <c r="F576" s="94"/>
      <c r="G576" s="100">
        <f ca="1">_xll.meDateFromTenor(G575,"1D","FOLLOWING",H$12)</f>
        <v>43313</v>
      </c>
      <c r="H576" s="13">
        <f ca="1">_xll.meDateFromTenor(G576,H$14,H$11,H$12)</f>
        <v>43346</v>
      </c>
      <c r="I576" s="98">
        <f ca="1"/>
        <v>-3.4139115663740513E-3</v>
      </c>
      <c r="J576" s="94" t="s">
        <v>4</v>
      </c>
      <c r="K576" s="100">
        <f ca="1">_xll.meDateFromTenor(K575,"1D","FOLLOWING",L$12)</f>
        <v>43313</v>
      </c>
      <c r="L576" s="13">
        <f ca="1">_xll.meDateFromTenor(K576,L$14,L$11,L$12)</f>
        <v>43405</v>
      </c>
      <c r="M576" s="98">
        <f ca="1"/>
        <v>-2.6221576935556217E-3</v>
      </c>
      <c r="N576" s="5" t="s">
        <v>4</v>
      </c>
      <c r="O576" s="100">
        <f ca="1">_xll.meDateFromTenor(O575,"1D","FOLLOWING",P$12)</f>
        <v>43313</v>
      </c>
      <c r="P576" s="13">
        <f ca="1">_xll.meDateFromTenor(O576,P$14,P$11,P$12)</f>
        <v>43497</v>
      </c>
      <c r="Q576" s="98">
        <f ca="1"/>
        <v>-9.153159186385695E-4</v>
      </c>
      <c r="R576" s="5" t="s">
        <v>4</v>
      </c>
      <c r="S576" s="100">
        <f ca="1">_xll.meDateFromTenor(S575,"1D","FOLLOWING",T$12)</f>
        <v>43313</v>
      </c>
      <c r="T576" s="13">
        <f ca="1">_xll.meDateFromTenor(S576,T$14,T$11,T$12)</f>
        <v>43678</v>
      </c>
      <c r="U576" s="98">
        <f ca="1"/>
        <v>1.1099571701529082E-3</v>
      </c>
      <c r="V576" s="5" t="s">
        <v>4</v>
      </c>
      <c r="W576" s="84" t="s">
        <v>4</v>
      </c>
    </row>
    <row r="577" spans="1:23" x14ac:dyDescent="0.25">
      <c r="A577" s="90">
        <v>558</v>
      </c>
      <c r="B577" s="83"/>
      <c r="C577" s="100">
        <f ca="1">_xll.meDateFromTenor(C576,"1D","FOLLOWING",D$12)</f>
        <v>43314</v>
      </c>
      <c r="D577" s="13">
        <f ca="1">_xll.meDateFromTenor(C577,D$14,D$11,D$12)</f>
        <v>43315</v>
      </c>
      <c r="E577" s="98">
        <f ca="1"/>
        <v>-3.8908668997894719E-3</v>
      </c>
      <c r="F577" s="94"/>
      <c r="G577" s="100">
        <f ca="1">_xll.meDateFromTenor(G576,"1D","FOLLOWING",H$12)</f>
        <v>43314</v>
      </c>
      <c r="H577" s="13">
        <f ca="1">_xll.meDateFromTenor(G577,H$14,H$11,H$12)</f>
        <v>43346</v>
      </c>
      <c r="I577" s="98">
        <f ca="1"/>
        <v>-3.4107107452482147E-3</v>
      </c>
      <c r="J577" s="94" t="s">
        <v>4</v>
      </c>
      <c r="K577" s="100">
        <f ca="1">_xll.meDateFromTenor(K576,"1D","FOLLOWING",L$12)</f>
        <v>43314</v>
      </c>
      <c r="L577" s="13">
        <f ca="1">_xll.meDateFromTenor(K577,L$14,L$11,L$12)</f>
        <v>43406</v>
      </c>
      <c r="M577" s="98">
        <f ca="1"/>
        <v>-2.6112329516307562E-3</v>
      </c>
      <c r="N577" s="5" t="s">
        <v>4</v>
      </c>
      <c r="O577" s="100">
        <f ca="1">_xll.meDateFromTenor(O576,"1D","FOLLOWING",P$12)</f>
        <v>43314</v>
      </c>
      <c r="P577" s="13">
        <f ca="1">_xll.meDateFromTenor(O577,P$14,P$11,P$12)</f>
        <v>43500</v>
      </c>
      <c r="Q577" s="98">
        <f ca="1"/>
        <v>-9.1106654810936116E-4</v>
      </c>
      <c r="R577" s="5" t="s">
        <v>4</v>
      </c>
      <c r="S577" s="100">
        <f ca="1">_xll.meDateFromTenor(S576,"1D","FOLLOWING",T$12)</f>
        <v>43314</v>
      </c>
      <c r="T577" s="13">
        <f ca="1">_xll.meDateFromTenor(S577,T$14,T$11,T$12)</f>
        <v>43679</v>
      </c>
      <c r="U577" s="98">
        <f ca="1"/>
        <v>1.1146816875297505E-3</v>
      </c>
      <c r="V577" s="5" t="s">
        <v>4</v>
      </c>
      <c r="W577" s="84" t="s">
        <v>4</v>
      </c>
    </row>
    <row r="578" spans="1:23" x14ac:dyDescent="0.25">
      <c r="A578" s="90">
        <v>559</v>
      </c>
      <c r="B578" s="83"/>
      <c r="C578" s="100">
        <f ca="1">_xll.meDateFromTenor(C577,"1D","FOLLOWING",D$12)</f>
        <v>43315</v>
      </c>
      <c r="D578" s="13">
        <f ca="1">_xll.meDateFromTenor(C578,D$14,D$11,D$12)</f>
        <v>43318</v>
      </c>
      <c r="E578" s="98">
        <f ca="1"/>
        <v>-3.8847825705890099E-3</v>
      </c>
      <c r="F578" s="94"/>
      <c r="G578" s="100">
        <f ca="1">_xll.meDateFromTenor(G577,"1D","FOLLOWING",H$12)</f>
        <v>43315</v>
      </c>
      <c r="H578" s="13">
        <f ca="1">_xll.meDateFromTenor(G578,H$14,H$11,H$12)</f>
        <v>43346</v>
      </c>
      <c r="I578" s="98">
        <f ca="1"/>
        <v>-3.4075192038870777E-3</v>
      </c>
      <c r="J578" s="94" t="s">
        <v>4</v>
      </c>
      <c r="K578" s="100">
        <f ca="1">_xll.meDateFromTenor(K577,"1D","FOLLOWING",L$12)</f>
        <v>43315</v>
      </c>
      <c r="L578" s="13">
        <f ca="1">_xll.meDateFromTenor(K578,L$14,L$11,L$12)</f>
        <v>43409</v>
      </c>
      <c r="M578" s="98">
        <f ca="1"/>
        <v>-2.6003219372642849E-3</v>
      </c>
      <c r="N578" s="5" t="s">
        <v>4</v>
      </c>
      <c r="O578" s="100">
        <f ca="1">_xll.meDateFromTenor(O577,"1D","FOLLOWING",P$12)</f>
        <v>43315</v>
      </c>
      <c r="P578" s="13">
        <f ca="1">_xll.meDateFromTenor(O578,P$14,P$11,P$12)</f>
        <v>43500</v>
      </c>
      <c r="Q578" s="98">
        <f ca="1"/>
        <v>-9.0680928059249223E-4</v>
      </c>
      <c r="R578" s="5" t="s">
        <v>4</v>
      </c>
      <c r="S578" s="100">
        <f ca="1">_xll.meDateFromTenor(S577,"1D","FOLLOWING",T$12)</f>
        <v>43315</v>
      </c>
      <c r="T578" s="13">
        <f ca="1">_xll.meDateFromTenor(S578,T$14,T$11,T$12)</f>
        <v>43682</v>
      </c>
      <c r="U578" s="98">
        <f ca="1"/>
        <v>1.1194145485065496E-3</v>
      </c>
      <c r="V578" s="5" t="s">
        <v>4</v>
      </c>
      <c r="W578" s="84" t="s">
        <v>4</v>
      </c>
    </row>
    <row r="579" spans="1:23" x14ac:dyDescent="0.25">
      <c r="A579" s="90">
        <v>560</v>
      </c>
      <c r="B579" s="83"/>
      <c r="C579" s="100">
        <f ca="1">_xll.meDateFromTenor(C578,"1D","FOLLOWING",D$12)</f>
        <v>43318</v>
      </c>
      <c r="D579" s="13">
        <f ca="1">_xll.meDateFromTenor(C579,D$14,D$11,D$12)</f>
        <v>43319</v>
      </c>
      <c r="E579" s="98">
        <f ca="1"/>
        <v>-3.8787764573022937E-3</v>
      </c>
      <c r="F579" s="94"/>
      <c r="G579" s="100">
        <f ca="1">_xll.meDateFromTenor(G578,"1D","FOLLOWING",H$12)</f>
        <v>43318</v>
      </c>
      <c r="H579" s="13">
        <f ca="1">_xll.meDateFromTenor(G579,H$14,H$11,H$12)</f>
        <v>43349</v>
      </c>
      <c r="I579" s="98">
        <f ca="1"/>
        <v>-3.3979913614151811E-3</v>
      </c>
      <c r="J579" s="94" t="s">
        <v>4</v>
      </c>
      <c r="K579" s="100">
        <f ca="1">_xll.meDateFromTenor(K578,"1D","FOLLOWING",L$12)</f>
        <v>43318</v>
      </c>
      <c r="L579" s="13">
        <f ca="1">_xll.meDateFromTenor(K579,L$14,L$11,L$12)</f>
        <v>43410</v>
      </c>
      <c r="M579" s="98">
        <f ca="1"/>
        <v>-2.5676832974065927E-3</v>
      </c>
      <c r="N579" s="5" t="s">
        <v>4</v>
      </c>
      <c r="O579" s="100">
        <f ca="1">_xll.meDateFromTenor(O578,"1D","FOLLOWING",P$12)</f>
        <v>43318</v>
      </c>
      <c r="P579" s="13">
        <f ca="1">_xll.meDateFromTenor(O579,P$14,P$11,P$12)</f>
        <v>43502</v>
      </c>
      <c r="Q579" s="98">
        <f ca="1"/>
        <v>-8.9399009341567233E-4</v>
      </c>
      <c r="R579" s="5" t="s">
        <v>4</v>
      </c>
      <c r="S579" s="100">
        <f ca="1">_xll.meDateFromTenor(S578,"1D","FOLLOWING",T$12)</f>
        <v>43318</v>
      </c>
      <c r="T579" s="13">
        <f ca="1">_xll.meDateFromTenor(S579,T$14,T$11,T$12)</f>
        <v>43683</v>
      </c>
      <c r="U579" s="98">
        <f ca="1"/>
        <v>1.1336628386701469E-3</v>
      </c>
      <c r="V579" s="5" t="s">
        <v>4</v>
      </c>
      <c r="W579" s="84" t="s">
        <v>4</v>
      </c>
    </row>
    <row r="580" spans="1:23" x14ac:dyDescent="0.25">
      <c r="A580" s="90">
        <v>561</v>
      </c>
      <c r="B580" s="83"/>
      <c r="C580" s="100">
        <f ca="1">_xll.meDateFromTenor(C579,"1D","FOLLOWING",D$12)</f>
        <v>43319</v>
      </c>
      <c r="D580" s="13">
        <f ca="1">_xll.meDateFromTenor(C580,D$14,D$11,D$12)</f>
        <v>43320</v>
      </c>
      <c r="E580" s="98">
        <f ca="1"/>
        <v>-3.8757496259567287E-3</v>
      </c>
      <c r="F580" s="94"/>
      <c r="G580" s="100">
        <f ca="1">_xll.meDateFromTenor(G579,"1D","FOLLOWING",H$12)</f>
        <v>43319</v>
      </c>
      <c r="H580" s="13">
        <f ca="1">_xll.meDateFromTenor(G580,H$14,H$11,H$12)</f>
        <v>43350</v>
      </c>
      <c r="I580" s="98">
        <f ca="1"/>
        <v>-3.3948276840587051E-3</v>
      </c>
      <c r="J580" s="94" t="s">
        <v>4</v>
      </c>
      <c r="K580" s="100">
        <f ca="1">_xll.meDateFromTenor(K579,"1D","FOLLOWING",L$12)</f>
        <v>43319</v>
      </c>
      <c r="L580" s="13">
        <f ca="1">_xll.meDateFromTenor(K580,L$14,L$11,L$12)</f>
        <v>43411</v>
      </c>
      <c r="M580" s="98">
        <f ca="1"/>
        <v>-2.5568392311650615E-3</v>
      </c>
      <c r="N580" s="5" t="s">
        <v>4</v>
      </c>
      <c r="O580" s="100">
        <f ca="1">_xll.meDateFromTenor(O579,"1D","FOLLOWING",P$12)</f>
        <v>43319</v>
      </c>
      <c r="P580" s="13">
        <f ca="1">_xll.meDateFromTenor(O580,P$14,P$11,P$12)</f>
        <v>43503</v>
      </c>
      <c r="Q580" s="98">
        <f ca="1"/>
        <v>-8.8970123524791404E-4</v>
      </c>
      <c r="R580" s="5" t="s">
        <v>4</v>
      </c>
      <c r="S580" s="100">
        <f ca="1">_xll.meDateFromTenor(S579,"1D","FOLLOWING",T$12)</f>
        <v>43319</v>
      </c>
      <c r="T580" s="13">
        <f ca="1">_xll.meDateFromTenor(S580,T$14,T$11,T$12)</f>
        <v>43684</v>
      </c>
      <c r="U580" s="98">
        <f ca="1"/>
        <v>1.1384287196802292E-3</v>
      </c>
      <c r="V580" s="5" t="s">
        <v>4</v>
      </c>
      <c r="W580" s="84" t="s">
        <v>4</v>
      </c>
    </row>
    <row r="581" spans="1:23" x14ac:dyDescent="0.25">
      <c r="A581" s="90">
        <v>562</v>
      </c>
      <c r="B581" s="83"/>
      <c r="C581" s="100">
        <f ca="1">_xll.meDateFromTenor(C580,"1D","FOLLOWING",D$12)</f>
        <v>43320</v>
      </c>
      <c r="D581" s="13">
        <f ca="1">_xll.meDateFromTenor(C581,D$14,D$11,D$12)</f>
        <v>43321</v>
      </c>
      <c r="E581" s="98">
        <f ca="1"/>
        <v>-3.8727211067213357E-3</v>
      </c>
      <c r="F581" s="94"/>
      <c r="G581" s="100">
        <f ca="1">_xll.meDateFromTenor(G580,"1D","FOLLOWING",H$12)</f>
        <v>43320</v>
      </c>
      <c r="H581" s="13">
        <f ca="1">_xll.meDateFromTenor(G581,H$14,H$11,H$12)</f>
        <v>43353</v>
      </c>
      <c r="I581" s="98">
        <f ca="1"/>
        <v>-3.3916684799011327E-3</v>
      </c>
      <c r="J581" s="94" t="s">
        <v>4</v>
      </c>
      <c r="K581" s="100">
        <f ca="1">_xll.meDateFromTenor(K580,"1D","FOLLOWING",L$12)</f>
        <v>43320</v>
      </c>
      <c r="L581" s="13">
        <f ca="1">_xll.meDateFromTenor(K581,L$14,L$11,L$12)</f>
        <v>43412</v>
      </c>
      <c r="M581" s="98">
        <f ca="1"/>
        <v>-2.546014911427608E-3</v>
      </c>
      <c r="N581" s="5" t="s">
        <v>4</v>
      </c>
      <c r="O581" s="100">
        <f ca="1">_xll.meDateFromTenor(O580,"1D","FOLLOWING",P$12)</f>
        <v>43320</v>
      </c>
      <c r="P581" s="13">
        <f ca="1">_xll.meDateFromTenor(O581,P$14,P$11,P$12)</f>
        <v>43504</v>
      </c>
      <c r="Q581" s="98">
        <f ca="1"/>
        <v>-8.8540447874237279E-4</v>
      </c>
      <c r="R581" s="5" t="s">
        <v>4</v>
      </c>
      <c r="S581" s="100">
        <f ca="1">_xll.meDateFromTenor(S580,"1D","FOLLOWING",T$12)</f>
        <v>43320</v>
      </c>
      <c r="T581" s="13">
        <f ca="1">_xll.meDateFromTenor(S581,T$14,T$11,T$12)</f>
        <v>43685</v>
      </c>
      <c r="U581" s="98">
        <f ca="1"/>
        <v>1.143202767106995E-3</v>
      </c>
      <c r="V581" s="5" t="s">
        <v>4</v>
      </c>
      <c r="W581" s="84" t="s">
        <v>4</v>
      </c>
    </row>
    <row r="582" spans="1:23" x14ac:dyDescent="0.25">
      <c r="A582" s="90">
        <v>563</v>
      </c>
      <c r="B582" s="83"/>
      <c r="C582" s="100">
        <f ca="1">_xll.meDateFromTenor(C581,"1D","FOLLOWING",D$12)</f>
        <v>43321</v>
      </c>
      <c r="D582" s="13">
        <f ca="1">_xll.meDateFromTenor(C582,D$14,D$11,D$12)</f>
        <v>43322</v>
      </c>
      <c r="E582" s="98">
        <f ca="1"/>
        <v>-3.8696908988367223E-3</v>
      </c>
      <c r="F582" s="94"/>
      <c r="G582" s="100">
        <f ca="1">_xll.meDateFromTenor(G581,"1D","FOLLOWING",H$12)</f>
        <v>43321</v>
      </c>
      <c r="H582" s="13">
        <f ca="1">_xll.meDateFromTenor(G582,H$14,H$11,H$12)</f>
        <v>43353</v>
      </c>
      <c r="I582" s="98">
        <f ca="1"/>
        <v>-3.3885127518215596E-3</v>
      </c>
      <c r="J582" s="94" t="s">
        <v>4</v>
      </c>
      <c r="K582" s="100">
        <f ca="1">_xll.meDateFromTenor(K581,"1D","FOLLOWING",L$12)</f>
        <v>43321</v>
      </c>
      <c r="L582" s="13">
        <f ca="1">_xll.meDateFromTenor(K582,L$14,L$11,L$12)</f>
        <v>43413</v>
      </c>
      <c r="M582" s="98">
        <f ca="1"/>
        <v>-2.5352115419833695E-3</v>
      </c>
      <c r="N582" s="5" t="s">
        <v>4</v>
      </c>
      <c r="O582" s="100">
        <f ca="1">_xll.meDateFromTenor(O581,"1D","FOLLOWING",P$12)</f>
        <v>43321</v>
      </c>
      <c r="P582" s="13">
        <f ca="1">_xll.meDateFromTenor(O582,P$14,P$11,P$12)</f>
        <v>43507</v>
      </c>
      <c r="Q582" s="98">
        <f ca="1"/>
        <v>-8.8109982362902391E-4</v>
      </c>
      <c r="R582" s="5" t="s">
        <v>4</v>
      </c>
      <c r="S582" s="100">
        <f ca="1">_xll.meDateFromTenor(S581,"1D","FOLLOWING",T$12)</f>
        <v>43321</v>
      </c>
      <c r="T582" s="13">
        <f ca="1">_xll.meDateFromTenor(S582,T$14,T$11,T$12)</f>
        <v>43686</v>
      </c>
      <c r="U582" s="98">
        <f ca="1"/>
        <v>1.1479849455137898E-3</v>
      </c>
      <c r="V582" s="5" t="s">
        <v>4</v>
      </c>
      <c r="W582" s="84" t="s">
        <v>4</v>
      </c>
    </row>
    <row r="583" spans="1:23" x14ac:dyDescent="0.25">
      <c r="A583" s="90">
        <v>564</v>
      </c>
      <c r="B583" s="83"/>
      <c r="C583" s="100">
        <f ca="1">_xll.meDateFromTenor(C582,"1D","FOLLOWING",D$12)</f>
        <v>43322</v>
      </c>
      <c r="D583" s="13">
        <f ca="1">_xll.meDateFromTenor(C583,D$14,D$11,D$12)</f>
        <v>43325</v>
      </c>
      <c r="E583" s="98">
        <f ca="1"/>
        <v>-3.8635833905109745E-3</v>
      </c>
      <c r="F583" s="94"/>
      <c r="G583" s="100">
        <f ca="1">_xll.meDateFromTenor(G582,"1D","FOLLOWING",H$12)</f>
        <v>43322</v>
      </c>
      <c r="H583" s="13">
        <f ca="1">_xll.meDateFromTenor(G583,H$14,H$11,H$12)</f>
        <v>43353</v>
      </c>
      <c r="I583" s="98">
        <f ca="1"/>
        <v>-3.3853595026990821E-3</v>
      </c>
      <c r="J583" s="94" t="s">
        <v>4</v>
      </c>
      <c r="K583" s="100">
        <f ca="1">_xll.meDateFromTenor(K582,"1D","FOLLOWING",L$12)</f>
        <v>43322</v>
      </c>
      <c r="L583" s="13">
        <f ca="1">_xll.meDateFromTenor(K583,L$14,L$11,L$12)</f>
        <v>43416</v>
      </c>
      <c r="M583" s="98">
        <f ca="1"/>
        <v>-2.5244303266214853E-3</v>
      </c>
      <c r="N583" s="5" t="s">
        <v>4</v>
      </c>
      <c r="O583" s="100">
        <f ca="1">_xll.meDateFromTenor(O582,"1D","FOLLOWING",P$12)</f>
        <v>43322</v>
      </c>
      <c r="P583" s="13">
        <f ca="1">_xll.meDateFromTenor(O583,P$14,P$11,P$12)</f>
        <v>43507</v>
      </c>
      <c r="Q583" s="98">
        <f ca="1"/>
        <v>-8.7678726963784414E-4</v>
      </c>
      <c r="R583" s="5" t="s">
        <v>4</v>
      </c>
      <c r="S583" s="100">
        <f ca="1">_xll.meDateFromTenor(S582,"1D","FOLLOWING",T$12)</f>
        <v>43322</v>
      </c>
      <c r="T583" s="13">
        <f ca="1">_xll.meDateFromTenor(S583,T$14,T$11,T$12)</f>
        <v>43689</v>
      </c>
      <c r="U583" s="98">
        <f ca="1"/>
        <v>1.1527752194639576E-3</v>
      </c>
      <c r="V583" s="5" t="s">
        <v>4</v>
      </c>
      <c r="W583" s="84" t="s">
        <v>4</v>
      </c>
    </row>
    <row r="584" spans="1:23" x14ac:dyDescent="0.25">
      <c r="A584" s="90">
        <v>565</v>
      </c>
      <c r="B584" s="83"/>
      <c r="C584" s="100">
        <f ca="1">_xll.meDateFromTenor(C583,"1D","FOLLOWING",D$12)</f>
        <v>43325</v>
      </c>
      <c r="D584" s="13">
        <f ca="1">_xll.meDateFromTenor(C584,D$14,D$11,D$12)</f>
        <v>43326</v>
      </c>
      <c r="E584" s="98">
        <f ca="1"/>
        <v>-3.8575531855222916E-3</v>
      </c>
      <c r="F584" s="94"/>
      <c r="G584" s="100">
        <f ca="1">_xll.meDateFromTenor(G583,"1D","FOLLOWING",H$12)</f>
        <v>43325</v>
      </c>
      <c r="H584" s="13">
        <f ca="1">_xll.meDateFromTenor(G584,H$14,H$11,H$12)</f>
        <v>43356</v>
      </c>
      <c r="I584" s="98">
        <f ca="1"/>
        <v>-3.3759046578651654E-3</v>
      </c>
      <c r="J584" s="94" t="s">
        <v>4</v>
      </c>
      <c r="K584" s="100">
        <f ca="1">_xll.meDateFromTenor(K583,"1D","FOLLOWING",L$12)</f>
        <v>43325</v>
      </c>
      <c r="L584" s="13">
        <f ca="1">_xll.meDateFromTenor(K584,L$14,L$11,L$12)</f>
        <v>43417</v>
      </c>
      <c r="M584" s="98">
        <f ca="1"/>
        <v>-2.4922316429213127E-3</v>
      </c>
      <c r="N584" s="5" t="s">
        <v>4</v>
      </c>
      <c r="O584" s="100">
        <f ca="1">_xll.meDateFromTenor(O583,"1D","FOLLOWING",P$12)</f>
        <v>43325</v>
      </c>
      <c r="P584" s="13">
        <f ca="1">_xll.meDateFromTenor(O584,P$14,P$11,P$12)</f>
        <v>43509</v>
      </c>
      <c r="Q584" s="98">
        <f ca="1"/>
        <v>-8.6380221169706818E-4</v>
      </c>
      <c r="R584" s="5" t="s">
        <v>4</v>
      </c>
      <c r="S584" s="100">
        <f ca="1">_xll.meDateFromTenor(S583,"1D","FOLLOWING",T$12)</f>
        <v>43325</v>
      </c>
      <c r="T584" s="13">
        <f ca="1">_xll.meDateFromTenor(S584,T$14,T$11,T$12)</f>
        <v>43690</v>
      </c>
      <c r="U584" s="98">
        <f ca="1"/>
        <v>1.1671942602081594E-3</v>
      </c>
      <c r="V584" s="5" t="s">
        <v>4</v>
      </c>
      <c r="W584" s="84" t="s">
        <v>4</v>
      </c>
    </row>
    <row r="585" spans="1:23" x14ac:dyDescent="0.25">
      <c r="A585" s="90">
        <v>566</v>
      </c>
      <c r="B585" s="83"/>
      <c r="C585" s="100">
        <f ca="1">_xll.meDateFromTenor(C584,"1D","FOLLOWING",D$12)</f>
        <v>43326</v>
      </c>
      <c r="D585" s="13">
        <f ca="1">_xll.meDateFromTenor(C585,D$14,D$11,D$12)</f>
        <v>43327</v>
      </c>
      <c r="E585" s="98">
        <f ca="1"/>
        <v>-3.8545145363500094E-3</v>
      </c>
      <c r="F585" s="94"/>
      <c r="G585" s="100">
        <f ca="1">_xll.meDateFromTenor(G584,"1D","FOLLOWING",H$12)</f>
        <v>43326</v>
      </c>
      <c r="H585" s="13">
        <f ca="1">_xll.meDateFromTenor(G585,H$14,H$11,H$12)</f>
        <v>43357</v>
      </c>
      <c r="I585" s="98">
        <f ca="1"/>
        <v>-3.3727513533620174E-3</v>
      </c>
      <c r="J585" s="94" t="s">
        <v>4</v>
      </c>
      <c r="K585" s="100">
        <f ca="1">_xll.meDateFromTenor(K584,"1D","FOLLOWING",L$12)</f>
        <v>43326</v>
      </c>
      <c r="L585" s="13">
        <f ca="1">_xll.meDateFromTenor(K585,L$14,L$11,L$12)</f>
        <v>43418</v>
      </c>
      <c r="M585" s="98">
        <f ca="1"/>
        <v>-2.4815510817802065E-3</v>
      </c>
      <c r="N585" s="5" t="s">
        <v>4</v>
      </c>
      <c r="O585" s="100">
        <f ca="1">_xll.meDateFromTenor(O584,"1D","FOLLOWING",P$12)</f>
        <v>43326</v>
      </c>
      <c r="P585" s="13">
        <f ca="1">_xll.meDateFromTenor(O585,P$14,P$11,P$12)</f>
        <v>43510</v>
      </c>
      <c r="Q585" s="98">
        <f ca="1"/>
        <v>-8.5945805949431649E-4</v>
      </c>
      <c r="R585" s="5" t="s">
        <v>4</v>
      </c>
      <c r="S585" s="100">
        <f ca="1">_xll.meDateFromTenor(S584,"1D","FOLLOWING",T$12)</f>
        <v>43326</v>
      </c>
      <c r="T585" s="13">
        <f ca="1">_xll.meDateFromTenor(S585,T$14,T$11,T$12)</f>
        <v>43691</v>
      </c>
      <c r="U585" s="98">
        <f ca="1"/>
        <v>1.1720165619652763E-3</v>
      </c>
      <c r="V585" s="5" t="s">
        <v>4</v>
      </c>
      <c r="W585" s="84" t="s">
        <v>4</v>
      </c>
    </row>
    <row r="586" spans="1:23" x14ac:dyDescent="0.25">
      <c r="A586" s="90">
        <v>567</v>
      </c>
      <c r="B586" s="83"/>
      <c r="C586" s="100">
        <f ca="1">_xll.meDateFromTenor(C585,"1D","FOLLOWING",D$12)</f>
        <v>43327</v>
      </c>
      <c r="D586" s="13">
        <f ca="1">_xll.meDateFromTenor(C586,D$14,D$11,D$12)</f>
        <v>43328</v>
      </c>
      <c r="E586" s="98">
        <f ca="1"/>
        <v>-3.8514741992079632E-3</v>
      </c>
      <c r="F586" s="94"/>
      <c r="G586" s="100">
        <f ca="1">_xll.meDateFromTenor(G585,"1D","FOLLOWING",H$12)</f>
        <v>43327</v>
      </c>
      <c r="H586" s="13">
        <f ca="1">_xll.meDateFromTenor(G586,H$14,H$11,H$12)</f>
        <v>43360</v>
      </c>
      <c r="I586" s="98">
        <f ca="1"/>
        <v>-3.3695955422114398E-3</v>
      </c>
      <c r="J586" s="94" t="s">
        <v>4</v>
      </c>
      <c r="K586" s="100">
        <f ca="1">_xll.meDateFromTenor(K585,"1D","FOLLOWING",L$12)</f>
        <v>43327</v>
      </c>
      <c r="L586" s="13">
        <f ca="1">_xll.meDateFromTenor(K586,L$14,L$11,L$12)</f>
        <v>43419</v>
      </c>
      <c r="M586" s="98">
        <f ca="1"/>
        <v>-2.4708986936671372E-3</v>
      </c>
      <c r="N586" s="5" t="s">
        <v>4</v>
      </c>
      <c r="O586" s="100">
        <f ca="1">_xll.meDateFromTenor(O585,"1D","FOLLOWING",P$12)</f>
        <v>43327</v>
      </c>
      <c r="P586" s="13">
        <f ca="1">_xll.meDateFromTenor(O586,P$14,P$11,P$12)</f>
        <v>43511</v>
      </c>
      <c r="Q586" s="98">
        <f ca="1"/>
        <v>-8.5510600706361099E-4</v>
      </c>
      <c r="R586" s="5" t="s">
        <v>4</v>
      </c>
      <c r="S586" s="100">
        <f ca="1">_xll.meDateFromTenor(S585,"1D","FOLLOWING",T$12)</f>
        <v>43327</v>
      </c>
      <c r="T586" s="13">
        <f ca="1">_xll.meDateFromTenor(S586,T$14,T$11,T$12)</f>
        <v>43692</v>
      </c>
      <c r="U586" s="98">
        <f ca="1"/>
        <v>1.1768467820824932E-3</v>
      </c>
      <c r="V586" s="5" t="s">
        <v>4</v>
      </c>
      <c r="W586" s="84" t="s">
        <v>4</v>
      </c>
    </row>
    <row r="587" spans="1:23" x14ac:dyDescent="0.25">
      <c r="A587" s="90">
        <v>568</v>
      </c>
      <c r="B587" s="83"/>
      <c r="C587" s="100">
        <f ca="1">_xll.meDateFromTenor(C586,"1D","FOLLOWING",D$12)</f>
        <v>43328</v>
      </c>
      <c r="D587" s="13">
        <f ca="1">_xll.meDateFromTenor(C587,D$14,D$11,D$12)</f>
        <v>43329</v>
      </c>
      <c r="E587" s="98">
        <f ca="1"/>
        <v>-3.8484321736165367E-3</v>
      </c>
      <c r="F587" s="94"/>
      <c r="G587" s="100">
        <f ca="1">_xll.meDateFromTenor(G586,"1D","FOLLOWING",H$12)</f>
        <v>43328</v>
      </c>
      <c r="H587" s="13">
        <f ca="1">_xll.meDateFromTenor(G587,H$14,H$11,H$12)</f>
        <v>43360</v>
      </c>
      <c r="I587" s="98">
        <f ca="1"/>
        <v>-3.3664362272925281E-3</v>
      </c>
      <c r="J587" s="94" t="s">
        <v>4</v>
      </c>
      <c r="K587" s="100">
        <f ca="1">_xll.meDateFromTenor(K586,"1D","FOLLOWING",L$12)</f>
        <v>43328</v>
      </c>
      <c r="L587" s="13">
        <f ca="1">_xll.meDateFromTenor(K587,L$14,L$11,L$12)</f>
        <v>43420</v>
      </c>
      <c r="M587" s="98">
        <f ca="1"/>
        <v>-2.4602756823712425E-3</v>
      </c>
      <c r="N587" s="5" t="s">
        <v>4</v>
      </c>
      <c r="O587" s="100">
        <f ca="1">_xll.meDateFromTenor(O586,"1D","FOLLOWING",P$12)</f>
        <v>43328</v>
      </c>
      <c r="P587" s="13">
        <f ca="1">_xll.meDateFromTenor(O587,P$14,P$11,P$12)</f>
        <v>43514</v>
      </c>
      <c r="Q587" s="98">
        <f ca="1"/>
        <v>-8.5074605413492732E-4</v>
      </c>
      <c r="R587" s="5" t="s">
        <v>4</v>
      </c>
      <c r="S587" s="100">
        <f ca="1">_xll.meDateFromTenor(S586,"1D","FOLLOWING",T$12)</f>
        <v>43328</v>
      </c>
      <c r="T587" s="13">
        <f ca="1">_xll.meDateFromTenor(S587,T$14,T$11,T$12)</f>
        <v>43693</v>
      </c>
      <c r="U587" s="98">
        <f ca="1"/>
        <v>1.1816848851231554E-3</v>
      </c>
      <c r="V587" s="5" t="s">
        <v>4</v>
      </c>
      <c r="W587" s="84" t="s">
        <v>4</v>
      </c>
    </row>
    <row r="588" spans="1:23" x14ac:dyDescent="0.25">
      <c r="A588" s="90">
        <v>569</v>
      </c>
      <c r="B588" s="83"/>
      <c r="C588" s="100">
        <f ca="1">_xll.meDateFromTenor(C587,"1D","FOLLOWING",D$12)</f>
        <v>43329</v>
      </c>
      <c r="D588" s="13">
        <f ca="1">_xll.meDateFromTenor(C588,D$14,D$11,D$12)</f>
        <v>43332</v>
      </c>
      <c r="E588" s="98">
        <f ca="1"/>
        <v>-3.8423014851529792E-3</v>
      </c>
      <c r="F588" s="94"/>
      <c r="G588" s="100">
        <f ca="1">_xll.meDateFromTenor(G587,"1D","FOLLOWING",H$12)</f>
        <v>43329</v>
      </c>
      <c r="H588" s="13">
        <f ca="1">_xll.meDateFromTenor(G588,H$14,H$11,H$12)</f>
        <v>43360</v>
      </c>
      <c r="I588" s="98">
        <f ca="1"/>
        <v>-3.3632724114843779E-3</v>
      </c>
      <c r="J588" s="94" t="s">
        <v>4</v>
      </c>
      <c r="K588" s="100">
        <f ca="1">_xll.meDateFromTenor(K587,"1D","FOLLOWING",L$12)</f>
        <v>43329</v>
      </c>
      <c r="L588" s="13">
        <f ca="1">_xll.meDateFromTenor(K588,L$14,L$11,L$12)</f>
        <v>43423</v>
      </c>
      <c r="M588" s="98">
        <f ca="1"/>
        <v>-2.4496832516816593E-3</v>
      </c>
      <c r="N588" s="5" t="s">
        <v>4</v>
      </c>
      <c r="O588" s="100">
        <f ca="1">_xll.meDateFromTenor(O587,"1D","FOLLOWING",P$12)</f>
        <v>43329</v>
      </c>
      <c r="P588" s="13">
        <f ca="1">_xll.meDateFromTenor(O588,P$14,P$11,P$12)</f>
        <v>43514</v>
      </c>
      <c r="Q588" s="98">
        <f ca="1"/>
        <v>-8.4637820043824115E-4</v>
      </c>
      <c r="R588" s="5" t="s">
        <v>4</v>
      </c>
      <c r="S588" s="100">
        <f ca="1">_xll.meDateFromTenor(S587,"1D","FOLLOWING",T$12)</f>
        <v>43329</v>
      </c>
      <c r="T588" s="13">
        <f ca="1">_xll.meDateFromTenor(S588,T$14,T$11,T$12)</f>
        <v>43696</v>
      </c>
      <c r="U588" s="98">
        <f ca="1"/>
        <v>1.1865308356506085E-3</v>
      </c>
      <c r="V588" s="5" t="s">
        <v>4</v>
      </c>
      <c r="W588" s="84" t="s">
        <v>4</v>
      </c>
    </row>
    <row r="589" spans="1:23" x14ac:dyDescent="0.25">
      <c r="A589" s="90">
        <v>570</v>
      </c>
      <c r="B589" s="83"/>
      <c r="C589" s="100">
        <f ca="1">_xll.meDateFromTenor(C588,"1D","FOLLOWING",D$12)</f>
        <v>43332</v>
      </c>
      <c r="D589" s="13">
        <f ca="1">_xll.meDateFromTenor(C589,D$14,D$11,D$12)</f>
        <v>43333</v>
      </c>
      <c r="E589" s="98">
        <f ca="1"/>
        <v>-3.8362471888753326E-3</v>
      </c>
      <c r="F589" s="94"/>
      <c r="G589" s="100">
        <f ca="1">_xll.meDateFromTenor(G588,"1D","FOLLOWING",H$12)</f>
        <v>43332</v>
      </c>
      <c r="H589" s="13">
        <f ca="1">_xll.meDateFromTenor(G589,H$14,H$11,H$12)</f>
        <v>43363</v>
      </c>
      <c r="I589" s="98">
        <f ca="1"/>
        <v>-3.3537439875154489E-3</v>
      </c>
      <c r="J589" s="94" t="s">
        <v>4</v>
      </c>
      <c r="K589" s="100">
        <f ca="1">_xll.meDateFromTenor(K588,"1D","FOLLOWING",L$12)</f>
        <v>43332</v>
      </c>
      <c r="L589" s="13">
        <f ca="1">_xll.meDateFromTenor(K589,L$14,L$11,L$12)</f>
        <v>43424</v>
      </c>
      <c r="M589" s="98">
        <f ca="1"/>
        <v>-2.4181014811421528E-3</v>
      </c>
      <c r="N589" s="5" t="s">
        <v>4</v>
      </c>
      <c r="O589" s="100">
        <f ca="1">_xll.meDateFromTenor(O588,"1D","FOLLOWING",P$12)</f>
        <v>43332</v>
      </c>
      <c r="P589" s="13">
        <f ca="1">_xll.meDateFromTenor(O589,P$14,P$11,P$12)</f>
        <v>43516</v>
      </c>
      <c r="Q589" s="98">
        <f ca="1"/>
        <v>-8.3322723203992468E-4</v>
      </c>
      <c r="R589" s="5" t="s">
        <v>4</v>
      </c>
      <c r="S589" s="100">
        <f ca="1">_xll.meDateFromTenor(S588,"1D","FOLLOWING",T$12)</f>
        <v>43332</v>
      </c>
      <c r="T589" s="13">
        <f ca="1">_xll.meDateFromTenor(S589,T$14,T$11,T$12)</f>
        <v>43697</v>
      </c>
      <c r="U589" s="98">
        <f ca="1"/>
        <v>1.2011154177871616E-3</v>
      </c>
      <c r="V589" s="5" t="s">
        <v>4</v>
      </c>
      <c r="W589" s="84" t="s">
        <v>4</v>
      </c>
    </row>
    <row r="590" spans="1:23" x14ac:dyDescent="0.25">
      <c r="A590" s="90">
        <v>571</v>
      </c>
      <c r="B590" s="83"/>
      <c r="C590" s="100">
        <f ca="1">_xll.meDateFromTenor(C589,"1D","FOLLOWING",D$12)</f>
        <v>43333</v>
      </c>
      <c r="D590" s="13">
        <f ca="1">_xll.meDateFromTenor(C590,D$14,D$11,D$12)</f>
        <v>43334</v>
      </c>
      <c r="E590" s="98">
        <f ca="1"/>
        <v>-3.8331967218763331E-3</v>
      </c>
      <c r="F590" s="94"/>
      <c r="G590" s="100">
        <f ca="1">_xll.meDateFromTenor(G589,"1D","FOLLOWING",H$12)</f>
        <v>43333</v>
      </c>
      <c r="H590" s="13">
        <f ca="1">_xll.meDateFromTenor(G590,H$14,H$11,H$12)</f>
        <v>43364</v>
      </c>
      <c r="I590" s="98">
        <f ca="1"/>
        <v>-3.3505521969412985E-3</v>
      </c>
      <c r="J590" s="94" t="s">
        <v>4</v>
      </c>
      <c r="K590" s="100">
        <f ca="1">_xll.meDateFromTenor(K589,"1D","FOLLOWING",L$12)</f>
        <v>43333</v>
      </c>
      <c r="L590" s="13">
        <f ca="1">_xll.meDateFromTenor(K590,L$14,L$11,L$12)</f>
        <v>43425</v>
      </c>
      <c r="M590" s="98">
        <f ca="1"/>
        <v>-2.4076434107691883E-3</v>
      </c>
      <c r="N590" s="5" t="s">
        <v>4</v>
      </c>
      <c r="O590" s="100">
        <f ca="1">_xll.meDateFromTenor(O589,"1D","FOLLOWING",P$12)</f>
        <v>43333</v>
      </c>
      <c r="P590" s="13">
        <f ca="1">_xll.meDateFromTenor(O590,P$14,P$11,P$12)</f>
        <v>43517</v>
      </c>
      <c r="Q590" s="98">
        <f ca="1"/>
        <v>-8.2882777257098567E-4</v>
      </c>
      <c r="R590" s="5" t="s">
        <v>4</v>
      </c>
      <c r="S590" s="100">
        <f ca="1">_xll.meDateFromTenor(S589,"1D","FOLLOWING",T$12)</f>
        <v>43333</v>
      </c>
      <c r="T590" s="13">
        <f ca="1">_xll.meDateFromTenor(S590,T$14,T$11,T$12)</f>
        <v>43698</v>
      </c>
      <c r="U590" s="98">
        <f ca="1"/>
        <v>1.2059924038952279E-3</v>
      </c>
      <c r="V590" s="5" t="s">
        <v>4</v>
      </c>
      <c r="W590" s="84" t="s">
        <v>4</v>
      </c>
    </row>
    <row r="591" spans="1:23" x14ac:dyDescent="0.25">
      <c r="A591" s="90">
        <v>572</v>
      </c>
      <c r="B591" s="83"/>
      <c r="C591" s="100">
        <f ca="1">_xll.meDateFromTenor(C590,"1D","FOLLOWING",D$12)</f>
        <v>43334</v>
      </c>
      <c r="D591" s="13">
        <f ca="1">_xll.meDateFromTenor(C591,D$14,D$11,D$12)</f>
        <v>43335</v>
      </c>
      <c r="E591" s="98">
        <f ca="1"/>
        <v>-3.8301445667077295E-3</v>
      </c>
      <c r="F591" s="94"/>
      <c r="G591" s="100">
        <f ca="1">_xll.meDateFromTenor(G590,"1D","FOLLOWING",H$12)</f>
        <v>43334</v>
      </c>
      <c r="H591" s="13">
        <f ca="1">_xll.meDateFromTenor(G591,H$14,H$11,H$12)</f>
        <v>43367</v>
      </c>
      <c r="I591" s="98">
        <f ca="1"/>
        <v>-3.3473509198733843E-3</v>
      </c>
      <c r="J591" s="94" t="s">
        <v>4</v>
      </c>
      <c r="K591" s="100">
        <f ca="1">_xll.meDateFromTenor(K590,"1D","FOLLOWING",L$12)</f>
        <v>43334</v>
      </c>
      <c r="L591" s="13">
        <f ca="1">_xll.meDateFromTenor(K591,L$14,L$11,L$12)</f>
        <v>43426</v>
      </c>
      <c r="M591" s="98">
        <f ca="1"/>
        <v>-2.3972219399482192E-3</v>
      </c>
      <c r="N591" s="5" t="s">
        <v>4</v>
      </c>
      <c r="O591" s="100">
        <f ca="1">_xll.meDateFromTenor(O590,"1D","FOLLOWING",P$12)</f>
        <v>43334</v>
      </c>
      <c r="P591" s="13">
        <f ca="1">_xll.meDateFromTenor(O591,P$14,P$11,P$12)</f>
        <v>43518</v>
      </c>
      <c r="Q591" s="98">
        <f ca="1"/>
        <v>-8.2442041098392145E-4</v>
      </c>
      <c r="R591" s="5" t="s">
        <v>4</v>
      </c>
      <c r="S591" s="100">
        <f ca="1">_xll.meDateFromTenor(S590,"1D","FOLLOWING",T$12)</f>
        <v>43334</v>
      </c>
      <c r="T591" s="13">
        <f ca="1">_xll.meDateFromTenor(S591,T$14,T$11,T$12)</f>
        <v>43699</v>
      </c>
      <c r="U591" s="98">
        <f ca="1"/>
        <v>1.2108770603068116E-3</v>
      </c>
      <c r="V591" s="5" t="s">
        <v>4</v>
      </c>
      <c r="W591" s="84" t="s">
        <v>4</v>
      </c>
    </row>
    <row r="592" spans="1:23" x14ac:dyDescent="0.25">
      <c r="A592" s="90">
        <v>573</v>
      </c>
      <c r="B592" s="83"/>
      <c r="C592" s="100">
        <f ca="1">_xll.meDateFromTenor(C591,"1D","FOLLOWING",D$12)</f>
        <v>43335</v>
      </c>
      <c r="D592" s="13">
        <f ca="1">_xll.meDateFromTenor(C592,D$14,D$11,D$12)</f>
        <v>43336</v>
      </c>
      <c r="E592" s="98">
        <f ca="1"/>
        <v>-3.8270907232496178E-3</v>
      </c>
      <c r="F592" s="94"/>
      <c r="G592" s="100">
        <f ca="1">_xll.meDateFromTenor(G591,"1D","FOLLOWING",H$12)</f>
        <v>43335</v>
      </c>
      <c r="H592" s="13">
        <f ca="1">_xll.meDateFromTenor(G592,H$14,H$11,H$12)</f>
        <v>43367</v>
      </c>
      <c r="I592" s="98">
        <f ca="1"/>
        <v>-3.3441391591908041E-3</v>
      </c>
      <c r="J592" s="94" t="s">
        <v>4</v>
      </c>
      <c r="K592" s="100">
        <f ca="1">_xll.meDateFromTenor(K591,"1D","FOLLOWING",L$12)</f>
        <v>43335</v>
      </c>
      <c r="L592" s="13">
        <f ca="1">_xll.meDateFromTenor(K592,L$14,L$11,L$12)</f>
        <v>43427</v>
      </c>
      <c r="M592" s="98">
        <f ca="1"/>
        <v>-2.3868382724683839E-3</v>
      </c>
      <c r="N592" s="5" t="s">
        <v>4</v>
      </c>
      <c r="O592" s="100">
        <f ca="1">_xll.meDateFromTenor(O591,"1D","FOLLOWING",P$12)</f>
        <v>43335</v>
      </c>
      <c r="P592" s="13">
        <f ca="1">_xll.meDateFromTenor(O592,P$14,P$11,P$12)</f>
        <v>43521</v>
      </c>
      <c r="Q592" s="98">
        <f ca="1"/>
        <v>-8.2000514700870844E-4</v>
      </c>
      <c r="R592" s="5" t="s">
        <v>4</v>
      </c>
      <c r="S592" s="100">
        <f ca="1">_xll.meDateFromTenor(S591,"1D","FOLLOWING",T$12)</f>
        <v>43335</v>
      </c>
      <c r="T592" s="13">
        <f ca="1">_xll.meDateFromTenor(S592,T$14,T$11,T$12)</f>
        <v>43700</v>
      </c>
      <c r="U592" s="98">
        <f ca="1"/>
        <v>1.215769351585257E-3</v>
      </c>
      <c r="V592" s="5" t="s">
        <v>4</v>
      </c>
      <c r="W592" s="84" t="s">
        <v>4</v>
      </c>
    </row>
    <row r="593" spans="1:23" x14ac:dyDescent="0.25">
      <c r="A593" s="90">
        <v>574</v>
      </c>
      <c r="B593" s="83"/>
      <c r="C593" s="100">
        <f ca="1">_xll.meDateFromTenor(C592,"1D","FOLLOWING",D$12)</f>
        <v>43336</v>
      </c>
      <c r="D593" s="13">
        <f ca="1">_xll.meDateFromTenor(C593,D$14,D$11,D$12)</f>
        <v>43339</v>
      </c>
      <c r="E593" s="98">
        <f ca="1"/>
        <v>-3.8209368536756961E-3</v>
      </c>
      <c r="F593" s="94"/>
      <c r="G593" s="100">
        <f ca="1">_xll.meDateFromTenor(G592,"1D","FOLLOWING",H$12)</f>
        <v>43336</v>
      </c>
      <c r="H593" s="13">
        <f ca="1">_xll.meDateFromTenor(G593,H$14,H$11,H$12)</f>
        <v>43367</v>
      </c>
      <c r="I593" s="98">
        <f ca="1"/>
        <v>-3.340915917772652E-3</v>
      </c>
      <c r="J593" s="94" t="s">
        <v>4</v>
      </c>
      <c r="K593" s="100">
        <f ca="1">_xll.meDateFromTenor(K592,"1D","FOLLOWING",L$12)</f>
        <v>43336</v>
      </c>
      <c r="L593" s="13">
        <f ca="1">_xll.meDateFromTenor(K593,L$14,L$11,L$12)</f>
        <v>43430</v>
      </c>
      <c r="M593" s="98">
        <f ca="1"/>
        <v>-2.3764936121188204E-3</v>
      </c>
      <c r="N593" s="5" t="s">
        <v>4</v>
      </c>
      <c r="O593" s="100">
        <f ca="1">_xll.meDateFromTenor(O592,"1D","FOLLOWING",P$12)</f>
        <v>43336</v>
      </c>
      <c r="P593" s="13">
        <f ca="1">_xll.meDateFromTenor(O593,P$14,P$11,P$12)</f>
        <v>43521</v>
      </c>
      <c r="Q593" s="98">
        <f ca="1"/>
        <v>-8.1558198037532227E-4</v>
      </c>
      <c r="R593" s="5" t="s">
        <v>4</v>
      </c>
      <c r="S593" s="100">
        <f ca="1">_xll.meDateFromTenor(S592,"1D","FOLLOWING",T$12)</f>
        <v>43336</v>
      </c>
      <c r="T593" s="13">
        <f ca="1">_xll.meDateFromTenor(S593,T$14,T$11,T$12)</f>
        <v>43703</v>
      </c>
      <c r="U593" s="98">
        <f ca="1"/>
        <v>1.2206692422939095E-3</v>
      </c>
      <c r="V593" s="5" t="s">
        <v>4</v>
      </c>
      <c r="W593" s="84" t="s">
        <v>4</v>
      </c>
    </row>
    <row r="594" spans="1:23" x14ac:dyDescent="0.25">
      <c r="A594" s="90">
        <v>575</v>
      </c>
      <c r="B594" s="83"/>
      <c r="C594" s="100">
        <f ca="1">_xll.meDateFromTenor(C593,"1D","FOLLOWING",D$12)</f>
        <v>43339</v>
      </c>
      <c r="D594" s="13">
        <f ca="1">_xll.meDateFromTenor(C594,D$14,D$11,D$12)</f>
        <v>43340</v>
      </c>
      <c r="E594" s="98">
        <f ca="1"/>
        <v>-3.8148584663622166E-3</v>
      </c>
      <c r="F594" s="94"/>
      <c r="G594" s="100">
        <f ca="1">_xll.meDateFromTenor(G593,"1D","FOLLOWING",H$12)</f>
        <v>43339</v>
      </c>
      <c r="H594" s="13">
        <f ca="1">_xll.meDateFromTenor(G594,H$14,H$11,H$12)</f>
        <v>43370</v>
      </c>
      <c r="I594" s="98">
        <f ca="1"/>
        <v>-3.3311673378957195E-3</v>
      </c>
      <c r="J594" s="94" t="s">
        <v>4</v>
      </c>
      <c r="K594" s="100">
        <f ca="1">_xll.meDateFromTenor(K593,"1D","FOLLOWING",L$12)</f>
        <v>43339</v>
      </c>
      <c r="L594" s="13">
        <f ca="1">_xll.meDateFromTenor(K594,L$14,L$11,L$12)</f>
        <v>43431</v>
      </c>
      <c r="M594" s="98">
        <f ca="1"/>
        <v>-2.345705711743125E-3</v>
      </c>
      <c r="N594" s="5" t="s">
        <v>4</v>
      </c>
      <c r="O594" s="100">
        <f ca="1">_xll.meDateFromTenor(O593,"1D","FOLLOWING",P$12)</f>
        <v>43339</v>
      </c>
      <c r="P594" s="13">
        <f ca="1">_xll.meDateFromTenor(O594,P$14,P$11,P$12)</f>
        <v>43523</v>
      </c>
      <c r="Q594" s="98">
        <f ca="1"/>
        <v>-8.0226506182588147E-4</v>
      </c>
      <c r="R594" s="5" t="s">
        <v>4</v>
      </c>
      <c r="S594" s="100">
        <f ca="1">_xll.meDateFromTenor(S593,"1D","FOLLOWING",T$12)</f>
        <v>43339</v>
      </c>
      <c r="T594" s="13">
        <f ca="1">_xll.meDateFromTenor(S594,T$14,T$11,T$12)</f>
        <v>43704</v>
      </c>
      <c r="U594" s="98">
        <f ca="1"/>
        <v>1.2354141566345612E-3</v>
      </c>
      <c r="V594" s="5" t="s">
        <v>4</v>
      </c>
      <c r="W594" s="84" t="s">
        <v>4</v>
      </c>
    </row>
    <row r="595" spans="1:23" x14ac:dyDescent="0.25">
      <c r="A595" s="90">
        <v>576</v>
      </c>
      <c r="B595" s="83"/>
      <c r="C595" s="100">
        <f ca="1">_xll.meDateFromTenor(C594,"1D","FOLLOWING",D$12)</f>
        <v>43340</v>
      </c>
      <c r="D595" s="13">
        <f ca="1">_xll.meDateFromTenor(C595,D$14,D$11,D$12)</f>
        <v>43341</v>
      </c>
      <c r="E595" s="98">
        <f ca="1"/>
        <v>-3.8117961814565639E-3</v>
      </c>
      <c r="F595" s="94"/>
      <c r="G595" s="100">
        <f ca="1">_xll.meDateFromTenor(G594,"1D","FOLLOWING",H$12)</f>
        <v>43340</v>
      </c>
      <c r="H595" s="13">
        <f ca="1">_xll.meDateFromTenor(G595,H$14,H$11,H$12)</f>
        <v>43371</v>
      </c>
      <c r="I595" s="98">
        <f ca="1"/>
        <v>-3.3278882023262354E-3</v>
      </c>
      <c r="J595" s="94" t="s">
        <v>4</v>
      </c>
      <c r="K595" s="100">
        <f ca="1">_xll.meDateFromTenor(K594,"1D","FOLLOWING",L$12)</f>
        <v>43340</v>
      </c>
      <c r="L595" s="13">
        <f ca="1">_xll.meDateFromTenor(K595,L$14,L$11,L$12)</f>
        <v>43432</v>
      </c>
      <c r="M595" s="98">
        <f ca="1"/>
        <v>-2.3355291178060178E-3</v>
      </c>
      <c r="N595" s="5" t="s">
        <v>4</v>
      </c>
      <c r="O595" s="100">
        <f ca="1">_xll.meDateFromTenor(O594,"1D","FOLLOWING",P$12)</f>
        <v>43340</v>
      </c>
      <c r="P595" s="13">
        <f ca="1">_xll.meDateFromTenor(O595,P$14,P$11,P$12)</f>
        <v>43524</v>
      </c>
      <c r="Q595" s="98">
        <f ca="1"/>
        <v>-7.9781028185955981E-4</v>
      </c>
      <c r="R595" s="5" t="s">
        <v>4</v>
      </c>
      <c r="S595" s="100">
        <f ca="1">_xll.meDateFromTenor(S594,"1D","FOLLOWING",T$12)</f>
        <v>43340</v>
      </c>
      <c r="T595" s="13">
        <f ca="1">_xll.meDateFromTenor(S595,T$14,T$11,T$12)</f>
        <v>43705</v>
      </c>
      <c r="U595" s="98">
        <f ca="1"/>
        <v>1.2403440906974931E-3</v>
      </c>
      <c r="V595" s="5" t="s">
        <v>4</v>
      </c>
      <c r="W595" s="84" t="s">
        <v>4</v>
      </c>
    </row>
    <row r="596" spans="1:23" x14ac:dyDescent="0.25">
      <c r="A596" s="90">
        <v>577</v>
      </c>
      <c r="B596" s="83"/>
      <c r="C596" s="100">
        <f ca="1">_xll.meDateFromTenor(C595,"1D","FOLLOWING",D$12)</f>
        <v>43341</v>
      </c>
      <c r="D596" s="13">
        <f ca="1">_xll.meDateFromTenor(C596,D$14,D$11,D$12)</f>
        <v>43342</v>
      </c>
      <c r="E596" s="98">
        <f ca="1"/>
        <v>-3.8087322081414988E-3</v>
      </c>
      <c r="F596" s="94"/>
      <c r="G596" s="100">
        <f ca="1">_xll.meDateFromTenor(G595,"1D","FOLLOWING",H$12)</f>
        <v>43341</v>
      </c>
      <c r="H596" s="13">
        <f ca="1">_xll.meDateFromTenor(G596,H$14,H$11,H$12)</f>
        <v>43371</v>
      </c>
      <c r="I596" s="98">
        <f ca="1"/>
        <v>-3.3245926004166547E-3</v>
      </c>
      <c r="J596" s="94" t="s">
        <v>4</v>
      </c>
      <c r="K596" s="100">
        <f ca="1">_xll.meDateFromTenor(K595,"1D","FOLLOWING",L$12)</f>
        <v>43341</v>
      </c>
      <c r="L596" s="13">
        <f ca="1">_xll.meDateFromTenor(K596,L$14,L$11,L$12)</f>
        <v>43433</v>
      </c>
      <c r="M596" s="98">
        <f ca="1"/>
        <v>-2.3253975499448647E-3</v>
      </c>
      <c r="N596" s="5" t="s">
        <v>4</v>
      </c>
      <c r="O596" s="100">
        <f ca="1">_xll.meDateFromTenor(O595,"1D","FOLLOWING",P$12)</f>
        <v>43341</v>
      </c>
      <c r="P596" s="13">
        <f ca="1">_xll.meDateFromTenor(O596,P$14,P$11,P$12)</f>
        <v>43524</v>
      </c>
      <c r="Q596" s="98">
        <f ca="1"/>
        <v>-7.9334759788494231E-4</v>
      </c>
      <c r="R596" s="5" t="s">
        <v>4</v>
      </c>
      <c r="S596" s="100">
        <f ca="1">_xll.meDateFromTenor(S595,"1D","FOLLOWING",T$12)</f>
        <v>43341</v>
      </c>
      <c r="T596" s="13">
        <f ca="1">_xll.meDateFromTenor(S596,T$14,T$11,T$12)</f>
        <v>43706</v>
      </c>
      <c r="U596" s="98">
        <f ca="1"/>
        <v>1.2452814470073589E-3</v>
      </c>
      <c r="V596" s="5" t="s">
        <v>4</v>
      </c>
      <c r="W596" s="84" t="s">
        <v>4</v>
      </c>
    </row>
    <row r="597" spans="1:23" x14ac:dyDescent="0.25">
      <c r="A597" s="90">
        <v>578</v>
      </c>
      <c r="B597" s="83"/>
      <c r="C597" s="100">
        <f ca="1">_xll.meDateFromTenor(C596,"1D","FOLLOWING",D$12)</f>
        <v>43342</v>
      </c>
      <c r="D597" s="13">
        <f ca="1">_xll.meDateFromTenor(C597,D$14,D$11,D$12)</f>
        <v>43343</v>
      </c>
      <c r="E597" s="98">
        <f ca="1"/>
        <v>-3.8056665465768936E-3</v>
      </c>
      <c r="F597" s="94"/>
      <c r="G597" s="100">
        <f ca="1">_xll.meDateFromTenor(G596,"1D","FOLLOWING",H$12)</f>
        <v>43342</v>
      </c>
      <c r="H597" s="13">
        <f ca="1">_xll.meDateFromTenor(G597,H$14,H$11,H$12)</f>
        <v>43371</v>
      </c>
      <c r="I597" s="98">
        <f ca="1"/>
        <v>-3.3212795350460755E-3</v>
      </c>
      <c r="J597" s="94" t="s">
        <v>4</v>
      </c>
      <c r="K597" s="100">
        <f ca="1">_xll.meDateFromTenor(K596,"1D","FOLLOWING",L$12)</f>
        <v>43342</v>
      </c>
      <c r="L597" s="13">
        <f ca="1">_xll.meDateFromTenor(K597,L$14,L$11,L$12)</f>
        <v>43434</v>
      </c>
      <c r="M597" s="98">
        <f ca="1"/>
        <v>-2.3153122119488065E-3</v>
      </c>
      <c r="N597" s="5" t="s">
        <v>4</v>
      </c>
      <c r="O597" s="100">
        <f ca="1">_xll.meDateFromTenor(O596,"1D","FOLLOWING",P$12)</f>
        <v>43342</v>
      </c>
      <c r="P597" s="13">
        <f ca="1">_xll.meDateFromTenor(O597,P$14,P$11,P$12)</f>
        <v>43524</v>
      </c>
      <c r="Q597" s="98">
        <f ca="1"/>
        <v>-7.8887700963200624E-4</v>
      </c>
      <c r="R597" s="5" t="s">
        <v>4</v>
      </c>
      <c r="S597" s="100">
        <f ca="1">_xll.meDateFromTenor(S596,"1D","FOLLOWING",T$12)</f>
        <v>43342</v>
      </c>
      <c r="T597" s="13">
        <f ca="1">_xll.meDateFromTenor(S597,T$14,T$11,T$12)</f>
        <v>43707</v>
      </c>
      <c r="U597" s="98">
        <f ca="1"/>
        <v>1.2502261901275022E-3</v>
      </c>
      <c r="V597" s="5" t="s">
        <v>4</v>
      </c>
      <c r="W597" s="84" t="s">
        <v>4</v>
      </c>
    </row>
    <row r="598" spans="1:23" x14ac:dyDescent="0.25">
      <c r="A598" s="90">
        <v>579</v>
      </c>
      <c r="B598" s="83"/>
      <c r="C598" s="100">
        <f ca="1">_xll.meDateFromTenor(C597,"1D","FOLLOWING",D$12)</f>
        <v>43343</v>
      </c>
      <c r="D598" s="13">
        <f ca="1">_xll.meDateFromTenor(C598,D$14,D$11,D$12)</f>
        <v>43346</v>
      </c>
      <c r="E598" s="98">
        <f ca="1"/>
        <v>-3.7994894946003078E-3</v>
      </c>
      <c r="F598" s="94"/>
      <c r="G598" s="100">
        <f ca="1">_xll.meDateFromTenor(G597,"1D","FOLLOWING",H$12)</f>
        <v>43343</v>
      </c>
      <c r="H598" s="13">
        <f ca="1">_xll.meDateFromTenor(G598,H$14,H$11,H$12)</f>
        <v>43371</v>
      </c>
      <c r="I598" s="98">
        <f ca="1"/>
        <v>-3.3179480090935907E-3</v>
      </c>
      <c r="J598" s="94" t="s">
        <v>4</v>
      </c>
      <c r="K598" s="100">
        <f ca="1">_xll.meDateFromTenor(K597,"1D","FOLLOWING",L$12)</f>
        <v>43343</v>
      </c>
      <c r="L598" s="13">
        <f ca="1">_xll.meDateFromTenor(K598,L$14,L$11,L$12)</f>
        <v>43434</v>
      </c>
      <c r="M598" s="98">
        <f ca="1"/>
        <v>-2.3052743076069776E-3</v>
      </c>
      <c r="N598" s="5" t="s">
        <v>4</v>
      </c>
      <c r="O598" s="100">
        <f ca="1">_xll.meDateFromTenor(O597,"1D","FOLLOWING",P$12)</f>
        <v>43343</v>
      </c>
      <c r="P598" s="13">
        <f ca="1">_xll.meDateFromTenor(O598,P$14,P$11,P$12)</f>
        <v>43524</v>
      </c>
      <c r="Q598" s="98">
        <f ca="1"/>
        <v>-7.8439851683072541E-4</v>
      </c>
      <c r="R598" s="5" t="s">
        <v>4</v>
      </c>
      <c r="S598" s="100">
        <f ca="1">_xll.meDateFromTenor(S597,"1D","FOLLOWING",T$12)</f>
        <v>43343</v>
      </c>
      <c r="T598" s="13">
        <f ca="1">_xll.meDateFromTenor(S598,T$14,T$11,T$12)</f>
        <v>43707</v>
      </c>
      <c r="U598" s="98">
        <f ca="1"/>
        <v>1.2551782846212697E-3</v>
      </c>
      <c r="V598" s="5" t="s">
        <v>4</v>
      </c>
      <c r="W598" s="84" t="s">
        <v>4</v>
      </c>
    </row>
    <row r="599" spans="1:23" x14ac:dyDescent="0.25">
      <c r="A599" s="90">
        <v>580</v>
      </c>
      <c r="B599" s="83"/>
      <c r="C599" s="100">
        <f ca="1">_xll.meDateFromTenor(C598,"1D","FOLLOWING",D$12)</f>
        <v>43346</v>
      </c>
      <c r="D599" s="13">
        <f ca="1">_xll.meDateFromTenor(C599,D$14,D$11,D$12)</f>
        <v>43347</v>
      </c>
      <c r="E599" s="98">
        <f ca="1"/>
        <v>-3.7933870776951785E-3</v>
      </c>
      <c r="F599" s="94"/>
      <c r="G599" s="100">
        <f ca="1">_xll.meDateFromTenor(G598,"1D","FOLLOWING",H$12)</f>
        <v>43346</v>
      </c>
      <c r="H599" s="13">
        <f ca="1">_xll.meDateFromTenor(G599,H$14,H$11,H$12)</f>
        <v>43376</v>
      </c>
      <c r="I599" s="98">
        <f ca="1"/>
        <v>-3.3078326965356635E-3</v>
      </c>
      <c r="J599" s="94" t="s">
        <v>4</v>
      </c>
      <c r="K599" s="100">
        <f ca="1">_xll.meDateFromTenor(K598,"1D","FOLLOWING",L$12)</f>
        <v>43346</v>
      </c>
      <c r="L599" s="13">
        <f ca="1">_xll.meDateFromTenor(K599,L$14,L$11,L$12)</f>
        <v>43437</v>
      </c>
      <c r="M599" s="98">
        <f ca="1"/>
        <v>-2.2754572343982441E-3</v>
      </c>
      <c r="N599" s="5" t="s">
        <v>4</v>
      </c>
      <c r="O599" s="100">
        <f ca="1">_xll.meDateFromTenor(O598,"1D","FOLLOWING",P$12)</f>
        <v>43346</v>
      </c>
      <c r="P599" s="13">
        <f ca="1">_xll.meDateFromTenor(O599,P$14,P$11,P$12)</f>
        <v>43528</v>
      </c>
      <c r="Q599" s="98">
        <f ca="1"/>
        <v>-7.7091560843657722E-4</v>
      </c>
      <c r="R599" s="5" t="s">
        <v>4</v>
      </c>
      <c r="S599" s="100">
        <f ca="1">_xll.meDateFromTenor(S598,"1D","FOLLOWING",T$12)</f>
        <v>43346</v>
      </c>
      <c r="T599" s="13">
        <f ca="1">_xll.meDateFromTenor(S599,T$14,T$11,T$12)</f>
        <v>43711</v>
      </c>
      <c r="U599" s="98">
        <f ca="1"/>
        <v>1.2700783219777654E-3</v>
      </c>
      <c r="V599" s="5" t="s">
        <v>4</v>
      </c>
      <c r="W599" s="84" t="s">
        <v>4</v>
      </c>
    </row>
    <row r="600" spans="1:23" x14ac:dyDescent="0.25">
      <c r="A600" s="90">
        <v>581</v>
      </c>
      <c r="B600" s="83"/>
      <c r="C600" s="100">
        <f ca="1">_xll.meDateFromTenor(C599,"1D","FOLLOWING",D$12)</f>
        <v>43347</v>
      </c>
      <c r="D600" s="13">
        <f ca="1">_xll.meDateFromTenor(C600,D$14,D$11,D$12)</f>
        <v>43348</v>
      </c>
      <c r="E600" s="98">
        <f ca="1"/>
        <v>-3.7903133390715517E-3</v>
      </c>
      <c r="F600" s="94"/>
      <c r="G600" s="100">
        <f ca="1">_xll.meDateFromTenor(G599,"1D","FOLLOWING",H$12)</f>
        <v>43347</v>
      </c>
      <c r="H600" s="13">
        <f ca="1">_xll.meDateFromTenor(G600,H$14,H$11,H$12)</f>
        <v>43377</v>
      </c>
      <c r="I600" s="98">
        <f ca="1"/>
        <v>-3.3044176855584321E-3</v>
      </c>
      <c r="J600" s="94" t="s">
        <v>4</v>
      </c>
      <c r="K600" s="100">
        <f ca="1">_xll.meDateFromTenor(K599,"1D","FOLLOWING",L$12)</f>
        <v>43347</v>
      </c>
      <c r="L600" s="13">
        <f ca="1">_xll.meDateFromTenor(K600,L$14,L$11,L$12)</f>
        <v>43438</v>
      </c>
      <c r="M600" s="98">
        <f ca="1"/>
        <v>-2.2656208507911588E-3</v>
      </c>
      <c r="N600" s="5" t="s">
        <v>4</v>
      </c>
      <c r="O600" s="100">
        <f ca="1">_xll.meDateFromTenor(O599,"1D","FOLLOWING",P$12)</f>
        <v>43347</v>
      </c>
      <c r="P600" s="13">
        <f ca="1">_xll.meDateFromTenor(O600,P$14,P$11,P$12)</f>
        <v>43528</v>
      </c>
      <c r="Q600" s="98">
        <f ca="1"/>
        <v>-7.664054947416777E-4</v>
      </c>
      <c r="R600" s="5" t="s">
        <v>4</v>
      </c>
      <c r="S600" s="100">
        <f ca="1">_xll.meDateFromTenor(S599,"1D","FOLLOWING",T$12)</f>
        <v>43347</v>
      </c>
      <c r="T600" s="13">
        <f ca="1">_xll.meDateFromTenor(S600,T$14,T$11,T$12)</f>
        <v>43712</v>
      </c>
      <c r="U600" s="98">
        <f ca="1"/>
        <v>1.2750594675994791E-3</v>
      </c>
      <c r="V600" s="5" t="s">
        <v>4</v>
      </c>
      <c r="W600" s="84" t="s">
        <v>4</v>
      </c>
    </row>
    <row r="601" spans="1:23" x14ac:dyDescent="0.25">
      <c r="A601" s="90">
        <v>582</v>
      </c>
      <c r="B601" s="83"/>
      <c r="C601" s="100">
        <f ca="1">_xll.meDateFromTenor(C600,"1D","FOLLOWING",D$12)</f>
        <v>43348</v>
      </c>
      <c r="D601" s="13">
        <f ca="1">_xll.meDateFromTenor(C601,D$14,D$11,D$12)</f>
        <v>43349</v>
      </c>
      <c r="E601" s="98">
        <f ca="1"/>
        <v>-3.7872382768267122E-3</v>
      </c>
      <c r="F601" s="94"/>
      <c r="G601" s="100">
        <f ca="1">_xll.meDateFromTenor(G600,"1D","FOLLOWING",H$12)</f>
        <v>43348</v>
      </c>
      <c r="H601" s="13">
        <f ca="1">_xll.meDateFromTenor(G601,H$14,H$11,H$12)</f>
        <v>43378</v>
      </c>
      <c r="I601" s="98">
        <f ca="1"/>
        <v>-3.3009811994662809E-3</v>
      </c>
      <c r="J601" s="94" t="s">
        <v>4</v>
      </c>
      <c r="K601" s="100">
        <f ca="1">_xll.meDateFromTenor(K600,"1D","FOLLOWING",L$12)</f>
        <v>43348</v>
      </c>
      <c r="L601" s="13">
        <f ca="1">_xll.meDateFromTenor(K601,L$14,L$11,L$12)</f>
        <v>43439</v>
      </c>
      <c r="M601" s="98">
        <f ca="1"/>
        <v>-2.2558364091426995E-3</v>
      </c>
      <c r="N601" s="5" t="s">
        <v>4</v>
      </c>
      <c r="O601" s="100">
        <f ca="1">_xll.meDateFromTenor(O600,"1D","FOLLOWING",P$12)</f>
        <v>43348</v>
      </c>
      <c r="P601" s="13">
        <f ca="1">_xll.meDateFromTenor(O601,P$14,P$11,P$12)</f>
        <v>43529</v>
      </c>
      <c r="Q601" s="98">
        <f ca="1"/>
        <v>-7.6188747514831245E-4</v>
      </c>
      <c r="R601" s="5" t="s">
        <v>4</v>
      </c>
      <c r="S601" s="100">
        <f ca="1">_xll.meDateFromTenor(S600,"1D","FOLLOWING",T$12)</f>
        <v>43348</v>
      </c>
      <c r="T601" s="13">
        <f ca="1">_xll.meDateFromTenor(S601,T$14,T$11,T$12)</f>
        <v>43713</v>
      </c>
      <c r="U601" s="98">
        <f ca="1"/>
        <v>1.2800477874115423E-3</v>
      </c>
      <c r="V601" s="5" t="s">
        <v>4</v>
      </c>
      <c r="W601" s="84" t="s">
        <v>4</v>
      </c>
    </row>
    <row r="602" spans="1:23" x14ac:dyDescent="0.25">
      <c r="A602" s="90">
        <v>583</v>
      </c>
      <c r="B602" s="83"/>
      <c r="C602" s="100">
        <f ca="1">_xll.meDateFromTenor(C601,"1D","FOLLOWING",D$12)</f>
        <v>43349</v>
      </c>
      <c r="D602" s="13">
        <f ca="1">_xll.meDateFromTenor(C602,D$14,D$11,D$12)</f>
        <v>43350</v>
      </c>
      <c r="E602" s="98">
        <f ca="1"/>
        <v>-3.7841618909606601E-3</v>
      </c>
      <c r="F602" s="94"/>
      <c r="G602" s="100">
        <f ca="1">_xll.meDateFromTenor(G601,"1D","FOLLOWING",H$12)</f>
        <v>43349</v>
      </c>
      <c r="H602" s="13">
        <f ca="1">_xll.meDateFromTenor(G602,H$14,H$11,H$12)</f>
        <v>43381</v>
      </c>
      <c r="I602" s="98">
        <f ca="1"/>
        <v>-3.2975242122098149E-3</v>
      </c>
      <c r="J602" s="94" t="s">
        <v>4</v>
      </c>
      <c r="K602" s="100">
        <f ca="1">_xll.meDateFromTenor(K601,"1D","FOLLOWING",L$12)</f>
        <v>43349</v>
      </c>
      <c r="L602" s="13">
        <f ca="1">_xll.meDateFromTenor(K602,L$14,L$11,L$12)</f>
        <v>43440</v>
      </c>
      <c r="M602" s="98">
        <f ca="1"/>
        <v>-2.2461036026007125E-3</v>
      </c>
      <c r="N602" s="5" t="s">
        <v>4</v>
      </c>
      <c r="O602" s="100">
        <f ca="1">_xll.meDateFromTenor(O601,"1D","FOLLOWING",P$12)</f>
        <v>43349</v>
      </c>
      <c r="P602" s="13">
        <f ca="1">_xll.meDateFromTenor(O602,P$14,P$11,P$12)</f>
        <v>43530</v>
      </c>
      <c r="Q602" s="98">
        <f ca="1"/>
        <v>-7.57361549386458E-4</v>
      </c>
      <c r="R602" s="5" t="s">
        <v>4</v>
      </c>
      <c r="S602" s="100">
        <f ca="1">_xll.meDateFromTenor(S601,"1D","FOLLOWING",T$12)</f>
        <v>43349</v>
      </c>
      <c r="T602" s="13">
        <f ca="1">_xll.meDateFromTenor(S602,T$14,T$11,T$12)</f>
        <v>43714</v>
      </c>
      <c r="U602" s="98">
        <f ca="1"/>
        <v>1.2850432459772995E-3</v>
      </c>
      <c r="V602" s="5" t="s">
        <v>4</v>
      </c>
      <c r="W602" s="84" t="s">
        <v>4</v>
      </c>
    </row>
    <row r="603" spans="1:23" x14ac:dyDescent="0.25">
      <c r="A603" s="90">
        <v>584</v>
      </c>
      <c r="B603" s="83"/>
      <c r="C603" s="100">
        <f ca="1">_xll.meDateFromTenor(C602,"1D","FOLLOWING",D$12)</f>
        <v>43350</v>
      </c>
      <c r="D603" s="13">
        <f ca="1">_xll.meDateFromTenor(C603,D$14,D$11,D$12)</f>
        <v>43353</v>
      </c>
      <c r="E603" s="98">
        <f ca="1"/>
        <v>-3.7779650587932557E-3</v>
      </c>
      <c r="F603" s="94"/>
      <c r="G603" s="100">
        <f ca="1">_xll.meDateFromTenor(G602,"1D","FOLLOWING",H$12)</f>
        <v>43350</v>
      </c>
      <c r="H603" s="13">
        <f ca="1">_xll.meDateFromTenor(G603,H$14,H$11,H$12)</f>
        <v>43381</v>
      </c>
      <c r="I603" s="98">
        <f ca="1"/>
        <v>-3.2940476977396348E-3</v>
      </c>
      <c r="J603" s="94" t="s">
        <v>4</v>
      </c>
      <c r="K603" s="100">
        <f ca="1">_xll.meDateFromTenor(K602,"1D","FOLLOWING",L$12)</f>
        <v>43350</v>
      </c>
      <c r="L603" s="13">
        <f ca="1">_xll.meDateFromTenor(K603,L$14,L$11,L$12)</f>
        <v>43441</v>
      </c>
      <c r="M603" s="98">
        <f ca="1"/>
        <v>-2.236422124313043E-3</v>
      </c>
      <c r="N603" s="5" t="s">
        <v>4</v>
      </c>
      <c r="O603" s="100">
        <f ca="1">_xll.meDateFromTenor(O602,"1D","FOLLOWING",P$12)</f>
        <v>43350</v>
      </c>
      <c r="P603" s="13">
        <f ca="1">_xll.meDateFromTenor(O603,P$14,P$11,P$12)</f>
        <v>43531</v>
      </c>
      <c r="Q603" s="98">
        <f ca="1"/>
        <v>-7.5282771718608837E-4</v>
      </c>
      <c r="R603" s="5" t="s">
        <v>4</v>
      </c>
      <c r="S603" s="100">
        <f ca="1">_xll.meDateFromTenor(S602,"1D","FOLLOWING",T$12)</f>
        <v>43350</v>
      </c>
      <c r="T603" s="13">
        <f ca="1">_xll.meDateFromTenor(S603,T$14,T$11,T$12)</f>
        <v>43717</v>
      </c>
      <c r="U603" s="98">
        <f ca="1"/>
        <v>1.2900458078600977E-3</v>
      </c>
      <c r="V603" s="5" t="s">
        <v>4</v>
      </c>
      <c r="W603" s="84" t="s">
        <v>4</v>
      </c>
    </row>
    <row r="604" spans="1:23" x14ac:dyDescent="0.25">
      <c r="A604" s="90">
        <v>585</v>
      </c>
      <c r="B604" s="83"/>
      <c r="C604" s="100">
        <f ca="1">_xll.meDateFromTenor(C603,"1D","FOLLOWING",D$12)</f>
        <v>43353</v>
      </c>
      <c r="D604" s="13">
        <f ca="1">_xll.meDateFromTenor(C604,D$14,D$11,D$12)</f>
        <v>43354</v>
      </c>
      <c r="E604" s="98">
        <f ca="1"/>
        <v>-3.7718431101246494E-3</v>
      </c>
      <c r="F604" s="94"/>
      <c r="G604" s="100">
        <f ca="1">_xll.meDateFromTenor(G603,"1D","FOLLOWING",H$12)</f>
        <v>43353</v>
      </c>
      <c r="H604" s="13">
        <f ca="1">_xll.meDateFromTenor(G604,H$14,H$11,H$12)</f>
        <v>43383</v>
      </c>
      <c r="I604" s="98">
        <f ca="1"/>
        <v>-3.2835107305528573E-3</v>
      </c>
      <c r="J604" s="94" t="s">
        <v>4</v>
      </c>
      <c r="K604" s="100">
        <f ca="1">_xll.meDateFromTenor(K603,"1D","FOLLOWING",L$12)</f>
        <v>43353</v>
      </c>
      <c r="L604" s="13">
        <f ca="1">_xll.meDateFromTenor(K604,L$14,L$11,L$12)</f>
        <v>43444</v>
      </c>
      <c r="M604" s="98">
        <f ca="1"/>
        <v>-2.2076825904544079E-3</v>
      </c>
      <c r="N604" s="5" t="s">
        <v>4</v>
      </c>
      <c r="O604" s="100">
        <f ca="1">_xll.meDateFromTenor(O603,"1D","FOLLOWING",P$12)</f>
        <v>43353</v>
      </c>
      <c r="P604" s="13">
        <f ca="1">_xll.meDateFromTenor(O604,P$14,P$11,P$12)</f>
        <v>43535</v>
      </c>
      <c r="Q604" s="98">
        <f ca="1"/>
        <v>-7.3917877925364995E-4</v>
      </c>
      <c r="R604" s="5" t="s">
        <v>4</v>
      </c>
      <c r="S604" s="100">
        <f ca="1">_xll.meDateFromTenor(S603,"1D","FOLLOWING",T$12)</f>
        <v>43353</v>
      </c>
      <c r="T604" s="13">
        <f ca="1">_xll.meDateFromTenor(S604,T$14,T$11,T$12)</f>
        <v>43718</v>
      </c>
      <c r="U604" s="98">
        <f ca="1"/>
        <v>1.3050957590441832E-3</v>
      </c>
      <c r="V604" s="5" t="s">
        <v>4</v>
      </c>
      <c r="W604" s="84" t="s">
        <v>4</v>
      </c>
    </row>
    <row r="605" spans="1:23" x14ac:dyDescent="0.25">
      <c r="A605" s="90">
        <v>586</v>
      </c>
      <c r="B605" s="83"/>
      <c r="C605" s="100">
        <f ca="1">_xll.meDateFromTenor(C604,"1D","FOLLOWING",D$12)</f>
        <v>43354</v>
      </c>
      <c r="D605" s="13">
        <f ca="1">_xll.meDateFromTenor(C605,D$14,D$11,D$12)</f>
        <v>43355</v>
      </c>
      <c r="E605" s="98">
        <f ca="1"/>
        <v>-3.7687601053138088E-3</v>
      </c>
      <c r="F605" s="94"/>
      <c r="G605" s="100">
        <f ca="1">_xll.meDateFromTenor(G604,"1D","FOLLOWING",H$12)</f>
        <v>43354</v>
      </c>
      <c r="H605" s="13">
        <f ca="1">_xll.meDateFromTenor(G605,H$14,H$11,H$12)</f>
        <v>43384</v>
      </c>
      <c r="I605" s="98">
        <f ca="1"/>
        <v>-3.2799658467338633E-3</v>
      </c>
      <c r="J605" s="94" t="s">
        <v>4</v>
      </c>
      <c r="K605" s="100">
        <f ca="1">_xll.meDateFromTenor(K604,"1D","FOLLOWING",L$12)</f>
        <v>43354</v>
      </c>
      <c r="L605" s="13">
        <f ca="1">_xll.meDateFromTenor(K605,L$14,L$11,L$12)</f>
        <v>43445</v>
      </c>
      <c r="M605" s="98">
        <f ca="1"/>
        <v>-2.1982033566624753E-3</v>
      </c>
      <c r="N605" s="5" t="s">
        <v>4</v>
      </c>
      <c r="O605" s="100">
        <f ca="1">_xll.meDateFromTenor(O604,"1D","FOLLOWING",P$12)</f>
        <v>43354</v>
      </c>
      <c r="P605" s="13">
        <f ca="1">_xll.meDateFromTenor(O605,P$14,P$11,P$12)</f>
        <v>43535</v>
      </c>
      <c r="Q605" s="98">
        <f ca="1"/>
        <v>-7.3461331859897875E-4</v>
      </c>
      <c r="R605" s="5" t="s">
        <v>4</v>
      </c>
      <c r="S605" s="100">
        <f ca="1">_xll.meDateFromTenor(S604,"1D","FOLLOWING",T$12)</f>
        <v>43354</v>
      </c>
      <c r="T605" s="13">
        <f ca="1">_xll.meDateFromTenor(S605,T$14,T$11,T$12)</f>
        <v>43719</v>
      </c>
      <c r="U605" s="98">
        <f ca="1"/>
        <v>1.3101263798285933E-3</v>
      </c>
      <c r="V605" s="5" t="s">
        <v>4</v>
      </c>
      <c r="W605" s="84" t="s">
        <v>4</v>
      </c>
    </row>
    <row r="606" spans="1:23" x14ac:dyDescent="0.25">
      <c r="A606" s="90">
        <v>587</v>
      </c>
      <c r="B606" s="83"/>
      <c r="C606" s="100">
        <f ca="1">_xll.meDateFromTenor(C605,"1D","FOLLOWING",D$12)</f>
        <v>43355</v>
      </c>
      <c r="D606" s="13">
        <f ca="1">_xll.meDateFromTenor(C606,D$14,D$11,D$12)</f>
        <v>43356</v>
      </c>
      <c r="E606" s="98">
        <f ca="1"/>
        <v>-3.7656757770410244E-3</v>
      </c>
      <c r="F606" s="94"/>
      <c r="G606" s="100">
        <f ca="1">_xll.meDateFromTenor(G605,"1D","FOLLOWING",H$12)</f>
        <v>43355</v>
      </c>
      <c r="H606" s="13">
        <f ca="1">_xll.meDateFromTenor(G606,H$14,H$11,H$12)</f>
        <v>43385</v>
      </c>
      <c r="I606" s="98">
        <f ca="1"/>
        <v>-3.2764063054541749E-3</v>
      </c>
      <c r="J606" s="94" t="s">
        <v>4</v>
      </c>
      <c r="K606" s="100">
        <f ca="1">_xll.meDateFromTenor(K605,"1D","FOLLOWING",L$12)</f>
        <v>43355</v>
      </c>
      <c r="L606" s="13">
        <f ca="1">_xll.meDateFromTenor(K606,L$14,L$11,L$12)</f>
        <v>43446</v>
      </c>
      <c r="M606" s="98">
        <f ca="1"/>
        <v>-2.1887739168640935E-3</v>
      </c>
      <c r="N606" s="5" t="s">
        <v>4</v>
      </c>
      <c r="O606" s="100">
        <f ca="1">_xll.meDateFromTenor(O605,"1D","FOLLOWING",P$12)</f>
        <v>43355</v>
      </c>
      <c r="P606" s="13">
        <f ca="1">_xll.meDateFromTenor(O606,P$14,P$11,P$12)</f>
        <v>43536</v>
      </c>
      <c r="Q606" s="98">
        <f ca="1"/>
        <v>-7.3003995015567141E-4</v>
      </c>
      <c r="R606" s="5" t="s">
        <v>4</v>
      </c>
      <c r="S606" s="100">
        <f ca="1">_xll.meDateFromTenor(S605,"1D","FOLLOWING",T$12)</f>
        <v>43355</v>
      </c>
      <c r="T606" s="13">
        <f ca="1">_xll.meDateFromTenor(S606,T$14,T$11,T$12)</f>
        <v>43720</v>
      </c>
      <c r="U606" s="98">
        <f ca="1"/>
        <v>1.3151639267467694E-3</v>
      </c>
      <c r="V606" s="5" t="s">
        <v>4</v>
      </c>
      <c r="W606" s="84" t="s">
        <v>4</v>
      </c>
    </row>
    <row r="607" spans="1:23" x14ac:dyDescent="0.25">
      <c r="A607" s="90">
        <v>588</v>
      </c>
      <c r="B607" s="83"/>
      <c r="C607" s="100">
        <f ca="1">_xll.meDateFromTenor(C606,"1D","FOLLOWING",D$12)</f>
        <v>43356</v>
      </c>
      <c r="D607" s="13">
        <f ca="1">_xll.meDateFromTenor(C607,D$14,D$11,D$12)</f>
        <v>43357</v>
      </c>
      <c r="E607" s="98">
        <f ca="1"/>
        <v>-3.7625901245075389E-3</v>
      </c>
      <c r="F607" s="94"/>
      <c r="G607" s="100">
        <f ca="1">_xll.meDateFromTenor(G606,"1D","FOLLOWING",H$12)</f>
        <v>43356</v>
      </c>
      <c r="H607" s="13">
        <f ca="1">_xll.meDateFromTenor(G607,H$14,H$11,H$12)</f>
        <v>43388</v>
      </c>
      <c r="I607" s="98">
        <f ca="1"/>
        <v>-3.2728330806643955E-3</v>
      </c>
      <c r="J607" s="94" t="s">
        <v>4</v>
      </c>
      <c r="K607" s="100">
        <f ca="1">_xll.meDateFromTenor(K606,"1D","FOLLOWING",L$12)</f>
        <v>43356</v>
      </c>
      <c r="L607" s="13">
        <f ca="1">_xll.meDateFromTenor(K607,L$14,L$11,L$12)</f>
        <v>43447</v>
      </c>
      <c r="M607" s="98">
        <f ca="1"/>
        <v>-2.1793939642071086E-3</v>
      </c>
      <c r="N607" s="5" t="s">
        <v>4</v>
      </c>
      <c r="O607" s="100">
        <f ca="1">_xll.meDateFromTenor(O606,"1D","FOLLOWING",P$12)</f>
        <v>43356</v>
      </c>
      <c r="P607" s="13">
        <f ca="1">_xll.meDateFromTenor(O607,P$14,P$11,P$12)</f>
        <v>43537</v>
      </c>
      <c r="Q607" s="98">
        <f ca="1"/>
        <v>-7.2545867365370314E-4</v>
      </c>
      <c r="R607" s="5" t="s">
        <v>4</v>
      </c>
      <c r="S607" s="100">
        <f ca="1">_xll.meDateFromTenor(S606,"1D","FOLLOWING",T$12)</f>
        <v>43356</v>
      </c>
      <c r="T607" s="13">
        <f ca="1">_xll.meDateFromTenor(S607,T$14,T$11,T$12)</f>
        <v>43721</v>
      </c>
      <c r="U607" s="98">
        <f ca="1"/>
        <v>1.320208364362057E-3</v>
      </c>
      <c r="V607" s="5" t="s">
        <v>4</v>
      </c>
      <c r="W607" s="84" t="s">
        <v>4</v>
      </c>
    </row>
    <row r="608" spans="1:23" x14ac:dyDescent="0.25">
      <c r="A608" s="90">
        <v>589</v>
      </c>
      <c r="B608" s="83"/>
      <c r="C608" s="100">
        <f ca="1">_xll.meDateFromTenor(C607,"1D","FOLLOWING",D$12)</f>
        <v>43357</v>
      </c>
      <c r="D608" s="13">
        <f ca="1">_xll.meDateFromTenor(C608,D$14,D$11,D$12)</f>
        <v>43360</v>
      </c>
      <c r="E608" s="98">
        <f ca="1"/>
        <v>-3.7563752110969652E-3</v>
      </c>
      <c r="F608" s="94"/>
      <c r="G608" s="100">
        <f ca="1">_xll.meDateFromTenor(G607,"1D","FOLLOWING",H$12)</f>
        <v>43357</v>
      </c>
      <c r="H608" s="13">
        <f ca="1">_xll.meDateFromTenor(G608,H$14,H$11,H$12)</f>
        <v>43388</v>
      </c>
      <c r="I608" s="98">
        <f ca="1"/>
        <v>-3.2692471463151283E-3</v>
      </c>
      <c r="J608" s="94" t="s">
        <v>4</v>
      </c>
      <c r="K608" s="100">
        <f ca="1">_xll.meDateFromTenor(K607,"1D","FOLLOWING",L$12)</f>
        <v>43357</v>
      </c>
      <c r="L608" s="13">
        <f ca="1">_xll.meDateFromTenor(K608,L$14,L$11,L$12)</f>
        <v>43448</v>
      </c>
      <c r="M608" s="98">
        <f ca="1"/>
        <v>-2.1700631918393672E-3</v>
      </c>
      <c r="N608" s="5" t="s">
        <v>4</v>
      </c>
      <c r="O608" s="100">
        <f ca="1">_xll.meDateFromTenor(O607,"1D","FOLLOWING",P$12)</f>
        <v>43357</v>
      </c>
      <c r="P608" s="13">
        <f ca="1">_xll.meDateFromTenor(O608,P$14,P$11,P$12)</f>
        <v>43538</v>
      </c>
      <c r="Q608" s="98">
        <f ca="1"/>
        <v>-7.2086948882305014E-4</v>
      </c>
      <c r="R608" s="5" t="s">
        <v>4</v>
      </c>
      <c r="S608" s="100">
        <f ca="1">_xll.meDateFromTenor(S607,"1D","FOLLOWING",T$12)</f>
        <v>43357</v>
      </c>
      <c r="T608" s="13">
        <f ca="1">_xll.meDateFromTenor(S608,T$14,T$11,T$12)</f>
        <v>43724</v>
      </c>
      <c r="U608" s="98">
        <f ca="1"/>
        <v>1.3252596572378007E-3</v>
      </c>
      <c r="V608" s="5" t="s">
        <v>4</v>
      </c>
      <c r="W608" s="84" t="s">
        <v>4</v>
      </c>
    </row>
    <row r="609" spans="1:23" x14ac:dyDescent="0.25">
      <c r="A609" s="90">
        <v>590</v>
      </c>
      <c r="B609" s="83"/>
      <c r="C609" s="100">
        <f ca="1">_xll.meDateFromTenor(C608,"1D","FOLLOWING",D$12)</f>
        <v>43360</v>
      </c>
      <c r="D609" s="13">
        <f ca="1">_xll.meDateFromTenor(C609,D$14,D$11,D$12)</f>
        <v>43361</v>
      </c>
      <c r="E609" s="98">
        <f ca="1"/>
        <v>-3.7502342766826536E-3</v>
      </c>
      <c r="F609" s="94"/>
      <c r="G609" s="100">
        <f ca="1">_xll.meDateFromTenor(G608,"1D","FOLLOWING",H$12)</f>
        <v>43360</v>
      </c>
      <c r="H609" s="13">
        <f ca="1">_xll.meDateFromTenor(G609,H$14,H$11,H$12)</f>
        <v>43390</v>
      </c>
      <c r="I609" s="98">
        <f ca="1"/>
        <v>-3.2584228254164405E-3</v>
      </c>
      <c r="J609" s="94" t="s">
        <v>4</v>
      </c>
      <c r="K609" s="100">
        <f ca="1">_xll.meDateFromTenor(K608,"1D","FOLLOWING",L$12)</f>
        <v>43360</v>
      </c>
      <c r="L609" s="13">
        <f ca="1">_xll.meDateFromTenor(K609,L$14,L$11,L$12)</f>
        <v>43451</v>
      </c>
      <c r="M609" s="98">
        <f ca="1"/>
        <v>-2.1423628879500729E-3</v>
      </c>
      <c r="N609" s="5" t="s">
        <v>4</v>
      </c>
      <c r="O609" s="100">
        <f ca="1">_xll.meDateFromTenor(O608,"1D","FOLLOWING",P$12)</f>
        <v>43360</v>
      </c>
      <c r="P609" s="13">
        <f ca="1">_xll.meDateFromTenor(O609,P$14,P$11,P$12)</f>
        <v>43542</v>
      </c>
      <c r="Q609" s="98">
        <f ca="1"/>
        <v>-7.07054481658738E-4</v>
      </c>
      <c r="R609" s="5" t="s">
        <v>4</v>
      </c>
      <c r="S609" s="100">
        <f ca="1">_xll.meDateFromTenor(S608,"1D","FOLLOWING",T$12)</f>
        <v>43360</v>
      </c>
      <c r="T609" s="13">
        <f ca="1">_xll.meDateFromTenor(S609,T$14,T$11,T$12)</f>
        <v>43725</v>
      </c>
      <c r="U609" s="98">
        <f ca="1"/>
        <v>1.3404543130612222E-3</v>
      </c>
      <c r="V609" s="5" t="s">
        <v>4</v>
      </c>
      <c r="W609" s="84" t="s">
        <v>4</v>
      </c>
    </row>
    <row r="610" spans="1:23" x14ac:dyDescent="0.25">
      <c r="A610" s="90">
        <v>591</v>
      </c>
      <c r="B610" s="83"/>
      <c r="C610" s="100">
        <f ca="1">_xll.meDateFromTenor(C609,"1D","FOLLOWING",D$12)</f>
        <v>43361</v>
      </c>
      <c r="D610" s="13">
        <f ca="1">_xll.meDateFromTenor(C610,D$14,D$11,D$12)</f>
        <v>43362</v>
      </c>
      <c r="E610" s="98">
        <f ca="1"/>
        <v>-3.7471420048840322E-3</v>
      </c>
      <c r="F610" s="94"/>
      <c r="G610" s="100">
        <f ca="1">_xll.meDateFromTenor(G609,"1D","FOLLOWING",H$12)</f>
        <v>43361</v>
      </c>
      <c r="H610" s="13">
        <f ca="1">_xll.meDateFromTenor(G610,H$14,H$11,H$12)</f>
        <v>43391</v>
      </c>
      <c r="I610" s="98">
        <f ca="1"/>
        <v>-3.2547957923352599E-3</v>
      </c>
      <c r="J610" s="94" t="s">
        <v>4</v>
      </c>
      <c r="K610" s="100">
        <f ca="1">_xll.meDateFromTenor(K609,"1D","FOLLOWING",L$12)</f>
        <v>43361</v>
      </c>
      <c r="L610" s="13">
        <f ca="1">_xll.meDateFromTenor(K610,L$14,L$11,L$12)</f>
        <v>43452</v>
      </c>
      <c r="M610" s="98">
        <f ca="1"/>
        <v>-2.133225768217771E-3</v>
      </c>
      <c r="N610" s="5" t="s">
        <v>4</v>
      </c>
      <c r="O610" s="100">
        <f ca="1">_xll.meDateFromTenor(O609,"1D","FOLLOWING",P$12)</f>
        <v>43361</v>
      </c>
      <c r="P610" s="13">
        <f ca="1">_xll.meDateFromTenor(O610,P$14,P$11,P$12)</f>
        <v>43542</v>
      </c>
      <c r="Q610" s="98">
        <f ca="1"/>
        <v>-7.0243366081310077E-4</v>
      </c>
      <c r="R610" s="5" t="s">
        <v>4</v>
      </c>
      <c r="S610" s="100">
        <f ca="1">_xll.meDateFromTenor(S609,"1D","FOLLOWING",T$12)</f>
        <v>43361</v>
      </c>
      <c r="T610" s="13">
        <f ca="1">_xll.meDateFromTenor(S610,T$14,T$11,T$12)</f>
        <v>43726</v>
      </c>
      <c r="U610" s="98">
        <f ca="1"/>
        <v>1.3455326726122443E-3</v>
      </c>
      <c r="V610" s="5" t="s">
        <v>4</v>
      </c>
      <c r="W610" s="84" t="s">
        <v>4</v>
      </c>
    </row>
    <row r="611" spans="1:23" x14ac:dyDescent="0.25">
      <c r="A611" s="90">
        <v>592</v>
      </c>
      <c r="B611" s="83"/>
      <c r="C611" s="100">
        <f ca="1">_xll.meDateFromTenor(C610,"1D","FOLLOWING",D$12)</f>
        <v>43362</v>
      </c>
      <c r="D611" s="13">
        <f ca="1">_xll.meDateFromTenor(C611,D$14,D$11,D$12)</f>
        <v>43363</v>
      </c>
      <c r="E611" s="98">
        <f ca="1"/>
        <v>-3.7440484090245497E-3</v>
      </c>
      <c r="F611" s="94"/>
      <c r="G611" s="100">
        <f ca="1">_xll.meDateFromTenor(G610,"1D","FOLLOWING",H$12)</f>
        <v>43362</v>
      </c>
      <c r="H611" s="13">
        <f ca="1">_xll.meDateFromTenor(G611,H$14,H$11,H$12)</f>
        <v>43392</v>
      </c>
      <c r="I611" s="98">
        <f ca="1"/>
        <v>-3.2511609194476091E-3</v>
      </c>
      <c r="J611" s="94" t="s">
        <v>4</v>
      </c>
      <c r="K611" s="100">
        <f ca="1">_xll.meDateFromTenor(K610,"1D","FOLLOWING",L$12)</f>
        <v>43362</v>
      </c>
      <c r="L611" s="13">
        <f ca="1">_xll.meDateFromTenor(K611,L$14,L$11,L$12)</f>
        <v>43453</v>
      </c>
      <c r="M611" s="98">
        <f ca="1"/>
        <v>-2.1241362945139445E-3</v>
      </c>
      <c r="N611" s="5" t="s">
        <v>4</v>
      </c>
      <c r="O611" s="100">
        <f ca="1">_xll.meDateFromTenor(O610,"1D","FOLLOWING",P$12)</f>
        <v>43362</v>
      </c>
      <c r="P611" s="13">
        <f ca="1">_xll.meDateFromTenor(O611,P$14,P$11,P$12)</f>
        <v>43543</v>
      </c>
      <c r="Q611" s="98">
        <f ca="1"/>
        <v>-6.9780493028865677E-4</v>
      </c>
      <c r="R611" s="5" t="s">
        <v>4</v>
      </c>
      <c r="S611" s="100">
        <f ca="1">_xll.meDateFromTenor(S610,"1D","FOLLOWING",T$12)</f>
        <v>43362</v>
      </c>
      <c r="T611" s="13">
        <f ca="1">_xll.meDateFromTenor(S611,T$14,T$11,T$12)</f>
        <v>43727</v>
      </c>
      <c r="U611" s="98">
        <f ca="1"/>
        <v>1.3506177102404486E-3</v>
      </c>
      <c r="V611" s="5" t="s">
        <v>4</v>
      </c>
      <c r="W611" s="84" t="s">
        <v>4</v>
      </c>
    </row>
    <row r="612" spans="1:23" x14ac:dyDescent="0.25">
      <c r="A612" s="90">
        <v>593</v>
      </c>
      <c r="B612" s="83"/>
      <c r="C612" s="100">
        <f ca="1">_xll.meDateFromTenor(C611,"1D","FOLLOWING",D$12)</f>
        <v>43363</v>
      </c>
      <c r="D612" s="13">
        <f ca="1">_xll.meDateFromTenor(C612,D$14,D$11,D$12)</f>
        <v>43364</v>
      </c>
      <c r="E612" s="98">
        <f ca="1"/>
        <v>-3.7409534893839825E-3</v>
      </c>
      <c r="F612" s="94"/>
      <c r="G612" s="100">
        <f ca="1">_xll.meDateFromTenor(G611,"1D","FOLLOWING",H$12)</f>
        <v>43363</v>
      </c>
      <c r="H612" s="13">
        <f ca="1">_xll.meDateFromTenor(G612,H$14,H$11,H$12)</f>
        <v>43395</v>
      </c>
      <c r="I612" s="98">
        <f ca="1"/>
        <v>-3.2475191807040931E-3</v>
      </c>
      <c r="J612" s="94" t="s">
        <v>4</v>
      </c>
      <c r="K612" s="100">
        <f ca="1">_xll.meDateFromTenor(K611,"1D","FOLLOWING",L$12)</f>
        <v>43363</v>
      </c>
      <c r="L612" s="13">
        <f ca="1">_xll.meDateFromTenor(K612,L$14,L$11,L$12)</f>
        <v>43454</v>
      </c>
      <c r="M612" s="98">
        <f ca="1"/>
        <v>-2.1150941599864409E-3</v>
      </c>
      <c r="N612" s="5" t="s">
        <v>4</v>
      </c>
      <c r="O612" s="100">
        <f ca="1">_xll.meDateFromTenor(O611,"1D","FOLLOWING",P$12)</f>
        <v>43363</v>
      </c>
      <c r="P612" s="13">
        <f ca="1">_xll.meDateFromTenor(O612,P$14,P$11,P$12)</f>
        <v>43544</v>
      </c>
      <c r="Q612" s="98">
        <f ca="1"/>
        <v>-6.9316828981538119E-4</v>
      </c>
      <c r="R612" s="5" t="s">
        <v>4</v>
      </c>
      <c r="S612" s="100">
        <f ca="1">_xll.meDateFromTenor(S611,"1D","FOLLOWING",T$12)</f>
        <v>43363</v>
      </c>
      <c r="T612" s="13">
        <f ca="1">_xll.meDateFromTenor(S612,T$14,T$11,T$12)</f>
        <v>43728</v>
      </c>
      <c r="U612" s="98">
        <f ca="1"/>
        <v>1.3557093905091811E-3</v>
      </c>
      <c r="V612" s="5" t="s">
        <v>4</v>
      </c>
      <c r="W612" s="84" t="s">
        <v>4</v>
      </c>
    </row>
    <row r="613" spans="1:23" x14ac:dyDescent="0.25">
      <c r="A613" s="90">
        <v>594</v>
      </c>
      <c r="B613" s="83"/>
      <c r="C613" s="100">
        <f ca="1">_xll.meDateFromTenor(C612,"1D","FOLLOWING",D$12)</f>
        <v>43364</v>
      </c>
      <c r="D613" s="13">
        <f ca="1">_xll.meDateFromTenor(C613,D$14,D$11,D$12)</f>
        <v>43367</v>
      </c>
      <c r="E613" s="98">
        <f ca="1"/>
        <v>-3.734720490919954E-3</v>
      </c>
      <c r="F613" s="94"/>
      <c r="G613" s="100">
        <f ca="1">_xll.meDateFromTenor(G612,"1D","FOLLOWING",H$12)</f>
        <v>43364</v>
      </c>
      <c r="H613" s="13">
        <f ca="1">_xll.meDateFromTenor(G613,H$14,H$11,H$12)</f>
        <v>43395</v>
      </c>
      <c r="I613" s="98">
        <f ca="1"/>
        <v>-3.2438715500553148E-3</v>
      </c>
      <c r="J613" s="94" t="s">
        <v>4</v>
      </c>
      <c r="K613" s="100">
        <f ca="1">_xll.meDateFromTenor(K612,"1D","FOLLOWING",L$12)</f>
        <v>43364</v>
      </c>
      <c r="L613" s="13">
        <f ca="1">_xll.meDateFromTenor(K613,L$14,L$11,L$12)</f>
        <v>43455</v>
      </c>
      <c r="M613" s="98">
        <f ca="1"/>
        <v>-2.1060990577831062E-3</v>
      </c>
      <c r="N613" s="5" t="s">
        <v>4</v>
      </c>
      <c r="O613" s="100">
        <f ca="1">_xll.meDateFromTenor(O612,"1D","FOLLOWING",P$12)</f>
        <v>43364</v>
      </c>
      <c r="P613" s="13">
        <f ca="1">_xll.meDateFromTenor(O613,P$14,P$11,P$12)</f>
        <v>43545</v>
      </c>
      <c r="Q613" s="98">
        <f ca="1"/>
        <v>-6.8852373912325004E-4</v>
      </c>
      <c r="R613" s="5" t="s">
        <v>4</v>
      </c>
      <c r="S613" s="100">
        <f ca="1">_xll.meDateFromTenor(S612,"1D","FOLLOWING",T$12)</f>
        <v>43364</v>
      </c>
      <c r="T613" s="13">
        <f ca="1">_xll.meDateFromTenor(S613,T$14,T$11,T$12)</f>
        <v>43731</v>
      </c>
      <c r="U613" s="98">
        <f ca="1"/>
        <v>1.3608076779817867E-3</v>
      </c>
      <c r="V613" s="5" t="s">
        <v>4</v>
      </c>
      <c r="W613" s="84" t="s">
        <v>4</v>
      </c>
    </row>
    <row r="614" spans="1:23" x14ac:dyDescent="0.25">
      <c r="A614" s="90">
        <v>595</v>
      </c>
      <c r="B614" s="83"/>
      <c r="C614" s="100">
        <f ca="1">_xll.meDateFromTenor(C613,"1D","FOLLOWING",D$12)</f>
        <v>43367</v>
      </c>
      <c r="D614" s="13">
        <f ca="1">_xll.meDateFromTenor(C614,D$14,D$11,D$12)</f>
        <v>43368</v>
      </c>
      <c r="E614" s="98">
        <f ca="1"/>
        <v>-3.7285605698933601E-3</v>
      </c>
      <c r="F614" s="94"/>
      <c r="G614" s="100">
        <f ca="1">_xll.meDateFromTenor(G613,"1D","FOLLOWING",H$12)</f>
        <v>43367</v>
      </c>
      <c r="H614" s="13">
        <f ca="1">_xll.meDateFromTenor(G614,H$14,H$11,H$12)</f>
        <v>43397</v>
      </c>
      <c r="I614" s="98">
        <f ca="1"/>
        <v>-3.2329030461834417E-3</v>
      </c>
      <c r="J614" s="94" t="s">
        <v>4</v>
      </c>
      <c r="K614" s="100">
        <f ca="1">_xll.meDateFromTenor(K613,"1D","FOLLOWING",L$12)</f>
        <v>43367</v>
      </c>
      <c r="L614" s="13">
        <f ca="1">_xll.meDateFromTenor(K614,L$14,L$11,L$12)</f>
        <v>43458</v>
      </c>
      <c r="M614" s="98">
        <f ca="1"/>
        <v>-2.079392876596582E-3</v>
      </c>
      <c r="N614" s="5" t="s">
        <v>4</v>
      </c>
      <c r="O614" s="100">
        <f ca="1">_xll.meDateFromTenor(O613,"1D","FOLLOWING",P$12)</f>
        <v>43367</v>
      </c>
      <c r="P614" s="13">
        <f ca="1">_xll.meDateFromTenor(O614,P$14,P$11,P$12)</f>
        <v>43549</v>
      </c>
      <c r="Q614" s="98">
        <f ca="1"/>
        <v>-6.7454262303347917E-4</v>
      </c>
      <c r="R614" s="5" t="s">
        <v>4</v>
      </c>
      <c r="S614" s="100">
        <f ca="1">_xll.meDateFromTenor(S613,"1D","FOLLOWING",T$12)</f>
        <v>43367</v>
      </c>
      <c r="T614" s="13">
        <f ca="1">_xll.meDateFromTenor(S614,T$14,T$11,T$12)</f>
        <v>43732</v>
      </c>
      <c r="U614" s="98">
        <f ca="1"/>
        <v>1.3761418292562917E-3</v>
      </c>
      <c r="V614" s="5" t="s">
        <v>4</v>
      </c>
      <c r="W614" s="84" t="s">
        <v>4</v>
      </c>
    </row>
    <row r="615" spans="1:23" x14ac:dyDescent="0.25">
      <c r="A615" s="90">
        <v>596</v>
      </c>
      <c r="B615" s="83"/>
      <c r="C615" s="100">
        <f ca="1">_xll.meDateFromTenor(C614,"1D","FOLLOWING",D$12)</f>
        <v>43368</v>
      </c>
      <c r="D615" s="13">
        <f ca="1">_xll.meDateFromTenor(C615,D$14,D$11,D$12)</f>
        <v>43369</v>
      </c>
      <c r="E615" s="98">
        <f ca="1"/>
        <v>-3.7254590299085201E-3</v>
      </c>
      <c r="F615" s="94"/>
      <c r="G615" s="100">
        <f ca="1">_xll.meDateFromTenor(G614,"1D","FOLLOWING",H$12)</f>
        <v>43368</v>
      </c>
      <c r="H615" s="13">
        <f ca="1">_xll.meDateFromTenor(G615,H$14,H$11,H$12)</f>
        <v>43398</v>
      </c>
      <c r="I615" s="98">
        <f ca="1"/>
        <v>-3.2292415874196493E-3</v>
      </c>
      <c r="J615" s="94" t="s">
        <v>4</v>
      </c>
      <c r="K615" s="100">
        <f ca="1">_xll.meDateFromTenor(K614,"1D","FOLLOWING",L$12)</f>
        <v>43368</v>
      </c>
      <c r="L615" s="13">
        <f ca="1">_xll.meDateFromTenor(K615,L$14,L$11,L$12)</f>
        <v>43461</v>
      </c>
      <c r="M615" s="98">
        <f ca="1"/>
        <v>-2.0705828351683881E-3</v>
      </c>
      <c r="N615" s="5" t="s">
        <v>4</v>
      </c>
      <c r="O615" s="100">
        <f ca="1">_xll.meDateFromTenor(O614,"1D","FOLLOWING",P$12)</f>
        <v>43368</v>
      </c>
      <c r="P615" s="13">
        <f ca="1">_xll.meDateFromTenor(O615,P$14,P$11,P$12)</f>
        <v>43549</v>
      </c>
      <c r="Q615" s="98">
        <f ca="1"/>
        <v>-6.6986642876568146E-4</v>
      </c>
      <c r="R615" s="5" t="s">
        <v>4</v>
      </c>
      <c r="S615" s="100">
        <f ca="1">_xll.meDateFromTenor(S614,"1D","FOLLOWING",T$12)</f>
        <v>43368</v>
      </c>
      <c r="T615" s="13">
        <f ca="1">_xll.meDateFromTenor(S615,T$14,T$11,T$12)</f>
        <v>43733</v>
      </c>
      <c r="U615" s="98">
        <f ca="1"/>
        <v>1.3812661911778411E-3</v>
      </c>
      <c r="V615" s="5" t="s">
        <v>4</v>
      </c>
      <c r="W615" s="84" t="s">
        <v>4</v>
      </c>
    </row>
    <row r="616" spans="1:23" x14ac:dyDescent="0.25">
      <c r="A616" s="90">
        <v>597</v>
      </c>
      <c r="B616" s="83"/>
      <c r="C616" s="100">
        <f ca="1">_xll.meDateFromTenor(C615,"1D","FOLLOWING",D$12)</f>
        <v>43369</v>
      </c>
      <c r="D616" s="13">
        <f ca="1">_xll.meDateFromTenor(C616,D$14,D$11,D$12)</f>
        <v>43370</v>
      </c>
      <c r="E616" s="98">
        <f ca="1"/>
        <v>-3.7223561657429146E-3</v>
      </c>
      <c r="F616" s="94"/>
      <c r="G616" s="100">
        <f ca="1">_xll.meDateFromTenor(G615,"1D","FOLLOWING",H$12)</f>
        <v>43369</v>
      </c>
      <c r="H616" s="13">
        <f ca="1">_xll.meDateFromTenor(G616,H$14,H$11,H$12)</f>
        <v>43399</v>
      </c>
      <c r="I616" s="98">
        <f ca="1"/>
        <v>-3.2255791065036138E-3</v>
      </c>
      <c r="J616" s="94" t="s">
        <v>4</v>
      </c>
      <c r="K616" s="100">
        <f ca="1">_xll.meDateFromTenor(K615,"1D","FOLLOWING",L$12)</f>
        <v>43369</v>
      </c>
      <c r="L616" s="13">
        <f ca="1">_xll.meDateFromTenor(K616,L$14,L$11,L$12)</f>
        <v>43461</v>
      </c>
      <c r="M616" s="98">
        <f ca="1"/>
        <v>-2.0618182918035973E-3</v>
      </c>
      <c r="N616" s="5" t="s">
        <v>4</v>
      </c>
      <c r="O616" s="100">
        <f ca="1">_xll.meDateFromTenor(O615,"1D","FOLLOWING",P$12)</f>
        <v>43369</v>
      </c>
      <c r="P616" s="13">
        <f ca="1">_xll.meDateFromTenor(O616,P$14,P$11,P$12)</f>
        <v>43550</v>
      </c>
      <c r="Q616" s="98">
        <f ca="1"/>
        <v>-6.6518232292890676E-4</v>
      </c>
      <c r="R616" s="5" t="s">
        <v>4</v>
      </c>
      <c r="S616" s="100">
        <f ca="1">_xll.meDateFromTenor(S615,"1D","FOLLOWING",T$12)</f>
        <v>43369</v>
      </c>
      <c r="T616" s="13">
        <f ca="1">_xll.meDateFromTenor(S616,T$14,T$11,T$12)</f>
        <v>43734</v>
      </c>
      <c r="U616" s="98">
        <f ca="1"/>
        <v>1.3863969831199887E-3</v>
      </c>
      <c r="V616" s="5" t="s">
        <v>4</v>
      </c>
      <c r="W616" s="84" t="s">
        <v>4</v>
      </c>
    </row>
    <row r="617" spans="1:23" x14ac:dyDescent="0.25">
      <c r="A617" s="90">
        <v>598</v>
      </c>
      <c r="B617" s="83"/>
      <c r="C617" s="100">
        <f ca="1">_xll.meDateFromTenor(C616,"1D","FOLLOWING",D$12)</f>
        <v>43370</v>
      </c>
      <c r="D617" s="13">
        <f ca="1">_xll.meDateFromTenor(C617,D$14,D$11,D$12)</f>
        <v>43371</v>
      </c>
      <c r="E617" s="98">
        <f ca="1"/>
        <v>-3.7192519773166085E-3</v>
      </c>
      <c r="F617" s="94"/>
      <c r="G617" s="100">
        <f ca="1">_xll.meDateFromTenor(G616,"1D","FOLLOWING",H$12)</f>
        <v>43370</v>
      </c>
      <c r="H617" s="13">
        <f ca="1">_xll.meDateFromTenor(G617,H$14,H$11,H$12)</f>
        <v>43402</v>
      </c>
      <c r="I617" s="98">
        <f ca="1"/>
        <v>-3.2219165773859364E-3</v>
      </c>
      <c r="J617" s="94" t="s">
        <v>4</v>
      </c>
      <c r="K617" s="100">
        <f ca="1">_xll.meDateFromTenor(K616,"1D","FOLLOWING",L$12)</f>
        <v>43370</v>
      </c>
      <c r="L617" s="13">
        <f ca="1">_xll.meDateFromTenor(K617,L$14,L$11,L$12)</f>
        <v>43461</v>
      </c>
      <c r="M617" s="98">
        <f ca="1"/>
        <v>-2.0530989396500524E-3</v>
      </c>
      <c r="N617" s="5" t="s">
        <v>4</v>
      </c>
      <c r="O617" s="100">
        <f ca="1">_xll.meDateFromTenor(O616,"1D","FOLLOWING",P$12)</f>
        <v>43370</v>
      </c>
      <c r="P617" s="13">
        <f ca="1">_xll.meDateFromTenor(O617,P$14,P$11,P$12)</f>
        <v>43551</v>
      </c>
      <c r="Q617" s="98">
        <f ca="1"/>
        <v>-6.6049030525312943E-4</v>
      </c>
      <c r="R617" s="5" t="s">
        <v>4</v>
      </c>
      <c r="S617" s="100">
        <f ca="1">_xll.meDateFromTenor(S616,"1D","FOLLOWING",T$12)</f>
        <v>43370</v>
      </c>
      <c r="T617" s="13">
        <f ca="1">_xll.meDateFromTenor(S617,T$14,T$11,T$12)</f>
        <v>43735</v>
      </c>
      <c r="U617" s="98">
        <f ca="1"/>
        <v>1.3915341696460811E-3</v>
      </c>
      <c r="V617" s="5" t="s">
        <v>4</v>
      </c>
      <c r="W617" s="84" t="s">
        <v>4</v>
      </c>
    </row>
    <row r="618" spans="1:23" x14ac:dyDescent="0.25">
      <c r="A618" s="90">
        <v>599</v>
      </c>
      <c r="B618" s="83"/>
      <c r="C618" s="100">
        <f ca="1">_xll.meDateFromTenor(C617,"1D","FOLLOWING",D$12)</f>
        <v>43371</v>
      </c>
      <c r="D618" s="13">
        <f ca="1">_xll.meDateFromTenor(C618,D$14,D$11,D$12)</f>
        <v>43374</v>
      </c>
      <c r="E618" s="98">
        <f ca="1"/>
        <v>-3.7130008906283282E-3</v>
      </c>
      <c r="F618" s="94"/>
      <c r="G618" s="100">
        <f ca="1">_xll.meDateFromTenor(G617,"1D","FOLLOWING",H$12)</f>
        <v>43371</v>
      </c>
      <c r="H618" s="13">
        <f ca="1">_xll.meDateFromTenor(G618,H$14,H$11,H$12)</f>
        <v>43402</v>
      </c>
      <c r="I618" s="98">
        <f ca="1"/>
        <v>-3.2182549740172222E-3</v>
      </c>
      <c r="J618" s="94" t="s">
        <v>4</v>
      </c>
      <c r="K618" s="100">
        <f ca="1">_xll.meDateFromTenor(K617,"1D","FOLLOWING",L$12)</f>
        <v>43371</v>
      </c>
      <c r="L618" s="13">
        <f ca="1">_xll.meDateFromTenor(K618,L$14,L$11,L$12)</f>
        <v>43462</v>
      </c>
      <c r="M618" s="98">
        <f ca="1"/>
        <v>-2.0444244718556023E-3</v>
      </c>
      <c r="N618" s="5" t="s">
        <v>4</v>
      </c>
      <c r="O618" s="100">
        <f ca="1">_xll.meDateFromTenor(O617,"1D","FOLLOWING",P$12)</f>
        <v>43371</v>
      </c>
      <c r="P618" s="13">
        <f ca="1">_xll.meDateFromTenor(O618,P$14,P$11,P$12)</f>
        <v>43552</v>
      </c>
      <c r="Q618" s="98">
        <f ca="1"/>
        <v>-6.5579037546832555E-4</v>
      </c>
      <c r="R618" s="5" t="s">
        <v>4</v>
      </c>
      <c r="S618" s="100">
        <f ca="1">_xll.meDateFromTenor(S617,"1D","FOLLOWING",T$12)</f>
        <v>43371</v>
      </c>
      <c r="T618" s="13">
        <f ca="1">_xll.meDateFromTenor(S618,T$14,T$11,T$12)</f>
        <v>43738</v>
      </c>
      <c r="U618" s="98">
        <f ca="1"/>
        <v>1.3966777153194634E-3</v>
      </c>
      <c r="V618" s="5" t="s">
        <v>4</v>
      </c>
      <c r="W618" s="84" t="s">
        <v>4</v>
      </c>
    </row>
    <row r="619" spans="1:23" x14ac:dyDescent="0.25">
      <c r="A619" s="90">
        <v>600</v>
      </c>
      <c r="B619" s="83"/>
      <c r="C619" s="100">
        <f ca="1">_xll.meDateFromTenor(C618,"1D","FOLLOWING",D$12)</f>
        <v>43374</v>
      </c>
      <c r="D619" s="13">
        <f ca="1">_xll.meDateFromTenor(C619,D$14,D$11,D$12)</f>
        <v>43375</v>
      </c>
      <c r="E619" s="98">
        <f ca="1"/>
        <v>-3.7068219819636058E-3</v>
      </c>
      <c r="F619" s="94"/>
      <c r="G619" s="100">
        <f ca="1">_xll.meDateFromTenor(G618,"1D","FOLLOWING",H$12)</f>
        <v>43374</v>
      </c>
      <c r="H619" s="13">
        <f ca="1">_xll.meDateFromTenor(G619,H$14,H$11,H$12)</f>
        <v>43405</v>
      </c>
      <c r="I619" s="98">
        <f ca="1"/>
        <v>-3.2072854579108918E-3</v>
      </c>
      <c r="J619" s="94" t="s">
        <v>4</v>
      </c>
      <c r="K619" s="100">
        <f ca="1">_xll.meDateFromTenor(K618,"1D","FOLLOWING",L$12)</f>
        <v>43374</v>
      </c>
      <c r="L619" s="13">
        <f ca="1">_xll.meDateFromTenor(K619,L$14,L$11,L$12)</f>
        <v>43467</v>
      </c>
      <c r="M619" s="98">
        <f ca="1"/>
        <v>-2.0186673061052826E-3</v>
      </c>
      <c r="N619" s="5" t="s">
        <v>4</v>
      </c>
      <c r="O619" s="100">
        <f ca="1">_xll.meDateFromTenor(O618,"1D","FOLLOWING",P$12)</f>
        <v>43374</v>
      </c>
      <c r="P619" s="13">
        <f ca="1">_xll.meDateFromTenor(O619,P$14,P$11,P$12)</f>
        <v>43556</v>
      </c>
      <c r="Q619" s="98">
        <f ca="1"/>
        <v>-6.4164311075951268E-4</v>
      </c>
      <c r="R619" s="5" t="s">
        <v>4</v>
      </c>
      <c r="S619" s="100">
        <f ca="1">_xll.meDateFromTenor(S618,"1D","FOLLOWING",T$12)</f>
        <v>43374</v>
      </c>
      <c r="T619" s="13">
        <f ca="1">_xll.meDateFromTenor(S619,T$14,T$11,T$12)</f>
        <v>43739</v>
      </c>
      <c r="U619" s="98">
        <f ca="1"/>
        <v>1.4121461528567988E-3</v>
      </c>
      <c r="V619" s="5" t="s">
        <v>4</v>
      </c>
      <c r="W619" s="84" t="s">
        <v>4</v>
      </c>
    </row>
    <row r="620" spans="1:23" x14ac:dyDescent="0.25">
      <c r="A620" s="90">
        <v>601</v>
      </c>
      <c r="B620" s="83"/>
      <c r="C620" s="100">
        <f ca="1">_xll.meDateFromTenor(C619,"1D","FOLLOWING",D$12)</f>
        <v>43375</v>
      </c>
      <c r="D620" s="13">
        <f ca="1">_xll.meDateFromTenor(C620,D$14,D$11,D$12)</f>
        <v>43376</v>
      </c>
      <c r="E620" s="98">
        <f ca="1"/>
        <v>-3.7037111726734425E-3</v>
      </c>
      <c r="F620" s="94"/>
      <c r="G620" s="100">
        <f ca="1">_xll.meDateFromTenor(G619,"1D","FOLLOWING",H$12)</f>
        <v>43375</v>
      </c>
      <c r="H620" s="13">
        <f ca="1">_xll.meDateFromTenor(G620,H$14,H$11,H$12)</f>
        <v>43406</v>
      </c>
      <c r="I620" s="98">
        <f ca="1"/>
        <v>-3.2036372970440643E-3</v>
      </c>
      <c r="J620" s="94" t="s">
        <v>4</v>
      </c>
      <c r="K620" s="100">
        <f ca="1">_xll.meDateFromTenor(K619,"1D","FOLLOWING",L$12)</f>
        <v>43375</v>
      </c>
      <c r="L620" s="13">
        <f ca="1">_xll.meDateFromTenor(K620,L$14,L$11,L$12)</f>
        <v>43467</v>
      </c>
      <c r="M620" s="98">
        <f ca="1"/>
        <v>-2.0101693072256746E-3</v>
      </c>
      <c r="N620" s="5" t="s">
        <v>4</v>
      </c>
      <c r="O620" s="100">
        <f ca="1">_xll.meDateFromTenor(O619,"1D","FOLLOWING",P$12)</f>
        <v>43375</v>
      </c>
      <c r="P620" s="13">
        <f ca="1">_xll.meDateFromTenor(O620,P$14,P$11,P$12)</f>
        <v>43557</v>
      </c>
      <c r="Q620" s="98">
        <f ca="1"/>
        <v>-6.3691152983835981E-4</v>
      </c>
      <c r="R620" s="5" t="s">
        <v>4</v>
      </c>
      <c r="S620" s="100">
        <f ca="1">_xll.meDateFromTenor(S619,"1D","FOLLOWING",T$12)</f>
        <v>43375</v>
      </c>
      <c r="T620" s="13">
        <f ca="1">_xll.meDateFromTenor(S620,T$14,T$11,T$12)</f>
        <v>43740</v>
      </c>
      <c r="U620" s="98">
        <f ca="1"/>
        <v>1.4173147807527906E-3</v>
      </c>
      <c r="V620" s="5" t="s">
        <v>4</v>
      </c>
      <c r="W620" s="84" t="s">
        <v>4</v>
      </c>
    </row>
    <row r="621" spans="1:23" x14ac:dyDescent="0.25">
      <c r="A621" s="90">
        <v>602</v>
      </c>
      <c r="B621" s="83"/>
      <c r="C621" s="100">
        <f ca="1">_xll.meDateFromTenor(C620,"1D","FOLLOWING",D$12)</f>
        <v>43376</v>
      </c>
      <c r="D621" s="13">
        <f ca="1">_xll.meDateFromTenor(C621,D$14,D$11,D$12)</f>
        <v>43377</v>
      </c>
      <c r="E621" s="98">
        <f ca="1"/>
        <v>-3.7005990387628659E-3</v>
      </c>
      <c r="F621" s="94"/>
      <c r="G621" s="100">
        <f ca="1">_xll.meDateFromTenor(G620,"1D","FOLLOWING",H$12)</f>
        <v>43376</v>
      </c>
      <c r="H621" s="13">
        <f ca="1">_xll.meDateFromTenor(G621,H$14,H$11,H$12)</f>
        <v>43409</v>
      </c>
      <c r="I621" s="98">
        <f ca="1"/>
        <v>-3.1999947557186268E-3</v>
      </c>
      <c r="J621" s="94" t="s">
        <v>4</v>
      </c>
      <c r="K621" s="100">
        <f ca="1">_xll.meDateFromTenor(K620,"1D","FOLLOWING",L$12)</f>
        <v>43376</v>
      </c>
      <c r="L621" s="13">
        <f ca="1">_xll.meDateFromTenor(K621,L$14,L$11,L$12)</f>
        <v>43468</v>
      </c>
      <c r="M621" s="98">
        <f ca="1"/>
        <v>-2.0017146584443953E-3</v>
      </c>
      <c r="N621" s="5" t="s">
        <v>4</v>
      </c>
      <c r="O621" s="100">
        <f ca="1">_xll.meDateFromTenor(O620,"1D","FOLLOWING",P$12)</f>
        <v>43376</v>
      </c>
      <c r="P621" s="13">
        <f ca="1">_xll.meDateFromTenor(O621,P$14,P$11,P$12)</f>
        <v>43558</v>
      </c>
      <c r="Q621" s="98">
        <f ca="1"/>
        <v>-6.321720354580593E-4</v>
      </c>
      <c r="R621" s="5" t="s">
        <v>4</v>
      </c>
      <c r="S621" s="100">
        <f ca="1">_xll.meDateFromTenor(S620,"1D","FOLLOWING",T$12)</f>
        <v>43376</v>
      </c>
      <c r="T621" s="13">
        <f ca="1">_xll.meDateFromTenor(S621,T$14,T$11,T$12)</f>
        <v>43741</v>
      </c>
      <c r="U621" s="98">
        <f ca="1"/>
        <v>1.4224895906127977E-3</v>
      </c>
      <c r="V621" s="5" t="s">
        <v>4</v>
      </c>
      <c r="W621" s="84" t="s">
        <v>4</v>
      </c>
    </row>
    <row r="622" spans="1:23" x14ac:dyDescent="0.25">
      <c r="A622" s="90">
        <v>603</v>
      </c>
      <c r="B622" s="83"/>
      <c r="C622" s="100">
        <f ca="1">_xll.meDateFromTenor(C621,"1D","FOLLOWING",D$12)</f>
        <v>43377</v>
      </c>
      <c r="D622" s="13">
        <f ca="1">_xll.meDateFromTenor(C622,D$14,D$11,D$12)</f>
        <v>43378</v>
      </c>
      <c r="E622" s="98">
        <f ca="1"/>
        <v>-3.6974855807114923E-3</v>
      </c>
      <c r="F622" s="94"/>
      <c r="G622" s="100">
        <f ca="1">_xll.meDateFromTenor(G621,"1D","FOLLOWING",H$12)</f>
        <v>43377</v>
      </c>
      <c r="H622" s="13">
        <f ca="1">_xll.meDateFromTenor(G622,H$14,H$11,H$12)</f>
        <v>43409</v>
      </c>
      <c r="I622" s="98">
        <f ca="1"/>
        <v>-3.1963579280822243E-3</v>
      </c>
      <c r="J622" s="94" t="s">
        <v>4</v>
      </c>
      <c r="K622" s="100">
        <f ca="1">_xll.meDateFromTenor(K621,"1D","FOLLOWING",L$12)</f>
        <v>43377</v>
      </c>
      <c r="L622" s="13">
        <f ca="1">_xll.meDateFromTenor(K622,L$14,L$11,L$12)</f>
        <v>43469</v>
      </c>
      <c r="M622" s="98">
        <f ca="1"/>
        <v>-1.9933030529092868E-3</v>
      </c>
      <c r="N622" s="5" t="s">
        <v>4</v>
      </c>
      <c r="O622" s="100">
        <f ca="1">_xll.meDateFromTenor(O621,"1D","FOLLOWING",P$12)</f>
        <v>43377</v>
      </c>
      <c r="P622" s="13">
        <f ca="1">_xll.meDateFromTenor(O622,P$14,P$11,P$12)</f>
        <v>43559</v>
      </c>
      <c r="Q622" s="98">
        <f ca="1"/>
        <v>-6.2742462734858564E-4</v>
      </c>
      <c r="R622" s="5" t="s">
        <v>4</v>
      </c>
      <c r="S622" s="100">
        <f ca="1">_xll.meDateFromTenor(S621,"1D","FOLLOWING",T$12)</f>
        <v>43377</v>
      </c>
      <c r="T622" s="13">
        <f ca="1">_xll.meDateFromTenor(S622,T$14,T$11,T$12)</f>
        <v>43742</v>
      </c>
      <c r="U622" s="98">
        <f ca="1"/>
        <v>1.4276705470001659E-3</v>
      </c>
      <c r="V622" s="5" t="s">
        <v>4</v>
      </c>
      <c r="W622" s="84" t="s">
        <v>4</v>
      </c>
    </row>
    <row r="623" spans="1:23" x14ac:dyDescent="0.25">
      <c r="A623" s="90">
        <v>604</v>
      </c>
      <c r="B623" s="83"/>
      <c r="C623" s="100">
        <f ca="1">_xll.meDateFromTenor(C622,"1D","FOLLOWING",D$12)</f>
        <v>43378</v>
      </c>
      <c r="D623" s="13">
        <f ca="1">_xll.meDateFromTenor(C623,D$14,D$11,D$12)</f>
        <v>43381</v>
      </c>
      <c r="E623" s="98">
        <f ca="1"/>
        <v>-3.6912164020552881E-3</v>
      </c>
      <c r="F623" s="94"/>
      <c r="G623" s="100">
        <f ca="1">_xll.meDateFromTenor(G622,"1D","FOLLOWING",H$12)</f>
        <v>43378</v>
      </c>
      <c r="H623" s="13">
        <f ca="1">_xll.meDateFromTenor(G623,H$14,H$11,H$12)</f>
        <v>43409</v>
      </c>
      <c r="I623" s="98">
        <f ca="1"/>
        <v>-3.1927267323219131E-3</v>
      </c>
      <c r="J623" s="94" t="s">
        <v>4</v>
      </c>
      <c r="K623" s="100">
        <f ca="1">_xll.meDateFromTenor(K622,"1D","FOLLOWING",L$12)</f>
        <v>43378</v>
      </c>
      <c r="L623" s="13">
        <f ca="1">_xll.meDateFromTenor(K623,L$14,L$11,L$12)</f>
        <v>43472</v>
      </c>
      <c r="M623" s="98">
        <f ca="1"/>
        <v>-1.9849341837682006E-3</v>
      </c>
      <c r="N623" s="5" t="s">
        <v>4</v>
      </c>
      <c r="O623" s="100">
        <f ca="1">_xll.meDateFromTenor(O622,"1D","FOLLOWING",P$12)</f>
        <v>43378</v>
      </c>
      <c r="P623" s="13">
        <f ca="1">_xll.meDateFromTenor(O623,P$14,P$11,P$12)</f>
        <v>43560</v>
      </c>
      <c r="Q623" s="98">
        <f ca="1"/>
        <v>-6.2266930523991555E-4</v>
      </c>
      <c r="R623" s="5" t="s">
        <v>4</v>
      </c>
      <c r="S623" s="100">
        <f ca="1">_xll.meDateFromTenor(S622,"1D","FOLLOWING",T$12)</f>
        <v>43378</v>
      </c>
      <c r="T623" s="13">
        <f ca="1">_xll.meDateFromTenor(S623,T$14,T$11,T$12)</f>
        <v>43745</v>
      </c>
      <c r="U623" s="98">
        <f ca="1"/>
        <v>1.4328576144782394E-3</v>
      </c>
      <c r="V623" s="5" t="s">
        <v>4</v>
      </c>
      <c r="W623" s="84" t="s">
        <v>4</v>
      </c>
    </row>
    <row r="624" spans="1:23" x14ac:dyDescent="0.25">
      <c r="A624" s="90">
        <v>605</v>
      </c>
      <c r="B624" s="83"/>
      <c r="C624" s="100">
        <f ca="1">_xll.meDateFromTenor(C623,"1D","FOLLOWING",D$12)</f>
        <v>43381</v>
      </c>
      <c r="D624" s="13">
        <f ca="1">_xll.meDateFromTenor(C624,D$14,D$11,D$12)</f>
        <v>43382</v>
      </c>
      <c r="E624" s="98">
        <f ca="1"/>
        <v>-3.6850185046999459E-3</v>
      </c>
      <c r="F624" s="94"/>
      <c r="G624" s="100">
        <f ca="1">_xll.meDateFromTenor(G623,"1D","FOLLOWING",H$12)</f>
        <v>43381</v>
      </c>
      <c r="H624" s="13">
        <f ca="1">_xll.meDateFromTenor(G624,H$14,H$11,H$12)</f>
        <v>43412</v>
      </c>
      <c r="I624" s="98">
        <f ca="1"/>
        <v>-3.1818661181680719E-3</v>
      </c>
      <c r="J624" s="94" t="s">
        <v>4</v>
      </c>
      <c r="K624" s="100">
        <f ca="1">_xll.meDateFromTenor(K623,"1D","FOLLOWING",L$12)</f>
        <v>43381</v>
      </c>
      <c r="L624" s="13">
        <f ca="1">_xll.meDateFromTenor(K624,L$14,L$11,L$12)</f>
        <v>43473</v>
      </c>
      <c r="M624" s="98">
        <f ca="1"/>
        <v>-1.9600809261875202E-3</v>
      </c>
      <c r="N624" s="5" t="s">
        <v>4</v>
      </c>
      <c r="O624" s="100">
        <f ca="1">_xll.meDateFromTenor(O623,"1D","FOLLOWING",P$12)</f>
        <v>43381</v>
      </c>
      <c r="P624" s="13">
        <f ca="1">_xll.meDateFromTenor(O624,P$14,P$11,P$12)</f>
        <v>43563</v>
      </c>
      <c r="Q624" s="98">
        <f ca="1"/>
        <v>-6.0835585221847763E-4</v>
      </c>
      <c r="R624" s="5" t="s">
        <v>4</v>
      </c>
      <c r="S624" s="100">
        <f ca="1">_xll.meDateFromTenor(S623,"1D","FOLLOWING",T$12)</f>
        <v>43381</v>
      </c>
      <c r="T624" s="13">
        <f ca="1">_xll.meDateFromTenor(S624,T$14,T$11,T$12)</f>
        <v>43746</v>
      </c>
      <c r="U624" s="98">
        <f ca="1"/>
        <v>1.4484551290901504E-3</v>
      </c>
      <c r="V624" s="5" t="s">
        <v>4</v>
      </c>
      <c r="W624" s="84" t="s">
        <v>4</v>
      </c>
    </row>
    <row r="625" spans="1:23" x14ac:dyDescent="0.25">
      <c r="A625" s="90">
        <v>606</v>
      </c>
      <c r="B625" s="83"/>
      <c r="C625" s="100">
        <f ca="1">_xll.meDateFromTenor(C624,"1D","FOLLOWING",D$12)</f>
        <v>43382</v>
      </c>
      <c r="D625" s="13">
        <f ca="1">_xll.meDateFromTenor(C625,D$14,D$11,D$12)</f>
        <v>43383</v>
      </c>
      <c r="E625" s="98">
        <f ca="1"/>
        <v>-3.6818984247855143E-3</v>
      </c>
      <c r="F625" s="94"/>
      <c r="G625" s="100">
        <f ca="1">_xll.meDateFromTenor(G624,"1D","FOLLOWING",H$12)</f>
        <v>43382</v>
      </c>
      <c r="H625" s="13">
        <f ca="1">_xll.meDateFromTenor(G625,H$14,H$11,H$12)</f>
        <v>43413</v>
      </c>
      <c r="I625" s="98">
        <f ca="1"/>
        <v>-3.1782566317826721E-3</v>
      </c>
      <c r="J625" s="94" t="s">
        <v>4</v>
      </c>
      <c r="K625" s="100">
        <f ca="1">_xll.meDateFromTenor(K624,"1D","FOLLOWING",L$12)</f>
        <v>43382</v>
      </c>
      <c r="L625" s="13">
        <f ca="1">_xll.meDateFromTenor(K625,L$14,L$11,L$12)</f>
        <v>43474</v>
      </c>
      <c r="M625" s="98">
        <f ca="1"/>
        <v>-1.9518799341009764E-3</v>
      </c>
      <c r="N625" s="5" t="s">
        <v>4</v>
      </c>
      <c r="O625" s="100">
        <f ca="1">_xll.meDateFromTenor(O624,"1D","FOLLOWING",P$12)</f>
        <v>43382</v>
      </c>
      <c r="P625" s="13">
        <f ca="1">_xll.meDateFromTenor(O625,P$14,P$11,P$12)</f>
        <v>43564</v>
      </c>
      <c r="Q625" s="98">
        <f ca="1"/>
        <v>-6.0356887141277524E-4</v>
      </c>
      <c r="R625" s="5" t="s">
        <v>4</v>
      </c>
      <c r="S625" s="100">
        <f ca="1">_xll.meDateFromTenor(S624,"1D","FOLLOWING",T$12)</f>
        <v>43382</v>
      </c>
      <c r="T625" s="13">
        <f ca="1">_xll.meDateFromTenor(S625,T$14,T$11,T$12)</f>
        <v>43747</v>
      </c>
      <c r="U625" s="98">
        <f ca="1"/>
        <v>1.4536662865645006E-3</v>
      </c>
      <c r="V625" s="5" t="s">
        <v>4</v>
      </c>
      <c r="W625" s="84" t="s">
        <v>4</v>
      </c>
    </row>
    <row r="626" spans="1:23" x14ac:dyDescent="0.25">
      <c r="A626" s="90">
        <v>607</v>
      </c>
      <c r="B626" s="83"/>
      <c r="C626" s="100">
        <f ca="1">_xll.meDateFromTenor(C625,"1D","FOLLOWING",D$12)</f>
        <v>43383</v>
      </c>
      <c r="D626" s="13">
        <f ca="1">_xll.meDateFromTenor(C626,D$14,D$11,D$12)</f>
        <v>43384</v>
      </c>
      <c r="E626" s="98">
        <f ca="1"/>
        <v>-3.6787770201707334E-3</v>
      </c>
      <c r="F626" s="94"/>
      <c r="G626" s="100">
        <f ca="1">_xll.meDateFromTenor(G625,"1D","FOLLOWING",H$12)</f>
        <v>43383</v>
      </c>
      <c r="H626" s="13">
        <f ca="1">_xll.meDateFromTenor(G626,H$14,H$11,H$12)</f>
        <v>43416</v>
      </c>
      <c r="I626" s="98">
        <f ca="1"/>
        <v>-3.1746523682086394E-3</v>
      </c>
      <c r="J626" s="94" t="s">
        <v>4</v>
      </c>
      <c r="K626" s="100">
        <f ca="1">_xll.meDateFromTenor(K625,"1D","FOLLOWING",L$12)</f>
        <v>43383</v>
      </c>
      <c r="L626" s="13">
        <f ca="1">_xll.meDateFromTenor(K626,L$14,L$11,L$12)</f>
        <v>43475</v>
      </c>
      <c r="M626" s="98">
        <f ca="1"/>
        <v>-1.9437201441476841E-3</v>
      </c>
      <c r="N626" s="5" t="s">
        <v>4</v>
      </c>
      <c r="O626" s="100">
        <f ca="1">_xll.meDateFromTenor(O625,"1D","FOLLOWING",P$12)</f>
        <v>43383</v>
      </c>
      <c r="P626" s="13">
        <f ca="1">_xll.meDateFromTenor(O626,P$14,P$11,P$12)</f>
        <v>43565</v>
      </c>
      <c r="Q626" s="98">
        <f ca="1"/>
        <v>-5.9877397525775382E-4</v>
      </c>
      <c r="R626" s="5" t="s">
        <v>4</v>
      </c>
      <c r="S626" s="100">
        <f ca="1">_xll.meDateFromTenor(S625,"1D","FOLLOWING",T$12)</f>
        <v>43383</v>
      </c>
      <c r="T626" s="13">
        <f ca="1">_xll.meDateFromTenor(S626,T$14,T$11,T$12)</f>
        <v>43748</v>
      </c>
      <c r="U626" s="98">
        <f ca="1"/>
        <v>1.458883377946283E-3</v>
      </c>
      <c r="V626" s="5" t="s">
        <v>4</v>
      </c>
      <c r="W626" s="84" t="s">
        <v>4</v>
      </c>
    </row>
    <row r="627" spans="1:23" x14ac:dyDescent="0.25">
      <c r="A627" s="90">
        <v>608</v>
      </c>
      <c r="B627" s="83"/>
      <c r="C627" s="100">
        <f ca="1">_xll.meDateFromTenor(C626,"1D","FOLLOWING",D$12)</f>
        <v>43384</v>
      </c>
      <c r="D627" s="13">
        <f ca="1">_xll.meDateFromTenor(C627,D$14,D$11,D$12)</f>
        <v>43385</v>
      </c>
      <c r="E627" s="98">
        <f ca="1"/>
        <v>-3.6756542912552833E-3</v>
      </c>
      <c r="F627" s="94"/>
      <c r="G627" s="100">
        <f ca="1">_xll.meDateFromTenor(G626,"1D","FOLLOWING",H$12)</f>
        <v>43384</v>
      </c>
      <c r="H627" s="13">
        <f ca="1">_xll.meDateFromTenor(G627,H$14,H$11,H$12)</f>
        <v>43416</v>
      </c>
      <c r="I627" s="98">
        <f ca="1"/>
        <v>-3.171053245633027E-3</v>
      </c>
      <c r="J627" s="94" t="s">
        <v>4</v>
      </c>
      <c r="K627" s="100">
        <f ca="1">_xll.meDateFromTenor(K626,"1D","FOLLOWING",L$12)</f>
        <v>43384</v>
      </c>
      <c r="L627" s="13">
        <f ca="1">_xll.meDateFromTenor(K627,L$14,L$11,L$12)</f>
        <v>43476</v>
      </c>
      <c r="M627" s="98">
        <f ca="1"/>
        <v>-1.9356012494754925E-3</v>
      </c>
      <c r="N627" s="5" t="s">
        <v>4</v>
      </c>
      <c r="O627" s="100">
        <f ca="1">_xll.meDateFromTenor(O626,"1D","FOLLOWING",P$12)</f>
        <v>43384</v>
      </c>
      <c r="P627" s="13">
        <f ca="1">_xll.meDateFromTenor(O627,P$14,P$11,P$12)</f>
        <v>43566</v>
      </c>
      <c r="Q627" s="98">
        <f ca="1"/>
        <v>-5.9397116348338991E-4</v>
      </c>
      <c r="R627" s="5" t="s">
        <v>4</v>
      </c>
      <c r="S627" s="100">
        <f ca="1">_xll.meDateFromTenor(S626,"1D","FOLLOWING",T$12)</f>
        <v>43384</v>
      </c>
      <c r="T627" s="13">
        <f ca="1">_xll.meDateFromTenor(S627,T$14,T$11,T$12)</f>
        <v>43749</v>
      </c>
      <c r="U627" s="98">
        <f ca="1"/>
        <v>1.4641063677988419E-3</v>
      </c>
      <c r="V627" s="5" t="s">
        <v>4</v>
      </c>
      <c r="W627" s="84" t="s">
        <v>4</v>
      </c>
    </row>
    <row r="628" spans="1:23" x14ac:dyDescent="0.25">
      <c r="A628" s="90">
        <v>609</v>
      </c>
      <c r="B628" s="83"/>
      <c r="C628" s="100">
        <f ca="1">_xll.meDateFromTenor(C627,"1D","FOLLOWING",D$12)</f>
        <v>43385</v>
      </c>
      <c r="D628" s="13">
        <f ca="1">_xll.meDateFromTenor(C628,D$14,D$11,D$12)</f>
        <v>43388</v>
      </c>
      <c r="E628" s="98">
        <f ca="1"/>
        <v>-3.6693670168075473E-3</v>
      </c>
      <c r="F628" s="94"/>
      <c r="G628" s="100">
        <f ca="1">_xll.meDateFromTenor(G627,"1D","FOLLOWING",H$12)</f>
        <v>43385</v>
      </c>
      <c r="H628" s="13">
        <f ca="1">_xll.meDateFromTenor(G628,H$14,H$11,H$12)</f>
        <v>43416</v>
      </c>
      <c r="I628" s="98">
        <f ca="1"/>
        <v>-3.1674591822428897E-3</v>
      </c>
      <c r="J628" s="94" t="s">
        <v>4</v>
      </c>
      <c r="K628" s="100">
        <f ca="1">_xll.meDateFromTenor(K627,"1D","FOLLOWING",L$12)</f>
        <v>43385</v>
      </c>
      <c r="L628" s="13">
        <f ca="1">_xll.meDateFromTenor(K628,L$14,L$11,L$12)</f>
        <v>43479</v>
      </c>
      <c r="M628" s="98">
        <f ca="1"/>
        <v>-1.9275229432322441E-3</v>
      </c>
      <c r="N628" s="5" t="s">
        <v>4</v>
      </c>
      <c r="O628" s="100">
        <f ca="1">_xll.meDateFromTenor(O627,"1D","FOLLOWING",P$12)</f>
        <v>43385</v>
      </c>
      <c r="P628" s="13">
        <f ca="1">_xll.meDateFromTenor(O628,P$14,P$11,P$12)</f>
        <v>43567</v>
      </c>
      <c r="Q628" s="98">
        <f ca="1"/>
        <v>-5.8916043581965752E-4</v>
      </c>
      <c r="R628" s="5" t="s">
        <v>4</v>
      </c>
      <c r="S628" s="100">
        <f ca="1">_xll.meDateFromTenor(S627,"1D","FOLLOWING",T$12)</f>
        <v>43385</v>
      </c>
      <c r="T628" s="13">
        <f ca="1">_xll.meDateFromTenor(S628,T$14,T$11,T$12)</f>
        <v>43752</v>
      </c>
      <c r="U628" s="98">
        <f ca="1"/>
        <v>1.4693352206855241E-3</v>
      </c>
      <c r="V628" s="5" t="s">
        <v>4</v>
      </c>
      <c r="W628" s="84" t="s">
        <v>4</v>
      </c>
    </row>
    <row r="629" spans="1:23" x14ac:dyDescent="0.25">
      <c r="A629" s="90">
        <v>610</v>
      </c>
      <c r="B629" s="83"/>
      <c r="C629" s="100">
        <f ca="1">_xll.meDateFromTenor(C628,"1D","FOLLOWING",D$12)</f>
        <v>43388</v>
      </c>
      <c r="D629" s="13">
        <f ca="1">_xll.meDateFromTenor(C629,D$14,D$11,D$12)</f>
        <v>43389</v>
      </c>
      <c r="E629" s="98">
        <f ca="1"/>
        <v>-3.6631501297490618E-3</v>
      </c>
      <c r="F629" s="94"/>
      <c r="G629" s="100">
        <f ca="1">_xll.meDateFromTenor(G628,"1D","FOLLOWING",H$12)</f>
        <v>43388</v>
      </c>
      <c r="H629" s="13">
        <f ca="1">_xll.meDateFromTenor(G629,H$14,H$11,H$12)</f>
        <v>43419</v>
      </c>
      <c r="I629" s="98">
        <f ca="1"/>
        <v>-3.156706529055882E-3</v>
      </c>
      <c r="J629" s="94" t="s">
        <v>4</v>
      </c>
      <c r="K629" s="100">
        <f ca="1">_xll.meDateFromTenor(K628,"1D","FOLLOWING",L$12)</f>
        <v>43388</v>
      </c>
      <c r="L629" s="13">
        <f ca="1">_xll.meDateFromTenor(K629,L$14,L$11,L$12)</f>
        <v>43480</v>
      </c>
      <c r="M629" s="98">
        <f ca="1"/>
        <v>-1.9035284865546384E-3</v>
      </c>
      <c r="N629" s="5" t="s">
        <v>4</v>
      </c>
      <c r="O629" s="100">
        <f ca="1">_xll.meDateFromTenor(O628,"1D","FOLLOWING",P$12)</f>
        <v>43388</v>
      </c>
      <c r="P629" s="13">
        <f ca="1">_xll.meDateFromTenor(O629,P$14,P$11,P$12)</f>
        <v>43570</v>
      </c>
      <c r="Q629" s="98">
        <f ca="1"/>
        <v>-5.7468075479201193E-4</v>
      </c>
      <c r="R629" s="5" t="s">
        <v>4</v>
      </c>
      <c r="S629" s="100">
        <f ca="1">_xll.meDateFromTenor(S628,"1D","FOLLOWING",T$12)</f>
        <v>43388</v>
      </c>
      <c r="T629" s="13">
        <f ca="1">_xll.meDateFromTenor(S629,T$14,T$11,T$12)</f>
        <v>43753</v>
      </c>
      <c r="U629" s="98">
        <f ca="1"/>
        <v>1.485056603183756E-3</v>
      </c>
      <c r="V629" s="5" t="s">
        <v>4</v>
      </c>
      <c r="W629" s="84" t="s">
        <v>4</v>
      </c>
    </row>
    <row r="630" spans="1:23" x14ac:dyDescent="0.25">
      <c r="A630" s="90">
        <v>611</v>
      </c>
      <c r="B630" s="83"/>
      <c r="C630" s="100">
        <f ca="1">_xll.meDateFromTenor(C629,"1D","FOLLOWING",D$12)</f>
        <v>43389</v>
      </c>
      <c r="D630" s="13">
        <f ca="1">_xll.meDateFromTenor(C630,D$14,D$11,D$12)</f>
        <v>43390</v>
      </c>
      <c r="E630" s="98">
        <f ca="1"/>
        <v>-3.660020777891417E-3</v>
      </c>
      <c r="F630" s="94"/>
      <c r="G630" s="100">
        <f ca="1">_xll.meDateFromTenor(G629,"1D","FOLLOWING",H$12)</f>
        <v>43389</v>
      </c>
      <c r="H630" s="13">
        <f ca="1">_xll.meDateFromTenor(G630,H$14,H$11,H$12)</f>
        <v>43420</v>
      </c>
      <c r="I630" s="98">
        <f ca="1"/>
        <v>-3.153131884278198E-3</v>
      </c>
      <c r="J630" s="94" t="s">
        <v>4</v>
      </c>
      <c r="K630" s="100">
        <f ca="1">_xll.meDateFromTenor(K629,"1D","FOLLOWING",L$12)</f>
        <v>43389</v>
      </c>
      <c r="L630" s="13">
        <f ca="1">_xll.meDateFromTenor(K630,L$14,L$11,L$12)</f>
        <v>43481</v>
      </c>
      <c r="M630" s="98">
        <f ca="1"/>
        <v>-1.8956094655056359E-3</v>
      </c>
      <c r="N630" s="5" t="s">
        <v>4</v>
      </c>
      <c r="O630" s="100">
        <f ca="1">_xll.meDateFromTenor(O629,"1D","FOLLOWING",P$12)</f>
        <v>43389</v>
      </c>
      <c r="P630" s="13">
        <f ca="1">_xll.meDateFromTenor(O630,P$14,P$11,P$12)</f>
        <v>43571</v>
      </c>
      <c r="Q630" s="98">
        <f ca="1"/>
        <v>-5.6983836087056534E-4</v>
      </c>
      <c r="R630" s="5" t="s">
        <v>4</v>
      </c>
      <c r="S630" s="100">
        <f ca="1">_xll.meDateFromTenor(S629,"1D","FOLLOWING",T$12)</f>
        <v>43389</v>
      </c>
      <c r="T630" s="13">
        <f ca="1">_xll.meDateFromTenor(S630,T$14,T$11,T$12)</f>
        <v>43754</v>
      </c>
      <c r="U630" s="98">
        <f ca="1"/>
        <v>1.4903085538403799E-3</v>
      </c>
      <c r="V630" s="5" t="s">
        <v>4</v>
      </c>
      <c r="W630" s="84" t="s">
        <v>4</v>
      </c>
    </row>
    <row r="631" spans="1:23" x14ac:dyDescent="0.25">
      <c r="A631" s="90">
        <v>612</v>
      </c>
      <c r="B631" s="83"/>
      <c r="C631" s="100">
        <f ca="1">_xll.meDateFromTenor(C630,"1D","FOLLOWING",D$12)</f>
        <v>43390</v>
      </c>
      <c r="D631" s="13">
        <f ca="1">_xll.meDateFromTenor(C631,D$14,D$11,D$12)</f>
        <v>43391</v>
      </c>
      <c r="E631" s="98">
        <f ca="1"/>
        <v>-3.656890101453327E-3</v>
      </c>
      <c r="F631" s="94"/>
      <c r="G631" s="100">
        <f ca="1">_xll.meDateFromTenor(G630,"1D","FOLLOWING",H$12)</f>
        <v>43390</v>
      </c>
      <c r="H631" s="13">
        <f ca="1">_xll.meDateFromTenor(G631,H$14,H$11,H$12)</f>
        <v>43423</v>
      </c>
      <c r="I631" s="98">
        <f ca="1"/>
        <v>-3.1495618896212633E-3</v>
      </c>
      <c r="J631" s="94" t="s">
        <v>4</v>
      </c>
      <c r="K631" s="100">
        <f ca="1">_xll.meDateFromTenor(K630,"1D","FOLLOWING",L$12)</f>
        <v>43390</v>
      </c>
      <c r="L631" s="13">
        <f ca="1">_xll.meDateFromTenor(K631,L$14,L$11,L$12)</f>
        <v>43482</v>
      </c>
      <c r="M631" s="98">
        <f ca="1"/>
        <v>-1.8877294986248112E-3</v>
      </c>
      <c r="N631" s="5" t="s">
        <v>4</v>
      </c>
      <c r="O631" s="100">
        <f ca="1">_xll.meDateFromTenor(O630,"1D","FOLLOWING",P$12)</f>
        <v>43390</v>
      </c>
      <c r="P631" s="13">
        <f ca="1">_xll.meDateFromTenor(O631,P$14,P$11,P$12)</f>
        <v>43572</v>
      </c>
      <c r="Q631" s="98">
        <f ca="1"/>
        <v>-5.6498804970962909E-4</v>
      </c>
      <c r="R631" s="5" t="s">
        <v>4</v>
      </c>
      <c r="S631" s="100">
        <f ca="1">_xll.meDateFromTenor(S630,"1D","FOLLOWING",T$12)</f>
        <v>43390</v>
      </c>
      <c r="T631" s="13">
        <f ca="1">_xll.meDateFromTenor(S631,T$14,T$11,T$12)</f>
        <v>43755</v>
      </c>
      <c r="U631" s="98">
        <f ca="1"/>
        <v>1.4955661903478525E-3</v>
      </c>
      <c r="V631" s="5" t="s">
        <v>4</v>
      </c>
      <c r="W631" s="84" t="s">
        <v>4</v>
      </c>
    </row>
    <row r="632" spans="1:23" x14ac:dyDescent="0.25">
      <c r="A632" s="90">
        <v>613</v>
      </c>
      <c r="B632" s="83"/>
      <c r="C632" s="100">
        <f ca="1">_xll.meDateFromTenor(C631,"1D","FOLLOWING",D$12)</f>
        <v>43391</v>
      </c>
      <c r="D632" s="13">
        <f ca="1">_xll.meDateFromTenor(C632,D$14,D$11,D$12)</f>
        <v>43392</v>
      </c>
      <c r="E632" s="98">
        <f ca="1"/>
        <v>-3.6537581002749195E-3</v>
      </c>
      <c r="F632" s="94"/>
      <c r="G632" s="100">
        <f ca="1">_xll.meDateFromTenor(G631,"1D","FOLLOWING",H$12)</f>
        <v>43391</v>
      </c>
      <c r="H632" s="13">
        <f ca="1">_xll.meDateFromTenor(G632,H$14,H$11,H$12)</f>
        <v>43423</v>
      </c>
      <c r="I632" s="98">
        <f ca="1"/>
        <v>-3.1459964632721349E-3</v>
      </c>
      <c r="J632" s="94" t="s">
        <v>4</v>
      </c>
      <c r="K632" s="100">
        <f ca="1">_xll.meDateFromTenor(K631,"1D","FOLLOWING",L$12)</f>
        <v>43391</v>
      </c>
      <c r="L632" s="13">
        <f ca="1">_xll.meDateFromTenor(K632,L$14,L$11,L$12)</f>
        <v>43483</v>
      </c>
      <c r="M632" s="98">
        <f ca="1"/>
        <v>-1.8798882790600109E-3</v>
      </c>
      <c r="N632" s="5" t="s">
        <v>4</v>
      </c>
      <c r="O632" s="100">
        <f ca="1">_xll.meDateFromTenor(O631,"1D","FOLLOWING",P$12)</f>
        <v>43391</v>
      </c>
      <c r="P632" s="13">
        <f ca="1">_xll.meDateFromTenor(O632,P$14,P$11,P$12)</f>
        <v>43573</v>
      </c>
      <c r="Q632" s="98">
        <f ca="1"/>
        <v>-5.6012982103917906E-4</v>
      </c>
      <c r="R632" s="5" t="s">
        <v>4</v>
      </c>
      <c r="S632" s="100">
        <f ca="1">_xll.meDateFromTenor(S631,"1D","FOLLOWING",T$12)</f>
        <v>43391</v>
      </c>
      <c r="T632" s="13">
        <f ca="1">_xll.meDateFromTenor(S632,T$14,T$11,T$12)</f>
        <v>43756</v>
      </c>
      <c r="U632" s="98">
        <f ca="1"/>
        <v>1.5008294772695186E-3</v>
      </c>
      <c r="V632" s="5" t="s">
        <v>4</v>
      </c>
      <c r="W632" s="84" t="s">
        <v>4</v>
      </c>
    </row>
    <row r="633" spans="1:23" x14ac:dyDescent="0.25">
      <c r="A633" s="90">
        <v>614</v>
      </c>
      <c r="B633" s="83"/>
      <c r="C633" s="100">
        <f ca="1">_xll.meDateFromTenor(C632,"1D","FOLLOWING",D$12)</f>
        <v>43392</v>
      </c>
      <c r="D633" s="13">
        <f ca="1">_xll.meDateFromTenor(C633,D$14,D$11,D$12)</f>
        <v>43395</v>
      </c>
      <c r="E633" s="98">
        <f ca="1"/>
        <v>-3.6474527262653341E-3</v>
      </c>
      <c r="F633" s="94"/>
      <c r="G633" s="100">
        <f ca="1">_xll.meDateFromTenor(G632,"1D","FOLLOWING",H$12)</f>
        <v>43392</v>
      </c>
      <c r="H633" s="13">
        <f ca="1">_xll.meDateFromTenor(G633,H$14,H$11,H$12)</f>
        <v>43423</v>
      </c>
      <c r="I633" s="98">
        <f ca="1"/>
        <v>-3.1424355234178666E-3</v>
      </c>
      <c r="J633" s="94" t="s">
        <v>4</v>
      </c>
      <c r="K633" s="100">
        <f ca="1">_xll.meDateFromTenor(K632,"1D","FOLLOWING",L$12)</f>
        <v>43392</v>
      </c>
      <c r="L633" s="13">
        <f ca="1">_xll.meDateFromTenor(K633,L$14,L$11,L$12)</f>
        <v>43486</v>
      </c>
      <c r="M633" s="98">
        <f ca="1"/>
        <v>-1.8720854999590805E-3</v>
      </c>
      <c r="N633" s="5" t="s">
        <v>4</v>
      </c>
      <c r="O633" s="100">
        <f ca="1">_xll.meDateFromTenor(O632,"1D","FOLLOWING",P$12)</f>
        <v>43392</v>
      </c>
      <c r="P633" s="13">
        <f ca="1">_xll.meDateFromTenor(O633,P$14,P$11,P$12)</f>
        <v>43578</v>
      </c>
      <c r="Q633" s="98">
        <f ca="1"/>
        <v>-5.5526367458919078E-4</v>
      </c>
      <c r="R633" s="5" t="s">
        <v>4</v>
      </c>
      <c r="S633" s="100">
        <f ca="1">_xll.meDateFromTenor(S632,"1D","FOLLOWING",T$12)</f>
        <v>43392</v>
      </c>
      <c r="T633" s="13">
        <f ca="1">_xll.meDateFromTenor(S633,T$14,T$11,T$12)</f>
        <v>43759</v>
      </c>
      <c r="U633" s="98">
        <f ca="1"/>
        <v>1.5060983791687237E-3</v>
      </c>
      <c r="V633" s="5" t="s">
        <v>4</v>
      </c>
      <c r="W633" s="84" t="s">
        <v>4</v>
      </c>
    </row>
    <row r="634" spans="1:23" x14ac:dyDescent="0.25">
      <c r="A634" s="90">
        <v>615</v>
      </c>
      <c r="B634" s="83"/>
      <c r="C634" s="100">
        <f ca="1">_xll.meDateFromTenor(C633,"1D","FOLLOWING",D$12)</f>
        <v>43395</v>
      </c>
      <c r="D634" s="13">
        <f ca="1">_xll.meDateFromTenor(C634,D$14,D$11,D$12)</f>
        <v>43396</v>
      </c>
      <c r="E634" s="98">
        <f ca="1"/>
        <v>-3.6412168483579551E-3</v>
      </c>
      <c r="F634" s="94"/>
      <c r="G634" s="100">
        <f ca="1">_xll.meDateFromTenor(G633,"1D","FOLLOWING",H$12)</f>
        <v>43395</v>
      </c>
      <c r="H634" s="13">
        <f ca="1">_xll.meDateFromTenor(G634,H$14,H$11,H$12)</f>
        <v>43426</v>
      </c>
      <c r="I634" s="98">
        <f ca="1"/>
        <v>-3.1317788046947761E-3</v>
      </c>
      <c r="J634" s="94" t="s">
        <v>4</v>
      </c>
      <c r="K634" s="100">
        <f ca="1">_xll.meDateFromTenor(K633,"1D","FOLLOWING",L$12)</f>
        <v>43395</v>
      </c>
      <c r="L634" s="13">
        <f ca="1">_xll.meDateFromTenor(K634,L$14,L$11,L$12)</f>
        <v>43487</v>
      </c>
      <c r="M634" s="98">
        <f ca="1"/>
        <v>-1.8489047369179808E-3</v>
      </c>
      <c r="N634" s="5" t="s">
        <v>4</v>
      </c>
      <c r="O634" s="100">
        <f ca="1">_xll.meDateFromTenor(O633,"1D","FOLLOWING",P$12)</f>
        <v>43395</v>
      </c>
      <c r="P634" s="13">
        <f ca="1">_xll.meDateFromTenor(O634,P$14,P$11,P$12)</f>
        <v>43578</v>
      </c>
      <c r="Q634" s="98">
        <f ca="1"/>
        <v>-5.4061772586175326E-4</v>
      </c>
      <c r="R634" s="5" t="s">
        <v>4</v>
      </c>
      <c r="S634" s="100">
        <f ca="1">_xll.meDateFromTenor(S633,"1D","FOLLOWING",T$12)</f>
        <v>43395</v>
      </c>
      <c r="T634" s="13">
        <f ca="1">_xll.meDateFromTenor(S634,T$14,T$11,T$12)</f>
        <v>43760</v>
      </c>
      <c r="U634" s="98">
        <f ca="1"/>
        <v>1.5219384203650241E-3</v>
      </c>
      <c r="V634" s="5" t="s">
        <v>4</v>
      </c>
      <c r="W634" s="84" t="s">
        <v>4</v>
      </c>
    </row>
    <row r="635" spans="1:23" x14ac:dyDescent="0.25">
      <c r="A635" s="90">
        <v>616</v>
      </c>
      <c r="B635" s="83"/>
      <c r="C635" s="100">
        <f ca="1">_xll.meDateFromTenor(C634,"1D","FOLLOWING",D$12)</f>
        <v>43396</v>
      </c>
      <c r="D635" s="13">
        <f ca="1">_xll.meDateFromTenor(C635,D$14,D$11,D$12)</f>
        <v>43397</v>
      </c>
      <c r="E635" s="98">
        <f ca="1"/>
        <v>-3.6380782233980244E-3</v>
      </c>
      <c r="F635" s="94"/>
      <c r="G635" s="100">
        <f ca="1">_xll.meDateFromTenor(G634,"1D","FOLLOWING",H$12)</f>
        <v>43396</v>
      </c>
      <c r="H635" s="13">
        <f ca="1">_xll.meDateFromTenor(G635,H$14,H$11,H$12)</f>
        <v>43427</v>
      </c>
      <c r="I635" s="98">
        <f ca="1"/>
        <v>-3.1282349926905011E-3</v>
      </c>
      <c r="J635" s="94" t="s">
        <v>4</v>
      </c>
      <c r="K635" s="100">
        <f ca="1">_xll.meDateFromTenor(K634,"1D","FOLLOWING",L$12)</f>
        <v>43396</v>
      </c>
      <c r="L635" s="13">
        <f ca="1">_xll.meDateFromTenor(K635,L$14,L$11,L$12)</f>
        <v>43488</v>
      </c>
      <c r="M635" s="98">
        <f ca="1"/>
        <v>-1.8412526511509988E-3</v>
      </c>
      <c r="N635" s="5" t="s">
        <v>4</v>
      </c>
      <c r="O635" s="100">
        <f ca="1">_xll.meDateFromTenor(O634,"1D","FOLLOWING",P$12)</f>
        <v>43396</v>
      </c>
      <c r="P635" s="13">
        <f ca="1">_xll.meDateFromTenor(O635,P$14,P$11,P$12)</f>
        <v>43578</v>
      </c>
      <c r="Q635" s="98">
        <f ca="1"/>
        <v>-5.3571990559336867E-4</v>
      </c>
      <c r="R635" s="5" t="s">
        <v>4</v>
      </c>
      <c r="S635" s="100">
        <f ca="1">_xll.meDateFromTenor(S634,"1D","FOLLOWING",T$12)</f>
        <v>43396</v>
      </c>
      <c r="T635" s="13">
        <f ca="1">_xll.meDateFromTenor(S635,T$14,T$11,T$12)</f>
        <v>43761</v>
      </c>
      <c r="U635" s="98">
        <f ca="1"/>
        <v>1.5272294278078362E-3</v>
      </c>
      <c r="V635" s="5" t="s">
        <v>4</v>
      </c>
      <c r="W635" s="84" t="s">
        <v>4</v>
      </c>
    </row>
    <row r="636" spans="1:23" x14ac:dyDescent="0.25">
      <c r="A636" s="90">
        <v>617</v>
      </c>
      <c r="B636" s="83"/>
      <c r="C636" s="100">
        <f ca="1">_xll.meDateFromTenor(C635,"1D","FOLLOWING",D$12)</f>
        <v>43397</v>
      </c>
      <c r="D636" s="13">
        <f ca="1">_xll.meDateFromTenor(C636,D$14,D$11,D$12)</f>
        <v>43398</v>
      </c>
      <c r="E636" s="98">
        <f ca="1"/>
        <v>-3.634938273577872E-3</v>
      </c>
      <c r="F636" s="94"/>
      <c r="G636" s="100">
        <f ca="1">_xll.meDateFromTenor(G635,"1D","FOLLOWING",H$12)</f>
        <v>43397</v>
      </c>
      <c r="H636" s="13">
        <f ca="1">_xll.meDateFromTenor(G636,H$14,H$11,H$12)</f>
        <v>43430</v>
      </c>
      <c r="I636" s="98">
        <f ca="1"/>
        <v>-3.1246952581163606E-3</v>
      </c>
      <c r="J636" s="94" t="s">
        <v>4</v>
      </c>
      <c r="K636" s="100">
        <f ca="1">_xll.meDateFromTenor(K635,"1D","FOLLOWING",L$12)</f>
        <v>43397</v>
      </c>
      <c r="L636" s="13">
        <f ca="1">_xll.meDateFromTenor(K636,L$14,L$11,L$12)</f>
        <v>43489</v>
      </c>
      <c r="M636" s="98">
        <f ca="1"/>
        <v>-1.8336374715871193E-3</v>
      </c>
      <c r="N636" s="5" t="s">
        <v>4</v>
      </c>
      <c r="O636" s="100">
        <f ca="1">_xll.meDateFromTenor(O635,"1D","FOLLOWING",P$12)</f>
        <v>43397</v>
      </c>
      <c r="P636" s="13">
        <f ca="1">_xll.meDateFromTenor(O636,P$14,P$11,P$12)</f>
        <v>43579</v>
      </c>
      <c r="Q636" s="98">
        <f ca="1"/>
        <v>-5.3081416619532335E-4</v>
      </c>
      <c r="R636" s="5" t="s">
        <v>4</v>
      </c>
      <c r="S636" s="100">
        <f ca="1">_xll.meDateFromTenor(S635,"1D","FOLLOWING",T$12)</f>
        <v>43397</v>
      </c>
      <c r="T636" s="13">
        <f ca="1">_xll.meDateFromTenor(S636,T$14,T$11,T$12)</f>
        <v>43762</v>
      </c>
      <c r="U636" s="98">
        <f ca="1"/>
        <v>1.5325258730449144E-3</v>
      </c>
      <c r="V636" s="5" t="s">
        <v>4</v>
      </c>
      <c r="W636" s="84" t="s">
        <v>4</v>
      </c>
    </row>
    <row r="637" spans="1:23" x14ac:dyDescent="0.25">
      <c r="A637" s="90">
        <v>618</v>
      </c>
      <c r="B637" s="83"/>
      <c r="C637" s="100">
        <f ca="1">_xll.meDateFromTenor(C636,"1D","FOLLOWING",D$12)</f>
        <v>43398</v>
      </c>
      <c r="D637" s="13">
        <f ca="1">_xll.meDateFromTenor(C637,D$14,D$11,D$12)</f>
        <v>43399</v>
      </c>
      <c r="E637" s="98">
        <f ca="1"/>
        <v>-3.6317969990567896E-3</v>
      </c>
      <c r="F637" s="94"/>
      <c r="G637" s="100">
        <f ca="1">_xll.meDateFromTenor(G636,"1D","FOLLOWING",H$12)</f>
        <v>43398</v>
      </c>
      <c r="H637" s="13">
        <f ca="1">_xll.meDateFromTenor(G637,H$14,H$11,H$12)</f>
        <v>43430</v>
      </c>
      <c r="I637" s="98">
        <f ca="1"/>
        <v>-3.1211595191594113E-3</v>
      </c>
      <c r="J637" s="94" t="s">
        <v>4</v>
      </c>
      <c r="K637" s="100">
        <f ca="1">_xll.meDateFromTenor(K636,"1D","FOLLOWING",L$12)</f>
        <v>43398</v>
      </c>
      <c r="L637" s="13">
        <f ca="1">_xll.meDateFromTenor(K637,L$14,L$11,L$12)</f>
        <v>43490</v>
      </c>
      <c r="M637" s="98">
        <f ca="1"/>
        <v>-1.8260588913741893E-3</v>
      </c>
      <c r="N637" s="5" t="s">
        <v>4</v>
      </c>
      <c r="O637" s="100">
        <f ca="1">_xll.meDateFromTenor(O636,"1D","FOLLOWING",P$12)</f>
        <v>43398</v>
      </c>
      <c r="P637" s="13">
        <f ca="1">_xll.meDateFromTenor(O637,P$14,P$11,P$12)</f>
        <v>43580</v>
      </c>
      <c r="Q637" s="98">
        <f ca="1"/>
        <v>-5.2590050739759328E-4</v>
      </c>
      <c r="R637" s="5" t="s">
        <v>4</v>
      </c>
      <c r="S637" s="100">
        <f ca="1">_xll.meDateFromTenor(S636,"1D","FOLLOWING",T$12)</f>
        <v>43398</v>
      </c>
      <c r="T637" s="13">
        <f ca="1">_xll.meDateFromTenor(S637,T$14,T$11,T$12)</f>
        <v>43763</v>
      </c>
      <c r="U637" s="98">
        <f ca="1"/>
        <v>1.5378277206396028E-3</v>
      </c>
      <c r="V637" s="5" t="s">
        <v>4</v>
      </c>
      <c r="W637" s="84" t="s">
        <v>4</v>
      </c>
    </row>
    <row r="638" spans="1:23" x14ac:dyDescent="0.25">
      <c r="A638" s="90">
        <v>619</v>
      </c>
      <c r="B638" s="83"/>
      <c r="C638" s="100">
        <f ca="1">_xll.meDateFromTenor(C637,"1D","FOLLOWING",D$12)</f>
        <v>43399</v>
      </c>
      <c r="D638" s="13">
        <f ca="1">_xll.meDateFromTenor(C638,D$14,D$11,D$12)</f>
        <v>43402</v>
      </c>
      <c r="E638" s="98">
        <f ca="1"/>
        <v>-3.6254735215690689E-3</v>
      </c>
      <c r="F638" s="94"/>
      <c r="G638" s="100">
        <f ca="1">_xll.meDateFromTenor(G637,"1D","FOLLOWING",H$12)</f>
        <v>43399</v>
      </c>
      <c r="H638" s="13">
        <f ca="1">_xll.meDateFromTenor(G638,H$14,H$11,H$12)</f>
        <v>43430</v>
      </c>
      <c r="I638" s="98">
        <f ca="1"/>
        <v>-3.1176276940067063E-3</v>
      </c>
      <c r="J638" s="94" t="s">
        <v>4</v>
      </c>
      <c r="K638" s="100">
        <f ca="1">_xll.meDateFromTenor(K637,"1D","FOLLOWING",L$12)</f>
        <v>43399</v>
      </c>
      <c r="L638" s="13">
        <f ca="1">_xll.meDateFromTenor(K638,L$14,L$11,L$12)</f>
        <v>43493</v>
      </c>
      <c r="M638" s="98">
        <f ca="1"/>
        <v>-1.8185166036600552E-3</v>
      </c>
      <c r="N638" s="5" t="s">
        <v>4</v>
      </c>
      <c r="O638" s="100">
        <f ca="1">_xll.meDateFromTenor(O637,"1D","FOLLOWING",P$12)</f>
        <v>43399</v>
      </c>
      <c r="P638" s="13">
        <f ca="1">_xll.meDateFromTenor(O638,P$14,P$11,P$12)</f>
        <v>43581</v>
      </c>
      <c r="Q638" s="98">
        <f ca="1"/>
        <v>-5.2097892893015444E-4</v>
      </c>
      <c r="R638" s="5" t="s">
        <v>4</v>
      </c>
      <c r="S638" s="100">
        <f ca="1">_xll.meDateFromTenor(S637,"1D","FOLLOWING",T$12)</f>
        <v>43399</v>
      </c>
      <c r="T638" s="13">
        <f ca="1">_xll.meDateFromTenor(S638,T$14,T$11,T$12)</f>
        <v>43766</v>
      </c>
      <c r="U638" s="98">
        <f ca="1"/>
        <v>1.5431349351552463E-3</v>
      </c>
      <c r="V638" s="5" t="s">
        <v>4</v>
      </c>
      <c r="W638" s="84" t="s">
        <v>4</v>
      </c>
    </row>
    <row r="639" spans="1:23" x14ac:dyDescent="0.25">
      <c r="A639" s="90">
        <v>620</v>
      </c>
      <c r="B639" s="83"/>
      <c r="C639" s="100">
        <f ca="1">_xll.meDateFromTenor(C638,"1D","FOLLOWING",D$12)</f>
        <v>43402</v>
      </c>
      <c r="D639" s="13">
        <f ca="1">_xll.meDateFromTenor(C639,D$14,D$11,D$12)</f>
        <v>43403</v>
      </c>
      <c r="E639" s="98">
        <f ca="1"/>
        <v>-3.6192186514938515E-3</v>
      </c>
      <c r="F639" s="94"/>
      <c r="G639" s="100">
        <f ca="1">_xll.meDateFromTenor(G638,"1D","FOLLOWING",H$12)</f>
        <v>43402</v>
      </c>
      <c r="H639" s="13">
        <f ca="1">_xll.meDateFromTenor(G639,H$14,H$11,H$12)</f>
        <v>43433</v>
      </c>
      <c r="I639" s="98">
        <f ca="1"/>
        <v>-3.1070548832446169E-3</v>
      </c>
      <c r="J639" s="94" t="s">
        <v>4</v>
      </c>
      <c r="K639" s="100">
        <f ca="1">_xll.meDateFromTenor(K638,"1D","FOLLOWING",L$12)</f>
        <v>43402</v>
      </c>
      <c r="L639" s="13">
        <f ca="1">_xll.meDateFromTenor(K639,L$14,L$11,L$12)</f>
        <v>43494</v>
      </c>
      <c r="M639" s="98">
        <f ca="1"/>
        <v>-1.796104426988895E-3</v>
      </c>
      <c r="N639" s="5" t="s">
        <v>4</v>
      </c>
      <c r="O639" s="100">
        <f ca="1">_xll.meDateFromTenor(O638,"1D","FOLLOWING",P$12)</f>
        <v>43402</v>
      </c>
      <c r="P639" s="13">
        <f ca="1">_xll.meDateFromTenor(O639,P$14,P$11,P$12)</f>
        <v>43584</v>
      </c>
      <c r="Q639" s="98">
        <f ca="1"/>
        <v>-5.0616667280934129E-4</v>
      </c>
      <c r="R639" s="5" t="s">
        <v>4</v>
      </c>
      <c r="S639" s="100">
        <f ca="1">_xll.meDateFromTenor(S638,"1D","FOLLOWING",T$12)</f>
        <v>43402</v>
      </c>
      <c r="T639" s="13">
        <f ca="1">_xll.meDateFromTenor(S639,T$14,T$11,T$12)</f>
        <v>43767</v>
      </c>
      <c r="U639" s="98">
        <f ca="1"/>
        <v>1.5590884258613613E-3</v>
      </c>
      <c r="V639" s="5" t="s">
        <v>4</v>
      </c>
      <c r="W639" s="84" t="s">
        <v>4</v>
      </c>
    </row>
    <row r="640" spans="1:23" x14ac:dyDescent="0.25">
      <c r="A640" s="90">
        <v>621</v>
      </c>
      <c r="B640" s="83"/>
      <c r="C640" s="100">
        <f ca="1">_xll.meDateFromTenor(C639,"1D","FOLLOWING",D$12)</f>
        <v>43403</v>
      </c>
      <c r="D640" s="13">
        <f ca="1">_xll.meDateFromTenor(C640,D$14,D$11,D$12)</f>
        <v>43404</v>
      </c>
      <c r="E640" s="98">
        <f ca="1"/>
        <v>-3.6160707521126897E-3</v>
      </c>
      <c r="F640" s="94"/>
      <c r="G640" s="100">
        <f ca="1">_xll.meDateFromTenor(G639,"1D","FOLLOWING",H$12)</f>
        <v>43403</v>
      </c>
      <c r="H640" s="13">
        <f ca="1">_xll.meDateFromTenor(G640,H$14,H$11,H$12)</f>
        <v>43434</v>
      </c>
      <c r="I640" s="98">
        <f ca="1"/>
        <v>-3.1035378951794449E-3</v>
      </c>
      <c r="J640" s="94" t="s">
        <v>4</v>
      </c>
      <c r="K640" s="100">
        <f ca="1">_xll.meDateFromTenor(K639,"1D","FOLLOWING",L$12)</f>
        <v>43403</v>
      </c>
      <c r="L640" s="13">
        <f ca="1">_xll.meDateFromTenor(K640,L$14,L$11,L$12)</f>
        <v>43495</v>
      </c>
      <c r="M640" s="98">
        <f ca="1"/>
        <v>-1.7887042407484094E-3</v>
      </c>
      <c r="N640" s="5" t="s">
        <v>4</v>
      </c>
      <c r="O640" s="100">
        <f ca="1">_xll.meDateFromTenor(O639,"1D","FOLLOWING",P$12)</f>
        <v>43403</v>
      </c>
      <c r="P640" s="13">
        <f ca="1">_xll.meDateFromTenor(O640,P$14,P$11,P$12)</f>
        <v>43585</v>
      </c>
      <c r="Q640" s="98">
        <f ca="1"/>
        <v>-5.0121341296282293E-4</v>
      </c>
      <c r="R640" s="5" t="s">
        <v>4</v>
      </c>
      <c r="S640" s="100">
        <f ca="1">_xll.meDateFromTenor(S639,"1D","FOLLOWING",T$12)</f>
        <v>43403</v>
      </c>
      <c r="T640" s="13">
        <f ca="1">_xll.meDateFromTenor(S640,T$14,T$11,T$12)</f>
        <v>43768</v>
      </c>
      <c r="U640" s="98">
        <f ca="1"/>
        <v>1.5644167536942788E-3</v>
      </c>
      <c r="V640" s="5" t="s">
        <v>4</v>
      </c>
      <c r="W640" s="84" t="s">
        <v>4</v>
      </c>
    </row>
    <row r="641" spans="1:23" x14ac:dyDescent="0.25">
      <c r="A641" s="90">
        <v>622</v>
      </c>
      <c r="B641" s="83"/>
      <c r="C641" s="100">
        <f ca="1">_xll.meDateFromTenor(C640,"1D","FOLLOWING",D$12)</f>
        <v>43404</v>
      </c>
      <c r="D641" s="13">
        <f ca="1">_xll.meDateFromTenor(C641,D$14,D$11,D$12)</f>
        <v>43405</v>
      </c>
      <c r="E641" s="98">
        <f ca="1"/>
        <v>-3.6129215277913703E-3</v>
      </c>
      <c r="F641" s="94"/>
      <c r="G641" s="100">
        <f ca="1">_xll.meDateFromTenor(G640,"1D","FOLLOWING",H$12)</f>
        <v>43404</v>
      </c>
      <c r="H641" s="13">
        <f ca="1">_xll.meDateFromTenor(G641,H$14,H$11,H$12)</f>
        <v>43434</v>
      </c>
      <c r="I641" s="98">
        <f ca="1"/>
        <v>-3.1000244118537935E-3</v>
      </c>
      <c r="J641" s="94" t="s">
        <v>4</v>
      </c>
      <c r="K641" s="100">
        <f ca="1">_xll.meDateFromTenor(K640,"1D","FOLLOWING",L$12)</f>
        <v>43404</v>
      </c>
      <c r="L641" s="13">
        <f ca="1">_xll.meDateFromTenor(K641,L$14,L$11,L$12)</f>
        <v>43496</v>
      </c>
      <c r="M641" s="98">
        <f ca="1"/>
        <v>-1.7813388127459538E-3</v>
      </c>
      <c r="N641" s="5" t="s">
        <v>4</v>
      </c>
      <c r="O641" s="100">
        <f ca="1">_xll.meDateFromTenor(O640,"1D","FOLLOWING",P$12)</f>
        <v>43404</v>
      </c>
      <c r="P641" s="13">
        <f ca="1">_xll.meDateFromTenor(O641,P$14,P$11,P$12)</f>
        <v>43585</v>
      </c>
      <c r="Q641" s="98">
        <f ca="1"/>
        <v>-4.962522320964745E-4</v>
      </c>
      <c r="R641" s="5" t="s">
        <v>4</v>
      </c>
      <c r="S641" s="100">
        <f ca="1">_xll.meDateFromTenor(S640,"1D","FOLLOWING",T$12)</f>
        <v>43404</v>
      </c>
      <c r="T641" s="13">
        <f ca="1">_xll.meDateFromTenor(S641,T$14,T$11,T$12)</f>
        <v>43769</v>
      </c>
      <c r="U641" s="98">
        <f ca="1"/>
        <v>1.5697502712648771E-3</v>
      </c>
      <c r="V641" s="5" t="s">
        <v>4</v>
      </c>
      <c r="W641" s="84" t="s">
        <v>4</v>
      </c>
    </row>
    <row r="642" spans="1:23" x14ac:dyDescent="0.25">
      <c r="A642" s="90">
        <v>623</v>
      </c>
      <c r="B642" s="83"/>
      <c r="C642" s="100">
        <f ca="1">_xll.meDateFromTenor(C641,"1D","FOLLOWING",D$12)</f>
        <v>43405</v>
      </c>
      <c r="D642" s="13">
        <f ca="1">_xll.meDateFromTenor(C642,D$14,D$11,D$12)</f>
        <v>43406</v>
      </c>
      <c r="E642" s="98">
        <f ca="1"/>
        <v>-3.6097709784499573E-3</v>
      </c>
      <c r="F642" s="94"/>
      <c r="G642" s="100">
        <f ca="1">_xll.meDateFromTenor(G641,"1D","FOLLOWING",H$12)</f>
        <v>43405</v>
      </c>
      <c r="H642" s="13">
        <f ca="1">_xll.meDateFromTenor(G642,H$14,H$11,H$12)</f>
        <v>43437</v>
      </c>
      <c r="I642" s="98">
        <f ca="1"/>
        <v>-3.0965143514547168E-3</v>
      </c>
      <c r="J642" s="94" t="s">
        <v>4</v>
      </c>
      <c r="K642" s="100">
        <f ca="1">_xll.meDateFromTenor(K641,"1D","FOLLOWING",L$12)</f>
        <v>43405</v>
      </c>
      <c r="L642" s="13">
        <f ca="1">_xll.meDateFromTenor(K642,L$14,L$11,L$12)</f>
        <v>43497</v>
      </c>
      <c r="M642" s="98">
        <f ca="1"/>
        <v>-1.7740078361293719E-3</v>
      </c>
      <c r="N642" s="5" t="s">
        <v>4</v>
      </c>
      <c r="O642" s="100">
        <f ca="1">_xll.meDateFromTenor(O641,"1D","FOLLOWING",P$12)</f>
        <v>43405</v>
      </c>
      <c r="P642" s="13">
        <f ca="1">_xll.meDateFromTenor(O642,P$14,P$11,P$12)</f>
        <v>43587</v>
      </c>
      <c r="Q642" s="98">
        <f ca="1"/>
        <v>-4.9128312994027015E-4</v>
      </c>
      <c r="R642" s="5" t="s">
        <v>4</v>
      </c>
      <c r="S642" s="100">
        <f ca="1">_xll.meDateFromTenor(S641,"1D","FOLLOWING",T$12)</f>
        <v>43405</v>
      </c>
      <c r="T642" s="13">
        <f ca="1">_xll.meDateFromTenor(S642,T$14,T$11,T$12)</f>
        <v>43770</v>
      </c>
      <c r="U642" s="98">
        <f ca="1"/>
        <v>1.5750889431365026E-3</v>
      </c>
      <c r="V642" s="5" t="s">
        <v>4</v>
      </c>
      <c r="W642" s="84" t="s">
        <v>4</v>
      </c>
    </row>
    <row r="643" spans="1:23" x14ac:dyDescent="0.25">
      <c r="A643" s="90">
        <v>624</v>
      </c>
      <c r="B643" s="83"/>
      <c r="C643" s="100">
        <f ca="1">_xll.meDateFromTenor(C642,"1D","FOLLOWING",D$12)</f>
        <v>43406</v>
      </c>
      <c r="D643" s="13">
        <f ca="1">_xll.meDateFromTenor(C643,D$14,D$11,D$12)</f>
        <v>43409</v>
      </c>
      <c r="E643" s="98">
        <f ca="1"/>
        <v>-3.6034293935261049E-3</v>
      </c>
      <c r="F643" s="94"/>
      <c r="G643" s="100">
        <f ca="1">_xll.meDateFromTenor(G642,"1D","FOLLOWING",H$12)</f>
        <v>43406</v>
      </c>
      <c r="H643" s="13">
        <f ca="1">_xll.meDateFromTenor(G643,H$14,H$11,H$12)</f>
        <v>43437</v>
      </c>
      <c r="I643" s="98">
        <f ca="1"/>
        <v>-3.093007632169271E-3</v>
      </c>
      <c r="J643" s="94" t="s">
        <v>4</v>
      </c>
      <c r="K643" s="100">
        <f ca="1">_xll.meDateFromTenor(K642,"1D","FOLLOWING",L$12)</f>
        <v>43406</v>
      </c>
      <c r="L643" s="13">
        <f ca="1">_xll.meDateFromTenor(K643,L$14,L$11,L$12)</f>
        <v>43500</v>
      </c>
      <c r="M643" s="98">
        <f ca="1"/>
        <v>-1.7667110040465114E-3</v>
      </c>
      <c r="N643" s="5" t="s">
        <v>4</v>
      </c>
      <c r="O643" s="100">
        <f ca="1">_xll.meDateFromTenor(O642,"1D","FOLLOWING",P$12)</f>
        <v>43406</v>
      </c>
      <c r="P643" s="13">
        <f ca="1">_xll.meDateFromTenor(O643,P$14,P$11,P$12)</f>
        <v>43587</v>
      </c>
      <c r="Q643" s="98">
        <f ca="1"/>
        <v>-4.8630610622418628E-4</v>
      </c>
      <c r="R643" s="5" t="s">
        <v>4</v>
      </c>
      <c r="S643" s="100">
        <f ca="1">_xll.meDateFromTenor(S642,"1D","FOLLOWING",T$12)</f>
        <v>43406</v>
      </c>
      <c r="T643" s="13">
        <f ca="1">_xll.meDateFromTenor(S643,T$14,T$11,T$12)</f>
        <v>43773</v>
      </c>
      <c r="U643" s="98">
        <f ca="1"/>
        <v>1.5804327338725004E-3</v>
      </c>
      <c r="V643" s="5" t="s">
        <v>4</v>
      </c>
      <c r="W643" s="84" t="s">
        <v>4</v>
      </c>
    </row>
    <row r="644" spans="1:23" x14ac:dyDescent="0.25">
      <c r="A644" s="90">
        <v>625</v>
      </c>
      <c r="B644" s="83"/>
      <c r="C644" s="100">
        <f ca="1">_xll.meDateFromTenor(C643,"1D","FOLLOWING",D$12)</f>
        <v>43409</v>
      </c>
      <c r="D644" s="13">
        <f ca="1">_xll.meDateFromTenor(C644,D$14,D$11,D$12)</f>
        <v>43410</v>
      </c>
      <c r="E644" s="98">
        <f ca="1"/>
        <v>-3.5971555299241357E-3</v>
      </c>
      <c r="F644" s="94"/>
      <c r="G644" s="100">
        <f ca="1">_xll.meDateFromTenor(G643,"1D","FOLLOWING",H$12)</f>
        <v>43409</v>
      </c>
      <c r="H644" s="13">
        <f ca="1">_xll.meDateFromTenor(G644,H$14,H$11,H$12)</f>
        <v>43439</v>
      </c>
      <c r="I644" s="98">
        <f ca="1"/>
        <v>-3.0825027946965104E-3</v>
      </c>
      <c r="J644" s="94" t="s">
        <v>4</v>
      </c>
      <c r="K644" s="100">
        <f ca="1">_xll.meDateFromTenor(K643,"1D","FOLLOWING",L$12)</f>
        <v>43409</v>
      </c>
      <c r="L644" s="13">
        <f ca="1">_xll.meDateFromTenor(K644,L$14,L$11,L$12)</f>
        <v>43501</v>
      </c>
      <c r="M644" s="98">
        <f ca="1"/>
        <v>-1.7450223064787232E-3</v>
      </c>
      <c r="N644" s="5" t="s">
        <v>4</v>
      </c>
      <c r="O644" s="100">
        <f ca="1">_xll.meDateFromTenor(O643,"1D","FOLLOWING",P$12)</f>
        <v>43409</v>
      </c>
      <c r="P644" s="13">
        <f ca="1">_xll.meDateFromTenor(O644,P$14,P$11,P$12)</f>
        <v>43591</v>
      </c>
      <c r="Q644" s="98">
        <f ca="1"/>
        <v>-4.7132750301641325E-4</v>
      </c>
      <c r="R644" s="5" t="s">
        <v>4</v>
      </c>
      <c r="S644" s="100">
        <f ca="1">_xll.meDateFromTenor(S643,"1D","FOLLOWING",T$12)</f>
        <v>43409</v>
      </c>
      <c r="T644" s="13">
        <f ca="1">_xll.meDateFromTenor(S644,T$14,T$11,T$12)</f>
        <v>43774</v>
      </c>
      <c r="U644" s="98">
        <f ca="1"/>
        <v>1.5964944649001771E-3</v>
      </c>
      <c r="V644" s="5" t="s">
        <v>4</v>
      </c>
      <c r="W644" s="84" t="s">
        <v>4</v>
      </c>
    </row>
    <row r="645" spans="1:23" x14ac:dyDescent="0.25">
      <c r="A645" s="90">
        <v>626</v>
      </c>
      <c r="B645" s="83"/>
      <c r="C645" s="100">
        <f ca="1">_xll.meDateFromTenor(C644,"1D","FOLLOWING",D$12)</f>
        <v>43410</v>
      </c>
      <c r="D645" s="13">
        <f ca="1">_xll.meDateFromTenor(C645,D$14,D$11,D$12)</f>
        <v>43411</v>
      </c>
      <c r="E645" s="98">
        <f ca="1"/>
        <v>-3.5939983547628299E-3</v>
      </c>
      <c r="F645" s="94"/>
      <c r="G645" s="100">
        <f ca="1">_xll.meDateFromTenor(G644,"1D","FOLLOWING",H$12)</f>
        <v>43410</v>
      </c>
      <c r="H645" s="13">
        <f ca="1">_xll.meDateFromTenor(G645,H$14,H$11,H$12)</f>
        <v>43440</v>
      </c>
      <c r="I645" s="98">
        <f ca="1"/>
        <v>-3.079003266097472E-3</v>
      </c>
      <c r="J645" s="94" t="s">
        <v>4</v>
      </c>
      <c r="K645" s="100">
        <f ca="1">_xll.meDateFromTenor(K644,"1D","FOLLOWING",L$12)</f>
        <v>43410</v>
      </c>
      <c r="L645" s="13">
        <f ca="1">_xll.meDateFromTenor(K645,L$14,L$11,L$12)</f>
        <v>43502</v>
      </c>
      <c r="M645" s="98">
        <f ca="1"/>
        <v>-1.7378589840092132E-3</v>
      </c>
      <c r="N645" s="5" t="s">
        <v>4</v>
      </c>
      <c r="O645" s="100">
        <f ca="1">_xll.meDateFromTenor(O644,"1D","FOLLOWING",P$12)</f>
        <v>43410</v>
      </c>
      <c r="P645" s="13">
        <f ca="1">_xll.meDateFromTenor(O645,P$14,P$11,P$12)</f>
        <v>43591</v>
      </c>
      <c r="Q645" s="98">
        <f ca="1"/>
        <v>-4.6631879036056727E-4</v>
      </c>
      <c r="R645" s="5" t="s">
        <v>4</v>
      </c>
      <c r="S645" s="100">
        <f ca="1">_xll.meDateFromTenor(S644,"1D","FOLLOWING",T$12)</f>
        <v>43410</v>
      </c>
      <c r="T645" s="13">
        <f ca="1">_xll.meDateFromTenor(S645,T$14,T$11,T$12)</f>
        <v>43775</v>
      </c>
      <c r="U645" s="98">
        <f ca="1"/>
        <v>1.6018583767271146E-3</v>
      </c>
      <c r="V645" s="5" t="s">
        <v>4</v>
      </c>
      <c r="W645" s="84" t="s">
        <v>4</v>
      </c>
    </row>
    <row r="646" spans="1:23" x14ac:dyDescent="0.25">
      <c r="A646" s="90">
        <v>627</v>
      </c>
      <c r="B646" s="83"/>
      <c r="C646" s="100">
        <f ca="1">_xll.meDateFromTenor(C645,"1D","FOLLOWING",D$12)</f>
        <v>43411</v>
      </c>
      <c r="D646" s="13">
        <f ca="1">_xll.meDateFromTenor(C646,D$14,D$11,D$12)</f>
        <v>43412</v>
      </c>
      <c r="E646" s="98">
        <f ca="1"/>
        <v>-3.5908398546213986E-3</v>
      </c>
      <c r="F646" s="94"/>
      <c r="G646" s="100">
        <f ca="1">_xll.meDateFromTenor(G645,"1D","FOLLOWING",H$12)</f>
        <v>43411</v>
      </c>
      <c r="H646" s="13">
        <f ca="1">_xll.meDateFromTenor(G646,H$14,H$11,H$12)</f>
        <v>43441</v>
      </c>
      <c r="I646" s="98">
        <f ca="1"/>
        <v>-3.0755031956195564E-3</v>
      </c>
      <c r="J646" s="94" t="s">
        <v>4</v>
      </c>
      <c r="K646" s="100">
        <f ca="1">_xll.meDateFromTenor(K645,"1D","FOLLOWING",L$12)</f>
        <v>43411</v>
      </c>
      <c r="L646" s="13">
        <f ca="1">_xll.meDateFromTenor(K646,L$14,L$11,L$12)</f>
        <v>43503</v>
      </c>
      <c r="M646" s="98">
        <f ca="1"/>
        <v>-1.7307282718126578E-3</v>
      </c>
      <c r="N646" s="5" t="s">
        <v>4</v>
      </c>
      <c r="O646" s="100">
        <f ca="1">_xll.meDateFromTenor(O645,"1D","FOLLOWING",P$12)</f>
        <v>43411</v>
      </c>
      <c r="P646" s="13">
        <f ca="1">_xll.meDateFromTenor(O646,P$14,P$11,P$12)</f>
        <v>43592</v>
      </c>
      <c r="Q646" s="98">
        <f ca="1"/>
        <v>-4.6130215479472058E-4</v>
      </c>
      <c r="R646" s="5" t="s">
        <v>4</v>
      </c>
      <c r="S646" s="100">
        <f ca="1">_xll.meDateFromTenor(S645,"1D","FOLLOWING",T$12)</f>
        <v>43411</v>
      </c>
      <c r="T646" s="13">
        <f ca="1">_xll.meDateFromTenor(S646,T$14,T$11,T$12)</f>
        <v>43776</v>
      </c>
      <c r="U646" s="98">
        <f ca="1"/>
        <v>1.607227230235149E-3</v>
      </c>
      <c r="V646" s="5" t="s">
        <v>4</v>
      </c>
      <c r="W646" s="84" t="s">
        <v>4</v>
      </c>
    </row>
    <row r="647" spans="1:23" x14ac:dyDescent="0.25">
      <c r="A647" s="90">
        <v>628</v>
      </c>
      <c r="B647" s="83"/>
      <c r="C647" s="100">
        <f ca="1">_xll.meDateFromTenor(C646,"1D","FOLLOWING",D$12)</f>
        <v>43412</v>
      </c>
      <c r="D647" s="13">
        <f ca="1">_xll.meDateFromTenor(C647,D$14,D$11,D$12)</f>
        <v>43413</v>
      </c>
      <c r="E647" s="98">
        <f ca="1"/>
        <v>-3.5876800291401293E-3</v>
      </c>
      <c r="F647" s="94"/>
      <c r="G647" s="100">
        <f ca="1">_xll.meDateFromTenor(G646,"1D","FOLLOWING",H$12)</f>
        <v>43412</v>
      </c>
      <c r="H647" s="13">
        <f ca="1">_xll.meDateFromTenor(G647,H$14,H$11,H$12)</f>
        <v>43444</v>
      </c>
      <c r="I647" s="98">
        <f ca="1"/>
        <v>-3.072001632967873E-3</v>
      </c>
      <c r="J647" s="94" t="s">
        <v>4</v>
      </c>
      <c r="K647" s="100">
        <f ca="1">_xll.meDateFromTenor(K646,"1D","FOLLOWING",L$12)</f>
        <v>43412</v>
      </c>
      <c r="L647" s="13">
        <f ca="1">_xll.meDateFromTenor(K647,L$14,L$11,L$12)</f>
        <v>43504</v>
      </c>
      <c r="M647" s="98">
        <f ca="1"/>
        <v>-1.7236298630369021E-3</v>
      </c>
      <c r="N647" s="5" t="s">
        <v>4</v>
      </c>
      <c r="O647" s="100">
        <f ca="1">_xll.meDateFromTenor(O646,"1D","FOLLOWING",P$12)</f>
        <v>43412</v>
      </c>
      <c r="P647" s="13">
        <f ca="1">_xll.meDateFromTenor(O647,P$14,P$11,P$12)</f>
        <v>43593</v>
      </c>
      <c r="Q647" s="98">
        <f ca="1"/>
        <v>-4.5627759604884732E-4</v>
      </c>
      <c r="R647" s="5" t="s">
        <v>4</v>
      </c>
      <c r="S647" s="100">
        <f ca="1">_xll.meDateFromTenor(S646,"1D","FOLLOWING",T$12)</f>
        <v>43412</v>
      </c>
      <c r="T647" s="13">
        <f ca="1">_xll.meDateFromTenor(S647,T$14,T$11,T$12)</f>
        <v>43777</v>
      </c>
      <c r="U647" s="98">
        <f ca="1"/>
        <v>1.612600989987628E-3</v>
      </c>
      <c r="V647" s="5" t="s">
        <v>4</v>
      </c>
      <c r="W647" s="84" t="s">
        <v>4</v>
      </c>
    </row>
    <row r="648" spans="1:23" x14ac:dyDescent="0.25">
      <c r="A648" s="90">
        <v>629</v>
      </c>
      <c r="B648" s="83"/>
      <c r="C648" s="100">
        <f ca="1">_xll.meDateFromTenor(C647,"1D","FOLLOWING",D$12)</f>
        <v>43413</v>
      </c>
      <c r="D648" s="13">
        <f ca="1">_xll.meDateFromTenor(C648,D$14,D$11,D$12)</f>
        <v>43416</v>
      </c>
      <c r="E648" s="98">
        <f ca="1"/>
        <v>-3.5813203325574376E-3</v>
      </c>
      <c r="F648" s="94"/>
      <c r="G648" s="100">
        <f ca="1">_xll.meDateFromTenor(G647,"1D","FOLLOWING",H$12)</f>
        <v>43413</v>
      </c>
      <c r="H648" s="13">
        <f ca="1">_xll.meDateFromTenor(G648,H$14,H$11,H$12)</f>
        <v>43444</v>
      </c>
      <c r="I648" s="98">
        <f ca="1"/>
        <v>-3.0684976278475321E-3</v>
      </c>
      <c r="J648" s="94" t="s">
        <v>4</v>
      </c>
      <c r="K648" s="100">
        <f ca="1">_xll.meDateFromTenor(K647,"1D","FOLLOWING",L$12)</f>
        <v>43413</v>
      </c>
      <c r="L648" s="13">
        <f ca="1">_xll.meDateFromTenor(K648,L$14,L$11,L$12)</f>
        <v>43507</v>
      </c>
      <c r="M648" s="98">
        <f ca="1"/>
        <v>-1.7165634508297942E-3</v>
      </c>
      <c r="N648" s="5" t="s">
        <v>4</v>
      </c>
      <c r="O648" s="100">
        <f ca="1">_xll.meDateFromTenor(O647,"1D","FOLLOWING",P$12)</f>
        <v>43413</v>
      </c>
      <c r="P648" s="13">
        <f ca="1">_xll.meDateFromTenor(O648,P$14,P$11,P$12)</f>
        <v>43594</v>
      </c>
      <c r="Q648" s="98">
        <f ca="1"/>
        <v>-4.5124511385292472E-4</v>
      </c>
      <c r="R648" s="5" t="s">
        <v>4</v>
      </c>
      <c r="S648" s="100">
        <f ca="1">_xll.meDateFromTenor(S647,"1D","FOLLOWING",T$12)</f>
        <v>43413</v>
      </c>
      <c r="T648" s="13">
        <f ca="1">_xll.meDateFromTenor(S648,T$14,T$11,T$12)</f>
        <v>43780</v>
      </c>
      <c r="U648" s="98">
        <f ca="1"/>
        <v>1.617979620547894E-3</v>
      </c>
      <c r="V648" s="5" t="s">
        <v>4</v>
      </c>
      <c r="W648" s="84" t="s">
        <v>4</v>
      </c>
    </row>
    <row r="649" spans="1:23" x14ac:dyDescent="0.25">
      <c r="A649" s="90">
        <v>630</v>
      </c>
      <c r="B649" s="83"/>
      <c r="C649" s="100">
        <f ca="1">_xll.meDateFromTenor(C648,"1D","FOLLOWING",D$12)</f>
        <v>43416</v>
      </c>
      <c r="D649" s="13">
        <f ca="1">_xll.meDateFromTenor(C649,D$14,D$11,D$12)</f>
        <v>43417</v>
      </c>
      <c r="E649" s="98">
        <f ca="1"/>
        <v>-3.5750274741364178E-3</v>
      </c>
      <c r="F649" s="94"/>
      <c r="G649" s="100">
        <f ca="1">_xll.meDateFromTenor(G648,"1D","FOLLOWING",H$12)</f>
        <v>43416</v>
      </c>
      <c r="H649" s="13">
        <f ca="1">_xll.meDateFromTenor(G649,H$14,H$11,H$12)</f>
        <v>43446</v>
      </c>
      <c r="I649" s="98">
        <f ca="1"/>
        <v>-3.0579614547256509E-3</v>
      </c>
      <c r="J649" s="94" t="s">
        <v>4</v>
      </c>
      <c r="K649" s="100">
        <f ca="1">_xll.meDateFromTenor(K648,"1D","FOLLOWING",L$12)</f>
        <v>43416</v>
      </c>
      <c r="L649" s="13">
        <f ca="1">_xll.meDateFromTenor(K649,L$14,L$11,L$12)</f>
        <v>43508</v>
      </c>
      <c r="M649" s="98">
        <f ca="1"/>
        <v>-1.6955531250988129E-3</v>
      </c>
      <c r="N649" s="5" t="s">
        <v>4</v>
      </c>
      <c r="O649" s="100">
        <f ca="1">_xll.meDateFromTenor(O648,"1D","FOLLOWING",P$12)</f>
        <v>43416</v>
      </c>
      <c r="P649" s="13">
        <f ca="1">_xll.meDateFromTenor(O649,P$14,P$11,P$12)</f>
        <v>43598</v>
      </c>
      <c r="Q649" s="98">
        <f ca="1"/>
        <v>-4.3610012386460914E-4</v>
      </c>
      <c r="R649" s="5" t="s">
        <v>4</v>
      </c>
      <c r="S649" s="100">
        <f ca="1">_xll.meDateFromTenor(S648,"1D","FOLLOWING",T$12)</f>
        <v>43416</v>
      </c>
      <c r="T649" s="13">
        <f ca="1">_xll.meDateFromTenor(S649,T$14,T$11,T$12)</f>
        <v>43781</v>
      </c>
      <c r="U649" s="98">
        <f ca="1"/>
        <v>1.6341443827088777E-3</v>
      </c>
      <c r="V649" s="5" t="s">
        <v>4</v>
      </c>
      <c r="W649" s="84" t="s">
        <v>4</v>
      </c>
    </row>
    <row r="650" spans="1:23" x14ac:dyDescent="0.25">
      <c r="A650" s="90">
        <v>631</v>
      </c>
      <c r="B650" s="83"/>
      <c r="C650" s="100">
        <f ca="1">_xll.meDateFromTenor(C649,"1D","FOLLOWING",D$12)</f>
        <v>43417</v>
      </c>
      <c r="D650" s="13">
        <f ca="1">_xll.meDateFromTenor(C650,D$14,D$11,D$12)</f>
        <v>43418</v>
      </c>
      <c r="E650" s="98">
        <f ca="1"/>
        <v>-3.5718610219959272E-3</v>
      </c>
      <c r="F650" s="94"/>
      <c r="G650" s="100">
        <f ca="1">_xll.meDateFromTenor(G649,"1D","FOLLOWING",H$12)</f>
        <v>43417</v>
      </c>
      <c r="H650" s="13">
        <f ca="1">_xll.meDateFromTenor(G650,H$14,H$11,H$12)</f>
        <v>43447</v>
      </c>
      <c r="I650" s="98">
        <f ca="1"/>
        <v>-3.0544381767817707E-3</v>
      </c>
      <c r="J650" s="94" t="s">
        <v>4</v>
      </c>
      <c r="K650" s="100">
        <f ca="1">_xll.meDateFromTenor(K649,"1D","FOLLOWING",L$12)</f>
        <v>43417</v>
      </c>
      <c r="L650" s="13">
        <f ca="1">_xll.meDateFromTenor(K650,L$14,L$11,L$12)</f>
        <v>43509</v>
      </c>
      <c r="M650" s="98">
        <f ca="1"/>
        <v>-1.6886116306447561E-3</v>
      </c>
      <c r="N650" s="5" t="s">
        <v>4</v>
      </c>
      <c r="O650" s="100">
        <f ca="1">_xll.meDateFromTenor(O649,"1D","FOLLOWING",P$12)</f>
        <v>43417</v>
      </c>
      <c r="P650" s="13">
        <f ca="1">_xll.meDateFromTenor(O650,P$14,P$11,P$12)</f>
        <v>43598</v>
      </c>
      <c r="Q650" s="98">
        <f ca="1"/>
        <v>-4.3103594516824101E-4</v>
      </c>
      <c r="R650" s="5" t="s">
        <v>4</v>
      </c>
      <c r="S650" s="100">
        <f ca="1">_xll.meDateFromTenor(S649,"1D","FOLLOWING",T$12)</f>
        <v>43417</v>
      </c>
      <c r="T650" s="13">
        <f ca="1">_xll.meDateFromTenor(S650,T$14,T$11,T$12)</f>
        <v>43782</v>
      </c>
      <c r="U650" s="98">
        <f ca="1"/>
        <v>1.6395421421337504E-3</v>
      </c>
      <c r="V650" s="5" t="s">
        <v>4</v>
      </c>
      <c r="W650" s="84" t="s">
        <v>4</v>
      </c>
    </row>
    <row r="651" spans="1:23" x14ac:dyDescent="0.25">
      <c r="A651" s="90">
        <v>632</v>
      </c>
      <c r="B651" s="83"/>
      <c r="C651" s="100">
        <f ca="1">_xll.meDateFromTenor(C650,"1D","FOLLOWING",D$12)</f>
        <v>43418</v>
      </c>
      <c r="D651" s="13">
        <f ca="1">_xll.meDateFromTenor(C651,D$14,D$11,D$12)</f>
        <v>43419</v>
      </c>
      <c r="E651" s="98">
        <f ca="1"/>
        <v>-3.5686932444356626E-3</v>
      </c>
      <c r="F651" s="94"/>
      <c r="G651" s="100">
        <f ca="1">_xll.meDateFromTenor(G650,"1D","FOLLOWING",H$12)</f>
        <v>43418</v>
      </c>
      <c r="H651" s="13">
        <f ca="1">_xll.meDateFromTenor(G651,H$14,H$11,H$12)</f>
        <v>43448</v>
      </c>
      <c r="I651" s="98">
        <f ca="1"/>
        <v>-3.0509077048947787E-3</v>
      </c>
      <c r="J651" s="94" t="s">
        <v>4</v>
      </c>
      <c r="K651" s="100">
        <f ca="1">_xll.meDateFromTenor(K650,"1D","FOLLOWING",L$12)</f>
        <v>43418</v>
      </c>
      <c r="L651" s="13">
        <f ca="1">_xll.meDateFromTenor(K651,L$14,L$11,L$12)</f>
        <v>43510</v>
      </c>
      <c r="M651" s="98">
        <f ca="1"/>
        <v>-1.6817005984985783E-3</v>
      </c>
      <c r="N651" s="5" t="s">
        <v>4</v>
      </c>
      <c r="O651" s="100">
        <f ca="1">_xll.meDateFromTenor(O650,"1D","FOLLOWING",P$12)</f>
        <v>43418</v>
      </c>
      <c r="P651" s="13">
        <f ca="1">_xll.meDateFromTenor(O651,P$14,P$11,P$12)</f>
        <v>43599</v>
      </c>
      <c r="Q651" s="98">
        <f ca="1"/>
        <v>-4.2596384167170072E-4</v>
      </c>
      <c r="R651" s="5" t="s">
        <v>4</v>
      </c>
      <c r="S651" s="100">
        <f ca="1">_xll.meDateFromTenor(S650,"1D","FOLLOWING",T$12)</f>
        <v>43418</v>
      </c>
      <c r="T651" s="13">
        <f ca="1">_xll.meDateFromTenor(S651,T$14,T$11,T$12)</f>
        <v>43783</v>
      </c>
      <c r="U651" s="98">
        <f ca="1"/>
        <v>1.6449445951831378E-3</v>
      </c>
      <c r="V651" s="5" t="s">
        <v>4</v>
      </c>
      <c r="W651" s="84" t="s">
        <v>4</v>
      </c>
    </row>
    <row r="652" spans="1:23" x14ac:dyDescent="0.25">
      <c r="A652" s="90">
        <v>633</v>
      </c>
      <c r="B652" s="83"/>
      <c r="C652" s="100">
        <f ca="1">_xll.meDateFromTenor(C651,"1D","FOLLOWING",D$12)</f>
        <v>43419</v>
      </c>
      <c r="D652" s="13">
        <f ca="1">_xll.meDateFromTenor(C652,D$14,D$11,D$12)</f>
        <v>43420</v>
      </c>
      <c r="E652" s="98">
        <f ca="1"/>
        <v>-3.5655241413756881E-3</v>
      </c>
      <c r="F652" s="94"/>
      <c r="G652" s="100">
        <f ca="1">_xll.meDateFromTenor(G651,"1D","FOLLOWING",H$12)</f>
        <v>43419</v>
      </c>
      <c r="H652" s="13">
        <f ca="1">_xll.meDateFromTenor(G652,H$14,H$11,H$12)</f>
        <v>43451</v>
      </c>
      <c r="I652" s="98">
        <f ca="1"/>
        <v>-3.0473690887697848E-3</v>
      </c>
      <c r="J652" s="94" t="s">
        <v>4</v>
      </c>
      <c r="K652" s="100">
        <f ca="1">_xll.meDateFromTenor(K651,"1D","FOLLOWING",L$12)</f>
        <v>43419</v>
      </c>
      <c r="L652" s="13">
        <f ca="1">_xll.meDateFromTenor(K652,L$14,L$11,L$12)</f>
        <v>43511</v>
      </c>
      <c r="M652" s="98">
        <f ca="1"/>
        <v>-1.6748197218081264E-3</v>
      </c>
      <c r="N652" s="5" t="s">
        <v>4</v>
      </c>
      <c r="O652" s="100">
        <f ca="1">_xll.meDateFromTenor(O651,"1D","FOLLOWING",P$12)</f>
        <v>43419</v>
      </c>
      <c r="P652" s="13">
        <f ca="1">_xll.meDateFromTenor(O652,P$14,P$11,P$12)</f>
        <v>43600</v>
      </c>
      <c r="Q652" s="98">
        <f ca="1"/>
        <v>-4.2088381310496404E-4</v>
      </c>
      <c r="R652" s="5" t="s">
        <v>4</v>
      </c>
      <c r="S652" s="100">
        <f ca="1">_xll.meDateFromTenor(S651,"1D","FOLLOWING",T$12)</f>
        <v>43419</v>
      </c>
      <c r="T652" s="13">
        <f ca="1">_xll.meDateFromTenor(S652,T$14,T$11,T$12)</f>
        <v>43784</v>
      </c>
      <c r="U652" s="98">
        <f ca="1"/>
        <v>1.6503517064203851E-3</v>
      </c>
      <c r="V652" s="5" t="s">
        <v>4</v>
      </c>
      <c r="W652" s="84" t="s">
        <v>4</v>
      </c>
    </row>
    <row r="653" spans="1:23" x14ac:dyDescent="0.25">
      <c r="A653" s="90">
        <v>634</v>
      </c>
      <c r="B653" s="83"/>
      <c r="C653" s="100">
        <f ca="1">_xll.meDateFromTenor(C652,"1D","FOLLOWING",D$12)</f>
        <v>43420</v>
      </c>
      <c r="D653" s="13">
        <f ca="1">_xll.meDateFromTenor(C653,D$14,D$11,D$12)</f>
        <v>43423</v>
      </c>
      <c r="E653" s="98">
        <f ca="1"/>
        <v>-3.5591463290041273E-3</v>
      </c>
      <c r="F653" s="94"/>
      <c r="G653" s="100">
        <f ca="1">_xll.meDateFromTenor(G652,"1D","FOLLOWING",H$12)</f>
        <v>43420</v>
      </c>
      <c r="H653" s="13">
        <f ca="1">_xll.meDateFromTenor(G653,H$14,H$11,H$12)</f>
        <v>43451</v>
      </c>
      <c r="I653" s="98">
        <f ca="1"/>
        <v>-3.0438213781118989E-3</v>
      </c>
      <c r="J653" s="94" t="s">
        <v>4</v>
      </c>
      <c r="K653" s="100">
        <f ca="1">_xll.meDateFromTenor(K652,"1D","FOLLOWING",L$12)</f>
        <v>43420</v>
      </c>
      <c r="L653" s="13">
        <f ca="1">_xll.meDateFromTenor(K653,L$14,L$11,L$12)</f>
        <v>43514</v>
      </c>
      <c r="M653" s="98">
        <f ca="1"/>
        <v>-1.6679686937212477E-3</v>
      </c>
      <c r="N653" s="5" t="s">
        <v>4</v>
      </c>
      <c r="O653" s="100">
        <f ca="1">_xll.meDateFromTenor(O652,"1D","FOLLOWING",P$12)</f>
        <v>43420</v>
      </c>
      <c r="P653" s="13">
        <f ca="1">_xll.meDateFromTenor(O653,P$14,P$11,P$12)</f>
        <v>43601</v>
      </c>
      <c r="Q653" s="98">
        <f ca="1"/>
        <v>-4.1579585919800734E-4</v>
      </c>
      <c r="R653" s="5" t="s">
        <v>4</v>
      </c>
      <c r="S653" s="100">
        <f ca="1">_xll.meDateFromTenor(S652,"1D","FOLLOWING",T$12)</f>
        <v>43420</v>
      </c>
      <c r="T653" s="13">
        <f ca="1">_xll.meDateFromTenor(S653,T$14,T$11,T$12)</f>
        <v>43787</v>
      </c>
      <c r="U653" s="98">
        <f ca="1"/>
        <v>1.6557634404088361E-3</v>
      </c>
      <c r="V653" s="5" t="s">
        <v>4</v>
      </c>
      <c r="W653" s="84" t="s">
        <v>4</v>
      </c>
    </row>
    <row r="654" spans="1:23" x14ac:dyDescent="0.25">
      <c r="A654" s="90">
        <v>635</v>
      </c>
      <c r="B654" s="83"/>
      <c r="C654" s="100">
        <f ca="1">_xll.meDateFromTenor(C653,"1D","FOLLOWING",D$12)</f>
        <v>43423</v>
      </c>
      <c r="D654" s="13">
        <f ca="1">_xll.meDateFromTenor(C654,D$14,D$11,D$12)</f>
        <v>43424</v>
      </c>
      <c r="E654" s="98">
        <f ca="1"/>
        <v>-3.5528344742985622E-3</v>
      </c>
      <c r="F654" s="94"/>
      <c r="G654" s="100">
        <f ca="1">_xll.meDateFromTenor(G653,"1D","FOLLOWING",H$12)</f>
        <v>43423</v>
      </c>
      <c r="H654" s="13">
        <f ca="1">_xll.meDateFromTenor(G654,H$14,H$11,H$12)</f>
        <v>43453</v>
      </c>
      <c r="I654" s="98">
        <f ca="1"/>
        <v>-3.0331141759919792E-3</v>
      </c>
      <c r="J654" s="94" t="s">
        <v>4</v>
      </c>
      <c r="K654" s="100">
        <f ca="1">_xll.meDateFromTenor(K653,"1D","FOLLOWING",L$12)</f>
        <v>43423</v>
      </c>
      <c r="L654" s="13">
        <f ca="1">_xll.meDateFromTenor(K654,L$14,L$11,L$12)</f>
        <v>43515</v>
      </c>
      <c r="M654" s="98">
        <f ca="1"/>
        <v>-1.647591632560508E-3</v>
      </c>
      <c r="N654" s="5" t="s">
        <v>4</v>
      </c>
      <c r="O654" s="100">
        <f ca="1">_xll.meDateFromTenor(O653,"1D","FOLLOWING",P$12)</f>
        <v>43423</v>
      </c>
      <c r="P654" s="13">
        <f ca="1">_xll.meDateFromTenor(O654,P$14,P$11,P$12)</f>
        <v>43605</v>
      </c>
      <c r="Q654" s="98">
        <f ca="1"/>
        <v>-4.0048444273556663E-4</v>
      </c>
      <c r="R654" s="5" t="s">
        <v>4</v>
      </c>
      <c r="S654" s="100">
        <f ca="1">_xll.meDateFromTenor(S653,"1D","FOLLOWING",T$12)</f>
        <v>43423</v>
      </c>
      <c r="T654" s="13">
        <f ca="1">_xll.meDateFromTenor(S654,T$14,T$11,T$12)</f>
        <v>43788</v>
      </c>
      <c r="U654" s="98">
        <f ca="1"/>
        <v>1.6720260245148724E-3</v>
      </c>
      <c r="V654" s="5" t="s">
        <v>4</v>
      </c>
      <c r="W654" s="84" t="s">
        <v>4</v>
      </c>
    </row>
    <row r="655" spans="1:23" x14ac:dyDescent="0.25">
      <c r="A655" s="90">
        <v>636</v>
      </c>
      <c r="B655" s="83"/>
      <c r="C655" s="100">
        <f ca="1">_xll.meDateFromTenor(C654,"1D","FOLLOWING",D$12)</f>
        <v>43424</v>
      </c>
      <c r="D655" s="13">
        <f ca="1">_xll.meDateFromTenor(C655,D$14,D$11,D$12)</f>
        <v>43425</v>
      </c>
      <c r="E655" s="98">
        <f ca="1"/>
        <v>-3.5496587436601016E-3</v>
      </c>
      <c r="F655" s="94"/>
      <c r="G655" s="100">
        <f ca="1">_xll.meDateFromTenor(G654,"1D","FOLLOWING",H$12)</f>
        <v>43424</v>
      </c>
      <c r="H655" s="13">
        <f ca="1">_xll.meDateFromTenor(G655,H$14,H$11,H$12)</f>
        <v>43454</v>
      </c>
      <c r="I655" s="98">
        <f ca="1"/>
        <v>-3.0295205842536164E-3</v>
      </c>
      <c r="J655" s="94" t="s">
        <v>4</v>
      </c>
      <c r="K655" s="100">
        <f ca="1">_xll.meDateFromTenor(K654,"1D","FOLLOWING",L$12)</f>
        <v>43424</v>
      </c>
      <c r="L655" s="13">
        <f ca="1">_xll.meDateFromTenor(K655,L$14,L$11,L$12)</f>
        <v>43516</v>
      </c>
      <c r="M655" s="98">
        <f ca="1"/>
        <v>-1.6408569303663818E-3</v>
      </c>
      <c r="N655" s="5" t="s">
        <v>4</v>
      </c>
      <c r="O655" s="100">
        <f ca="1">_xll.meDateFromTenor(O654,"1D","FOLLOWING",P$12)</f>
        <v>43424</v>
      </c>
      <c r="P655" s="13">
        <f ca="1">_xll.meDateFromTenor(O655,P$14,P$11,P$12)</f>
        <v>43605</v>
      </c>
      <c r="Q655" s="98">
        <f ca="1"/>
        <v>-3.9536478476748184E-4</v>
      </c>
      <c r="R655" s="5" t="s">
        <v>4</v>
      </c>
      <c r="S655" s="100">
        <f ca="1">_xll.meDateFromTenor(S654,"1D","FOLLOWING",T$12)</f>
        <v>43424</v>
      </c>
      <c r="T655" s="13">
        <f ca="1">_xll.meDateFromTenor(S655,T$14,T$11,T$12)</f>
        <v>43789</v>
      </c>
      <c r="U655" s="98">
        <f ca="1"/>
        <v>1.6774558951415961E-3</v>
      </c>
      <c r="V655" s="5" t="s">
        <v>4</v>
      </c>
      <c r="W655" s="84" t="s">
        <v>4</v>
      </c>
    </row>
    <row r="656" spans="1:23" x14ac:dyDescent="0.25">
      <c r="A656" s="90">
        <v>637</v>
      </c>
      <c r="B656" s="83"/>
      <c r="C656" s="100">
        <f ca="1">_xll.meDateFromTenor(C655,"1D","FOLLOWING",D$12)</f>
        <v>43425</v>
      </c>
      <c r="D656" s="13">
        <f ca="1">_xll.meDateFromTenor(C656,D$14,D$11,D$12)</f>
        <v>43426</v>
      </c>
      <c r="E656" s="98">
        <f ca="1"/>
        <v>-3.5464816873220909E-3</v>
      </c>
      <c r="F656" s="94"/>
      <c r="G656" s="100">
        <f ca="1">_xll.meDateFromTenor(G655,"1D","FOLLOWING",H$12)</f>
        <v>43425</v>
      </c>
      <c r="H656" s="13">
        <f ca="1">_xll.meDateFromTenor(G656,H$14,H$11,H$12)</f>
        <v>43455</v>
      </c>
      <c r="I656" s="98">
        <f ca="1"/>
        <v>-3.0259131465079085E-3</v>
      </c>
      <c r="J656" s="94" t="s">
        <v>4</v>
      </c>
      <c r="K656" s="100">
        <f ca="1">_xll.meDateFromTenor(K655,"1D","FOLLOWING",L$12)</f>
        <v>43425</v>
      </c>
      <c r="L656" s="13">
        <f ca="1">_xll.meDateFromTenor(K656,L$14,L$11,L$12)</f>
        <v>43517</v>
      </c>
      <c r="M656" s="98">
        <f ca="1"/>
        <v>-1.6341505425150607E-3</v>
      </c>
      <c r="N656" s="5" t="s">
        <v>4</v>
      </c>
      <c r="O656" s="100">
        <f ca="1">_xll.meDateFromTenor(O655,"1D","FOLLOWING",P$12)</f>
        <v>43425</v>
      </c>
      <c r="P656" s="13">
        <f ca="1">_xll.meDateFromTenor(O656,P$14,P$11,P$12)</f>
        <v>43606</v>
      </c>
      <c r="Q656" s="98">
        <f ca="1"/>
        <v>-3.9023720010905431E-4</v>
      </c>
      <c r="R656" s="5" t="s">
        <v>4</v>
      </c>
      <c r="S656" s="100">
        <f ca="1">_xll.meDateFromTenor(S655,"1D","FOLLOWING",T$12)</f>
        <v>43425</v>
      </c>
      <c r="T656" s="13">
        <f ca="1">_xll.meDateFromTenor(S656,T$14,T$11,T$12)</f>
        <v>43790</v>
      </c>
      <c r="U656" s="98">
        <f ca="1"/>
        <v>1.6828902113362508E-3</v>
      </c>
      <c r="V656" s="5" t="s">
        <v>4</v>
      </c>
      <c r="W656" s="84" t="s">
        <v>4</v>
      </c>
    </row>
    <row r="657" spans="1:23" x14ac:dyDescent="0.25">
      <c r="A657" s="90">
        <v>638</v>
      </c>
      <c r="B657" s="83"/>
      <c r="C657" s="100">
        <f ca="1">_xll.meDateFromTenor(C656,"1D","FOLLOWING",D$12)</f>
        <v>43426</v>
      </c>
      <c r="D657" s="13">
        <f ca="1">_xll.meDateFromTenor(C657,D$14,D$11,D$12)</f>
        <v>43427</v>
      </c>
      <c r="E657" s="98">
        <f ca="1"/>
        <v>-3.5433033054044342E-3</v>
      </c>
      <c r="F657" s="94"/>
      <c r="G657" s="100">
        <f ca="1">_xll.meDateFromTenor(G656,"1D","FOLLOWING",H$12)</f>
        <v>43426</v>
      </c>
      <c r="H657" s="13">
        <f ca="1">_xll.meDateFromTenor(G657,H$14,H$11,H$12)</f>
        <v>43458</v>
      </c>
      <c r="I657" s="98">
        <f ca="1"/>
        <v>-3.0222909124599643E-3</v>
      </c>
      <c r="J657" s="94" t="s">
        <v>4</v>
      </c>
      <c r="K657" s="100">
        <f ca="1">_xll.meDateFromTenor(K656,"1D","FOLLOWING",L$12)</f>
        <v>43426</v>
      </c>
      <c r="L657" s="13">
        <f ca="1">_xll.meDateFromTenor(K657,L$14,L$11,L$12)</f>
        <v>43518</v>
      </c>
      <c r="M657" s="98">
        <f ca="1"/>
        <v>-1.6274721621543904E-3</v>
      </c>
      <c r="N657" s="5" t="s">
        <v>4</v>
      </c>
      <c r="O657" s="100">
        <f ca="1">_xll.meDateFromTenor(O656,"1D","FOLLOWING",P$12)</f>
        <v>43426</v>
      </c>
      <c r="P657" s="13">
        <f ca="1">_xll.meDateFromTenor(O657,P$14,P$11,P$12)</f>
        <v>43607</v>
      </c>
      <c r="Q657" s="98">
        <f ca="1"/>
        <v>-3.8510168849025976E-4</v>
      </c>
      <c r="R657" s="5" t="s">
        <v>4</v>
      </c>
      <c r="S657" s="100">
        <f ca="1">_xll.meDateFromTenor(S656,"1D","FOLLOWING",T$12)</f>
        <v>43426</v>
      </c>
      <c r="T657" s="13">
        <f ca="1">_xll.meDateFromTenor(S657,T$14,T$11,T$12)</f>
        <v>43791</v>
      </c>
      <c r="U657" s="98">
        <f ca="1"/>
        <v>1.6883289376621814E-3</v>
      </c>
      <c r="V657" s="5" t="s">
        <v>4</v>
      </c>
      <c r="W657" s="84" t="s">
        <v>4</v>
      </c>
    </row>
    <row r="658" spans="1:23" x14ac:dyDescent="0.25">
      <c r="A658" s="90">
        <v>639</v>
      </c>
      <c r="B658" s="83"/>
      <c r="C658" s="100">
        <f ca="1">_xll.meDateFromTenor(C657,"1D","FOLLOWING",D$12)</f>
        <v>43427</v>
      </c>
      <c r="D658" s="13">
        <f ca="1">_xll.meDateFromTenor(C658,D$14,D$11,D$12)</f>
        <v>43430</v>
      </c>
      <c r="E658" s="98">
        <f ca="1"/>
        <v>-3.5369073727276172E-3</v>
      </c>
      <c r="F658" s="94"/>
      <c r="G658" s="100">
        <f ca="1">_xll.meDateFromTenor(G657,"1D","FOLLOWING",H$12)</f>
        <v>43427</v>
      </c>
      <c r="H658" s="13">
        <f ca="1">_xll.meDateFromTenor(G658,H$14,H$11,H$12)</f>
        <v>43458</v>
      </c>
      <c r="I658" s="98">
        <f ca="1"/>
        <v>-3.0186529318148927E-3</v>
      </c>
      <c r="J658" s="94" t="s">
        <v>4</v>
      </c>
      <c r="K658" s="100">
        <f ca="1">_xll.meDateFromTenor(K657,"1D","FOLLOWING",L$12)</f>
        <v>43427</v>
      </c>
      <c r="L658" s="13">
        <f ca="1">_xll.meDateFromTenor(K658,L$14,L$11,L$12)</f>
        <v>43521</v>
      </c>
      <c r="M658" s="98">
        <f ca="1"/>
        <v>-1.6208214824322178E-3</v>
      </c>
      <c r="N658" s="5" t="s">
        <v>4</v>
      </c>
      <c r="O658" s="100">
        <f ca="1">_xll.meDateFromTenor(O657,"1D","FOLLOWING",P$12)</f>
        <v>43427</v>
      </c>
      <c r="P658" s="13">
        <f ca="1">_xll.meDateFromTenor(O658,P$14,P$11,P$12)</f>
        <v>43608</v>
      </c>
      <c r="Q658" s="98">
        <f ca="1"/>
        <v>-3.7995824964107361E-4</v>
      </c>
      <c r="R658" s="5" t="s">
        <v>4</v>
      </c>
      <c r="S658" s="100">
        <f ca="1">_xll.meDateFromTenor(S657,"1D","FOLLOWING",T$12)</f>
        <v>43427</v>
      </c>
      <c r="T658" s="13">
        <f ca="1">_xll.meDateFromTenor(S658,T$14,T$11,T$12)</f>
        <v>43794</v>
      </c>
      <c r="U658" s="98">
        <f ca="1"/>
        <v>1.693772038682734E-3</v>
      </c>
      <c r="V658" s="5" t="s">
        <v>4</v>
      </c>
      <c r="W658" s="84" t="s">
        <v>4</v>
      </c>
    </row>
    <row r="659" spans="1:23" x14ac:dyDescent="0.25">
      <c r="A659" s="90">
        <v>640</v>
      </c>
      <c r="B659" s="83"/>
      <c r="C659" s="100">
        <f ca="1">_xll.meDateFromTenor(C658,"1D","FOLLOWING",D$12)</f>
        <v>43430</v>
      </c>
      <c r="D659" s="13">
        <f ca="1">_xll.meDateFromTenor(C659,D$14,D$11,D$12)</f>
        <v>43431</v>
      </c>
      <c r="E659" s="98">
        <f ca="1"/>
        <v>-3.5305765204185617E-3</v>
      </c>
      <c r="F659" s="94"/>
      <c r="G659" s="100">
        <f ca="1">_xll.meDateFromTenor(G658,"1D","FOLLOWING",H$12)</f>
        <v>43430</v>
      </c>
      <c r="H659" s="13">
        <f ca="1">_xll.meDateFromTenor(G659,H$14,H$11,H$12)</f>
        <v>43461</v>
      </c>
      <c r="I659" s="98">
        <f ca="1"/>
        <v>-3.0076350073480139E-3</v>
      </c>
      <c r="J659" s="94" t="s">
        <v>4</v>
      </c>
      <c r="K659" s="100">
        <f ca="1">_xll.meDateFromTenor(K658,"1D","FOLLOWING",L$12)</f>
        <v>43430</v>
      </c>
      <c r="L659" s="13">
        <f ca="1">_xll.meDateFromTenor(K659,L$14,L$11,L$12)</f>
        <v>43522</v>
      </c>
      <c r="M659" s="98">
        <f ca="1"/>
        <v>-1.601032578575152E-3</v>
      </c>
      <c r="N659" s="5" t="s">
        <v>4</v>
      </c>
      <c r="O659" s="100">
        <f ca="1">_xll.meDateFromTenor(O658,"1D","FOLLOWING",P$12)</f>
        <v>43430</v>
      </c>
      <c r="P659" s="13">
        <f ca="1">_xll.meDateFromTenor(O659,P$14,P$11,P$12)</f>
        <v>43612</v>
      </c>
      <c r="Q659" s="98">
        <f ca="1"/>
        <v>-3.6448036701092326E-4</v>
      </c>
      <c r="R659" s="5" t="s">
        <v>4</v>
      </c>
      <c r="S659" s="100">
        <f ca="1">_xll.meDateFromTenor(S658,"1D","FOLLOWING",T$12)</f>
        <v>43430</v>
      </c>
      <c r="T659" s="13">
        <f ca="1">_xll.meDateFromTenor(S659,T$14,T$11,T$12)</f>
        <v>43795</v>
      </c>
      <c r="U659" s="98">
        <f ca="1"/>
        <v>1.7101272355455701E-3</v>
      </c>
      <c r="V659" s="5" t="s">
        <v>4</v>
      </c>
      <c r="W659" s="84" t="s">
        <v>4</v>
      </c>
    </row>
    <row r="660" spans="1:23" x14ac:dyDescent="0.25">
      <c r="A660" s="90">
        <v>641</v>
      </c>
      <c r="B660" s="83"/>
      <c r="C660" s="100">
        <f ca="1">_xll.meDateFromTenor(C659,"1D","FOLLOWING",D$12)</f>
        <v>43431</v>
      </c>
      <c r="D660" s="13">
        <f ca="1">_xll.meDateFromTenor(C660,D$14,D$11,D$12)</f>
        <v>43432</v>
      </c>
      <c r="E660" s="98">
        <f ca="1"/>
        <v>-3.5273915097633461E-3</v>
      </c>
      <c r="F660" s="94"/>
      <c r="G660" s="100">
        <f ca="1">_xll.meDateFromTenor(G659,"1D","FOLLOWING",H$12)</f>
        <v>43431</v>
      </c>
      <c r="H660" s="13">
        <f ca="1">_xll.meDateFromTenor(G660,H$14,H$11,H$12)</f>
        <v>43461</v>
      </c>
      <c r="I660" s="98">
        <f ca="1"/>
        <v>-3.0039245373655299E-3</v>
      </c>
      <c r="J660" s="94" t="s">
        <v>4</v>
      </c>
      <c r="K660" s="100">
        <f ca="1">_xll.meDateFromTenor(K659,"1D","FOLLOWING",L$12)</f>
        <v>43431</v>
      </c>
      <c r="L660" s="13">
        <f ca="1">_xll.meDateFromTenor(K660,L$14,L$11,L$12)</f>
        <v>43523</v>
      </c>
      <c r="M660" s="98">
        <f ca="1"/>
        <v>-1.594489632885436E-3</v>
      </c>
      <c r="N660" s="5" t="s">
        <v>4</v>
      </c>
      <c r="O660" s="100">
        <f ca="1">_xll.meDateFromTenor(O659,"1D","FOLLOWING",P$12)</f>
        <v>43431</v>
      </c>
      <c r="P660" s="13">
        <f ca="1">_xll.meDateFromTenor(O660,P$14,P$11,P$12)</f>
        <v>43612</v>
      </c>
      <c r="Q660" s="98">
        <f ca="1"/>
        <v>-3.5930521653992816E-4</v>
      </c>
      <c r="R660" s="5" t="s">
        <v>4</v>
      </c>
      <c r="S660" s="100">
        <f ca="1">_xll.meDateFromTenor(S659,"1D","FOLLOWING",T$12)</f>
        <v>43431</v>
      </c>
      <c r="T660" s="13">
        <f ca="1">_xll.meDateFromTenor(S660,T$14,T$11,T$12)</f>
        <v>43796</v>
      </c>
      <c r="U660" s="98">
        <f ca="1"/>
        <v>1.7155874809780592E-3</v>
      </c>
      <c r="V660" s="5" t="s">
        <v>4</v>
      </c>
      <c r="W660" s="84" t="s">
        <v>4</v>
      </c>
    </row>
    <row r="661" spans="1:23" x14ac:dyDescent="0.25">
      <c r="A661" s="90">
        <v>642</v>
      </c>
      <c r="B661" s="83"/>
      <c r="C661" s="100">
        <f ca="1">_xll.meDateFromTenor(C660,"1D","FOLLOWING",D$12)</f>
        <v>43432</v>
      </c>
      <c r="D661" s="13">
        <f ca="1">_xll.meDateFromTenor(C661,D$14,D$11,D$12)</f>
        <v>43433</v>
      </c>
      <c r="E661" s="98">
        <f ca="1"/>
        <v>-3.5242051732087402E-3</v>
      </c>
      <c r="F661" s="94"/>
      <c r="G661" s="100">
        <f ca="1">_xll.meDateFromTenor(G660,"1D","FOLLOWING",H$12)</f>
        <v>43432</v>
      </c>
      <c r="H661" s="13">
        <f ca="1">_xll.meDateFromTenor(G661,H$14,H$11,H$12)</f>
        <v>43462</v>
      </c>
      <c r="I661" s="98">
        <f ca="1"/>
        <v>-3.0001935693114655E-3</v>
      </c>
      <c r="J661" s="94" t="s">
        <v>4</v>
      </c>
      <c r="K661" s="100">
        <f ca="1">_xll.meDateFromTenor(K660,"1D","FOLLOWING",L$12)</f>
        <v>43432</v>
      </c>
      <c r="L661" s="13">
        <f ca="1">_xll.meDateFromTenor(K661,L$14,L$11,L$12)</f>
        <v>43524</v>
      </c>
      <c r="M661" s="98">
        <f ca="1"/>
        <v>-1.5879728535734487E-3</v>
      </c>
      <c r="N661" s="5" t="s">
        <v>4</v>
      </c>
      <c r="O661" s="100">
        <f ca="1">_xll.meDateFromTenor(O660,"1D","FOLLOWING",P$12)</f>
        <v>43432</v>
      </c>
      <c r="P661" s="13">
        <f ca="1">_xll.meDateFromTenor(O661,P$14,P$11,P$12)</f>
        <v>43613</v>
      </c>
      <c r="Q661" s="98">
        <f ca="1"/>
        <v>-3.5412213748841888E-4</v>
      </c>
      <c r="R661" s="5" t="s">
        <v>4</v>
      </c>
      <c r="S661" s="100">
        <f ca="1">_xll.meDateFromTenor(S660,"1D","FOLLOWING",T$12)</f>
        <v>43432</v>
      </c>
      <c r="T661" s="13">
        <f ca="1">_xll.meDateFromTenor(S661,T$14,T$11,T$12)</f>
        <v>43797</v>
      </c>
      <c r="U661" s="98">
        <f ca="1"/>
        <v>1.7210519239218966E-3</v>
      </c>
      <c r="V661" s="5" t="s">
        <v>4</v>
      </c>
      <c r="W661" s="84" t="s">
        <v>4</v>
      </c>
    </row>
    <row r="662" spans="1:23" x14ac:dyDescent="0.25">
      <c r="A662" s="90">
        <v>643</v>
      </c>
      <c r="B662" s="83"/>
      <c r="C662" s="100">
        <f ca="1">_xll.meDateFromTenor(C661,"1D","FOLLOWING",D$12)</f>
        <v>43433</v>
      </c>
      <c r="D662" s="13">
        <f ca="1">_xll.meDateFromTenor(C662,D$14,D$11,D$12)</f>
        <v>43434</v>
      </c>
      <c r="E662" s="98">
        <f ca="1"/>
        <v>-3.5210175107947121E-3</v>
      </c>
      <c r="F662" s="94"/>
      <c r="G662" s="100">
        <f ca="1">_xll.meDateFromTenor(G661,"1D","FOLLOWING",H$12)</f>
        <v>43433</v>
      </c>
      <c r="H662" s="13">
        <f ca="1">_xll.meDateFromTenor(G662,H$14,H$11,H$12)</f>
        <v>43465</v>
      </c>
      <c r="I662" s="98">
        <f ca="1"/>
        <v>-2.9964411528909311E-3</v>
      </c>
      <c r="J662" s="94" t="s">
        <v>4</v>
      </c>
      <c r="K662" s="100">
        <f ca="1">_xll.meDateFromTenor(K661,"1D","FOLLOWING",L$12)</f>
        <v>43433</v>
      </c>
      <c r="L662" s="13">
        <f ca="1">_xll.meDateFromTenor(K662,L$14,L$11,L$12)</f>
        <v>43524</v>
      </c>
      <c r="M662" s="98">
        <f ca="1"/>
        <v>-1.581481933787038E-3</v>
      </c>
      <c r="N662" s="5" t="s">
        <v>4</v>
      </c>
      <c r="O662" s="100">
        <f ca="1">_xll.meDateFromTenor(O661,"1D","FOLLOWING",P$12)</f>
        <v>43433</v>
      </c>
      <c r="P662" s="13">
        <f ca="1">_xll.meDateFromTenor(O662,P$14,P$11,P$12)</f>
        <v>43614</v>
      </c>
      <c r="Q662" s="98">
        <f ca="1"/>
        <v>-3.4893112958637188E-4</v>
      </c>
      <c r="R662" s="5" t="s">
        <v>4</v>
      </c>
      <c r="S662" s="100">
        <f ca="1">_xll.meDateFromTenor(S661,"1D","FOLLOWING",T$12)</f>
        <v>43433</v>
      </c>
      <c r="T662" s="13">
        <f ca="1">_xll.meDateFromTenor(S662,T$14,T$11,T$12)</f>
        <v>43798</v>
      </c>
      <c r="U662" s="98">
        <f ca="1"/>
        <v>1.7265205289404264E-3</v>
      </c>
      <c r="V662" s="5" t="s">
        <v>4</v>
      </c>
      <c r="W662" s="84" t="s">
        <v>4</v>
      </c>
    </row>
    <row r="663" spans="1:23" x14ac:dyDescent="0.25">
      <c r="A663" s="90">
        <v>644</v>
      </c>
      <c r="B663" s="83"/>
      <c r="C663" s="100">
        <f ca="1">_xll.meDateFromTenor(C662,"1D","FOLLOWING",D$12)</f>
        <v>43434</v>
      </c>
      <c r="D663" s="13">
        <f ca="1">_xll.meDateFromTenor(C663,D$14,D$11,D$12)</f>
        <v>43437</v>
      </c>
      <c r="E663" s="98">
        <f ca="1"/>
        <v>-3.514603453482769E-3</v>
      </c>
      <c r="F663" s="94"/>
      <c r="G663" s="100">
        <f ca="1">_xll.meDateFromTenor(G662,"1D","FOLLOWING",H$12)</f>
        <v>43434</v>
      </c>
      <c r="H663" s="13">
        <f ca="1">_xll.meDateFromTenor(G663,H$14,H$11,H$12)</f>
        <v>43465</v>
      </c>
      <c r="I663" s="98">
        <f ca="1"/>
        <v>-2.9926663378090352E-3</v>
      </c>
      <c r="J663" s="94" t="s">
        <v>4</v>
      </c>
      <c r="K663" s="100">
        <f ca="1">_xll.meDateFromTenor(K662,"1D","FOLLOWING",L$12)</f>
        <v>43434</v>
      </c>
      <c r="L663" s="13">
        <f ca="1">_xll.meDateFromTenor(K663,L$14,L$11,L$12)</f>
        <v>43524</v>
      </c>
      <c r="M663" s="98">
        <f ca="1"/>
        <v>-1.5750165666740506E-3</v>
      </c>
      <c r="N663" s="5" t="s">
        <v>4</v>
      </c>
      <c r="O663" s="100">
        <f ca="1">_xll.meDateFromTenor(O662,"1D","FOLLOWING",P$12)</f>
        <v>43434</v>
      </c>
      <c r="P663" s="13">
        <f ca="1">_xll.meDateFromTenor(O663,P$14,P$11,P$12)</f>
        <v>43615</v>
      </c>
      <c r="Q663" s="98">
        <f ca="1"/>
        <v>-3.4373219256376265E-4</v>
      </c>
      <c r="R663" s="5" t="s">
        <v>4</v>
      </c>
      <c r="S663" s="100">
        <f ca="1">_xll.meDateFromTenor(S662,"1D","FOLLOWING",T$12)</f>
        <v>43434</v>
      </c>
      <c r="T663" s="13">
        <f ca="1">_xll.meDateFromTenor(S663,T$14,T$11,T$12)</f>
        <v>43798</v>
      </c>
      <c r="U663" s="98">
        <f ca="1"/>
        <v>1.7319932605969948E-3</v>
      </c>
      <c r="V663" s="5" t="s">
        <v>4</v>
      </c>
      <c r="W663" s="84" t="s">
        <v>4</v>
      </c>
    </row>
    <row r="664" spans="1:23" x14ac:dyDescent="0.25">
      <c r="A664" s="90">
        <v>645</v>
      </c>
      <c r="B664" s="83"/>
      <c r="C664" s="100">
        <f ca="1">_xll.meDateFromTenor(C663,"1D","FOLLOWING",D$12)</f>
        <v>43437</v>
      </c>
      <c r="D664" s="13">
        <f ca="1">_xll.meDateFromTenor(C664,D$14,D$11,D$12)</f>
        <v>43438</v>
      </c>
      <c r="E664" s="98">
        <f ca="1"/>
        <v>-3.5082571108979847E-3</v>
      </c>
      <c r="F664" s="94"/>
      <c r="G664" s="100">
        <f ca="1">_xll.meDateFromTenor(G663,"1D","FOLLOWING",H$12)</f>
        <v>43437</v>
      </c>
      <c r="H664" s="13">
        <f ca="1">_xll.meDateFromTenor(G664,H$14,H$11,H$12)</f>
        <v>43468</v>
      </c>
      <c r="I664" s="98">
        <f ca="1"/>
        <v>-2.9811979976462756E-3</v>
      </c>
      <c r="J664" s="94" t="s">
        <v>4</v>
      </c>
      <c r="K664" s="100">
        <f ca="1">_xll.meDateFromTenor(K663,"1D","FOLLOWING",L$12)</f>
        <v>43437</v>
      </c>
      <c r="L664" s="13">
        <f ca="1">_xll.meDateFromTenor(K664,L$14,L$11,L$12)</f>
        <v>43528</v>
      </c>
      <c r="M664" s="98">
        <f ca="1"/>
        <v>-1.555770712854091E-3</v>
      </c>
      <c r="N664" s="5" t="s">
        <v>4</v>
      </c>
      <c r="O664" s="100">
        <f ca="1">_xll.meDateFromTenor(O663,"1D","FOLLOWING",P$12)</f>
        <v>43437</v>
      </c>
      <c r="P664" s="13">
        <f ca="1">_xll.meDateFromTenor(O664,P$14,P$11,P$12)</f>
        <v>43619</v>
      </c>
      <c r="Q664" s="98">
        <f ca="1"/>
        <v>-3.280878040723184E-4</v>
      </c>
      <c r="R664" s="5" t="s">
        <v>4</v>
      </c>
      <c r="S664" s="100">
        <f ca="1">_xll.meDateFromTenor(S663,"1D","FOLLOWING",T$12)</f>
        <v>43437</v>
      </c>
      <c r="T664" s="13">
        <f ca="1">_xll.meDateFromTenor(S664,T$14,T$11,T$12)</f>
        <v>43802</v>
      </c>
      <c r="U664" s="98">
        <f ca="1"/>
        <v>1.7484358610283779E-3</v>
      </c>
      <c r="V664" s="5" t="s">
        <v>4</v>
      </c>
      <c r="W664" s="84" t="s">
        <v>4</v>
      </c>
    </row>
    <row r="665" spans="1:23" x14ac:dyDescent="0.25">
      <c r="A665" s="90">
        <v>646</v>
      </c>
      <c r="B665" s="83"/>
      <c r="C665" s="100">
        <f ca="1">_xll.meDateFromTenor(C664,"1D","FOLLOWING",D$12)</f>
        <v>43438</v>
      </c>
      <c r="D665" s="13">
        <f ca="1">_xll.meDateFromTenor(C665,D$14,D$11,D$12)</f>
        <v>43439</v>
      </c>
      <c r="E665" s="98">
        <f ca="1"/>
        <v>-3.5050838716666048E-3</v>
      </c>
      <c r="F665" s="94"/>
      <c r="G665" s="100">
        <f ca="1">_xll.meDateFromTenor(G664,"1D","FOLLOWING",H$12)</f>
        <v>43438</v>
      </c>
      <c r="H665" s="13">
        <f ca="1">_xll.meDateFromTenor(G665,H$14,H$11,H$12)</f>
        <v>43469</v>
      </c>
      <c r="I665" s="98">
        <f ca="1"/>
        <v>-2.9773245746491602E-3</v>
      </c>
      <c r="J665" s="94" t="s">
        <v>4</v>
      </c>
      <c r="K665" s="100">
        <f ca="1">_xll.meDateFromTenor(K664,"1D","FOLLOWING",L$12)</f>
        <v>43438</v>
      </c>
      <c r="L665" s="13">
        <f ca="1">_xll.meDateFromTenor(K665,L$14,L$11,L$12)</f>
        <v>43528</v>
      </c>
      <c r="M665" s="98">
        <f ca="1"/>
        <v>-1.5494045528141925E-3</v>
      </c>
      <c r="N665" s="5" t="s">
        <v>4</v>
      </c>
      <c r="O665" s="100">
        <f ca="1">_xll.meDateFromTenor(O664,"1D","FOLLOWING",P$12)</f>
        <v>43438</v>
      </c>
      <c r="P665" s="13">
        <f ca="1">_xll.meDateFromTenor(O665,P$14,P$11,P$12)</f>
        <v>43620</v>
      </c>
      <c r="Q665" s="98">
        <f ca="1"/>
        <v>-3.2285715537633448E-4</v>
      </c>
      <c r="R665" s="5" t="s">
        <v>4</v>
      </c>
      <c r="S665" s="100">
        <f ca="1">_xll.meDateFromTenor(S664,"1D","FOLLOWING",T$12)</f>
        <v>43438</v>
      </c>
      <c r="T665" s="13">
        <f ca="1">_xll.meDateFromTenor(S665,T$14,T$11,T$12)</f>
        <v>43803</v>
      </c>
      <c r="U665" s="98">
        <f ca="1"/>
        <v>1.7539247448705487E-3</v>
      </c>
      <c r="V665" s="5" t="s">
        <v>4</v>
      </c>
      <c r="W665" s="84" t="s">
        <v>4</v>
      </c>
    </row>
    <row r="666" spans="1:23" x14ac:dyDescent="0.25">
      <c r="A666" s="90">
        <v>647</v>
      </c>
      <c r="B666" s="83"/>
      <c r="C666" s="100">
        <f ca="1">_xll.meDateFromTenor(C665,"1D","FOLLOWING",D$12)</f>
        <v>43439</v>
      </c>
      <c r="D666" s="13">
        <f ca="1">_xll.meDateFromTenor(C666,D$14,D$11,D$12)</f>
        <v>43440</v>
      </c>
      <c r="E666" s="98">
        <f ca="1"/>
        <v>-3.50193035889569E-3</v>
      </c>
      <c r="F666" s="94"/>
      <c r="G666" s="100">
        <f ca="1">_xll.meDateFromTenor(G665,"1D","FOLLOWING",H$12)</f>
        <v>43439</v>
      </c>
      <c r="H666" s="13">
        <f ca="1">_xll.meDateFromTenor(G666,H$14,H$11,H$12)</f>
        <v>43472</v>
      </c>
      <c r="I666" s="98">
        <f ca="1"/>
        <v>-2.9734269395910065E-3</v>
      </c>
      <c r="J666" s="94" t="s">
        <v>4</v>
      </c>
      <c r="K666" s="100">
        <f ca="1">_xll.meDateFromTenor(K665,"1D","FOLLOWING",L$12)</f>
        <v>43439</v>
      </c>
      <c r="L666" s="13">
        <f ca="1">_xll.meDateFromTenor(K666,L$14,L$11,L$12)</f>
        <v>43529</v>
      </c>
      <c r="M666" s="98">
        <f ca="1"/>
        <v>-1.5430628005925337E-3</v>
      </c>
      <c r="N666" s="5" t="s">
        <v>4</v>
      </c>
      <c r="O666" s="100">
        <f ca="1">_xll.meDateFromTenor(O665,"1D","FOLLOWING",P$12)</f>
        <v>43439</v>
      </c>
      <c r="P666" s="13">
        <f ca="1">_xll.meDateFromTenor(O666,P$14,P$11,P$12)</f>
        <v>43621</v>
      </c>
      <c r="Q666" s="98">
        <f ca="1"/>
        <v>-3.1761862126436659E-4</v>
      </c>
      <c r="R666" s="5" t="s">
        <v>4</v>
      </c>
      <c r="S666" s="100">
        <f ca="1">_xll.meDateFromTenor(S665,"1D","FOLLOWING",T$12)</f>
        <v>43439</v>
      </c>
      <c r="T666" s="13">
        <f ca="1">_xll.meDateFromTenor(S666,T$14,T$11,T$12)</f>
        <v>43804</v>
      </c>
      <c r="U666" s="98">
        <f ca="1"/>
        <v>1.7594175781674843E-3</v>
      </c>
      <c r="V666" s="5" t="s">
        <v>4</v>
      </c>
      <c r="W666" s="84" t="s">
        <v>4</v>
      </c>
    </row>
    <row r="667" spans="1:23" x14ac:dyDescent="0.25">
      <c r="A667" s="90">
        <v>648</v>
      </c>
      <c r="B667" s="83"/>
      <c r="C667" s="100">
        <f ca="1">_xll.meDateFromTenor(C666,"1D","FOLLOWING",D$12)</f>
        <v>43440</v>
      </c>
      <c r="D667" s="13">
        <f ca="1">_xll.meDateFromTenor(C667,D$14,D$11,D$12)</f>
        <v>43441</v>
      </c>
      <c r="E667" s="98">
        <f ca="1"/>
        <v>-3.4987965713462314E-3</v>
      </c>
      <c r="F667" s="94"/>
      <c r="G667" s="100">
        <f ca="1">_xll.meDateFromTenor(G666,"1D","FOLLOWING",H$12)</f>
        <v>43440</v>
      </c>
      <c r="H667" s="13">
        <f ca="1">_xll.meDateFromTenor(G667,H$14,H$11,H$12)</f>
        <v>43472</v>
      </c>
      <c r="I667" s="98">
        <f ca="1"/>
        <v>-2.9695070802517047E-3</v>
      </c>
      <c r="J667" s="94" t="s">
        <v>4</v>
      </c>
      <c r="K667" s="100">
        <f ca="1">_xll.meDateFromTenor(K666,"1D","FOLLOWING",L$12)</f>
        <v>43440</v>
      </c>
      <c r="L667" s="13">
        <f ca="1">_xll.meDateFromTenor(K667,L$14,L$11,L$12)</f>
        <v>43530</v>
      </c>
      <c r="M667" s="98">
        <f ca="1"/>
        <v>-1.5367455387425492E-3</v>
      </c>
      <c r="N667" s="5" t="s">
        <v>4</v>
      </c>
      <c r="O667" s="100">
        <f ca="1">_xll.meDateFromTenor(O666,"1D","FOLLOWING",P$12)</f>
        <v>43440</v>
      </c>
      <c r="P667" s="13">
        <f ca="1">_xll.meDateFromTenor(O667,P$14,P$11,P$12)</f>
        <v>43622</v>
      </c>
      <c r="Q667" s="98">
        <f ca="1"/>
        <v>-3.1237224652109287E-4</v>
      </c>
      <c r="R667" s="5" t="s">
        <v>4</v>
      </c>
      <c r="S667" s="100">
        <f ca="1">_xll.meDateFromTenor(S666,"1D","FOLLOWING",T$12)</f>
        <v>43440</v>
      </c>
      <c r="T667" s="13">
        <f ca="1">_xll.meDateFromTenor(S667,T$14,T$11,T$12)</f>
        <v>43805</v>
      </c>
      <c r="U667" s="98">
        <f ca="1"/>
        <v>1.7649143254825279E-3</v>
      </c>
      <c r="V667" s="5" t="s">
        <v>4</v>
      </c>
      <c r="W667" s="84" t="s">
        <v>4</v>
      </c>
    </row>
    <row r="668" spans="1:23" x14ac:dyDescent="0.25">
      <c r="A668" s="90">
        <v>649</v>
      </c>
      <c r="B668" s="83"/>
      <c r="C668" s="100">
        <f ca="1">_xll.meDateFromTenor(C667,"1D","FOLLOWING",D$12)</f>
        <v>43441</v>
      </c>
      <c r="D668" s="13">
        <f ca="1">_xll.meDateFromTenor(C668,D$14,D$11,D$12)</f>
        <v>43444</v>
      </c>
      <c r="E668" s="98">
        <f ca="1"/>
        <v>-3.49256085962573E-3</v>
      </c>
      <c r="F668" s="94"/>
      <c r="G668" s="100">
        <f ca="1">_xll.meDateFromTenor(G667,"1D","FOLLOWING",H$12)</f>
        <v>43441</v>
      </c>
      <c r="H668" s="13">
        <f ca="1">_xll.meDateFromTenor(G668,H$14,H$11,H$12)</f>
        <v>43472</v>
      </c>
      <c r="I668" s="98">
        <f ca="1"/>
        <v>-2.9655669844111392E-3</v>
      </c>
      <c r="J668" s="94" t="s">
        <v>4</v>
      </c>
      <c r="K668" s="100">
        <f ca="1">_xll.meDateFromTenor(K667,"1D","FOLLOWING",L$12)</f>
        <v>43441</v>
      </c>
      <c r="L668" s="13">
        <f ca="1">_xll.meDateFromTenor(K668,L$14,L$11,L$12)</f>
        <v>43531</v>
      </c>
      <c r="M668" s="98">
        <f ca="1"/>
        <v>-1.5304528498176692E-3</v>
      </c>
      <c r="N668" s="5" t="s">
        <v>4</v>
      </c>
      <c r="O668" s="100">
        <f ca="1">_xll.meDateFromTenor(O667,"1D","FOLLOWING",P$12)</f>
        <v>43441</v>
      </c>
      <c r="P668" s="13">
        <f ca="1">_xll.meDateFromTenor(O668,P$14,P$11,P$12)</f>
        <v>43623</v>
      </c>
      <c r="Q668" s="98">
        <f ca="1"/>
        <v>-3.0711807593118804E-4</v>
      </c>
      <c r="R668" s="5" t="s">
        <v>4</v>
      </c>
      <c r="S668" s="100">
        <f ca="1">_xll.meDateFromTenor(S667,"1D","FOLLOWING",T$12)</f>
        <v>43441</v>
      </c>
      <c r="T668" s="13">
        <f ca="1">_xll.meDateFromTenor(S668,T$14,T$11,T$12)</f>
        <v>43808</v>
      </c>
      <c r="U668" s="98">
        <f ca="1"/>
        <v>1.7704149513790273E-3</v>
      </c>
      <c r="V668" s="5" t="s">
        <v>4</v>
      </c>
      <c r="W668" s="84" t="s">
        <v>4</v>
      </c>
    </row>
    <row r="669" spans="1:23" x14ac:dyDescent="0.25">
      <c r="A669" s="90">
        <v>650</v>
      </c>
      <c r="B669" s="83"/>
      <c r="C669" s="100">
        <f ca="1">_xll.meDateFromTenor(C668,"1D","FOLLOWING",D$12)</f>
        <v>43444</v>
      </c>
      <c r="D669" s="13">
        <f ca="1">_xll.meDateFromTenor(C669,D$14,D$11,D$12)</f>
        <v>43445</v>
      </c>
      <c r="E669" s="98">
        <f ca="1"/>
        <v>-3.4864586584948524E-3</v>
      </c>
      <c r="F669" s="94"/>
      <c r="G669" s="100">
        <f ca="1">_xll.meDateFromTenor(G668,"1D","FOLLOWING",H$12)</f>
        <v>43444</v>
      </c>
      <c r="H669" s="13">
        <f ca="1">_xll.meDateFromTenor(G669,H$14,H$11,H$12)</f>
        <v>43475</v>
      </c>
      <c r="I669" s="98">
        <f ca="1"/>
        <v>-2.9536451556807382E-3</v>
      </c>
      <c r="J669" s="94" t="s">
        <v>4</v>
      </c>
      <c r="K669" s="100">
        <f ca="1">_xll.meDateFromTenor(K668,"1D","FOLLOWING",L$12)</f>
        <v>43444</v>
      </c>
      <c r="L669" s="13">
        <f ca="1">_xll.meDateFromTenor(K669,L$14,L$11,L$12)</f>
        <v>43535</v>
      </c>
      <c r="M669" s="98">
        <f ca="1"/>
        <v>-1.5117230461279805E-3</v>
      </c>
      <c r="N669" s="5" t="s">
        <v>4</v>
      </c>
      <c r="O669" s="100">
        <f ca="1">_xll.meDateFromTenor(O668,"1D","FOLLOWING",P$12)</f>
        <v>43444</v>
      </c>
      <c r="P669" s="13">
        <f ca="1">_xll.meDateFromTenor(O669,P$14,P$11,P$12)</f>
        <v>43626</v>
      </c>
      <c r="Q669" s="98">
        <f ca="1"/>
        <v>-2.9130923692845728E-4</v>
      </c>
      <c r="R669" s="5" t="s">
        <v>4</v>
      </c>
      <c r="S669" s="100">
        <f ca="1">_xll.meDateFromTenor(S668,"1D","FOLLOWING",T$12)</f>
        <v>43444</v>
      </c>
      <c r="T669" s="13">
        <f ca="1">_xll.meDateFromTenor(S669,T$14,T$11,T$12)</f>
        <v>43809</v>
      </c>
      <c r="U669" s="98">
        <f ca="1"/>
        <v>1.786939746190703E-3</v>
      </c>
      <c r="V669" s="5" t="s">
        <v>4</v>
      </c>
      <c r="W669" s="84" t="s">
        <v>4</v>
      </c>
    </row>
    <row r="670" spans="1:23" x14ac:dyDescent="0.25">
      <c r="A670" s="90">
        <v>651</v>
      </c>
      <c r="B670" s="83"/>
      <c r="C670" s="100">
        <f ca="1">_xll.meDateFromTenor(C669,"1D","FOLLOWING",D$12)</f>
        <v>43445</v>
      </c>
      <c r="D670" s="13">
        <f ca="1">_xll.meDateFromTenor(C670,D$14,D$11,D$12)</f>
        <v>43446</v>
      </c>
      <c r="E670" s="98">
        <f ca="1"/>
        <v>-3.4834234853820104E-3</v>
      </c>
      <c r="F670" s="94"/>
      <c r="G670" s="100">
        <f ca="1">_xll.meDateFromTenor(G669,"1D","FOLLOWING",H$12)</f>
        <v>43445</v>
      </c>
      <c r="H670" s="13">
        <f ca="1">_xll.meDateFromTenor(G670,H$14,H$11,H$12)</f>
        <v>43476</v>
      </c>
      <c r="I670" s="98">
        <f ca="1"/>
        <v>-2.9496439916339924E-3</v>
      </c>
      <c r="J670" s="94" t="s">
        <v>4</v>
      </c>
      <c r="K670" s="100">
        <f ca="1">_xll.meDateFromTenor(K669,"1D","FOLLOWING",L$12)</f>
        <v>43445</v>
      </c>
      <c r="L670" s="13">
        <f ca="1">_xll.meDateFromTenor(K670,L$14,L$11,L$12)</f>
        <v>43535</v>
      </c>
      <c r="M670" s="98">
        <f ca="1"/>
        <v>-1.5055294744378417E-3</v>
      </c>
      <c r="N670" s="5" t="s">
        <v>4</v>
      </c>
      <c r="O670" s="100">
        <f ca="1">_xll.meDateFromTenor(O669,"1D","FOLLOWING",P$12)</f>
        <v>43445</v>
      </c>
      <c r="P670" s="13">
        <f ca="1">_xll.meDateFromTenor(O670,P$14,P$11,P$12)</f>
        <v>43627</v>
      </c>
      <c r="Q670" s="98">
        <f ca="1"/>
        <v>-2.8602433079879646E-4</v>
      </c>
      <c r="R670" s="5" t="s">
        <v>4</v>
      </c>
      <c r="S670" s="100">
        <f ca="1">_xll.meDateFromTenor(S669,"1D","FOLLOWING",T$12)</f>
        <v>43445</v>
      </c>
      <c r="T670" s="13">
        <f ca="1">_xll.meDateFromTenor(S670,T$14,T$11,T$12)</f>
        <v>43810</v>
      </c>
      <c r="U670" s="98">
        <f ca="1"/>
        <v>1.7924555320464714E-3</v>
      </c>
      <c r="V670" s="5" t="s">
        <v>4</v>
      </c>
      <c r="W670" s="84" t="s">
        <v>4</v>
      </c>
    </row>
    <row r="671" spans="1:23" x14ac:dyDescent="0.25">
      <c r="A671" s="90">
        <v>652</v>
      </c>
      <c r="B671" s="83"/>
      <c r="C671" s="100">
        <f ca="1">_xll.meDateFromTenor(C670,"1D","FOLLOWING",D$12)</f>
        <v>43446</v>
      </c>
      <c r="D671" s="13">
        <f ca="1">_xll.meDateFromTenor(C671,D$14,D$11,D$12)</f>
        <v>43447</v>
      </c>
      <c r="E671" s="98">
        <f ca="1"/>
        <v>-3.4804080324946211E-3</v>
      </c>
      <c r="F671" s="94"/>
      <c r="G671" s="100">
        <f ca="1">_xll.meDateFromTenor(G670,"1D","FOLLOWING",H$12)</f>
        <v>43446</v>
      </c>
      <c r="H671" s="13">
        <f ca="1">_xll.meDateFromTenor(G671,H$14,H$11,H$12)</f>
        <v>43479</v>
      </c>
      <c r="I671" s="98">
        <f ca="1"/>
        <v>-2.9456325299854189E-3</v>
      </c>
      <c r="J671" s="94" t="s">
        <v>4</v>
      </c>
      <c r="K671" s="100">
        <f ca="1">_xll.meDateFromTenor(K670,"1D","FOLLOWING",L$12)</f>
        <v>43446</v>
      </c>
      <c r="L671" s="13">
        <f ca="1">_xll.meDateFromTenor(K671,L$14,L$11,L$12)</f>
        <v>43536</v>
      </c>
      <c r="M671" s="98">
        <f ca="1"/>
        <v>-1.4993608884399684E-3</v>
      </c>
      <c r="N671" s="5" t="s">
        <v>4</v>
      </c>
      <c r="O671" s="100">
        <f ca="1">_xll.meDateFromTenor(O670,"1D","FOLLOWING",P$12)</f>
        <v>43446</v>
      </c>
      <c r="P671" s="13">
        <f ca="1">_xll.meDateFromTenor(O671,P$14,P$11,P$12)</f>
        <v>43628</v>
      </c>
      <c r="Q671" s="98">
        <f ca="1"/>
        <v>-2.8073185274588784E-4</v>
      </c>
      <c r="R671" s="5" t="s">
        <v>4</v>
      </c>
      <c r="S671" s="100">
        <f ca="1">_xll.meDateFromTenor(S670,"1D","FOLLOWING",T$12)</f>
        <v>43446</v>
      </c>
      <c r="T671" s="13">
        <f ca="1">_xll.meDateFromTenor(S671,T$14,T$11,T$12)</f>
        <v>43811</v>
      </c>
      <c r="U671" s="98">
        <f ca="1"/>
        <v>1.7979750193004209E-3</v>
      </c>
      <c r="V671" s="5" t="s">
        <v>4</v>
      </c>
      <c r="W671" s="84" t="s">
        <v>4</v>
      </c>
    </row>
    <row r="672" spans="1:23" x14ac:dyDescent="0.25">
      <c r="A672" s="90">
        <v>653</v>
      </c>
      <c r="B672" s="83"/>
      <c r="C672" s="100">
        <f ca="1">_xll.meDateFromTenor(C671,"1D","FOLLOWING",D$12)</f>
        <v>43447</v>
      </c>
      <c r="D672" s="13">
        <f ca="1">_xll.meDateFromTenor(C672,D$14,D$11,D$12)</f>
        <v>43448</v>
      </c>
      <c r="E672" s="98">
        <f ca="1"/>
        <v>-3.4774122990333233E-3</v>
      </c>
      <c r="F672" s="94"/>
      <c r="G672" s="100">
        <f ca="1">_xll.meDateFromTenor(G671,"1D","FOLLOWING",H$12)</f>
        <v>43447</v>
      </c>
      <c r="H672" s="13">
        <f ca="1">_xll.meDateFromTenor(G672,H$14,H$11,H$12)</f>
        <v>43479</v>
      </c>
      <c r="I672" s="98">
        <f ca="1"/>
        <v>-2.9416127585149064E-3</v>
      </c>
      <c r="J672" s="94" t="s">
        <v>4</v>
      </c>
      <c r="K672" s="100">
        <f ca="1">_xll.meDateFromTenor(K671,"1D","FOLLOWING",L$12)</f>
        <v>43447</v>
      </c>
      <c r="L672" s="13">
        <f ca="1">_xll.meDateFromTenor(K672,L$14,L$11,L$12)</f>
        <v>43537</v>
      </c>
      <c r="M672" s="98">
        <f ca="1"/>
        <v>-1.4932173706877941E-3</v>
      </c>
      <c r="N672" s="5" t="s">
        <v>4</v>
      </c>
      <c r="O672" s="100">
        <f ca="1">_xll.meDateFromTenor(O671,"1D","FOLLOWING",P$12)</f>
        <v>43447</v>
      </c>
      <c r="P672" s="13">
        <f ca="1">_xll.meDateFromTenor(O672,P$14,P$11,P$12)</f>
        <v>43629</v>
      </c>
      <c r="Q672" s="98">
        <f ca="1"/>
        <v>-2.754318475544089E-4</v>
      </c>
      <c r="R672" s="5" t="s">
        <v>4</v>
      </c>
      <c r="S672" s="100">
        <f ca="1">_xll.meDateFromTenor(S671,"1D","FOLLOWING",T$12)</f>
        <v>43447</v>
      </c>
      <c r="T672" s="13">
        <f ca="1">_xll.meDateFromTenor(S672,T$14,T$11,T$12)</f>
        <v>43812</v>
      </c>
      <c r="U672" s="98">
        <f ca="1"/>
        <v>1.803498172515895E-3</v>
      </c>
      <c r="V672" s="5" t="s">
        <v>4</v>
      </c>
      <c r="W672" s="84" t="s">
        <v>4</v>
      </c>
    </row>
    <row r="673" spans="1:23" x14ac:dyDescent="0.25">
      <c r="A673" s="90">
        <v>654</v>
      </c>
      <c r="B673" s="83"/>
      <c r="C673" s="100">
        <f ca="1">_xll.meDateFromTenor(C672,"1D","FOLLOWING",D$12)</f>
        <v>43448</v>
      </c>
      <c r="D673" s="13">
        <f ca="1">_xll.meDateFromTenor(C673,D$14,D$11,D$12)</f>
        <v>43451</v>
      </c>
      <c r="E673" s="98">
        <f ca="1"/>
        <v>-3.4714530846047375E-3</v>
      </c>
      <c r="F673" s="94"/>
      <c r="G673" s="100">
        <f ca="1">_xll.meDateFromTenor(G672,"1D","FOLLOWING",H$12)</f>
        <v>43448</v>
      </c>
      <c r="H673" s="13">
        <f ca="1">_xll.meDateFromTenor(G673,H$14,H$11,H$12)</f>
        <v>43479</v>
      </c>
      <c r="I673" s="98">
        <f ca="1"/>
        <v>-2.9375866650023382E-3</v>
      </c>
      <c r="J673" s="94" t="s">
        <v>4</v>
      </c>
      <c r="K673" s="100">
        <f ca="1">_xll.meDateFromTenor(K672,"1D","FOLLOWING",L$12)</f>
        <v>43448</v>
      </c>
      <c r="L673" s="13">
        <f ca="1">_xll.meDateFromTenor(K673,L$14,L$11,L$12)</f>
        <v>43538</v>
      </c>
      <c r="M673" s="98">
        <f ca="1"/>
        <v>-1.4870990037347482E-3</v>
      </c>
      <c r="N673" s="5" t="s">
        <v>4</v>
      </c>
      <c r="O673" s="100">
        <f ca="1">_xll.meDateFromTenor(O672,"1D","FOLLOWING",P$12)</f>
        <v>43448</v>
      </c>
      <c r="P673" s="13">
        <f ca="1">_xll.meDateFromTenor(O673,P$14,P$11,P$12)</f>
        <v>43630</v>
      </c>
      <c r="Q673" s="98">
        <f ca="1"/>
        <v>-2.7012436000903414E-4</v>
      </c>
      <c r="R673" s="5" t="s">
        <v>4</v>
      </c>
      <c r="S673" s="100">
        <f ca="1">_xll.meDateFromTenor(S672,"1D","FOLLOWING",T$12)</f>
        <v>43448</v>
      </c>
      <c r="T673" s="13">
        <f ca="1">_xll.meDateFromTenor(S673,T$14,T$11,T$12)</f>
        <v>43815</v>
      </c>
      <c r="U673" s="98">
        <f ca="1"/>
        <v>1.8090249562562404E-3</v>
      </c>
      <c r="V673" s="5" t="s">
        <v>4</v>
      </c>
      <c r="W673" s="84" t="s">
        <v>4</v>
      </c>
    </row>
    <row r="674" spans="1:23" x14ac:dyDescent="0.25">
      <c r="A674" s="90">
        <v>655</v>
      </c>
      <c r="B674" s="83"/>
      <c r="C674" s="100">
        <f ca="1">_xll.meDateFromTenor(C673,"1D","FOLLOWING",D$12)</f>
        <v>43451</v>
      </c>
      <c r="D674" s="13">
        <f ca="1">_xll.meDateFromTenor(C674,D$14,D$11,D$12)</f>
        <v>43452</v>
      </c>
      <c r="E674" s="98">
        <f ca="1"/>
        <v>-3.4656265442612032E-3</v>
      </c>
      <c r="F674" s="94"/>
      <c r="G674" s="100">
        <f ca="1">_xll.meDateFromTenor(G673,"1D","FOLLOWING",H$12)</f>
        <v>43451</v>
      </c>
      <c r="H674" s="13">
        <f ca="1">_xll.meDateFromTenor(G674,H$14,H$11,H$12)</f>
        <v>43482</v>
      </c>
      <c r="I674" s="98">
        <f ca="1"/>
        <v>-2.9254903300111844E-3</v>
      </c>
      <c r="J674" s="94" t="s">
        <v>4</v>
      </c>
      <c r="K674" s="100">
        <f ca="1">_xll.meDateFromTenor(K673,"1D","FOLLOWING",L$12)</f>
        <v>43451</v>
      </c>
      <c r="L674" s="13">
        <f ca="1">_xll.meDateFromTenor(K674,L$14,L$11,L$12)</f>
        <v>43542</v>
      </c>
      <c r="M674" s="98">
        <f ca="1"/>
        <v>-1.4688956332047109E-3</v>
      </c>
      <c r="N674" s="5" t="s">
        <v>4</v>
      </c>
      <c r="O674" s="100">
        <f ca="1">_xll.meDateFromTenor(O673,"1D","FOLLOWING",P$12)</f>
        <v>43451</v>
      </c>
      <c r="P674" s="13">
        <f ca="1">_xll.meDateFromTenor(O674,P$14,P$11,P$12)</f>
        <v>43633</v>
      </c>
      <c r="Q674" s="98">
        <f ca="1"/>
        <v>-2.5415745109630682E-4</v>
      </c>
      <c r="R674" s="5" t="s">
        <v>4</v>
      </c>
      <c r="S674" s="100">
        <f ca="1">_xll.meDateFromTenor(S673,"1D","FOLLOWING",T$12)</f>
        <v>43451</v>
      </c>
      <c r="T674" s="13">
        <f ca="1">_xll.meDateFromTenor(S674,T$14,T$11,T$12)</f>
        <v>43816</v>
      </c>
      <c r="U674" s="98">
        <f ca="1"/>
        <v>1.8256267362599539E-3</v>
      </c>
      <c r="V674" s="5" t="s">
        <v>4</v>
      </c>
      <c r="W674" s="84" t="s">
        <v>4</v>
      </c>
    </row>
    <row r="675" spans="1:23" x14ac:dyDescent="0.25">
      <c r="A675" s="90">
        <v>656</v>
      </c>
      <c r="B675" s="83"/>
      <c r="C675" s="100">
        <f ca="1">_xll.meDateFromTenor(C674,"1D","FOLLOWING",D$12)</f>
        <v>43452</v>
      </c>
      <c r="D675" s="13">
        <f ca="1">_xll.meDateFromTenor(C675,D$14,D$11,D$12)</f>
        <v>43453</v>
      </c>
      <c r="E675" s="98">
        <f ca="1"/>
        <v>-3.4627293960598615E-3</v>
      </c>
      <c r="F675" s="94"/>
      <c r="G675" s="100">
        <f ca="1">_xll.meDateFromTenor(G674,"1D","FOLLOWING",H$12)</f>
        <v>43452</v>
      </c>
      <c r="H675" s="13">
        <f ca="1">_xll.meDateFromTenor(G675,H$14,H$11,H$12)</f>
        <v>43483</v>
      </c>
      <c r="I675" s="98">
        <f ca="1"/>
        <v>-2.9214588261292714E-3</v>
      </c>
      <c r="J675" s="94" t="s">
        <v>4</v>
      </c>
      <c r="K675" s="100">
        <f ca="1">_xll.meDateFromTenor(K674,"1D","FOLLOWING",L$12)</f>
        <v>43452</v>
      </c>
      <c r="L675" s="13">
        <f ca="1">_xll.meDateFromTenor(K675,L$14,L$11,L$12)</f>
        <v>43542</v>
      </c>
      <c r="M675" s="98">
        <f ca="1"/>
        <v>-1.4628786949825048E-3</v>
      </c>
      <c r="N675" s="5" t="s">
        <v>4</v>
      </c>
      <c r="O675" s="100">
        <f ca="1">_xll.meDateFromTenor(O674,"1D","FOLLOWING",P$12)</f>
        <v>43452</v>
      </c>
      <c r="P675" s="13">
        <f ca="1">_xll.meDateFromTenor(O675,P$14,P$11,P$12)</f>
        <v>43634</v>
      </c>
      <c r="Q675" s="98">
        <f ca="1"/>
        <v>-2.4882048198211765E-4</v>
      </c>
      <c r="R675" s="5" t="s">
        <v>4</v>
      </c>
      <c r="S675" s="100">
        <f ca="1">_xll.meDateFromTenor(S674,"1D","FOLLOWING",T$12)</f>
        <v>43452</v>
      </c>
      <c r="T675" s="13">
        <f ca="1">_xll.meDateFromTenor(S675,T$14,T$11,T$12)</f>
        <v>43817</v>
      </c>
      <c r="U675" s="98">
        <f ca="1"/>
        <v>1.8311676877332355E-3</v>
      </c>
      <c r="V675" s="5" t="s">
        <v>4</v>
      </c>
      <c r="W675" s="84" t="s">
        <v>4</v>
      </c>
    </row>
    <row r="676" spans="1:23" x14ac:dyDescent="0.25">
      <c r="A676" s="90">
        <v>657</v>
      </c>
      <c r="B676" s="83"/>
      <c r="C676" s="100">
        <f ca="1">_xll.meDateFromTenor(C675,"1D","FOLLOWING",D$12)</f>
        <v>43453</v>
      </c>
      <c r="D676" s="13">
        <f ca="1">_xll.meDateFromTenor(C676,D$14,D$11,D$12)</f>
        <v>43454</v>
      </c>
      <c r="E676" s="98">
        <f ca="1"/>
        <v>-3.4598519624085122E-3</v>
      </c>
      <c r="F676" s="94"/>
      <c r="G676" s="100">
        <f ca="1">_xll.meDateFromTenor(G675,"1D","FOLLOWING",H$12)</f>
        <v>43453</v>
      </c>
      <c r="H676" s="13">
        <f ca="1">_xll.meDateFromTenor(G676,H$14,H$11,H$12)</f>
        <v>43486</v>
      </c>
      <c r="I676" s="98">
        <f ca="1"/>
        <v>-2.9174309391047401E-3</v>
      </c>
      <c r="J676" s="94" t="s">
        <v>4</v>
      </c>
      <c r="K676" s="100">
        <f ca="1">_xll.meDateFromTenor(K675,"1D","FOLLOWING",L$12)</f>
        <v>43453</v>
      </c>
      <c r="L676" s="13">
        <f ca="1">_xll.meDateFromTenor(K676,L$14,L$11,L$12)</f>
        <v>43543</v>
      </c>
      <c r="M676" s="98">
        <f ca="1"/>
        <v>-1.4568873203265886E-3</v>
      </c>
      <c r="N676" s="5" t="s">
        <v>4</v>
      </c>
      <c r="O676" s="100">
        <f ca="1">_xll.meDateFromTenor(O675,"1D","FOLLOWING",P$12)</f>
        <v>43453</v>
      </c>
      <c r="P676" s="13">
        <f ca="1">_xll.meDateFromTenor(O676,P$14,P$11,P$12)</f>
        <v>43635</v>
      </c>
      <c r="Q676" s="98">
        <f ca="1"/>
        <v>-2.4347625443741608E-4</v>
      </c>
      <c r="R676" s="5" t="s">
        <v>4</v>
      </c>
      <c r="S676" s="100">
        <f ca="1">_xll.meDateFromTenor(S675,"1D","FOLLOWING",T$12)</f>
        <v>43453</v>
      </c>
      <c r="T676" s="13">
        <f ca="1">_xll.meDateFromTenor(S676,T$14,T$11,T$12)</f>
        <v>43818</v>
      </c>
      <c r="U676" s="98">
        <f ca="1"/>
        <v>1.8367120925481136E-3</v>
      </c>
      <c r="V676" s="5" t="s">
        <v>4</v>
      </c>
      <c r="W676" s="84" t="s">
        <v>4</v>
      </c>
    </row>
    <row r="677" spans="1:23" x14ac:dyDescent="0.25">
      <c r="A677" s="90">
        <v>658</v>
      </c>
      <c r="B677" s="83"/>
      <c r="C677" s="100">
        <f ca="1">_xll.meDateFromTenor(C676,"1D","FOLLOWING",D$12)</f>
        <v>43454</v>
      </c>
      <c r="D677" s="13">
        <f ca="1">_xll.meDateFromTenor(C677,D$14,D$11,D$12)</f>
        <v>43455</v>
      </c>
      <c r="E677" s="98">
        <f ca="1"/>
        <v>-3.4569942422679866E-3</v>
      </c>
      <c r="F677" s="94"/>
      <c r="G677" s="100">
        <f ca="1">_xll.meDateFromTenor(G676,"1D","FOLLOWING",H$12)</f>
        <v>43454</v>
      </c>
      <c r="H677" s="13">
        <f ca="1">_xll.meDateFromTenor(G677,H$14,H$11,H$12)</f>
        <v>43486</v>
      </c>
      <c r="I677" s="98">
        <f ca="1"/>
        <v>-2.9134086567174779E-3</v>
      </c>
      <c r="J677" s="94" t="s">
        <v>4</v>
      </c>
      <c r="K677" s="100">
        <f ca="1">_xll.meDateFromTenor(K676,"1D","FOLLOWING",L$12)</f>
        <v>43454</v>
      </c>
      <c r="L677" s="13">
        <f ca="1">_xll.meDateFromTenor(K677,L$14,L$11,L$12)</f>
        <v>43544</v>
      </c>
      <c r="M677" s="98">
        <f ca="1"/>
        <v>-1.4509215917903944E-3</v>
      </c>
      <c r="N677" s="5" t="s">
        <v>4</v>
      </c>
      <c r="O677" s="100">
        <f ca="1">_xll.meDateFromTenor(O676,"1D","FOLLOWING",P$12)</f>
        <v>43454</v>
      </c>
      <c r="P677" s="13">
        <f ca="1">_xll.meDateFromTenor(O677,P$14,P$11,P$12)</f>
        <v>43636</v>
      </c>
      <c r="Q677" s="98">
        <f ca="1"/>
        <v>-2.381248132468786E-4</v>
      </c>
      <c r="R677" s="5" t="s">
        <v>4</v>
      </c>
      <c r="S677" s="100">
        <f ca="1">_xll.meDateFromTenor(S676,"1D","FOLLOWING",T$12)</f>
        <v>43454</v>
      </c>
      <c r="T677" s="13">
        <f ca="1">_xll.meDateFromTenor(S677,T$14,T$11,T$12)</f>
        <v>43819</v>
      </c>
      <c r="U677" s="98">
        <f ca="1"/>
        <v>1.8422599152679339E-3</v>
      </c>
      <c r="V677" s="5" t="s">
        <v>4</v>
      </c>
      <c r="W677" s="84" t="s">
        <v>4</v>
      </c>
    </row>
    <row r="678" spans="1:23" x14ac:dyDescent="0.25">
      <c r="A678" s="90">
        <v>659</v>
      </c>
      <c r="B678" s="83"/>
      <c r="C678" s="100">
        <f ca="1">_xll.meDateFromTenor(C677,"1D","FOLLOWING",D$12)</f>
        <v>43455</v>
      </c>
      <c r="D678" s="13">
        <f ca="1">_xll.meDateFromTenor(C678,D$14,D$11,D$12)</f>
        <v>43458</v>
      </c>
      <c r="E678" s="98">
        <f ca="1"/>
        <v>-3.4513114222667462E-3</v>
      </c>
      <c r="F678" s="94"/>
      <c r="G678" s="100">
        <f ca="1">_xll.meDateFromTenor(G677,"1D","FOLLOWING",H$12)</f>
        <v>43455</v>
      </c>
      <c r="H678" s="13">
        <f ca="1">_xll.meDateFromTenor(G678,H$14,H$11,H$12)</f>
        <v>43486</v>
      </c>
      <c r="I678" s="98">
        <f ca="1"/>
        <v>-2.9093939667473698E-3</v>
      </c>
      <c r="J678" s="94" t="s">
        <v>4</v>
      </c>
      <c r="K678" s="100">
        <f ca="1">_xll.meDateFromTenor(K677,"1D","FOLLOWING",L$12)</f>
        <v>43455</v>
      </c>
      <c r="L678" s="13">
        <f ca="1">_xll.meDateFromTenor(K678,L$14,L$11,L$12)</f>
        <v>43545</v>
      </c>
      <c r="M678" s="98">
        <f ca="1"/>
        <v>-1.4449815919273549E-3</v>
      </c>
      <c r="N678" s="5" t="s">
        <v>4</v>
      </c>
      <c r="O678" s="100">
        <f ca="1">_xll.meDateFromTenor(O677,"1D","FOLLOWING",P$12)</f>
        <v>43455</v>
      </c>
      <c r="P678" s="13">
        <f ca="1">_xll.meDateFromTenor(O678,P$14,P$11,P$12)</f>
        <v>43637</v>
      </c>
      <c r="Q678" s="98">
        <f ca="1"/>
        <v>-2.3276620319518166E-4</v>
      </c>
      <c r="R678" s="5" t="s">
        <v>4</v>
      </c>
      <c r="S678" s="100">
        <f ca="1">_xll.meDateFromTenor(S677,"1D","FOLLOWING",T$12)</f>
        <v>43455</v>
      </c>
      <c r="T678" s="13">
        <f ca="1">_xll.meDateFromTenor(S678,T$14,T$11,T$12)</f>
        <v>43822</v>
      </c>
      <c r="U678" s="98">
        <f ca="1"/>
        <v>1.8478111204560418E-3</v>
      </c>
      <c r="V678" s="5" t="s">
        <v>4</v>
      </c>
      <c r="W678" s="84" t="s">
        <v>4</v>
      </c>
    </row>
    <row r="679" spans="1:23" x14ac:dyDescent="0.25">
      <c r="A679" s="90">
        <v>660</v>
      </c>
      <c r="B679" s="83"/>
      <c r="C679" s="100">
        <f ca="1">_xll.meDateFromTenor(C678,"1D","FOLLOWING",D$12)</f>
        <v>43458</v>
      </c>
      <c r="D679" s="13">
        <f ca="1">_xll.meDateFromTenor(C679,D$14,D$11,D$12)</f>
        <v>43461</v>
      </c>
      <c r="E679" s="98">
        <f ca="1"/>
        <v>-3.4429749598530301E-3</v>
      </c>
      <c r="F679" s="94"/>
      <c r="G679" s="100">
        <f ca="1">_xll.meDateFromTenor(G678,"1D","FOLLOWING",H$12)</f>
        <v>43458</v>
      </c>
      <c r="H679" s="13">
        <f ca="1">_xll.meDateFromTenor(G679,H$14,H$11,H$12)</f>
        <v>43489</v>
      </c>
      <c r="I679" s="98">
        <f ca="1"/>
        <v>-2.897415329138849E-3</v>
      </c>
      <c r="J679" s="94" t="s">
        <v>4</v>
      </c>
      <c r="K679" s="100">
        <f ca="1">_xll.meDateFromTenor(K678,"1D","FOLLOWING",L$12)</f>
        <v>43458</v>
      </c>
      <c r="L679" s="13">
        <f ca="1">_xll.meDateFromTenor(K679,L$14,L$11,L$12)</f>
        <v>43549</v>
      </c>
      <c r="M679" s="98">
        <f ca="1"/>
        <v>-1.427316789911484E-3</v>
      </c>
      <c r="N679" s="5" t="s">
        <v>4</v>
      </c>
      <c r="O679" s="100">
        <f ca="1">_xll.meDateFromTenor(O678,"1D","FOLLOWING",P$12)</f>
        <v>43458</v>
      </c>
      <c r="P679" s="13">
        <f ca="1">_xll.meDateFromTenor(O679,P$14,P$11,P$12)</f>
        <v>43640</v>
      </c>
      <c r="Q679" s="98">
        <f ca="1"/>
        <v>-2.1664780771990083E-4</v>
      </c>
      <c r="R679" s="5" t="s">
        <v>4</v>
      </c>
      <c r="S679" s="100">
        <f ca="1">_xll.meDateFromTenor(S678,"1D","FOLLOWING",T$12)</f>
        <v>43458</v>
      </c>
      <c r="T679" s="13">
        <f ca="1">_xll.meDateFromTenor(S679,T$14,T$11,T$12)</f>
        <v>43823</v>
      </c>
      <c r="U679" s="98">
        <f ca="1"/>
        <v>1.8644846764635395E-3</v>
      </c>
      <c r="V679" s="5" t="s">
        <v>4</v>
      </c>
      <c r="W679" s="84" t="s">
        <v>4</v>
      </c>
    </row>
    <row r="680" spans="1:23" x14ac:dyDescent="0.25">
      <c r="A680" s="90">
        <v>661</v>
      </c>
      <c r="B680" s="83"/>
      <c r="C680" s="100">
        <f ca="1">_xll.meDateFromTenor(C679,"1D","FOLLOWING",D$12)</f>
        <v>43461</v>
      </c>
      <c r="D680" s="13">
        <f ca="1">_xll.meDateFromTenor(C680,D$14,D$11,D$12)</f>
        <v>43462</v>
      </c>
      <c r="E680" s="98">
        <f ca="1"/>
        <v>-3.4375421166377273E-3</v>
      </c>
      <c r="F680" s="94"/>
      <c r="G680" s="100">
        <f ca="1">_xll.meDateFromTenor(G679,"1D","FOLLOWING",H$12)</f>
        <v>43461</v>
      </c>
      <c r="H680" s="13">
        <f ca="1">_xll.meDateFromTenor(G680,H$14,H$11,H$12)</f>
        <v>43493</v>
      </c>
      <c r="I680" s="98">
        <f ca="1"/>
        <v>-2.8855765833606553E-3</v>
      </c>
      <c r="J680" s="94" t="s">
        <v>4</v>
      </c>
      <c r="K680" s="100">
        <f ca="1">_xll.meDateFromTenor(K679,"1D","FOLLOWING",L$12)</f>
        <v>43461</v>
      </c>
      <c r="L680" s="13">
        <f ca="1">_xll.meDateFromTenor(K680,L$14,L$11,L$12)</f>
        <v>43551</v>
      </c>
      <c r="M680" s="98">
        <f ca="1"/>
        <v>-1.4098865178775533E-3</v>
      </c>
      <c r="N680" s="5" t="s">
        <v>4</v>
      </c>
      <c r="O680" s="100">
        <f ca="1">_xll.meDateFromTenor(O679,"1D","FOLLOWING",P$12)</f>
        <v>43461</v>
      </c>
      <c r="P680" s="13">
        <f ca="1">_xll.meDateFromTenor(O680,P$14,P$11,P$12)</f>
        <v>43643</v>
      </c>
      <c r="Q680" s="98">
        <f ca="1"/>
        <v>-2.0046650474253661E-4</v>
      </c>
      <c r="R680" s="5" t="s">
        <v>4</v>
      </c>
      <c r="S680" s="100">
        <f ca="1">_xll.meDateFromTenor(S679,"1D","FOLLOWING",T$12)</f>
        <v>43461</v>
      </c>
      <c r="T680" s="13">
        <f ca="1">_xll.meDateFromTenor(S680,T$14,T$11,T$12)</f>
        <v>43826</v>
      </c>
      <c r="U680" s="98">
        <f ca="1"/>
        <v>1.8811873989660528E-3</v>
      </c>
      <c r="V680" s="5" t="s">
        <v>4</v>
      </c>
      <c r="W680" s="84" t="s">
        <v>4</v>
      </c>
    </row>
    <row r="681" spans="1:23" x14ac:dyDescent="0.25">
      <c r="A681" s="90">
        <v>662</v>
      </c>
      <c r="B681" s="83"/>
      <c r="C681" s="100">
        <f ca="1">_xll.meDateFromTenor(C680,"1D","FOLLOWING",D$12)</f>
        <v>43462</v>
      </c>
      <c r="D681" s="13">
        <f ca="1">_xll.meDateFromTenor(C681,D$14,D$11,D$12)</f>
        <v>43465</v>
      </c>
      <c r="E681" s="98">
        <f ca="1"/>
        <v>-3.4321355900379779E-3</v>
      </c>
      <c r="F681" s="94"/>
      <c r="G681" s="100">
        <f ca="1">_xll.meDateFromTenor(G680,"1D","FOLLOWING",H$12)</f>
        <v>43462</v>
      </c>
      <c r="H681" s="13">
        <f ca="1">_xll.meDateFromTenor(G681,H$14,H$11,H$12)</f>
        <v>43493</v>
      </c>
      <c r="I681" s="98">
        <f ca="1"/>
        <v>-2.8816706981474698E-3</v>
      </c>
      <c r="J681" s="94" t="s">
        <v>4</v>
      </c>
      <c r="K681" s="100">
        <f ca="1">_xll.meDateFromTenor(K680,"1D","FOLLOWING",L$12)</f>
        <v>43462</v>
      </c>
      <c r="L681" s="13">
        <f ca="1">_xll.meDateFromTenor(K681,L$14,L$11,L$12)</f>
        <v>43552</v>
      </c>
      <c r="M681" s="98">
        <f ca="1"/>
        <v>-1.4041289302226913E-3</v>
      </c>
      <c r="N681" s="5" t="s">
        <v>4</v>
      </c>
      <c r="O681" s="100">
        <f ca="1">_xll.meDateFromTenor(O680,"1D","FOLLOWING",P$12)</f>
        <v>43462</v>
      </c>
      <c r="P681" s="13">
        <f ca="1">_xll.meDateFromTenor(O681,P$14,P$11,P$12)</f>
        <v>43644</v>
      </c>
      <c r="Q681" s="98">
        <f ca="1"/>
        <v>-1.9505896663366516E-4</v>
      </c>
      <c r="R681" s="5" t="s">
        <v>4</v>
      </c>
      <c r="S681" s="100">
        <f ca="1">_xll.meDateFromTenor(S680,"1D","FOLLOWING",T$12)</f>
        <v>43462</v>
      </c>
      <c r="T681" s="13">
        <f ca="1">_xll.meDateFromTenor(S681,T$14,T$11,T$12)</f>
        <v>43829</v>
      </c>
      <c r="U681" s="98">
        <f ca="1"/>
        <v>1.8867612892058384E-3</v>
      </c>
      <c r="V681" s="5" t="s">
        <v>4</v>
      </c>
      <c r="W681" s="84" t="s">
        <v>4</v>
      </c>
    </row>
    <row r="682" spans="1:23" x14ac:dyDescent="0.25">
      <c r="A682" s="90">
        <v>663</v>
      </c>
      <c r="B682" s="83"/>
      <c r="C682" s="100">
        <f ca="1">_xll.meDateFromTenor(C681,"1D","FOLLOWING",D$12)</f>
        <v>43465</v>
      </c>
      <c r="D682" s="13">
        <f ca="1">_xll.meDateFromTenor(C682,D$14,D$11,D$12)</f>
        <v>43467</v>
      </c>
      <c r="E682" s="98">
        <f ca="1"/>
        <v>-3.4255332840094199E-3</v>
      </c>
      <c r="F682" s="94"/>
      <c r="G682" s="100">
        <f ca="1">_xll.meDateFromTenor(G681,"1D","FOLLOWING",H$12)</f>
        <v>43465</v>
      </c>
      <c r="H682" s="13">
        <f ca="1">_xll.meDateFromTenor(G682,H$14,H$11,H$12)</f>
        <v>43496</v>
      </c>
      <c r="I682" s="98">
        <f ca="1"/>
        <v>-2.8701019615649677E-3</v>
      </c>
      <c r="J682" s="94" t="s">
        <v>4</v>
      </c>
      <c r="K682" s="100">
        <f ca="1">_xll.meDateFromTenor(K681,"1D","FOLLOWING",L$12)</f>
        <v>43465</v>
      </c>
      <c r="L682" s="13">
        <f ca="1">_xll.meDateFromTenor(K682,L$14,L$11,L$12)</f>
        <v>43553</v>
      </c>
      <c r="M682" s="98">
        <f ca="1"/>
        <v>-1.3870148320754994E-3</v>
      </c>
      <c r="N682" s="5" t="s">
        <v>4</v>
      </c>
      <c r="O682" s="100">
        <f ca="1">_xll.meDateFromTenor(O681,"1D","FOLLOWING",P$12)</f>
        <v>43465</v>
      </c>
      <c r="P682" s="13">
        <f ca="1">_xll.meDateFromTenor(O682,P$14,P$11,P$12)</f>
        <v>43644</v>
      </c>
      <c r="Q682" s="98">
        <f ca="1"/>
        <v>-1.7879566794327213E-4</v>
      </c>
      <c r="R682" s="5" t="s">
        <v>4</v>
      </c>
      <c r="S682" s="100">
        <f ca="1">_xll.meDateFromTenor(S681,"1D","FOLLOWING",T$12)</f>
        <v>43465</v>
      </c>
      <c r="T682" s="13">
        <f ca="1">_xll.meDateFromTenor(S682,T$14,T$11,T$12)</f>
        <v>43830</v>
      </c>
      <c r="U682" s="98">
        <f ca="1"/>
        <v>1.903501412028868E-3</v>
      </c>
      <c r="V682" s="5" t="s">
        <v>4</v>
      </c>
      <c r="W682" s="84" t="s">
        <v>4</v>
      </c>
    </row>
    <row r="683" spans="1:23" x14ac:dyDescent="0.25">
      <c r="A683" s="90">
        <v>664</v>
      </c>
      <c r="B683" s="83"/>
      <c r="C683" s="100">
        <f ca="1">_xll.meDateFromTenor(C682,"1D","FOLLOWING",D$12)</f>
        <v>43467</v>
      </c>
      <c r="D683" s="13">
        <f ca="1">_xll.meDateFromTenor(C683,D$14,D$11,D$12)</f>
        <v>43468</v>
      </c>
      <c r="E683" s="98">
        <f ca="1"/>
        <v>-3.4216374557694117E-3</v>
      </c>
      <c r="F683" s="94"/>
      <c r="G683" s="100">
        <f ca="1">_xll.meDateFromTenor(G682,"1D","FOLLOWING",H$12)</f>
        <v>43467</v>
      </c>
      <c r="H683" s="13">
        <f ca="1">_xll.meDateFromTenor(G683,H$14,H$11,H$12)</f>
        <v>43500</v>
      </c>
      <c r="I683" s="98">
        <f ca="1"/>
        <v>-2.862533447523049E-3</v>
      </c>
      <c r="J683" s="94" t="s">
        <v>4</v>
      </c>
      <c r="K683" s="100">
        <f ca="1">_xll.meDateFromTenor(K682,"1D","FOLLOWING",L$12)</f>
        <v>43467</v>
      </c>
      <c r="L683" s="13">
        <f ca="1">_xll.meDateFromTenor(K683,L$14,L$11,L$12)</f>
        <v>43557</v>
      </c>
      <c r="M683" s="98">
        <f ca="1"/>
        <v>-1.3757384795261868E-3</v>
      </c>
      <c r="N683" s="5" t="s">
        <v>4</v>
      </c>
      <c r="O683" s="100">
        <f ca="1">_xll.meDateFromTenor(O682,"1D","FOLLOWING",P$12)</f>
        <v>43467</v>
      </c>
      <c r="P683" s="13">
        <f ca="1">_xll.meDateFromTenor(O683,P$14,P$11,P$12)</f>
        <v>43648</v>
      </c>
      <c r="Q683" s="98">
        <f ca="1"/>
        <v>-1.6792001302662563E-4</v>
      </c>
      <c r="R683" s="5" t="s">
        <v>4</v>
      </c>
      <c r="S683" s="100">
        <f ca="1">_xll.meDateFromTenor(S682,"1D","FOLLOWING",T$12)</f>
        <v>43467</v>
      </c>
      <c r="T683" s="13">
        <f ca="1">_xll.meDateFromTenor(S683,T$14,T$11,T$12)</f>
        <v>43832</v>
      </c>
      <c r="U683" s="98">
        <f ca="1"/>
        <v>1.9146765162974023E-3</v>
      </c>
      <c r="V683" s="5" t="s">
        <v>4</v>
      </c>
      <c r="W683" s="84" t="s">
        <v>4</v>
      </c>
    </row>
    <row r="684" spans="1:23" x14ac:dyDescent="0.25">
      <c r="A684" s="90">
        <v>665</v>
      </c>
      <c r="B684" s="83"/>
      <c r="C684" s="100">
        <f ca="1">_xll.meDateFromTenor(C683,"1D","FOLLOWING",D$12)</f>
        <v>43468</v>
      </c>
      <c r="D684" s="13">
        <f ca="1">_xll.meDateFromTenor(C684,D$14,D$11,D$12)</f>
        <v>43469</v>
      </c>
      <c r="E684" s="98">
        <f ca="1"/>
        <v>-3.4190556416469186E-3</v>
      </c>
      <c r="F684" s="94"/>
      <c r="G684" s="100">
        <f ca="1">_xll.meDateFromTenor(G683,"1D","FOLLOWING",H$12)</f>
        <v>43468</v>
      </c>
      <c r="H684" s="13">
        <f ca="1">_xll.meDateFromTenor(G684,H$14,H$11,H$12)</f>
        <v>43500</v>
      </c>
      <c r="I684" s="98">
        <f ca="1"/>
        <v>-2.8587976779067791E-3</v>
      </c>
      <c r="J684" s="94" t="s">
        <v>4</v>
      </c>
      <c r="K684" s="100">
        <f ca="1">_xll.meDateFromTenor(K683,"1D","FOLLOWING",L$12)</f>
        <v>43468</v>
      </c>
      <c r="L684" s="13">
        <f ca="1">_xll.meDateFromTenor(K684,L$14,L$11,L$12)</f>
        <v>43558</v>
      </c>
      <c r="M684" s="98">
        <f ca="1"/>
        <v>-1.3701404647764707E-3</v>
      </c>
      <c r="N684" s="5" t="s">
        <v>4</v>
      </c>
      <c r="O684" s="100">
        <f ca="1">_xll.meDateFromTenor(O683,"1D","FOLLOWING",P$12)</f>
        <v>43468</v>
      </c>
      <c r="P684" s="13">
        <f ca="1">_xll.meDateFromTenor(O684,P$14,P$11,P$12)</f>
        <v>43649</v>
      </c>
      <c r="Q684" s="98">
        <f ca="1"/>
        <v>-1.6247228318541597E-4</v>
      </c>
      <c r="R684" s="5" t="s">
        <v>4</v>
      </c>
      <c r="S684" s="100">
        <f ca="1">_xll.meDateFromTenor(S683,"1D","FOLLOWING",T$12)</f>
        <v>43468</v>
      </c>
      <c r="T684" s="13">
        <f ca="1">_xll.meDateFromTenor(S684,T$14,T$11,T$12)</f>
        <v>43833</v>
      </c>
      <c r="U684" s="98">
        <f ca="1"/>
        <v>1.9202684688376602E-3</v>
      </c>
      <c r="V684" s="5" t="s">
        <v>4</v>
      </c>
      <c r="W684" s="84" t="s">
        <v>4</v>
      </c>
    </row>
    <row r="685" spans="1:23" x14ac:dyDescent="0.25">
      <c r="A685" s="90">
        <v>666</v>
      </c>
      <c r="B685" s="83"/>
      <c r="C685" s="100">
        <f ca="1">_xll.meDateFromTenor(C684,"1D","FOLLOWING",D$12)</f>
        <v>43469</v>
      </c>
      <c r="D685" s="13">
        <f ca="1">_xll.meDateFromTenor(C685,D$14,D$11,D$12)</f>
        <v>43472</v>
      </c>
      <c r="E685" s="98">
        <f ca="1"/>
        <v>-3.4139253088083642E-3</v>
      </c>
      <c r="F685" s="94"/>
      <c r="G685" s="100">
        <f ca="1">_xll.meDateFromTenor(G684,"1D","FOLLOWING",H$12)</f>
        <v>43469</v>
      </c>
      <c r="H685" s="13">
        <f ca="1">_xll.meDateFromTenor(G685,H$14,H$11,H$12)</f>
        <v>43500</v>
      </c>
      <c r="I685" s="98">
        <f ca="1"/>
        <v>-2.8550933153927084E-3</v>
      </c>
      <c r="J685" s="94" t="s">
        <v>4</v>
      </c>
      <c r="K685" s="100">
        <f ca="1">_xll.meDateFromTenor(K684,"1D","FOLLOWING",L$12)</f>
        <v>43469</v>
      </c>
      <c r="L685" s="13">
        <f ca="1">_xll.meDateFromTenor(K685,L$14,L$11,L$12)</f>
        <v>43559</v>
      </c>
      <c r="M685" s="98">
        <f ca="1"/>
        <v>-1.364569334447958E-3</v>
      </c>
      <c r="N685" s="5" t="s">
        <v>4</v>
      </c>
      <c r="O685" s="100">
        <f ca="1">_xll.meDateFromTenor(O684,"1D","FOLLOWING",P$12)</f>
        <v>43469</v>
      </c>
      <c r="P685" s="13">
        <f ca="1">_xll.meDateFromTenor(O685,P$14,P$11,P$12)</f>
        <v>43650</v>
      </c>
      <c r="Q685" s="98">
        <f ca="1"/>
        <v>-1.570180114685176E-4</v>
      </c>
      <c r="R685" s="5" t="s">
        <v>4</v>
      </c>
      <c r="S685" s="100">
        <f ca="1">_xll.meDateFromTenor(S684,"1D","FOLLOWING",T$12)</f>
        <v>43469</v>
      </c>
      <c r="T685" s="13">
        <f ca="1">_xll.meDateFromTenor(S685,T$14,T$11,T$12)</f>
        <v>43836</v>
      </c>
      <c r="U685" s="98">
        <f ca="1"/>
        <v>1.9258633077330382E-3</v>
      </c>
      <c r="V685" s="5" t="s">
        <v>4</v>
      </c>
      <c r="W685" s="84" t="s">
        <v>4</v>
      </c>
    </row>
    <row r="686" spans="1:23" x14ac:dyDescent="0.25">
      <c r="A686" s="90">
        <v>667</v>
      </c>
      <c r="B686" s="83"/>
      <c r="C686" s="100">
        <f ca="1">_xll.meDateFromTenor(C685,"1D","FOLLOWING",D$12)</f>
        <v>43472</v>
      </c>
      <c r="D686" s="13">
        <f ca="1">_xll.meDateFromTenor(C686,D$14,D$11,D$12)</f>
        <v>43473</v>
      </c>
      <c r="E686" s="98">
        <f ca="1"/>
        <v>-3.4089253926472673E-3</v>
      </c>
      <c r="F686" s="94"/>
      <c r="G686" s="100">
        <f ca="1">_xll.meDateFromTenor(G685,"1D","FOLLOWING",H$12)</f>
        <v>43472</v>
      </c>
      <c r="H686" s="13">
        <f ca="1">_xll.meDateFromTenor(G686,H$14,H$11,H$12)</f>
        <v>43503</v>
      </c>
      <c r="I686" s="98">
        <f ca="1"/>
        <v>-2.8441484059288321E-3</v>
      </c>
      <c r="J686" s="94" t="s">
        <v>4</v>
      </c>
      <c r="K686" s="100">
        <f ca="1">_xll.meDateFromTenor(K685,"1D","FOLLOWING",L$12)</f>
        <v>43472</v>
      </c>
      <c r="L686" s="13">
        <f ca="1">_xll.meDateFromTenor(K686,L$14,L$11,L$12)</f>
        <v>43563</v>
      </c>
      <c r="M686" s="98">
        <f ca="1"/>
        <v>-1.3480180755239598E-3</v>
      </c>
      <c r="N686" s="5" t="s">
        <v>4</v>
      </c>
      <c r="O686" s="100">
        <f ca="1">_xll.meDateFromTenor(O685,"1D","FOLLOWING",P$12)</f>
        <v>43472</v>
      </c>
      <c r="P686" s="13">
        <f ca="1">_xll.meDateFromTenor(O686,P$14,P$11,P$12)</f>
        <v>43654</v>
      </c>
      <c r="Q686" s="98">
        <f ca="1"/>
        <v>-1.4061639291045538E-4</v>
      </c>
      <c r="R686" s="5" t="s">
        <v>4</v>
      </c>
      <c r="S686" s="100">
        <f ca="1">_xll.meDateFromTenor(S685,"1D","FOLLOWING",T$12)</f>
        <v>43472</v>
      </c>
      <c r="T686" s="13">
        <f ca="1">_xll.meDateFromTenor(S686,T$14,T$11,T$12)</f>
        <v>43837</v>
      </c>
      <c r="U686" s="98">
        <f ca="1"/>
        <v>1.9426647881833467E-3</v>
      </c>
      <c r="V686" s="5" t="s">
        <v>4</v>
      </c>
      <c r="W686" s="84" t="s">
        <v>4</v>
      </c>
    </row>
    <row r="687" spans="1:23" x14ac:dyDescent="0.25">
      <c r="A687" s="90">
        <v>668</v>
      </c>
      <c r="B687" s="83"/>
      <c r="C687" s="100">
        <f ca="1">_xll.meDateFromTenor(C686,"1D","FOLLOWING",D$12)</f>
        <v>43473</v>
      </c>
      <c r="D687" s="13">
        <f ca="1">_xll.meDateFromTenor(C687,D$14,D$11,D$12)</f>
        <v>43474</v>
      </c>
      <c r="E687" s="98">
        <f ca="1"/>
        <v>-3.4064420780932757E-3</v>
      </c>
      <c r="F687" s="94"/>
      <c r="G687" s="100">
        <f ca="1">_xll.meDateFromTenor(G686,"1D","FOLLOWING",H$12)</f>
        <v>43473</v>
      </c>
      <c r="H687" s="13">
        <f ca="1">_xll.meDateFromTenor(G687,H$14,H$11,H$12)</f>
        <v>43504</v>
      </c>
      <c r="I687" s="98">
        <f ca="1"/>
        <v>-2.8405494072886966E-3</v>
      </c>
      <c r="J687" s="94" t="s">
        <v>4</v>
      </c>
      <c r="K687" s="100">
        <f ca="1">_xll.meDateFromTenor(K686,"1D","FOLLOWING",L$12)</f>
        <v>43473</v>
      </c>
      <c r="L687" s="13">
        <f ca="1">_xll.meDateFromTenor(K687,L$14,L$11,L$12)</f>
        <v>43563</v>
      </c>
      <c r="M687" s="98">
        <f ca="1"/>
        <v>-1.3425553084145817E-3</v>
      </c>
      <c r="N687" s="5" t="s">
        <v>4</v>
      </c>
      <c r="O687" s="100">
        <f ca="1">_xll.meDateFromTenor(O686,"1D","FOLLOWING",P$12)</f>
        <v>43473</v>
      </c>
      <c r="P687" s="13">
        <f ca="1">_xll.meDateFromTenor(O687,P$14,P$11,P$12)</f>
        <v>43654</v>
      </c>
      <c r="Q687" s="98">
        <f ca="1"/>
        <v>-1.3513640153756804E-4</v>
      </c>
      <c r="R687" s="5" t="s">
        <v>4</v>
      </c>
      <c r="S687" s="100">
        <f ca="1">_xll.meDateFromTenor(S686,"1D","FOLLOWING",T$12)</f>
        <v>43473</v>
      </c>
      <c r="T687" s="13">
        <f ca="1">_xll.meDateFromTenor(S687,T$14,T$11,T$12)</f>
        <v>43838</v>
      </c>
      <c r="U687" s="98">
        <f ca="1"/>
        <v>1.9482708181326575E-3</v>
      </c>
      <c r="V687" s="5" t="s">
        <v>4</v>
      </c>
      <c r="W687" s="84" t="s">
        <v>4</v>
      </c>
    </row>
    <row r="688" spans="1:23" x14ac:dyDescent="0.25">
      <c r="A688" s="90">
        <v>669</v>
      </c>
      <c r="B688" s="83"/>
      <c r="C688" s="100">
        <f ca="1">_xll.meDateFromTenor(C687,"1D","FOLLOWING",D$12)</f>
        <v>43474</v>
      </c>
      <c r="D688" s="13">
        <f ca="1">_xll.meDateFromTenor(C688,D$14,D$11,D$12)</f>
        <v>43475</v>
      </c>
      <c r="E688" s="98">
        <f ca="1"/>
        <v>-3.4039784610628964E-3</v>
      </c>
      <c r="F688" s="94"/>
      <c r="G688" s="100">
        <f ca="1">_xll.meDateFromTenor(G687,"1D","FOLLOWING",H$12)</f>
        <v>43474</v>
      </c>
      <c r="H688" s="13">
        <f ca="1">_xll.meDateFromTenor(G688,H$14,H$11,H$12)</f>
        <v>43507</v>
      </c>
      <c r="I688" s="98">
        <f ca="1"/>
        <v>-2.8369716834833279E-3</v>
      </c>
      <c r="J688" s="94" t="s">
        <v>4</v>
      </c>
      <c r="K688" s="100">
        <f ca="1">_xll.meDateFromTenor(K687,"1D","FOLLOWING",L$12)</f>
        <v>43474</v>
      </c>
      <c r="L688" s="13">
        <f ca="1">_xll.meDateFromTenor(K688,L$14,L$11,L$12)</f>
        <v>43564</v>
      </c>
      <c r="M688" s="98">
        <f ca="1"/>
        <v>-1.3371198384935661E-3</v>
      </c>
      <c r="N688" s="5" t="s">
        <v>4</v>
      </c>
      <c r="O688" s="100">
        <f ca="1">_xll.meDateFromTenor(O687,"1D","FOLLOWING",P$12)</f>
        <v>43474</v>
      </c>
      <c r="P688" s="13">
        <f ca="1">_xll.meDateFromTenor(O688,P$14,P$11,P$12)</f>
        <v>43655</v>
      </c>
      <c r="Q688" s="98">
        <f ca="1"/>
        <v>-1.2965009221237357E-4</v>
      </c>
      <c r="R688" s="5" t="s">
        <v>4</v>
      </c>
      <c r="S688" s="100">
        <f ca="1">_xll.meDateFromTenor(S687,"1D","FOLLOWING",T$12)</f>
        <v>43474</v>
      </c>
      <c r="T688" s="13">
        <f ca="1">_xll.meDateFromTenor(S688,T$14,T$11,T$12)</f>
        <v>43839</v>
      </c>
      <c r="U688" s="98">
        <f ca="1"/>
        <v>1.953879557253816E-3</v>
      </c>
      <c r="V688" s="5" t="s">
        <v>4</v>
      </c>
      <c r="W688" s="84" t="s">
        <v>4</v>
      </c>
    </row>
    <row r="689" spans="1:23" x14ac:dyDescent="0.25">
      <c r="A689" s="90">
        <v>670</v>
      </c>
      <c r="B689" s="83"/>
      <c r="C689" s="100">
        <f ca="1">_xll.meDateFromTenor(C688,"1D","FOLLOWING",D$12)</f>
        <v>43475</v>
      </c>
      <c r="D689" s="13">
        <f ca="1">_xll.meDateFromTenor(C689,D$14,D$11,D$12)</f>
        <v>43476</v>
      </c>
      <c r="E689" s="98">
        <f ca="1"/>
        <v>-3.4015345408766728E-3</v>
      </c>
      <c r="F689" s="94"/>
      <c r="G689" s="100">
        <f ca="1">_xll.meDateFromTenor(G688,"1D","FOLLOWING",H$12)</f>
        <v>43475</v>
      </c>
      <c r="H689" s="13">
        <f ca="1">_xll.meDateFromTenor(G689,H$14,H$11,H$12)</f>
        <v>43507</v>
      </c>
      <c r="I689" s="98">
        <f ca="1"/>
        <v>-2.8334132080592407E-3</v>
      </c>
      <c r="J689" s="94" t="s">
        <v>4</v>
      </c>
      <c r="K689" s="100">
        <f ca="1">_xll.meDateFromTenor(K688,"1D","FOLLOWING",L$12)</f>
        <v>43475</v>
      </c>
      <c r="L689" s="13">
        <f ca="1">_xll.meDateFromTenor(K689,L$14,L$11,L$12)</f>
        <v>43565</v>
      </c>
      <c r="M689" s="98">
        <f ca="1"/>
        <v>-1.3317117483143466E-3</v>
      </c>
      <c r="N689" s="5" t="s">
        <v>4</v>
      </c>
      <c r="O689" s="100">
        <f ca="1">_xll.meDateFromTenor(O688,"1D","FOLLOWING",P$12)</f>
        <v>43475</v>
      </c>
      <c r="P689" s="13">
        <f ca="1">_xll.meDateFromTenor(O689,P$14,P$11,P$12)</f>
        <v>43656</v>
      </c>
      <c r="Q689" s="98">
        <f ca="1"/>
        <v>-1.2415750971954938E-4</v>
      </c>
      <c r="R689" s="5" t="s">
        <v>4</v>
      </c>
      <c r="S689" s="100">
        <f ca="1">_xll.meDateFromTenor(S688,"1D","FOLLOWING",T$12)</f>
        <v>43475</v>
      </c>
      <c r="T689" s="13">
        <f ca="1">_xll.meDateFromTenor(S689,T$14,T$11,T$12)</f>
        <v>43840</v>
      </c>
      <c r="U689" s="98">
        <f ca="1"/>
        <v>1.9594909701101653E-3</v>
      </c>
      <c r="V689" s="5" t="s">
        <v>4</v>
      </c>
      <c r="W689" s="84" t="s">
        <v>4</v>
      </c>
    </row>
    <row r="690" spans="1:23" x14ac:dyDescent="0.25">
      <c r="A690" s="90">
        <v>671</v>
      </c>
      <c r="B690" s="83"/>
      <c r="C690" s="100">
        <f ca="1">_xll.meDateFromTenor(C689,"1D","FOLLOWING",D$12)</f>
        <v>43476</v>
      </c>
      <c r="D690" s="13">
        <f ca="1">_xll.meDateFromTenor(C690,D$14,D$11,D$12)</f>
        <v>43479</v>
      </c>
      <c r="E690" s="98">
        <f ca="1"/>
        <v>-3.3966803031582182E-3</v>
      </c>
      <c r="F690" s="94"/>
      <c r="G690" s="100">
        <f ca="1">_xll.meDateFromTenor(G689,"1D","FOLLOWING",H$12)</f>
        <v>43476</v>
      </c>
      <c r="H690" s="13">
        <f ca="1">_xll.meDateFromTenor(G690,H$14,H$11,H$12)</f>
        <v>43507</v>
      </c>
      <c r="I690" s="98">
        <f ca="1"/>
        <v>-2.8298719545629485E-3</v>
      </c>
      <c r="J690" s="94" t="s">
        <v>4</v>
      </c>
      <c r="K690" s="100">
        <f ca="1">_xll.meDateFromTenor(K689,"1D","FOLLOWING",L$12)</f>
        <v>43476</v>
      </c>
      <c r="L690" s="13">
        <f ca="1">_xll.meDateFromTenor(K690,L$14,L$11,L$12)</f>
        <v>43566</v>
      </c>
      <c r="M690" s="98">
        <f ca="1"/>
        <v>-1.3263311204303554E-3</v>
      </c>
      <c r="N690" s="5" t="s">
        <v>4</v>
      </c>
      <c r="O690" s="100">
        <f ca="1">_xll.meDateFromTenor(O689,"1D","FOLLOWING",P$12)</f>
        <v>43476</v>
      </c>
      <c r="P690" s="13">
        <f ca="1">_xll.meDateFromTenor(O690,P$14,P$11,P$12)</f>
        <v>43657</v>
      </c>
      <c r="Q690" s="98">
        <f ca="1"/>
        <v>-1.1865869884377271E-4</v>
      </c>
      <c r="R690" s="5" t="s">
        <v>4</v>
      </c>
      <c r="S690" s="100">
        <f ca="1">_xll.meDateFromTenor(S689,"1D","FOLLOWING",T$12)</f>
        <v>43476</v>
      </c>
      <c r="T690" s="13">
        <f ca="1">_xll.meDateFromTenor(S690,T$14,T$11,T$12)</f>
        <v>43843</v>
      </c>
      <c r="U690" s="98">
        <f ca="1"/>
        <v>1.9651050212650509E-3</v>
      </c>
      <c r="V690" s="5" t="s">
        <v>4</v>
      </c>
      <c r="W690" s="84" t="s">
        <v>4</v>
      </c>
    </row>
    <row r="691" spans="1:23" x14ac:dyDescent="0.25">
      <c r="A691" s="90">
        <v>672</v>
      </c>
      <c r="B691" s="83"/>
      <c r="C691" s="100">
        <f ca="1">_xll.meDateFromTenor(C690,"1D","FOLLOWING",D$12)</f>
        <v>43479</v>
      </c>
      <c r="D691" s="13">
        <f ca="1">_xll.meDateFromTenor(C691,D$14,D$11,D$12)</f>
        <v>43480</v>
      </c>
      <c r="E691" s="98">
        <f ca="1"/>
        <v>-3.3919558112272107E-3</v>
      </c>
      <c r="F691" s="94"/>
      <c r="G691" s="100">
        <f ca="1">_xll.meDateFromTenor(G690,"1D","FOLLOWING",H$12)</f>
        <v>43479</v>
      </c>
      <c r="H691" s="13">
        <f ca="1">_xll.meDateFromTenor(G691,H$14,H$11,H$12)</f>
        <v>43510</v>
      </c>
      <c r="I691" s="98">
        <f ca="1"/>
        <v>-2.8193312611059745E-3</v>
      </c>
      <c r="J691" s="94" t="s">
        <v>4</v>
      </c>
      <c r="K691" s="100">
        <f ca="1">_xll.meDateFromTenor(K690,"1D","FOLLOWING",L$12)</f>
        <v>43479</v>
      </c>
      <c r="L691" s="13">
        <f ca="1">_xll.meDateFromTenor(K691,L$14,L$11,L$12)</f>
        <v>43570</v>
      </c>
      <c r="M691" s="98">
        <f ca="1"/>
        <v>-1.3103548360840673E-3</v>
      </c>
      <c r="N691" s="5" t="s">
        <v>4</v>
      </c>
      <c r="O691" s="100">
        <f ca="1">_xll.meDateFromTenor(O690,"1D","FOLLOWING",P$12)</f>
        <v>43479</v>
      </c>
      <c r="P691" s="13">
        <f ca="1">_xll.meDateFromTenor(O691,P$14,P$11,P$12)</f>
        <v>43661</v>
      </c>
      <c r="Q691" s="98">
        <f ca="1"/>
        <v>-1.0212534376548518E-4</v>
      </c>
      <c r="R691" s="5" t="s">
        <v>4</v>
      </c>
      <c r="S691" s="100">
        <f ca="1">_xll.meDateFromTenor(S690,"1D","FOLLOWING",T$12)</f>
        <v>43479</v>
      </c>
      <c r="T691" s="13">
        <f ca="1">_xll.meDateFromTenor(S691,T$14,T$11,T$12)</f>
        <v>43844</v>
      </c>
      <c r="U691" s="98">
        <f ca="1"/>
        <v>1.9819626501543833E-3</v>
      </c>
      <c r="V691" s="5" t="s">
        <v>4</v>
      </c>
      <c r="W691" s="84" t="s">
        <v>4</v>
      </c>
    </row>
    <row r="692" spans="1:23" x14ac:dyDescent="0.25">
      <c r="A692" s="90">
        <v>673</v>
      </c>
      <c r="B692" s="83"/>
      <c r="C692" s="100">
        <f ca="1">_xll.meDateFromTenor(C691,"1D","FOLLOWING",D$12)</f>
        <v>43480</v>
      </c>
      <c r="D692" s="13">
        <f ca="1">_xll.meDateFromTenor(C692,D$14,D$11,D$12)</f>
        <v>43481</v>
      </c>
      <c r="E692" s="98">
        <f ca="1"/>
        <v>-3.3896103626318685E-3</v>
      </c>
      <c r="F692" s="94"/>
      <c r="G692" s="100">
        <f ca="1">_xll.meDateFromTenor(G691,"1D","FOLLOWING",H$12)</f>
        <v>43480</v>
      </c>
      <c r="H692" s="13">
        <f ca="1">_xll.meDateFromTenor(G692,H$14,H$11,H$12)</f>
        <v>43511</v>
      </c>
      <c r="I692" s="98">
        <f ca="1"/>
        <v>-2.8158386307859965E-3</v>
      </c>
      <c r="J692" s="94" t="s">
        <v>4</v>
      </c>
      <c r="K692" s="100">
        <f ca="1">_xll.meDateFromTenor(K691,"1D","FOLLOWING",L$12)</f>
        <v>43480</v>
      </c>
      <c r="L692" s="13">
        <f ca="1">_xll.meDateFromTenor(K692,L$14,L$11,L$12)</f>
        <v>43570</v>
      </c>
      <c r="M692" s="98">
        <f ca="1"/>
        <v>-1.305084882915307E-3</v>
      </c>
      <c r="N692" s="5" t="s">
        <v>4</v>
      </c>
      <c r="O692" s="100">
        <f ca="1">_xll.meDateFromTenor(O691,"1D","FOLLOWING",P$12)</f>
        <v>43480</v>
      </c>
      <c r="P692" s="13">
        <f ca="1">_xll.meDateFromTenor(O692,P$14,P$11,P$12)</f>
        <v>43661</v>
      </c>
      <c r="Q692" s="98">
        <f ca="1"/>
        <v>-9.6602067204659312E-5</v>
      </c>
      <c r="R692" s="5" t="s">
        <v>4</v>
      </c>
      <c r="S692" s="100">
        <f ca="1">_xll.meDateFromTenor(S691,"1D","FOLLOWING",T$12)</f>
        <v>43480</v>
      </c>
      <c r="T692" s="13">
        <f ca="1">_xll.meDateFromTenor(S692,T$14,T$11,T$12)</f>
        <v>43845</v>
      </c>
      <c r="U692" s="98">
        <f ca="1"/>
        <v>1.9875869001368695E-3</v>
      </c>
      <c r="V692" s="5" t="s">
        <v>4</v>
      </c>
      <c r="W692" s="84" t="s">
        <v>4</v>
      </c>
    </row>
    <row r="693" spans="1:23" x14ac:dyDescent="0.25">
      <c r="A693" s="90">
        <v>674</v>
      </c>
      <c r="B693" s="83"/>
      <c r="C693" s="100">
        <f ca="1">_xll.meDateFromTenor(C692,"1D","FOLLOWING",D$12)</f>
        <v>43481</v>
      </c>
      <c r="D693" s="13">
        <f ca="1">_xll.meDateFromTenor(C693,D$14,D$11,D$12)</f>
        <v>43482</v>
      </c>
      <c r="E693" s="98">
        <f ca="1"/>
        <v>-3.3872846060845185E-3</v>
      </c>
      <c r="F693" s="94"/>
      <c r="G693" s="100">
        <f ca="1">_xll.meDateFromTenor(G692,"1D","FOLLOWING",H$12)</f>
        <v>43481</v>
      </c>
      <c r="H693" s="13">
        <f ca="1">_xll.meDateFromTenor(G693,H$14,H$11,H$12)</f>
        <v>43514</v>
      </c>
      <c r="I693" s="98">
        <f ca="1"/>
        <v>-2.8123530901263813E-3</v>
      </c>
      <c r="J693" s="94" t="s">
        <v>4</v>
      </c>
      <c r="K693" s="100">
        <f ca="1">_xll.meDateFromTenor(K692,"1D","FOLLOWING",L$12)</f>
        <v>43481</v>
      </c>
      <c r="L693" s="13">
        <f ca="1">_xll.meDateFromTenor(K693,L$14,L$11,L$12)</f>
        <v>43571</v>
      </c>
      <c r="M693" s="98">
        <f ca="1"/>
        <v>-1.299842804808935E-3</v>
      </c>
      <c r="N693" s="5" t="s">
        <v>4</v>
      </c>
      <c r="O693" s="100">
        <f ca="1">_xll.meDateFromTenor(O692,"1D","FOLLOWING",P$12)</f>
        <v>43481</v>
      </c>
      <c r="P693" s="13">
        <f ca="1">_xll.meDateFromTenor(O693,P$14,P$11,P$12)</f>
        <v>43662</v>
      </c>
      <c r="Q693" s="98">
        <f ca="1"/>
        <v>-9.1072786184262587E-5</v>
      </c>
      <c r="R693" s="5" t="s">
        <v>4</v>
      </c>
      <c r="S693" s="100">
        <f ca="1">_xll.meDateFromTenor(S692,"1D","FOLLOWING",T$12)</f>
        <v>43481</v>
      </c>
      <c r="T693" s="13">
        <f ca="1">_xll.meDateFromTenor(S693,T$14,T$11,T$12)</f>
        <v>43846</v>
      </c>
      <c r="U693" s="98">
        <f ca="1"/>
        <v>1.9932136112346182E-3</v>
      </c>
      <c r="V693" s="5" t="s">
        <v>4</v>
      </c>
      <c r="W693" s="84" t="s">
        <v>4</v>
      </c>
    </row>
    <row r="694" spans="1:23" x14ac:dyDescent="0.25">
      <c r="A694" s="90">
        <v>675</v>
      </c>
      <c r="B694" s="83"/>
      <c r="C694" s="100">
        <f ca="1">_xll.meDateFromTenor(C693,"1D","FOLLOWING",D$12)</f>
        <v>43482</v>
      </c>
      <c r="D694" s="13">
        <f ca="1">_xll.meDateFromTenor(C694,D$14,D$11,D$12)</f>
        <v>43483</v>
      </c>
      <c r="E694" s="98">
        <f ca="1"/>
        <v>-3.3849785407058641E-3</v>
      </c>
      <c r="F694" s="94"/>
      <c r="G694" s="100">
        <f ca="1">_xll.meDateFromTenor(G693,"1D","FOLLOWING",H$12)</f>
        <v>43482</v>
      </c>
      <c r="H694" s="13">
        <f ca="1">_xll.meDateFromTenor(G694,H$14,H$11,H$12)</f>
        <v>43514</v>
      </c>
      <c r="I694" s="98">
        <f ca="1"/>
        <v>-2.8088726126736427E-3</v>
      </c>
      <c r="J694" s="94" t="s">
        <v>4</v>
      </c>
      <c r="K694" s="100">
        <f ca="1">_xll.meDateFromTenor(K693,"1D","FOLLOWING",L$12)</f>
        <v>43482</v>
      </c>
      <c r="L694" s="13">
        <f ca="1">_xll.meDateFromTenor(K694,L$14,L$11,L$12)</f>
        <v>43572</v>
      </c>
      <c r="M694" s="98">
        <f ca="1"/>
        <v>-1.2946286843183842E-3</v>
      </c>
      <c r="N694" s="5" t="s">
        <v>4</v>
      </c>
      <c r="O694" s="100">
        <f ca="1">_xll.meDateFromTenor(O693,"1D","FOLLOWING",P$12)</f>
        <v>43482</v>
      </c>
      <c r="P694" s="13">
        <f ca="1">_xll.meDateFromTenor(O694,P$14,P$11,P$12)</f>
        <v>43663</v>
      </c>
      <c r="Q694" s="98">
        <f ca="1"/>
        <v>-8.5537545488972356E-5</v>
      </c>
      <c r="R694" s="5" t="s">
        <v>4</v>
      </c>
      <c r="S694" s="100">
        <f ca="1">_xll.meDateFromTenor(S693,"1D","FOLLOWING",T$12)</f>
        <v>43482</v>
      </c>
      <c r="T694" s="13">
        <f ca="1">_xll.meDateFromTenor(S694,T$14,T$11,T$12)</f>
        <v>43847</v>
      </c>
      <c r="U694" s="98">
        <f ca="1"/>
        <v>1.9988427480109741E-3</v>
      </c>
      <c r="V694" s="5" t="s">
        <v>4</v>
      </c>
      <c r="W694" s="84" t="s">
        <v>4</v>
      </c>
    </row>
    <row r="695" spans="1:23" x14ac:dyDescent="0.25">
      <c r="A695" s="90">
        <v>676</v>
      </c>
      <c r="B695" s="83"/>
      <c r="C695" s="100">
        <f ca="1">_xll.meDateFromTenor(C694,"1D","FOLLOWING",D$12)</f>
        <v>43483</v>
      </c>
      <c r="D695" s="13">
        <f ca="1">_xll.meDateFromTenor(C695,D$14,D$11,D$12)</f>
        <v>43486</v>
      </c>
      <c r="E695" s="98">
        <f ca="1"/>
        <v>-3.3804003010118443E-3</v>
      </c>
      <c r="F695" s="94"/>
      <c r="G695" s="100">
        <f ca="1">_xll.meDateFromTenor(G694,"1D","FOLLOWING",H$12)</f>
        <v>43483</v>
      </c>
      <c r="H695" s="13">
        <f ca="1">_xll.meDateFromTenor(G695,H$14,H$11,H$12)</f>
        <v>43514</v>
      </c>
      <c r="I695" s="98">
        <f ca="1"/>
        <v>-2.8053951719742938E-3</v>
      </c>
      <c r="J695" s="94" t="s">
        <v>4</v>
      </c>
      <c r="K695" s="100">
        <f ca="1">_xll.meDateFromTenor(K694,"1D","FOLLOWING",L$12)</f>
        <v>43483</v>
      </c>
      <c r="L695" s="13">
        <f ca="1">_xll.meDateFromTenor(K695,L$14,L$11,L$12)</f>
        <v>43573</v>
      </c>
      <c r="M695" s="98">
        <f ca="1"/>
        <v>-1.2894426039970848E-3</v>
      </c>
      <c r="N695" s="5" t="s">
        <v>4</v>
      </c>
      <c r="O695" s="100">
        <f ca="1">_xll.meDateFromTenor(O694,"1D","FOLLOWING",P$12)</f>
        <v>43483</v>
      </c>
      <c r="P695" s="13">
        <f ca="1">_xll.meDateFromTenor(O695,P$14,P$11,P$12)</f>
        <v>43664</v>
      </c>
      <c r="Q695" s="98">
        <f ca="1"/>
        <v>-7.9996389903463301E-5</v>
      </c>
      <c r="R695" s="5" t="s">
        <v>4</v>
      </c>
      <c r="S695" s="100">
        <f ca="1">_xll.meDateFromTenor(S694,"1D","FOLLOWING",T$12)</f>
        <v>43483</v>
      </c>
      <c r="T695" s="13">
        <f ca="1">_xll.meDateFromTenor(S695,T$14,T$11,T$12)</f>
        <v>43850</v>
      </c>
      <c r="U695" s="98">
        <f ca="1"/>
        <v>2.0044742750292841E-3</v>
      </c>
      <c r="V695" s="5" t="s">
        <v>4</v>
      </c>
      <c r="W695" s="84" t="s">
        <v>4</v>
      </c>
    </row>
    <row r="696" spans="1:23" x14ac:dyDescent="0.25">
      <c r="A696" s="90">
        <v>677</v>
      </c>
      <c r="B696" s="83"/>
      <c r="C696" s="100">
        <f ca="1">_xll.meDateFromTenor(C695,"1D","FOLLOWING",D$12)</f>
        <v>43486</v>
      </c>
      <c r="D696" s="13">
        <f ca="1">_xll.meDateFromTenor(C696,D$14,D$11,D$12)</f>
        <v>43487</v>
      </c>
      <c r="E696" s="98">
        <f ca="1"/>
        <v>-3.3759511756503834E-3</v>
      </c>
      <c r="F696" s="94"/>
      <c r="G696" s="100">
        <f ca="1">_xll.meDateFromTenor(G695,"1D","FOLLOWING",H$12)</f>
        <v>43486</v>
      </c>
      <c r="H696" s="13">
        <f ca="1">_xll.meDateFromTenor(G696,H$14,H$11,H$12)</f>
        <v>43517</v>
      </c>
      <c r="I696" s="98">
        <f ca="1"/>
        <v>-2.7949608058617202E-3</v>
      </c>
      <c r="J696" s="94" t="s">
        <v>4</v>
      </c>
      <c r="K696" s="100">
        <f ca="1">_xll.meDateFromTenor(K695,"1D","FOLLOWING",L$12)</f>
        <v>43486</v>
      </c>
      <c r="L696" s="13">
        <f ca="1">_xll.meDateFromTenor(K696,L$14,L$11,L$12)</f>
        <v>43578</v>
      </c>
      <c r="M696" s="98">
        <f ca="1"/>
        <v>-1.2740534295830215E-3</v>
      </c>
      <c r="N696" s="5" t="s">
        <v>4</v>
      </c>
      <c r="O696" s="100">
        <f ca="1">_xll.meDateFromTenor(O695,"1D","FOLLOWING",P$12)</f>
        <v>43486</v>
      </c>
      <c r="P696" s="13">
        <f ca="1">_xll.meDateFromTenor(O696,P$14,P$11,P$12)</f>
        <v>43668</v>
      </c>
      <c r="Q696" s="98">
        <f ca="1"/>
        <v>-6.3337881652394409E-5</v>
      </c>
      <c r="R696" s="5" t="s">
        <v>4</v>
      </c>
      <c r="S696" s="100">
        <f ca="1">_xll.meDateFromTenor(S695,"1D","FOLLOWING",T$12)</f>
        <v>43486</v>
      </c>
      <c r="T696" s="13">
        <f ca="1">_xll.meDateFromTenor(S696,T$14,T$11,T$12)</f>
        <v>43851</v>
      </c>
      <c r="U696" s="98">
        <f ca="1"/>
        <v>2.0213828431693858E-3</v>
      </c>
      <c r="V696" s="5" t="s">
        <v>4</v>
      </c>
      <c r="W696" s="84" t="s">
        <v>4</v>
      </c>
    </row>
    <row r="697" spans="1:23" x14ac:dyDescent="0.25">
      <c r="A697" s="90">
        <v>678</v>
      </c>
      <c r="B697" s="83"/>
      <c r="C697" s="100">
        <f ca="1">_xll.meDateFromTenor(C696,"1D","FOLLOWING",D$12)</f>
        <v>43487</v>
      </c>
      <c r="D697" s="13">
        <f ca="1">_xll.meDateFromTenor(C697,D$14,D$11,D$12)</f>
        <v>43488</v>
      </c>
      <c r="E697" s="98">
        <f ca="1"/>
        <v>-3.3737435546044147E-3</v>
      </c>
      <c r="F697" s="94"/>
      <c r="G697" s="100">
        <f ca="1">_xll.meDateFromTenor(G696,"1D","FOLLOWING",H$12)</f>
        <v>43487</v>
      </c>
      <c r="H697" s="13">
        <f ca="1">_xll.meDateFromTenor(G697,H$14,H$11,H$12)</f>
        <v>43518</v>
      </c>
      <c r="I697" s="98">
        <f ca="1"/>
        <v>-2.7914752476410655E-3</v>
      </c>
      <c r="J697" s="94" t="s">
        <v>4</v>
      </c>
      <c r="K697" s="100">
        <f ca="1">_xll.meDateFromTenor(K696,"1D","FOLLOWING",L$12)</f>
        <v>43487</v>
      </c>
      <c r="L697" s="13">
        <f ca="1">_xll.meDateFromTenor(K697,L$14,L$11,L$12)</f>
        <v>43578</v>
      </c>
      <c r="M697" s="98">
        <f ca="1"/>
        <v>-1.268980335473052E-3</v>
      </c>
      <c r="N697" s="5" t="s">
        <v>4</v>
      </c>
      <c r="O697" s="100">
        <f ca="1">_xll.meDateFromTenor(O696,"1D","FOLLOWING",P$12)</f>
        <v>43487</v>
      </c>
      <c r="P697" s="13">
        <f ca="1">_xll.meDateFromTenor(O697,P$14,P$11,P$12)</f>
        <v>43668</v>
      </c>
      <c r="Q697" s="98">
        <f ca="1"/>
        <v>-5.7773514352778587E-5</v>
      </c>
      <c r="R697" s="5" t="s">
        <v>4</v>
      </c>
      <c r="S697" s="100">
        <f ca="1">_xll.meDateFromTenor(S696,"1D","FOLLOWING",T$12)</f>
        <v>43487</v>
      </c>
      <c r="T697" s="13">
        <f ca="1">_xll.meDateFromTenor(S697,T$14,T$11,T$12)</f>
        <v>43852</v>
      </c>
      <c r="U697" s="98">
        <f ca="1"/>
        <v>2.0270235767889614E-3</v>
      </c>
      <c r="V697" s="5" t="s">
        <v>4</v>
      </c>
      <c r="W697" s="84" t="s">
        <v>4</v>
      </c>
    </row>
    <row r="698" spans="1:23" x14ac:dyDescent="0.25">
      <c r="A698" s="90">
        <v>679</v>
      </c>
      <c r="B698" s="83"/>
      <c r="C698" s="100">
        <f ca="1">_xll.meDateFromTenor(C697,"1D","FOLLOWING",D$12)</f>
        <v>43488</v>
      </c>
      <c r="D698" s="13">
        <f ca="1">_xll.meDateFromTenor(C698,D$14,D$11,D$12)</f>
        <v>43489</v>
      </c>
      <c r="E698" s="98">
        <f ca="1"/>
        <v>-3.3715556200503431E-3</v>
      </c>
      <c r="F698" s="94"/>
      <c r="G698" s="100">
        <f ca="1">_xll.meDateFromTenor(G697,"1D","FOLLOWING",H$12)</f>
        <v>43488</v>
      </c>
      <c r="H698" s="13">
        <f ca="1">_xll.meDateFromTenor(G698,H$14,H$11,H$12)</f>
        <v>43521</v>
      </c>
      <c r="I698" s="98">
        <f ca="1"/>
        <v>-2.787982593906369E-3</v>
      </c>
      <c r="J698" s="94" t="s">
        <v>4</v>
      </c>
      <c r="K698" s="100">
        <f ca="1">_xll.meDateFromTenor(K697,"1D","FOLLOWING",L$12)</f>
        <v>43488</v>
      </c>
      <c r="L698" s="13">
        <f ca="1">_xll.meDateFromTenor(K698,L$14,L$11,L$12)</f>
        <v>43578</v>
      </c>
      <c r="M698" s="98">
        <f ca="1"/>
        <v>-1.2639356942994952E-3</v>
      </c>
      <c r="N698" s="5" t="s">
        <v>4</v>
      </c>
      <c r="O698" s="100">
        <f ca="1">_xll.meDateFromTenor(O697,"1D","FOLLOWING",P$12)</f>
        <v>43488</v>
      </c>
      <c r="P698" s="13">
        <f ca="1">_xll.meDateFromTenor(O698,P$14,P$11,P$12)</f>
        <v>43669</v>
      </c>
      <c r="Q698" s="98">
        <f ca="1"/>
        <v>-5.2203456086327242E-5</v>
      </c>
      <c r="R698" s="5" t="s">
        <v>4</v>
      </c>
      <c r="S698" s="100">
        <f ca="1">_xll.meDateFromTenor(S697,"1D","FOLLOWING",T$12)</f>
        <v>43488</v>
      </c>
      <c r="T698" s="13">
        <f ca="1">_xll.meDateFromTenor(S698,T$14,T$11,T$12)</f>
        <v>43853</v>
      </c>
      <c r="U698" s="98">
        <f ca="1"/>
        <v>2.0326665234672169E-3</v>
      </c>
      <c r="V698" s="5" t="s">
        <v>4</v>
      </c>
      <c r="W698" s="84" t="s">
        <v>4</v>
      </c>
    </row>
    <row r="699" spans="1:23" x14ac:dyDescent="0.25">
      <c r="A699" s="90">
        <v>680</v>
      </c>
      <c r="B699" s="83"/>
      <c r="C699" s="100">
        <f ca="1">_xll.meDateFromTenor(C698,"1D","FOLLOWING",D$12)</f>
        <v>43489</v>
      </c>
      <c r="D699" s="13">
        <f ca="1">_xll.meDateFromTenor(C699,D$14,D$11,D$12)</f>
        <v>43490</v>
      </c>
      <c r="E699" s="98">
        <f ca="1"/>
        <v>-3.3693873712303934E-3</v>
      </c>
      <c r="F699" s="94"/>
      <c r="G699" s="100">
        <f ca="1">_xll.meDateFromTenor(G698,"1D","FOLLOWING",H$12)</f>
        <v>43489</v>
      </c>
      <c r="H699" s="13">
        <f ca="1">_xll.meDateFromTenor(G699,H$14,H$11,H$12)</f>
        <v>43521</v>
      </c>
      <c r="I699" s="98">
        <f ca="1"/>
        <v>-2.7844808182041435E-3</v>
      </c>
      <c r="J699" s="94" t="s">
        <v>4</v>
      </c>
      <c r="K699" s="100">
        <f ca="1">_xll.meDateFromTenor(K698,"1D","FOLLOWING",L$12)</f>
        <v>43489</v>
      </c>
      <c r="L699" s="13">
        <f ca="1">_xll.meDateFromTenor(K699,L$14,L$11,L$12)</f>
        <v>43579</v>
      </c>
      <c r="M699" s="98">
        <f ca="1"/>
        <v>-1.2589195886157829E-3</v>
      </c>
      <c r="N699" s="5" t="s">
        <v>4</v>
      </c>
      <c r="O699" s="100">
        <f ca="1">_xll.meDateFromTenor(O698,"1D","FOLLOWING",P$12)</f>
        <v>43489</v>
      </c>
      <c r="P699" s="13">
        <f ca="1">_xll.meDateFromTenor(O699,P$14,P$11,P$12)</f>
        <v>43670</v>
      </c>
      <c r="Q699" s="98">
        <f ca="1"/>
        <v>-4.662775163771689E-5</v>
      </c>
      <c r="R699" s="5" t="s">
        <v>4</v>
      </c>
      <c r="S699" s="100">
        <f ca="1">_xll.meDateFromTenor(S698,"1D","FOLLOWING",T$12)</f>
        <v>43489</v>
      </c>
      <c r="T699" s="13">
        <f ca="1">_xll.meDateFromTenor(S699,T$14,T$11,T$12)</f>
        <v>43854</v>
      </c>
      <c r="U699" s="98">
        <f ca="1"/>
        <v>2.038311647767496E-3</v>
      </c>
      <c r="V699" s="5" t="s">
        <v>4</v>
      </c>
      <c r="W699" s="84" t="s">
        <v>4</v>
      </c>
    </row>
    <row r="700" spans="1:23" x14ac:dyDescent="0.25">
      <c r="A700" s="90">
        <v>681</v>
      </c>
      <c r="B700" s="83"/>
      <c r="C700" s="100">
        <f ca="1">_xll.meDateFromTenor(C699,"1D","FOLLOWING",D$12)</f>
        <v>43490</v>
      </c>
      <c r="D700" s="13">
        <f ca="1">_xll.meDateFromTenor(C700,D$14,D$11,D$12)</f>
        <v>43493</v>
      </c>
      <c r="E700" s="98">
        <f ca="1"/>
        <v>-3.3650850333311177E-3</v>
      </c>
      <c r="F700" s="94"/>
      <c r="G700" s="100">
        <f ca="1">_xll.meDateFromTenor(G699,"1D","FOLLOWING",H$12)</f>
        <v>43490</v>
      </c>
      <c r="H700" s="13">
        <f ca="1">_xll.meDateFromTenor(G700,H$14,H$11,H$12)</f>
        <v>43521</v>
      </c>
      <c r="I700" s="98">
        <f ca="1"/>
        <v>-2.7809678940809027E-3</v>
      </c>
      <c r="J700" s="94" t="s">
        <v>4</v>
      </c>
      <c r="K700" s="100">
        <f ca="1">_xll.meDateFromTenor(K699,"1D","FOLLOWING",L$12)</f>
        <v>43490</v>
      </c>
      <c r="L700" s="13">
        <f ca="1">_xll.meDateFromTenor(K700,L$14,L$11,L$12)</f>
        <v>43580</v>
      </c>
      <c r="M700" s="98">
        <f ca="1"/>
        <v>-1.2539321009753478E-3</v>
      </c>
      <c r="N700" s="5" t="s">
        <v>4</v>
      </c>
      <c r="O700" s="100">
        <f ca="1">_xll.meDateFromTenor(O699,"1D","FOLLOWING",P$12)</f>
        <v>43490</v>
      </c>
      <c r="P700" s="13">
        <f ca="1">_xll.meDateFromTenor(O700,P$14,P$11,P$12)</f>
        <v>43671</v>
      </c>
      <c r="Q700" s="98">
        <f ca="1"/>
        <v>-4.1046445791624006E-5</v>
      </c>
      <c r="R700" s="5" t="s">
        <v>4</v>
      </c>
      <c r="S700" s="100">
        <f ca="1">_xll.meDateFromTenor(S699,"1D","FOLLOWING",T$12)</f>
        <v>43490</v>
      </c>
      <c r="T700" s="13">
        <f ca="1">_xll.meDateFromTenor(S700,T$14,T$11,T$12)</f>
        <v>43857</v>
      </c>
      <c r="U700" s="98">
        <f ca="1"/>
        <v>2.0439589142531456E-3</v>
      </c>
      <c r="V700" s="5" t="s">
        <v>4</v>
      </c>
      <c r="W700" s="84" t="s">
        <v>4</v>
      </c>
    </row>
    <row r="701" spans="1:23" x14ac:dyDescent="0.25">
      <c r="A701" s="90">
        <v>682</v>
      </c>
      <c r="B701" s="83"/>
      <c r="C701" s="100">
        <f ca="1">_xll.meDateFromTenor(C700,"1D","FOLLOWING",D$12)</f>
        <v>43493</v>
      </c>
      <c r="D701" s="13">
        <f ca="1">_xll.meDateFromTenor(C701,D$14,D$11,D$12)</f>
        <v>43494</v>
      </c>
      <c r="E701" s="98">
        <f ca="1"/>
        <v>-3.3609112178512156E-3</v>
      </c>
      <c r="F701" s="94"/>
      <c r="G701" s="100">
        <f ca="1">_xll.meDateFromTenor(G700,"1D","FOLLOWING",H$12)</f>
        <v>43493</v>
      </c>
      <c r="H701" s="13">
        <f ca="1">_xll.meDateFromTenor(G701,H$14,H$11,H$12)</f>
        <v>43524</v>
      </c>
      <c r="I701" s="98">
        <f ca="1"/>
        <v>-2.7703419666502264E-3</v>
      </c>
      <c r="J701" s="94" t="s">
        <v>4</v>
      </c>
      <c r="K701" s="100">
        <f ca="1">_xll.meDateFromTenor(K700,"1D","FOLLOWING",L$12)</f>
        <v>43493</v>
      </c>
      <c r="L701" s="13">
        <f ca="1">_xll.meDateFromTenor(K701,L$14,L$11,L$12)</f>
        <v>43584</v>
      </c>
      <c r="M701" s="98">
        <f ca="1"/>
        <v>-1.2391421718480238E-3</v>
      </c>
      <c r="N701" s="5" t="s">
        <v>4</v>
      </c>
      <c r="O701" s="100">
        <f ca="1">_xll.meDateFromTenor(O700,"1D","FOLLOWING",P$12)</f>
        <v>43493</v>
      </c>
      <c r="P701" s="13">
        <f ca="1">_xll.meDateFromTenor(O701,P$14,P$11,P$12)</f>
        <v>43675</v>
      </c>
      <c r="Q701" s="98">
        <f ca="1"/>
        <v>-2.4269367715215933E-5</v>
      </c>
      <c r="R701" s="5" t="s">
        <v>4</v>
      </c>
      <c r="S701" s="100">
        <f ca="1">_xll.meDateFromTenor(S700,"1D","FOLLOWING",T$12)</f>
        <v>43493</v>
      </c>
      <c r="T701" s="13">
        <f ca="1">_xll.meDateFromTenor(S701,T$14,T$11,T$12)</f>
        <v>43858</v>
      </c>
      <c r="U701" s="98">
        <f ca="1"/>
        <v>2.0609132124557641E-3</v>
      </c>
      <c r="V701" s="5" t="s">
        <v>4</v>
      </c>
      <c r="W701" s="84" t="s">
        <v>4</v>
      </c>
    </row>
    <row r="702" spans="1:23" x14ac:dyDescent="0.25">
      <c r="A702" s="90">
        <v>683</v>
      </c>
      <c r="B702" s="83"/>
      <c r="C702" s="100">
        <f ca="1">_xll.meDateFromTenor(C701,"1D","FOLLOWING",D$12)</f>
        <v>43494</v>
      </c>
      <c r="D702" s="13">
        <f ca="1">_xll.meDateFromTenor(C702,D$14,D$11,D$12)</f>
        <v>43495</v>
      </c>
      <c r="E702" s="98">
        <f ca="1"/>
        <v>-3.3588413860252807E-3</v>
      </c>
      <c r="F702" s="94"/>
      <c r="G702" s="100">
        <f ca="1">_xll.meDateFromTenor(G701,"1D","FOLLOWING",H$12)</f>
        <v>43494</v>
      </c>
      <c r="H702" s="13">
        <f ca="1">_xll.meDateFromTenor(G702,H$14,H$11,H$12)</f>
        <v>43524</v>
      </c>
      <c r="I702" s="98">
        <f ca="1"/>
        <v>-2.7667641843080615E-3</v>
      </c>
      <c r="J702" s="94" t="s">
        <v>4</v>
      </c>
      <c r="K702" s="100">
        <f ca="1">_xll.meDateFromTenor(K701,"1D","FOLLOWING",L$12)</f>
        <v>43494</v>
      </c>
      <c r="L702" s="13">
        <f ca="1">_xll.meDateFromTenor(K702,L$14,L$11,L$12)</f>
        <v>43584</v>
      </c>
      <c r="M702" s="98">
        <f ca="1"/>
        <v>-1.234269981915017E-3</v>
      </c>
      <c r="N702" s="5" t="s">
        <v>4</v>
      </c>
      <c r="O702" s="100">
        <f ca="1">_xll.meDateFromTenor(O701,"1D","FOLLOWING",P$12)</f>
        <v>43494</v>
      </c>
      <c r="P702" s="13">
        <f ca="1">_xll.meDateFromTenor(O702,P$14,P$11,P$12)</f>
        <v>43675</v>
      </c>
      <c r="Q702" s="98">
        <f ca="1"/>
        <v>-1.8666104125958714E-5</v>
      </c>
      <c r="R702" s="5" t="s">
        <v>4</v>
      </c>
      <c r="S702" s="100">
        <f ca="1">_xll.meDateFromTenor(S701,"1D","FOLLOWING",T$12)</f>
        <v>43494</v>
      </c>
      <c r="T702" s="13">
        <f ca="1">_xll.meDateFromTenor(S702,T$14,T$11,T$12)</f>
        <v>43859</v>
      </c>
      <c r="U702" s="98">
        <f ca="1"/>
        <v>2.0665686933163444E-3</v>
      </c>
      <c r="V702" s="5" t="s">
        <v>4</v>
      </c>
      <c r="W702" s="84" t="s">
        <v>4</v>
      </c>
    </row>
    <row r="703" spans="1:23" x14ac:dyDescent="0.25">
      <c r="A703" s="90">
        <v>684</v>
      </c>
      <c r="B703" s="83"/>
      <c r="C703" s="100">
        <f ca="1">_xll.meDateFromTenor(C702,"1D","FOLLOWING",D$12)</f>
        <v>43495</v>
      </c>
      <c r="D703" s="13">
        <f ca="1">_xll.meDateFromTenor(C703,D$14,D$11,D$12)</f>
        <v>43496</v>
      </c>
      <c r="E703" s="98">
        <f ca="1"/>
        <v>-3.3567912355758739E-3</v>
      </c>
      <c r="F703" s="94"/>
      <c r="G703" s="100">
        <f ca="1">_xll.meDateFromTenor(G702,"1D","FOLLOWING",H$12)</f>
        <v>43495</v>
      </c>
      <c r="H703" s="13">
        <f ca="1">_xll.meDateFromTenor(G703,H$14,H$11,H$12)</f>
        <v>43524</v>
      </c>
      <c r="I703" s="98">
        <f ca="1"/>
        <v>-2.7631651212774492E-3</v>
      </c>
      <c r="J703" s="94" t="s">
        <v>4</v>
      </c>
      <c r="K703" s="100">
        <f ca="1">_xll.meDateFromTenor(K702,"1D","FOLLOWING",L$12)</f>
        <v>43495</v>
      </c>
      <c r="L703" s="13">
        <f ca="1">_xll.meDateFromTenor(K703,L$14,L$11,L$12)</f>
        <v>43585</v>
      </c>
      <c r="M703" s="98">
        <f ca="1"/>
        <v>-1.2294268227924468E-3</v>
      </c>
      <c r="N703" s="5" t="s">
        <v>4</v>
      </c>
      <c r="O703" s="100">
        <f ca="1">_xll.meDateFromTenor(O702,"1D","FOLLOWING",P$12)</f>
        <v>43495</v>
      </c>
      <c r="P703" s="13">
        <f ca="1">_xll.meDateFromTenor(O703,P$14,P$11,P$12)</f>
        <v>43676</v>
      </c>
      <c r="Q703" s="98">
        <f ca="1"/>
        <v>-1.305746306260039E-5</v>
      </c>
      <c r="R703" s="5" t="s">
        <v>4</v>
      </c>
      <c r="S703" s="100">
        <f ca="1">_xll.meDateFromTenor(S702,"1D","FOLLOWING",T$12)</f>
        <v>43495</v>
      </c>
      <c r="T703" s="13">
        <f ca="1">_xll.meDateFromTenor(S703,T$14,T$11,T$12)</f>
        <v>43860</v>
      </c>
      <c r="U703" s="98">
        <f ca="1"/>
        <v>2.0722261391790207E-3</v>
      </c>
      <c r="V703" s="5" t="s">
        <v>4</v>
      </c>
      <c r="W703" s="84" t="s">
        <v>4</v>
      </c>
    </row>
    <row r="704" spans="1:23" x14ac:dyDescent="0.25">
      <c r="A704" s="90">
        <v>685</v>
      </c>
      <c r="B704" s="83"/>
      <c r="C704" s="100">
        <f ca="1">_xll.meDateFromTenor(C703,"1D","FOLLOWING",D$12)</f>
        <v>43496</v>
      </c>
      <c r="D704" s="13">
        <f ca="1">_xll.meDateFromTenor(C704,D$14,D$11,D$12)</f>
        <v>43497</v>
      </c>
      <c r="E704" s="98">
        <f ca="1"/>
        <v>-3.3547607651440831E-3</v>
      </c>
      <c r="F704" s="94"/>
      <c r="G704" s="100">
        <f ca="1">_xll.meDateFromTenor(G703,"1D","FOLLOWING",H$12)</f>
        <v>43496</v>
      </c>
      <c r="H704" s="13">
        <f ca="1">_xll.meDateFromTenor(G704,H$14,H$11,H$12)</f>
        <v>43524</v>
      </c>
      <c r="I704" s="98">
        <f ca="1"/>
        <v>-2.7595427511049033E-3</v>
      </c>
      <c r="J704" s="94" t="s">
        <v>4</v>
      </c>
      <c r="K704" s="100">
        <f ca="1">_xll.meDateFromTenor(K703,"1D","FOLLOWING",L$12)</f>
        <v>43496</v>
      </c>
      <c r="L704" s="13">
        <f ca="1">_xll.meDateFromTenor(K704,L$14,L$11,L$12)</f>
        <v>43585</v>
      </c>
      <c r="M704" s="98">
        <f ca="1"/>
        <v>-1.2246127770337459E-3</v>
      </c>
      <c r="N704" s="5" t="s">
        <v>4</v>
      </c>
      <c r="O704" s="100">
        <f ca="1">_xll.meDateFromTenor(O703,"1D","FOLLOWING",P$12)</f>
        <v>43496</v>
      </c>
      <c r="P704" s="13">
        <f ca="1">_xll.meDateFromTenor(O704,P$14,P$11,P$12)</f>
        <v>43677</v>
      </c>
      <c r="Q704" s="98">
        <f ca="1"/>
        <v>-7.4434893098185202E-6</v>
      </c>
      <c r="R704" s="5" t="s">
        <v>4</v>
      </c>
      <c r="S704" s="100">
        <f ca="1">_xll.meDateFromTenor(S703,"1D","FOLLOWING",T$12)</f>
        <v>43496</v>
      </c>
      <c r="T704" s="13">
        <f ca="1">_xll.meDateFromTenor(S704,T$14,T$11,T$12)</f>
        <v>43861</v>
      </c>
      <c r="U704" s="98">
        <f ca="1"/>
        <v>2.0778855146071388E-3</v>
      </c>
      <c r="V704" s="5" t="s">
        <v>4</v>
      </c>
      <c r="W704" s="84" t="s">
        <v>4</v>
      </c>
    </row>
    <row r="705" spans="1:23" x14ac:dyDescent="0.25">
      <c r="A705" s="90">
        <v>686</v>
      </c>
      <c r="B705" s="83"/>
      <c r="C705" s="100">
        <f ca="1">_xll.meDateFromTenor(C704,"1D","FOLLOWING",D$12)</f>
        <v>43497</v>
      </c>
      <c r="D705" s="13">
        <f ca="1">_xll.meDateFromTenor(C705,D$14,D$11,D$12)</f>
        <v>43500</v>
      </c>
      <c r="E705" s="98">
        <f ca="1"/>
        <v>-3.3507342342487096E-3</v>
      </c>
      <c r="F705" s="94"/>
      <c r="G705" s="100">
        <f ca="1">_xll.meDateFromTenor(G704,"1D","FOLLOWING",H$12)</f>
        <v>43497</v>
      </c>
      <c r="H705" s="13">
        <f ca="1">_xll.meDateFromTenor(G705,H$14,H$11,H$12)</f>
        <v>43525</v>
      </c>
      <c r="I705" s="98">
        <f ca="1"/>
        <v>-2.7558950473369368E-3</v>
      </c>
      <c r="J705" s="94" t="s">
        <v>4</v>
      </c>
      <c r="K705" s="100">
        <f ca="1">_xll.meDateFromTenor(K704,"1D","FOLLOWING",L$12)</f>
        <v>43497</v>
      </c>
      <c r="L705" s="13">
        <f ca="1">_xll.meDateFromTenor(K705,L$14,L$11,L$12)</f>
        <v>43587</v>
      </c>
      <c r="M705" s="98">
        <f ca="1"/>
        <v>-1.2198279271923463E-3</v>
      </c>
      <c r="N705" s="5" t="s">
        <v>4</v>
      </c>
      <c r="O705" s="100">
        <f ca="1">_xll.meDateFromTenor(O704,"1D","FOLLOWING",P$12)</f>
        <v>43497</v>
      </c>
      <c r="P705" s="13">
        <f ca="1">_xll.meDateFromTenor(O705,P$14,P$11,P$12)</f>
        <v>43678</v>
      </c>
      <c r="Q705" s="98">
        <f ca="1"/>
        <v>-1.8242276522894601E-6</v>
      </c>
      <c r="R705" s="5" t="s">
        <v>4</v>
      </c>
      <c r="S705" s="100">
        <f ca="1">_xll.meDateFromTenor(S704,"1D","FOLLOWING",T$12)</f>
        <v>43497</v>
      </c>
      <c r="T705" s="13">
        <f ca="1">_xll.meDateFromTenor(S705,T$14,T$11,T$12)</f>
        <v>43864</v>
      </c>
      <c r="U705" s="98">
        <f ca="1"/>
        <v>2.0835467841640431E-3</v>
      </c>
      <c r="V705" s="5" t="s">
        <v>4</v>
      </c>
      <c r="W705" s="84" t="s">
        <v>4</v>
      </c>
    </row>
    <row r="706" spans="1:23" x14ac:dyDescent="0.25">
      <c r="A706" s="90">
        <v>687</v>
      </c>
      <c r="B706" s="83"/>
      <c r="C706" s="100">
        <f ca="1">_xll.meDateFromTenor(C705,"1D","FOLLOWING",D$12)</f>
        <v>43500</v>
      </c>
      <c r="D706" s="13">
        <f ca="1">_xll.meDateFromTenor(C706,D$14,D$11,D$12)</f>
        <v>43501</v>
      </c>
      <c r="E706" s="98">
        <f ca="1"/>
        <v>-3.3468356721622189E-3</v>
      </c>
      <c r="F706" s="94"/>
      <c r="G706" s="100">
        <f ca="1">_xll.meDateFromTenor(G705,"1D","FOLLOWING",H$12)</f>
        <v>43500</v>
      </c>
      <c r="H706" s="13">
        <f ca="1">_xll.meDateFromTenor(G706,H$14,H$11,H$12)</f>
        <v>43528</v>
      </c>
      <c r="I706" s="98">
        <f ca="1"/>
        <v>-2.7447796699256542E-3</v>
      </c>
      <c r="J706" s="94" t="s">
        <v>4</v>
      </c>
      <c r="K706" s="100">
        <f ca="1">_xll.meDateFromTenor(K705,"1D","FOLLOWING",L$12)</f>
        <v>43500</v>
      </c>
      <c r="L706" s="13">
        <f ca="1">_xll.meDateFromTenor(K706,L$14,L$11,L$12)</f>
        <v>43591</v>
      </c>
      <c r="M706" s="98">
        <f ca="1"/>
        <v>-1.2056493787062767E-3</v>
      </c>
      <c r="N706" s="5" t="s">
        <v>4</v>
      </c>
      <c r="O706" s="100">
        <f ca="1">_xll.meDateFromTenor(O705,"1D","FOLLOWING",P$12)</f>
        <v>43500</v>
      </c>
      <c r="P706" s="13">
        <f ca="1">_xll.meDateFromTenor(O706,P$14,P$11,P$12)</f>
        <v>43682</v>
      </c>
      <c r="Q706" s="98">
        <f ca="1"/>
        <v>1.5064836902014761E-5</v>
      </c>
      <c r="R706" s="5" t="s">
        <v>4</v>
      </c>
      <c r="S706" s="100">
        <f ca="1">_xll.meDateFromTenor(S705,"1D","FOLLOWING",T$12)</f>
        <v>43500</v>
      </c>
      <c r="T706" s="13">
        <f ca="1">_xll.meDateFromTenor(S706,T$14,T$11,T$12)</f>
        <v>43865</v>
      </c>
      <c r="U706" s="98">
        <f ca="1"/>
        <v>2.1005416032409243E-3</v>
      </c>
      <c r="V706" s="5" t="s">
        <v>4</v>
      </c>
      <c r="W706" s="84" t="s">
        <v>4</v>
      </c>
    </row>
    <row r="707" spans="1:23" x14ac:dyDescent="0.25">
      <c r="A707" s="90">
        <v>688</v>
      </c>
      <c r="B707" s="83"/>
      <c r="C707" s="100">
        <f ca="1">_xll.meDateFromTenor(C706,"1D","FOLLOWING",D$12)</f>
        <v>43501</v>
      </c>
      <c r="D707" s="13">
        <f ca="1">_xll.meDateFromTenor(C707,D$14,D$11,D$12)</f>
        <v>43502</v>
      </c>
      <c r="E707" s="98">
        <f ca="1"/>
        <v>-3.3449035920663068E-3</v>
      </c>
      <c r="F707" s="94"/>
      <c r="G707" s="100">
        <f ca="1">_xll.meDateFromTenor(G706,"1D","FOLLOWING",H$12)</f>
        <v>43501</v>
      </c>
      <c r="H707" s="13">
        <f ca="1">_xll.meDateFromTenor(G707,H$14,H$11,H$12)</f>
        <v>43529</v>
      </c>
      <c r="I707" s="98">
        <f ca="1"/>
        <v>-2.741010948920822E-3</v>
      </c>
      <c r="J707" s="94" t="s">
        <v>4</v>
      </c>
      <c r="K707" s="100">
        <f ca="1">_xll.meDateFromTenor(K706,"1D","FOLLOWING",L$12)</f>
        <v>43501</v>
      </c>
      <c r="L707" s="13">
        <f ca="1">_xll.meDateFromTenor(K707,L$14,L$11,L$12)</f>
        <v>43591</v>
      </c>
      <c r="M707" s="98">
        <f ca="1"/>
        <v>-1.200982138068403E-3</v>
      </c>
      <c r="N707" s="5" t="s">
        <v>4</v>
      </c>
      <c r="O707" s="100">
        <f ca="1">_xll.meDateFromTenor(O706,"1D","FOLLOWING",P$12)</f>
        <v>43501</v>
      </c>
      <c r="P707" s="13">
        <f ca="1">_xll.meDateFromTenor(O707,P$14,P$11,P$12)</f>
        <v>43682</v>
      </c>
      <c r="Q707" s="98">
        <f ca="1"/>
        <v>2.0704802331767573E-5</v>
      </c>
      <c r="R707" s="5" t="s">
        <v>4</v>
      </c>
      <c r="S707" s="100">
        <f ca="1">_xll.meDateFromTenor(S706,"1D","FOLLOWING",T$12)</f>
        <v>43501</v>
      </c>
      <c r="T707" s="13">
        <f ca="1">_xll.meDateFromTenor(S707,T$14,T$11,T$12)</f>
        <v>43866</v>
      </c>
      <c r="U707" s="98">
        <f ca="1"/>
        <v>2.1062100949464256E-3</v>
      </c>
      <c r="V707" s="5" t="s">
        <v>4</v>
      </c>
      <c r="W707" s="84" t="s">
        <v>4</v>
      </c>
    </row>
    <row r="708" spans="1:23" x14ac:dyDescent="0.25">
      <c r="A708" s="90">
        <v>689</v>
      </c>
      <c r="B708" s="83"/>
      <c r="C708" s="100">
        <f ca="1">_xll.meDateFromTenor(C707,"1D","FOLLOWING",D$12)</f>
        <v>43502</v>
      </c>
      <c r="D708" s="13">
        <f ca="1">_xll.meDateFromTenor(C708,D$14,D$11,D$12)</f>
        <v>43503</v>
      </c>
      <c r="E708" s="98">
        <f ca="1"/>
        <v>-3.3429911878713032E-3</v>
      </c>
      <c r="F708" s="94"/>
      <c r="G708" s="100">
        <f ca="1">_xll.meDateFromTenor(G707,"1D","FOLLOWING",H$12)</f>
        <v>43502</v>
      </c>
      <c r="H708" s="13">
        <f ca="1">_xll.meDateFromTenor(G708,H$14,H$11,H$12)</f>
        <v>43530</v>
      </c>
      <c r="I708" s="98">
        <f ca="1"/>
        <v>-2.7372102521312073E-3</v>
      </c>
      <c r="J708" s="94" t="s">
        <v>4</v>
      </c>
      <c r="K708" s="100">
        <f ca="1">_xll.meDateFromTenor(K707,"1D","FOLLOWING",L$12)</f>
        <v>43502</v>
      </c>
      <c r="L708" s="13">
        <f ca="1">_xll.meDateFromTenor(K708,L$14,L$11,L$12)</f>
        <v>43591</v>
      </c>
      <c r="M708" s="98">
        <f ca="1"/>
        <v>-1.1963445061149909E-3</v>
      </c>
      <c r="N708" s="5" t="s">
        <v>4</v>
      </c>
      <c r="O708" s="100">
        <f ca="1">_xll.meDateFromTenor(O707,"1D","FOLLOWING",P$12)</f>
        <v>43502</v>
      </c>
      <c r="P708" s="13">
        <f ca="1">_xll.meDateFromTenor(O708,P$14,P$11,P$12)</f>
        <v>43683</v>
      </c>
      <c r="Q708" s="98">
        <f ca="1"/>
        <v>2.6349831742885087E-5</v>
      </c>
      <c r="R708" s="5" t="s">
        <v>4</v>
      </c>
      <c r="S708" s="100">
        <f ca="1">_xll.meDateFromTenor(S707,"1D","FOLLOWING",T$12)</f>
        <v>43502</v>
      </c>
      <c r="T708" s="13">
        <f ca="1">_xll.meDateFromTenor(S708,T$14,T$11,T$12)</f>
        <v>43867</v>
      </c>
      <c r="U708" s="98">
        <f ca="1"/>
        <v>2.1118803035974397E-3</v>
      </c>
      <c r="V708" s="5" t="s">
        <v>4</v>
      </c>
      <c r="W708" s="84" t="s">
        <v>4</v>
      </c>
    </row>
    <row r="709" spans="1:23" x14ac:dyDescent="0.25">
      <c r="A709" s="90">
        <v>690</v>
      </c>
      <c r="B709" s="83"/>
      <c r="C709" s="100">
        <f ca="1">_xll.meDateFromTenor(C708,"1D","FOLLOWING",D$12)</f>
        <v>43503</v>
      </c>
      <c r="D709" s="13">
        <f ca="1">_xll.meDateFromTenor(C709,D$14,D$11,D$12)</f>
        <v>43504</v>
      </c>
      <c r="E709" s="98">
        <f ca="1"/>
        <v>-3.3410984585780074E-3</v>
      </c>
      <c r="F709" s="94"/>
      <c r="G709" s="100">
        <f ca="1">_xll.meDateFromTenor(G708,"1D","FOLLOWING",H$12)</f>
        <v>43503</v>
      </c>
      <c r="H709" s="13">
        <f ca="1">_xll.meDateFromTenor(G709,H$14,H$11,H$12)</f>
        <v>43531</v>
      </c>
      <c r="I709" s="98">
        <f ca="1"/>
        <v>-2.7333790431813931E-3</v>
      </c>
      <c r="J709" s="94" t="s">
        <v>4</v>
      </c>
      <c r="K709" s="100">
        <f ca="1">_xll.meDateFromTenor(K708,"1D","FOLLOWING",L$12)</f>
        <v>43503</v>
      </c>
      <c r="L709" s="13">
        <f ca="1">_xll.meDateFromTenor(K709,L$14,L$11,L$12)</f>
        <v>43592</v>
      </c>
      <c r="M709" s="98">
        <f ca="1"/>
        <v>-1.1917365653994732E-3</v>
      </c>
      <c r="N709" s="5" t="s">
        <v>4</v>
      </c>
      <c r="O709" s="100">
        <f ca="1">_xll.meDateFromTenor(O708,"1D","FOLLOWING",P$12)</f>
        <v>43503</v>
      </c>
      <c r="P709" s="13">
        <f ca="1">_xll.meDateFromTenor(O709,P$14,P$11,P$12)</f>
        <v>43684</v>
      </c>
      <c r="Q709" s="98">
        <f ca="1"/>
        <v>3.1999880350689879E-5</v>
      </c>
      <c r="R709" s="5" t="s">
        <v>4</v>
      </c>
      <c r="S709" s="100">
        <f ca="1">_xll.meDateFromTenor(S708,"1D","FOLLOWING",T$12)</f>
        <v>43503</v>
      </c>
      <c r="T709" s="13">
        <f ca="1">_xll.meDateFromTenor(S709,T$14,T$11,T$12)</f>
        <v>43868</v>
      </c>
      <c r="U709" s="98">
        <f ca="1"/>
        <v>2.1175521937573097E-3</v>
      </c>
      <c r="V709" s="5" t="s">
        <v>4</v>
      </c>
      <c r="W709" s="84" t="s">
        <v>4</v>
      </c>
    </row>
    <row r="710" spans="1:23" x14ac:dyDescent="0.25">
      <c r="A710" s="90">
        <v>691</v>
      </c>
      <c r="B710" s="83"/>
      <c r="C710" s="100">
        <f ca="1">_xll.meDateFromTenor(C709,"1D","FOLLOWING",D$12)</f>
        <v>43504</v>
      </c>
      <c r="D710" s="13">
        <f ca="1">_xll.meDateFromTenor(C710,D$14,D$11,D$12)</f>
        <v>43507</v>
      </c>
      <c r="E710" s="98">
        <f ca="1"/>
        <v>-3.3373476404286013E-3</v>
      </c>
      <c r="F710" s="94"/>
      <c r="G710" s="100">
        <f ca="1">_xll.meDateFromTenor(G709,"1D","FOLLOWING",H$12)</f>
        <v>43504</v>
      </c>
      <c r="H710" s="13">
        <f ca="1">_xll.meDateFromTenor(G710,H$14,H$11,H$12)</f>
        <v>43532</v>
      </c>
      <c r="I710" s="98">
        <f ca="1"/>
        <v>-2.7295187856959634E-3</v>
      </c>
      <c r="J710" s="94" t="s">
        <v>4</v>
      </c>
      <c r="K710" s="100">
        <f ca="1">_xll.meDateFromTenor(K709,"1D","FOLLOWING",L$12)</f>
        <v>43504</v>
      </c>
      <c r="L710" s="13">
        <f ca="1">_xll.meDateFromTenor(K710,L$14,L$11,L$12)</f>
        <v>43593</v>
      </c>
      <c r="M710" s="98">
        <f ca="1"/>
        <v>-1.187158398475281E-3</v>
      </c>
      <c r="N710" s="5" t="s">
        <v>4</v>
      </c>
      <c r="O710" s="100">
        <f ca="1">_xll.meDateFromTenor(O709,"1D","FOLLOWING",P$12)</f>
        <v>43504</v>
      </c>
      <c r="P710" s="13">
        <f ca="1">_xll.meDateFromTenor(O710,P$14,P$11,P$12)</f>
        <v>43685</v>
      </c>
      <c r="Q710" s="98">
        <f ca="1"/>
        <v>3.7654903370507457E-5</v>
      </c>
      <c r="R710" s="5" t="s">
        <v>4</v>
      </c>
      <c r="S710" s="100">
        <f ca="1">_xll.meDateFromTenor(S709,"1D","FOLLOWING",T$12)</f>
        <v>43504</v>
      </c>
      <c r="T710" s="13">
        <f ca="1">_xll.meDateFromTenor(S710,T$14,T$11,T$12)</f>
        <v>43871</v>
      </c>
      <c r="U710" s="98">
        <f ca="1"/>
        <v>2.1232257299893843E-3</v>
      </c>
      <c r="V710" s="5" t="s">
        <v>4</v>
      </c>
      <c r="W710" s="84" t="s">
        <v>4</v>
      </c>
    </row>
    <row r="711" spans="1:23" x14ac:dyDescent="0.25">
      <c r="A711" s="90">
        <v>692</v>
      </c>
      <c r="B711" s="83"/>
      <c r="C711" s="100">
        <f ca="1">_xll.meDateFromTenor(C710,"1D","FOLLOWING",D$12)</f>
        <v>43507</v>
      </c>
      <c r="D711" s="13">
        <f ca="1">_xll.meDateFromTenor(C711,D$14,D$11,D$12)</f>
        <v>43508</v>
      </c>
      <c r="E711" s="98">
        <f ca="1"/>
        <v>-3.3337242761932845E-3</v>
      </c>
      <c r="F711" s="94"/>
      <c r="G711" s="100">
        <f ca="1">_xll.meDateFromTenor(G710,"1D","FOLLOWING",H$12)</f>
        <v>43507</v>
      </c>
      <c r="H711" s="13">
        <f ca="1">_xll.meDateFromTenor(G711,H$14,H$11,H$12)</f>
        <v>43535</v>
      </c>
      <c r="I711" s="98">
        <f ca="1"/>
        <v>-2.7177783582718082E-3</v>
      </c>
      <c r="J711" s="94" t="s">
        <v>4</v>
      </c>
      <c r="K711" s="100">
        <f ca="1">_xll.meDateFromTenor(K710,"1D","FOLLOWING",L$12)</f>
        <v>43507</v>
      </c>
      <c r="L711" s="13">
        <f ca="1">_xll.meDateFromTenor(K711,L$14,L$11,L$12)</f>
        <v>43598</v>
      </c>
      <c r="M711" s="98">
        <f ca="1"/>
        <v>-1.1736033659849794E-3</v>
      </c>
      <c r="N711" s="5" t="s">
        <v>4</v>
      </c>
      <c r="O711" s="100">
        <f ca="1">_xll.meDateFromTenor(O710,"1D","FOLLOWING",P$12)</f>
        <v>43507</v>
      </c>
      <c r="P711" s="13">
        <f ca="1">_xll.meDateFromTenor(O711,P$14,P$11,P$12)</f>
        <v>43689</v>
      </c>
      <c r="Q711" s="98">
        <f ca="1"/>
        <v>5.4649371055265748E-5</v>
      </c>
      <c r="R711" s="5" t="s">
        <v>4</v>
      </c>
      <c r="S711" s="100">
        <f ca="1">_xll.meDateFromTenor(S710,"1D","FOLLOWING",T$12)</f>
        <v>43507</v>
      </c>
      <c r="T711" s="13">
        <f ca="1">_xll.meDateFromTenor(S711,T$14,T$11,T$12)</f>
        <v>43872</v>
      </c>
      <c r="U711" s="98">
        <f ca="1"/>
        <v>2.1402558607522756E-3</v>
      </c>
      <c r="V711" s="5" t="s">
        <v>4</v>
      </c>
      <c r="W711" s="84" t="s">
        <v>4</v>
      </c>
    </row>
    <row r="712" spans="1:23" x14ac:dyDescent="0.25">
      <c r="A712" s="90">
        <v>693</v>
      </c>
      <c r="B712" s="83"/>
      <c r="C712" s="100">
        <f ca="1">_xll.meDateFromTenor(C711,"1D","FOLLOWING",D$12)</f>
        <v>43508</v>
      </c>
      <c r="D712" s="13">
        <f ca="1">_xll.meDateFromTenor(C712,D$14,D$11,D$12)</f>
        <v>43509</v>
      </c>
      <c r="E712" s="98">
        <f ca="1"/>
        <v>-3.331929910337384E-3</v>
      </c>
      <c r="F712" s="94"/>
      <c r="G712" s="100">
        <f ca="1">_xll.meDateFromTenor(G711,"1D","FOLLOWING",H$12)</f>
        <v>43508</v>
      </c>
      <c r="H712" s="13">
        <f ca="1">_xll.meDateFromTenor(G712,H$14,H$11,H$12)</f>
        <v>43536</v>
      </c>
      <c r="I712" s="98">
        <f ca="1"/>
        <v>-2.7138165428897448E-3</v>
      </c>
      <c r="J712" s="94" t="s">
        <v>4</v>
      </c>
      <c r="K712" s="100">
        <f ca="1">_xll.meDateFromTenor(K711,"1D","FOLLOWING",L$12)</f>
        <v>43508</v>
      </c>
      <c r="L712" s="13">
        <f ca="1">_xll.meDateFromTenor(K712,L$14,L$11,L$12)</f>
        <v>43598</v>
      </c>
      <c r="M712" s="98">
        <f ca="1"/>
        <v>-1.1691451197604113E-3</v>
      </c>
      <c r="N712" s="5" t="s">
        <v>4</v>
      </c>
      <c r="O712" s="100">
        <f ca="1">_xll.meDateFromTenor(O711,"1D","FOLLOWING",P$12)</f>
        <v>43508</v>
      </c>
      <c r="P712" s="13">
        <f ca="1">_xll.meDateFromTenor(O712,P$14,P$11,P$12)</f>
        <v>43689</v>
      </c>
      <c r="Q712" s="98">
        <f ca="1"/>
        <v>6.0323843876365459E-5</v>
      </c>
      <c r="R712" s="5" t="s">
        <v>4</v>
      </c>
      <c r="S712" s="100">
        <f ca="1">_xll.meDateFromTenor(S711,"1D","FOLLOWING",T$12)</f>
        <v>43508</v>
      </c>
      <c r="T712" s="13">
        <f ca="1">_xll.meDateFromTenor(S712,T$14,T$11,T$12)</f>
        <v>43873</v>
      </c>
      <c r="U712" s="98">
        <f ca="1"/>
        <v>2.1459356269066133E-3</v>
      </c>
      <c r="V712" s="5" t="s">
        <v>4</v>
      </c>
      <c r="W712" s="84" t="s">
        <v>4</v>
      </c>
    </row>
    <row r="713" spans="1:23" x14ac:dyDescent="0.25">
      <c r="A713" s="90">
        <v>694</v>
      </c>
      <c r="B713" s="83"/>
      <c r="C713" s="100">
        <f ca="1">_xll.meDateFromTenor(C712,"1D","FOLLOWING",D$12)</f>
        <v>43509</v>
      </c>
      <c r="D713" s="13">
        <f ca="1">_xll.meDateFromTenor(C713,D$14,D$11,D$12)</f>
        <v>43510</v>
      </c>
      <c r="E713" s="98">
        <f ca="1"/>
        <v>-3.3301552152664843E-3</v>
      </c>
      <c r="F713" s="94"/>
      <c r="G713" s="100">
        <f ca="1">_xll.meDateFromTenor(G712,"1D","FOLLOWING",H$12)</f>
        <v>43509</v>
      </c>
      <c r="H713" s="13">
        <f ca="1">_xll.meDateFromTenor(G713,H$14,H$11,H$12)</f>
        <v>43537</v>
      </c>
      <c r="I713" s="98">
        <f ca="1"/>
        <v>-2.7098329970949831E-3</v>
      </c>
      <c r="J713" s="94" t="s">
        <v>4</v>
      </c>
      <c r="K713" s="100">
        <f ca="1">_xll.meDateFromTenor(K712,"1D","FOLLOWING",L$12)</f>
        <v>43509</v>
      </c>
      <c r="L713" s="13">
        <f ca="1">_xll.meDateFromTenor(K713,L$14,L$11,L$12)</f>
        <v>43598</v>
      </c>
      <c r="M713" s="98">
        <f ca="1"/>
        <v>-1.1647170600943297E-3</v>
      </c>
      <c r="N713" s="5" t="s">
        <v>4</v>
      </c>
      <c r="O713" s="100">
        <f ca="1">_xll.meDateFromTenor(O712,"1D","FOLLOWING",P$12)</f>
        <v>43509</v>
      </c>
      <c r="P713" s="13">
        <f ca="1">_xll.meDateFromTenor(O713,P$14,P$11,P$12)</f>
        <v>43690</v>
      </c>
      <c r="Q713" s="98">
        <f ca="1"/>
        <v>6.6003067186093655E-5</v>
      </c>
      <c r="R713" s="5" t="s">
        <v>4</v>
      </c>
      <c r="S713" s="100">
        <f ca="1">_xll.meDateFromTenor(S712,"1D","FOLLOWING",T$12)</f>
        <v>43509</v>
      </c>
      <c r="T713" s="13">
        <f ca="1">_xll.meDateFromTenor(S713,T$14,T$11,T$12)</f>
        <v>43874</v>
      </c>
      <c r="U713" s="98">
        <f ca="1"/>
        <v>2.1516168619498785E-3</v>
      </c>
      <c r="V713" s="5" t="s">
        <v>4</v>
      </c>
      <c r="W713" s="84" t="s">
        <v>4</v>
      </c>
    </row>
    <row r="714" spans="1:23" x14ac:dyDescent="0.25">
      <c r="A714" s="90">
        <v>695</v>
      </c>
      <c r="B714" s="83"/>
      <c r="C714" s="100">
        <f ca="1">_xll.meDateFromTenor(C713,"1D","FOLLOWING",D$12)</f>
        <v>43510</v>
      </c>
      <c r="D714" s="13">
        <f ca="1">_xll.meDateFromTenor(C714,D$14,D$11,D$12)</f>
        <v>43511</v>
      </c>
      <c r="E714" s="98">
        <f ca="1"/>
        <v>-3.3284001898215127E-3</v>
      </c>
      <c r="F714" s="94"/>
      <c r="G714" s="100">
        <f ca="1">_xll.meDateFromTenor(G713,"1D","FOLLOWING",H$12)</f>
        <v>43510</v>
      </c>
      <c r="H714" s="13">
        <f ca="1">_xll.meDateFromTenor(G714,H$14,H$11,H$12)</f>
        <v>43538</v>
      </c>
      <c r="I714" s="98">
        <f ca="1"/>
        <v>-2.705829184512103E-3</v>
      </c>
      <c r="J714" s="94" t="s">
        <v>4</v>
      </c>
      <c r="K714" s="100">
        <f ca="1">_xll.meDateFromTenor(K713,"1D","FOLLOWING",L$12)</f>
        <v>43510</v>
      </c>
      <c r="L714" s="13">
        <f ca="1">_xll.meDateFromTenor(K714,L$14,L$11,L$12)</f>
        <v>43599</v>
      </c>
      <c r="M714" s="98">
        <f ca="1"/>
        <v>-1.1603192695401659E-3</v>
      </c>
      <c r="N714" s="5" t="s">
        <v>4</v>
      </c>
      <c r="O714" s="100">
        <f ca="1">_xll.meDateFromTenor(O713,"1D","FOLLOWING",P$12)</f>
        <v>43510</v>
      </c>
      <c r="P714" s="13">
        <f ca="1">_xll.meDateFromTenor(O714,P$14,P$11,P$12)</f>
        <v>43691</v>
      </c>
      <c r="Q714" s="98">
        <f ca="1"/>
        <v>7.1686996199775589E-5</v>
      </c>
      <c r="R714" s="5" t="s">
        <v>4</v>
      </c>
      <c r="S714" s="100">
        <f ca="1">_xll.meDateFromTenor(S713,"1D","FOLLOWING",T$12)</f>
        <v>43510</v>
      </c>
      <c r="T714" s="13">
        <f ca="1">_xll.meDateFromTenor(S714,T$14,T$11,T$12)</f>
        <v>43875</v>
      </c>
      <c r="U714" s="98">
        <f ca="1"/>
        <v>2.157299530445419E-3</v>
      </c>
      <c r="V714" s="5" t="s">
        <v>4</v>
      </c>
      <c r="W714" s="84" t="s">
        <v>4</v>
      </c>
    </row>
    <row r="715" spans="1:23" x14ac:dyDescent="0.25">
      <c r="A715" s="90">
        <v>696</v>
      </c>
      <c r="B715" s="83"/>
      <c r="C715" s="100">
        <f ca="1">_xll.meDateFromTenor(C714,"1D","FOLLOWING",D$12)</f>
        <v>43511</v>
      </c>
      <c r="D715" s="13">
        <f ca="1">_xll.meDateFromTenor(C715,D$14,D$11,D$12)</f>
        <v>43514</v>
      </c>
      <c r="E715" s="98">
        <f ca="1"/>
        <v>-3.3249249914124707E-3</v>
      </c>
      <c r="F715" s="94"/>
      <c r="G715" s="100">
        <f ca="1">_xll.meDateFromTenor(G714,"1D","FOLLOWING",H$12)</f>
        <v>43511</v>
      </c>
      <c r="H715" s="13">
        <f ca="1">_xll.meDateFromTenor(G715,H$14,H$11,H$12)</f>
        <v>43539</v>
      </c>
      <c r="I715" s="98">
        <f ca="1"/>
        <v>-2.7018065687656901E-3</v>
      </c>
      <c r="J715" s="94" t="s">
        <v>4</v>
      </c>
      <c r="K715" s="100">
        <f ca="1">_xll.meDateFromTenor(K714,"1D","FOLLOWING",L$12)</f>
        <v>43511</v>
      </c>
      <c r="L715" s="13">
        <f ca="1">_xll.meDateFromTenor(K715,L$14,L$11,L$12)</f>
        <v>43600</v>
      </c>
      <c r="M715" s="98">
        <f ca="1"/>
        <v>-1.1559518306513525E-3</v>
      </c>
      <c r="N715" s="5" t="s">
        <v>4</v>
      </c>
      <c r="O715" s="100">
        <f ca="1">_xll.meDateFromTenor(O714,"1D","FOLLOWING",P$12)</f>
        <v>43511</v>
      </c>
      <c r="P715" s="13">
        <f ca="1">_xll.meDateFromTenor(O715,P$14,P$11,P$12)</f>
        <v>43692</v>
      </c>
      <c r="Q715" s="98">
        <f ca="1"/>
        <v>7.7375586132733885E-5</v>
      </c>
      <c r="R715" s="5" t="s">
        <v>4</v>
      </c>
      <c r="S715" s="100">
        <f ca="1">_xll.meDateFromTenor(S714,"1D","FOLLOWING",T$12)</f>
        <v>43511</v>
      </c>
      <c r="T715" s="13">
        <f ca="1">_xll.meDateFromTenor(S715,T$14,T$11,T$12)</f>
        <v>43878</v>
      </c>
      <c r="U715" s="98">
        <f ca="1"/>
        <v>2.1629835969565786E-3</v>
      </c>
      <c r="V715" s="5" t="s">
        <v>4</v>
      </c>
      <c r="W715" s="84" t="s">
        <v>4</v>
      </c>
    </row>
    <row r="716" spans="1:23" x14ac:dyDescent="0.25">
      <c r="A716" s="90">
        <v>697</v>
      </c>
      <c r="B716" s="83"/>
      <c r="C716" s="100">
        <f ca="1">_xll.meDateFromTenor(C715,"1D","FOLLOWING",D$12)</f>
        <v>43514</v>
      </c>
      <c r="D716" s="13">
        <f ca="1">_xll.meDateFromTenor(C716,D$14,D$11,D$12)</f>
        <v>43515</v>
      </c>
      <c r="E716" s="98">
        <f ca="1"/>
        <v>-3.3215767696326399E-3</v>
      </c>
      <c r="F716" s="94"/>
      <c r="G716" s="100">
        <f ca="1">_xll.meDateFromTenor(G715,"1D","FOLLOWING",H$12)</f>
        <v>43514</v>
      </c>
      <c r="H716" s="13">
        <f ca="1">_xll.meDateFromTenor(G716,H$14,H$11,H$12)</f>
        <v>43542</v>
      </c>
      <c r="I716" s="98">
        <f ca="1"/>
        <v>-2.6896405387910791E-3</v>
      </c>
      <c r="J716" s="94" t="s">
        <v>4</v>
      </c>
      <c r="K716" s="100">
        <f ca="1">_xll.meDateFromTenor(K715,"1D","FOLLOWING",L$12)</f>
        <v>43514</v>
      </c>
      <c r="L716" s="13">
        <f ca="1">_xll.meDateFromTenor(K716,L$14,L$11,L$12)</f>
        <v>43605</v>
      </c>
      <c r="M716" s="98">
        <f ca="1"/>
        <v>-1.1430324495113355E-3</v>
      </c>
      <c r="N716" s="5" t="s">
        <v>4</v>
      </c>
      <c r="O716" s="100">
        <f ca="1">_xll.meDateFromTenor(O715,"1D","FOLLOWING",P$12)</f>
        <v>43514</v>
      </c>
      <c r="P716" s="13">
        <f ca="1">_xll.meDateFromTenor(O716,P$14,P$11,P$12)</f>
        <v>43696</v>
      </c>
      <c r="Q716" s="98">
        <f ca="1"/>
        <v>9.4468873600501378E-5</v>
      </c>
      <c r="R716" s="5" t="s">
        <v>4</v>
      </c>
      <c r="S716" s="100">
        <f ca="1">_xll.meDateFromTenor(S715,"1D","FOLLOWING",T$12)</f>
        <v>43514</v>
      </c>
      <c r="T716" s="13">
        <f ca="1">_xll.meDateFromTenor(S716,T$14,T$11,T$12)</f>
        <v>43879</v>
      </c>
      <c r="U716" s="98">
        <f ca="1"/>
        <v>2.1800438302172253E-3</v>
      </c>
      <c r="V716" s="5" t="s">
        <v>4</v>
      </c>
      <c r="W716" s="84" t="s">
        <v>4</v>
      </c>
    </row>
    <row r="717" spans="1:23" x14ac:dyDescent="0.25">
      <c r="A717" s="90">
        <v>698</v>
      </c>
      <c r="B717" s="83"/>
      <c r="C717" s="100">
        <f ca="1">_xll.meDateFromTenor(C716,"1D","FOLLOWING",D$12)</f>
        <v>43515</v>
      </c>
      <c r="D717" s="13">
        <f ca="1">_xll.meDateFromTenor(C717,D$14,D$11,D$12)</f>
        <v>43516</v>
      </c>
      <c r="E717" s="98">
        <f ca="1"/>
        <v>-3.3199200814060365E-3</v>
      </c>
      <c r="F717" s="94"/>
      <c r="G717" s="100">
        <f ca="1">_xll.meDateFromTenor(G716,"1D","FOLLOWING",H$12)</f>
        <v>43515</v>
      </c>
      <c r="H717" s="13">
        <f ca="1">_xll.meDateFromTenor(G717,H$14,H$11,H$12)</f>
        <v>43543</v>
      </c>
      <c r="I717" s="98">
        <f ca="1"/>
        <v>-2.6855573466363627E-3</v>
      </c>
      <c r="J717" s="94" t="s">
        <v>4</v>
      </c>
      <c r="K717" s="100">
        <f ca="1">_xll.meDateFromTenor(K716,"1D","FOLLOWING",L$12)</f>
        <v>43515</v>
      </c>
      <c r="L717" s="13">
        <f ca="1">_xll.meDateFromTenor(K717,L$14,L$11,L$12)</f>
        <v>43605</v>
      </c>
      <c r="M717" s="98">
        <f ca="1"/>
        <v>-1.1387872428182441E-3</v>
      </c>
      <c r="N717" s="5" t="s">
        <v>4</v>
      </c>
      <c r="O717" s="100">
        <f ca="1">_xll.meDateFromTenor(O716,"1D","FOLLOWING",P$12)</f>
        <v>43515</v>
      </c>
      <c r="P717" s="13">
        <f ca="1">_xll.meDateFromTenor(O717,P$14,P$11,P$12)</f>
        <v>43696</v>
      </c>
      <c r="Q717" s="98">
        <f ca="1"/>
        <v>1.0017565936380044E-4</v>
      </c>
      <c r="R717" s="5" t="s">
        <v>4</v>
      </c>
      <c r="S717" s="100">
        <f ca="1">_xll.meDateFromTenor(S716,"1D","FOLLOWING",T$12)</f>
        <v>43515</v>
      </c>
      <c r="T717" s="13">
        <f ca="1">_xll.meDateFromTenor(S717,T$14,T$11,T$12)</f>
        <v>43880</v>
      </c>
      <c r="U717" s="98">
        <f ca="1"/>
        <v>2.1857331344243137E-3</v>
      </c>
      <c r="V717" s="5" t="s">
        <v>4</v>
      </c>
      <c r="W717" s="84" t="s">
        <v>4</v>
      </c>
    </row>
    <row r="718" spans="1:23" x14ac:dyDescent="0.25">
      <c r="A718" s="90">
        <v>699</v>
      </c>
      <c r="B718" s="83"/>
      <c r="C718" s="100">
        <f ca="1">_xll.meDateFromTenor(C717,"1D","FOLLOWING",D$12)</f>
        <v>43516</v>
      </c>
      <c r="D718" s="13">
        <f ca="1">_xll.meDateFromTenor(C718,D$14,D$11,D$12)</f>
        <v>43517</v>
      </c>
      <c r="E718" s="98">
        <f ca="1"/>
        <v>-3.3182830582490059E-3</v>
      </c>
      <c r="F718" s="94"/>
      <c r="G718" s="100">
        <f ca="1">_xll.meDateFromTenor(G717,"1D","FOLLOWING",H$12)</f>
        <v>43516</v>
      </c>
      <c r="H718" s="13">
        <f ca="1">_xll.meDateFromTenor(G718,H$14,H$11,H$12)</f>
        <v>43544</v>
      </c>
      <c r="I718" s="98">
        <f ca="1"/>
        <v>-2.6814626694410281E-3</v>
      </c>
      <c r="J718" s="94" t="s">
        <v>4</v>
      </c>
      <c r="K718" s="100">
        <f ca="1">_xll.meDateFromTenor(K717,"1D","FOLLOWING",L$12)</f>
        <v>43516</v>
      </c>
      <c r="L718" s="13">
        <f ca="1">_xll.meDateFromTenor(K718,L$14,L$11,L$12)</f>
        <v>43605</v>
      </c>
      <c r="M718" s="98">
        <f ca="1"/>
        <v>-1.1345728005576635E-3</v>
      </c>
      <c r="N718" s="5" t="s">
        <v>4</v>
      </c>
      <c r="O718" s="100">
        <f ca="1">_xll.meDateFromTenor(O717,"1D","FOLLOWING",P$12)</f>
        <v>43516</v>
      </c>
      <c r="P718" s="13">
        <f ca="1">_xll.meDateFromTenor(O718,P$14,P$11,P$12)</f>
        <v>43697</v>
      </c>
      <c r="Q718" s="98">
        <f ca="1"/>
        <v>1.0588688212299338E-4</v>
      </c>
      <c r="R718" s="5" t="s">
        <v>4</v>
      </c>
      <c r="S718" s="100">
        <f ca="1">_xll.meDateFromTenor(S717,"1D","FOLLOWING",T$12)</f>
        <v>43516</v>
      </c>
      <c r="T718" s="13">
        <f ca="1">_xll.meDateFromTenor(S718,T$14,T$11,T$12)</f>
        <v>43881</v>
      </c>
      <c r="U718" s="98">
        <f ca="1"/>
        <v>2.191423659463748E-3</v>
      </c>
      <c r="V718" s="5" t="s">
        <v>4</v>
      </c>
      <c r="W718" s="84" t="s">
        <v>4</v>
      </c>
    </row>
    <row r="719" spans="1:23" x14ac:dyDescent="0.25">
      <c r="A719" s="90">
        <v>700</v>
      </c>
      <c r="B719" s="83"/>
      <c r="C719" s="100">
        <f ca="1">_xll.meDateFromTenor(C718,"1D","FOLLOWING",D$12)</f>
        <v>43517</v>
      </c>
      <c r="D719" s="13">
        <f ca="1">_xll.meDateFromTenor(C719,D$14,D$11,D$12)</f>
        <v>43518</v>
      </c>
      <c r="E719" s="98">
        <f ca="1"/>
        <v>-3.3166656996819316E-3</v>
      </c>
      <c r="F719" s="94"/>
      <c r="G719" s="100">
        <f ca="1">_xll.meDateFromTenor(G718,"1D","FOLLOWING",H$12)</f>
        <v>43517</v>
      </c>
      <c r="H719" s="13">
        <f ca="1">_xll.meDateFromTenor(G719,H$14,H$11,H$12)</f>
        <v>43545</v>
      </c>
      <c r="I719" s="98">
        <f ca="1"/>
        <v>-2.6773579708296602E-3</v>
      </c>
      <c r="J719" s="94" t="s">
        <v>4</v>
      </c>
      <c r="K719" s="100">
        <f ca="1">_xll.meDateFromTenor(K718,"1D","FOLLOWING",L$12)</f>
        <v>43517</v>
      </c>
      <c r="L719" s="13">
        <f ca="1">_xll.meDateFromTenor(K719,L$14,L$11,L$12)</f>
        <v>43606</v>
      </c>
      <c r="M719" s="98">
        <f ca="1"/>
        <v>-1.1303892052830259E-3</v>
      </c>
      <c r="N719" s="5" t="s">
        <v>4</v>
      </c>
      <c r="O719" s="100">
        <f ca="1">_xll.meDateFromTenor(O718,"1D","FOLLOWING",P$12)</f>
        <v>43517</v>
      </c>
      <c r="P719" s="13">
        <f ca="1">_xll.meDateFromTenor(O719,P$14,P$11,P$12)</f>
        <v>43698</v>
      </c>
      <c r="Q719" s="98">
        <f ca="1"/>
        <v>1.1160249709340288E-4</v>
      </c>
      <c r="R719" s="5" t="s">
        <v>4</v>
      </c>
      <c r="S719" s="100">
        <f ca="1">_xll.meDateFromTenor(S718,"1D","FOLLOWING",T$12)</f>
        <v>43517</v>
      </c>
      <c r="T719" s="13">
        <f ca="1">_xll.meDateFromTenor(S719,T$14,T$11,T$12)</f>
        <v>43882</v>
      </c>
      <c r="U719" s="98">
        <f ca="1"/>
        <v>2.1971153698988723E-3</v>
      </c>
      <c r="V719" s="5" t="s">
        <v>4</v>
      </c>
      <c r="W719" s="84" t="s">
        <v>4</v>
      </c>
    </row>
    <row r="720" spans="1:23" x14ac:dyDescent="0.25">
      <c r="A720" s="90">
        <v>701</v>
      </c>
      <c r="B720" s="83"/>
      <c r="C720" s="100">
        <f ca="1">_xll.meDateFromTenor(C719,"1D","FOLLOWING",D$12)</f>
        <v>43518</v>
      </c>
      <c r="D720" s="13">
        <f ca="1">_xll.meDateFromTenor(C720,D$14,D$11,D$12)</f>
        <v>43521</v>
      </c>
      <c r="E720" s="98">
        <f ca="1"/>
        <v>-3.3134660290867874E-3</v>
      </c>
      <c r="F720" s="94"/>
      <c r="G720" s="100">
        <f ca="1">_xll.meDateFromTenor(G719,"1D","FOLLOWING",H$12)</f>
        <v>43518</v>
      </c>
      <c r="H720" s="13">
        <f ca="1">_xll.meDateFromTenor(G720,H$14,H$11,H$12)</f>
        <v>43546</v>
      </c>
      <c r="I720" s="98">
        <f ca="1"/>
        <v>-2.6732447144268397E-3</v>
      </c>
      <c r="J720" s="94" t="s">
        <v>4</v>
      </c>
      <c r="K720" s="100">
        <f ca="1">_xll.meDateFromTenor(K719,"1D","FOLLOWING",L$12)</f>
        <v>43518</v>
      </c>
      <c r="L720" s="13">
        <f ca="1">_xll.meDateFromTenor(K720,L$14,L$11,L$12)</f>
        <v>43607</v>
      </c>
      <c r="M720" s="98">
        <f ca="1"/>
        <v>-1.1262365395477629E-3</v>
      </c>
      <c r="N720" s="5" t="s">
        <v>4</v>
      </c>
      <c r="O720" s="100">
        <f ca="1">_xll.meDateFromTenor(O719,"1D","FOLLOWING",P$12)</f>
        <v>43518</v>
      </c>
      <c r="P720" s="13">
        <f ca="1">_xll.meDateFromTenor(O720,P$14,P$11,P$12)</f>
        <v>43699</v>
      </c>
      <c r="Q720" s="98">
        <f ca="1"/>
        <v>1.1732245949035436E-4</v>
      </c>
      <c r="R720" s="5" t="s">
        <v>4</v>
      </c>
      <c r="S720" s="100">
        <f ca="1">_xll.meDateFromTenor(S719,"1D","FOLLOWING",T$12)</f>
        <v>43518</v>
      </c>
      <c r="T720" s="13">
        <f ca="1">_xll.meDateFromTenor(S720,T$14,T$11,T$12)</f>
        <v>43885</v>
      </c>
      <c r="U720" s="98">
        <f ca="1"/>
        <v>2.202808230293033E-3</v>
      </c>
      <c r="V720" s="5" t="s">
        <v>4</v>
      </c>
      <c r="W720" s="84" t="s">
        <v>4</v>
      </c>
    </row>
    <row r="721" spans="1:23" x14ac:dyDescent="0.25">
      <c r="A721" s="90">
        <v>702</v>
      </c>
      <c r="B721" s="83"/>
      <c r="C721" s="100">
        <f ca="1">_xll.meDateFromTenor(C720,"1D","FOLLOWING",D$12)</f>
        <v>43521</v>
      </c>
      <c r="D721" s="13">
        <f ca="1">_xll.meDateFromTenor(C721,D$14,D$11,D$12)</f>
        <v>43522</v>
      </c>
      <c r="E721" s="98">
        <f ca="1"/>
        <v>-3.3103928950062428E-3</v>
      </c>
      <c r="F721" s="94"/>
      <c r="G721" s="100">
        <f ca="1">_xll.meDateFromTenor(G720,"1D","FOLLOWING",H$12)</f>
        <v>43521</v>
      </c>
      <c r="H721" s="13">
        <f ca="1">_xll.meDateFromTenor(G721,H$14,H$11,H$12)</f>
        <v>43549</v>
      </c>
      <c r="I721" s="98">
        <f ca="1"/>
        <v>-2.6608682347155034E-3</v>
      </c>
      <c r="J721" s="94" t="s">
        <v>4</v>
      </c>
      <c r="K721" s="100">
        <f ca="1">_xll.meDateFromTenor(K720,"1D","FOLLOWING",L$12)</f>
        <v>43521</v>
      </c>
      <c r="L721" s="13">
        <f ca="1">_xll.meDateFromTenor(K721,L$14,L$11,L$12)</f>
        <v>43612</v>
      </c>
      <c r="M721" s="98">
        <f ca="1"/>
        <v>-1.1139649451125445E-3</v>
      </c>
      <c r="N721" s="5" t="s">
        <v>4</v>
      </c>
      <c r="O721" s="100">
        <f ca="1">_xll.meDateFromTenor(O720,"1D","FOLLOWING",P$12)</f>
        <v>43521</v>
      </c>
      <c r="P721" s="13">
        <f ca="1">_xll.meDateFromTenor(O721,P$14,P$11,P$12)</f>
        <v>43703</v>
      </c>
      <c r="Q721" s="98">
        <f ca="1"/>
        <v>1.3450798339368893E-4</v>
      </c>
      <c r="R721" s="5" t="s">
        <v>4</v>
      </c>
      <c r="S721" s="100">
        <f ca="1">_xll.meDateFromTenor(S720,"1D","FOLLOWING",T$12)</f>
        <v>43521</v>
      </c>
      <c r="T721" s="13">
        <f ca="1">_xll.meDateFromTenor(S721,T$14,T$11,T$12)</f>
        <v>43886</v>
      </c>
      <c r="U721" s="98">
        <f ca="1"/>
        <v>2.2198933568631811E-3</v>
      </c>
      <c r="V721" s="5" t="s">
        <v>4</v>
      </c>
      <c r="W721" s="84" t="s">
        <v>4</v>
      </c>
    </row>
    <row r="722" spans="1:23" x14ac:dyDescent="0.25">
      <c r="A722" s="90">
        <v>703</v>
      </c>
      <c r="B722" s="83"/>
      <c r="C722" s="100">
        <f ca="1">_xll.meDateFromTenor(C721,"1D","FOLLOWING",D$12)</f>
        <v>43522</v>
      </c>
      <c r="D722" s="13">
        <f ca="1">_xll.meDateFromTenor(C722,D$14,D$11,D$12)</f>
        <v>43523</v>
      </c>
      <c r="E722" s="98">
        <f ca="1"/>
        <v>-3.308873847558414E-3</v>
      </c>
      <c r="F722" s="94"/>
      <c r="G722" s="100">
        <f ca="1">_xll.meDateFromTenor(G721,"1D","FOLLOWING",H$12)</f>
        <v>43522</v>
      </c>
      <c r="H722" s="13">
        <f ca="1">_xll.meDateFromTenor(G722,H$14,H$11,H$12)</f>
        <v>43550</v>
      </c>
      <c r="I722" s="98">
        <f ca="1"/>
        <v>-2.6567353833927103E-3</v>
      </c>
      <c r="J722" s="94" t="s">
        <v>4</v>
      </c>
      <c r="K722" s="100">
        <f ca="1">_xll.meDateFromTenor(K721,"1D","FOLLOWING",L$12)</f>
        <v>43522</v>
      </c>
      <c r="L722" s="13">
        <f ca="1">_xll.meDateFromTenor(K722,L$14,L$11,L$12)</f>
        <v>43612</v>
      </c>
      <c r="M722" s="98">
        <f ca="1"/>
        <v>-1.1099368230691018E-3</v>
      </c>
      <c r="N722" s="5" t="s">
        <v>4</v>
      </c>
      <c r="O722" s="100">
        <f ca="1">_xll.meDateFromTenor(O721,"1D","FOLLOWING",P$12)</f>
        <v>43522</v>
      </c>
      <c r="P722" s="13">
        <f ca="1">_xll.meDateFromTenor(O722,P$14,P$11,P$12)</f>
        <v>43703</v>
      </c>
      <c r="Q722" s="98">
        <f ca="1"/>
        <v>1.4024488765003953E-4</v>
      </c>
      <c r="R722" s="5" t="s">
        <v>4</v>
      </c>
      <c r="S722" s="100">
        <f ca="1">_xll.meDateFromTenor(S721,"1D","FOLLOWING",T$12)</f>
        <v>43522</v>
      </c>
      <c r="T722" s="13">
        <f ca="1">_xll.meDateFromTenor(S722,T$14,T$11,T$12)</f>
        <v>43887</v>
      </c>
      <c r="U722" s="98">
        <f ca="1"/>
        <v>2.2255904627269366E-3</v>
      </c>
      <c r="V722" s="5" t="s">
        <v>4</v>
      </c>
      <c r="W722" s="84" t="s">
        <v>4</v>
      </c>
    </row>
    <row r="723" spans="1:23" x14ac:dyDescent="0.25">
      <c r="A723" s="90">
        <v>704</v>
      </c>
      <c r="B723" s="83"/>
      <c r="C723" s="100">
        <f ca="1">_xll.meDateFromTenor(C722,"1D","FOLLOWING",D$12)</f>
        <v>43523</v>
      </c>
      <c r="D723" s="13">
        <f ca="1">_xll.meDateFromTenor(C723,D$14,D$11,D$12)</f>
        <v>43524</v>
      </c>
      <c r="E723" s="98">
        <f ca="1"/>
        <v>-3.3073744599843142E-3</v>
      </c>
      <c r="F723" s="94"/>
      <c r="G723" s="100">
        <f ca="1">_xll.meDateFromTenor(G722,"1D","FOLLOWING",H$12)</f>
        <v>43523</v>
      </c>
      <c r="H723" s="13">
        <f ca="1">_xll.meDateFromTenor(G723,H$14,H$11,H$12)</f>
        <v>43551</v>
      </c>
      <c r="I723" s="98">
        <f ca="1"/>
        <v>-2.6526012924013805E-3</v>
      </c>
      <c r="J723" s="94" t="s">
        <v>4</v>
      </c>
      <c r="K723" s="100">
        <f ca="1">_xll.meDateFromTenor(K722,"1D","FOLLOWING",L$12)</f>
        <v>43523</v>
      </c>
      <c r="L723" s="13">
        <f ca="1">_xll.meDateFromTenor(K723,L$14,L$11,L$12)</f>
        <v>43612</v>
      </c>
      <c r="M723" s="98">
        <f ca="1"/>
        <v>-1.1059400433321943E-3</v>
      </c>
      <c r="N723" s="5" t="s">
        <v>4</v>
      </c>
      <c r="O723" s="100">
        <f ca="1">_xll.meDateFromTenor(O722,"1D","FOLLOWING",P$12)</f>
        <v>43523</v>
      </c>
      <c r="P723" s="13">
        <f ca="1">_xll.meDateFromTenor(O723,P$14,P$11,P$12)</f>
        <v>43704</v>
      </c>
      <c r="Q723" s="98">
        <f ca="1"/>
        <v>1.4598591540954873E-4</v>
      </c>
      <c r="R723" s="5" t="s">
        <v>4</v>
      </c>
      <c r="S723" s="100">
        <f ca="1">_xll.meDateFromTenor(S722,"1D","FOLLOWING",T$12)</f>
        <v>43523</v>
      </c>
      <c r="T723" s="13">
        <f ca="1">_xll.meDateFromTenor(S723,T$14,T$11,T$12)</f>
        <v>43888</v>
      </c>
      <c r="U723" s="98">
        <f ca="1"/>
        <v>2.2312885413664544E-3</v>
      </c>
      <c r="V723" s="5" t="s">
        <v>4</v>
      </c>
      <c r="W723" s="84" t="s">
        <v>4</v>
      </c>
    </row>
    <row r="724" spans="1:23" x14ac:dyDescent="0.25">
      <c r="A724" s="90">
        <v>705</v>
      </c>
      <c r="B724" s="83"/>
      <c r="C724" s="100">
        <f ca="1">_xll.meDateFromTenor(C723,"1D","FOLLOWING",D$12)</f>
        <v>43524</v>
      </c>
      <c r="D724" s="13">
        <f ca="1">_xll.meDateFromTenor(C724,D$14,D$11,D$12)</f>
        <v>43525</v>
      </c>
      <c r="E724" s="98">
        <f ca="1"/>
        <v>-3.305894731804327E-3</v>
      </c>
      <c r="F724" s="94"/>
      <c r="G724" s="100">
        <f ca="1">_xll.meDateFromTenor(G723,"1D","FOLLOWING",H$12)</f>
        <v>43524</v>
      </c>
      <c r="H724" s="13">
        <f ca="1">_xll.meDateFromTenor(G724,H$14,H$11,H$12)</f>
        <v>43552</v>
      </c>
      <c r="I724" s="98">
        <f ca="1"/>
        <v>-2.6484674253660998E-3</v>
      </c>
      <c r="J724" s="94" t="s">
        <v>4</v>
      </c>
      <c r="K724" s="100">
        <f ca="1">_xll.meDateFromTenor(K723,"1D","FOLLOWING",L$12)</f>
        <v>43524</v>
      </c>
      <c r="L724" s="13">
        <f ca="1">_xll.meDateFromTenor(K724,L$14,L$11,L$12)</f>
        <v>43613</v>
      </c>
      <c r="M724" s="98">
        <f ca="1"/>
        <v>-1.1019746884552539E-3</v>
      </c>
      <c r="N724" s="5" t="s">
        <v>4</v>
      </c>
      <c r="O724" s="100">
        <f ca="1">_xll.meDateFromTenor(O723,"1D","FOLLOWING",P$12)</f>
        <v>43524</v>
      </c>
      <c r="P724" s="13">
        <f ca="1">_xll.meDateFromTenor(O724,P$14,P$11,P$12)</f>
        <v>43705</v>
      </c>
      <c r="Q724" s="98">
        <f ca="1"/>
        <v>1.5173102188754001E-4</v>
      </c>
      <c r="R724" s="5" t="s">
        <v>4</v>
      </c>
      <c r="S724" s="100">
        <f ca="1">_xll.meDateFromTenor(S723,"1D","FOLLOWING",T$12)</f>
        <v>43524</v>
      </c>
      <c r="T724" s="13">
        <f ca="1">_xll.meDateFromTenor(S724,T$14,T$11,T$12)</f>
        <v>43889</v>
      </c>
      <c r="U724" s="98">
        <f ca="1"/>
        <v>2.2369875573450796E-3</v>
      </c>
      <c r="V724" s="5" t="s">
        <v>4</v>
      </c>
      <c r="W724" s="84" t="s">
        <v>4</v>
      </c>
    </row>
    <row r="725" spans="1:23" x14ac:dyDescent="0.25">
      <c r="A725" s="90">
        <v>706</v>
      </c>
      <c r="B725" s="83"/>
      <c r="C725" s="100">
        <f ca="1">_xll.meDateFromTenor(C724,"1D","FOLLOWING",D$12)</f>
        <v>43525</v>
      </c>
      <c r="D725" s="13">
        <f ca="1">_xll.meDateFromTenor(C725,D$14,D$11,D$12)</f>
        <v>43528</v>
      </c>
      <c r="E725" s="98">
        <f ca="1"/>
        <v>-3.3029704975762303E-3</v>
      </c>
      <c r="F725" s="94"/>
      <c r="G725" s="100">
        <f ca="1">_xll.meDateFromTenor(G724,"1D","FOLLOWING",H$12)</f>
        <v>43525</v>
      </c>
      <c r="H725" s="13">
        <f ca="1">_xll.meDateFromTenor(G725,H$14,H$11,H$12)</f>
        <v>43556</v>
      </c>
      <c r="I725" s="98">
        <f ca="1"/>
        <v>-2.6443352459114495E-3</v>
      </c>
      <c r="J725" s="94" t="s">
        <v>4</v>
      </c>
      <c r="K725" s="100">
        <f ca="1">_xll.meDateFromTenor(K724,"1D","FOLLOWING",L$12)</f>
        <v>43525</v>
      </c>
      <c r="L725" s="13">
        <f ca="1">_xll.meDateFromTenor(K725,L$14,L$11,L$12)</f>
        <v>43619</v>
      </c>
      <c r="M725" s="98">
        <f ca="1"/>
        <v>-1.0980408409917129E-3</v>
      </c>
      <c r="N725" s="5" t="s">
        <v>4</v>
      </c>
      <c r="O725" s="100">
        <f ca="1">_xll.meDateFromTenor(O724,"1D","FOLLOWING",P$12)</f>
        <v>43525</v>
      </c>
      <c r="P725" s="13">
        <f ca="1">_xll.meDateFromTenor(O725,P$14,P$11,P$12)</f>
        <v>43710</v>
      </c>
      <c r="Q725" s="98">
        <f ca="1"/>
        <v>1.5748016229933688E-4</v>
      </c>
      <c r="R725" s="5" t="s">
        <v>4</v>
      </c>
      <c r="S725" s="100">
        <f ca="1">_xll.meDateFromTenor(S724,"1D","FOLLOWING",T$12)</f>
        <v>43525</v>
      </c>
      <c r="T725" s="13">
        <f ca="1">_xll.meDateFromTenor(S725,T$14,T$11,T$12)</f>
        <v>43892</v>
      </c>
      <c r="U725" s="98">
        <f ca="1"/>
        <v>2.2426874752261563E-3</v>
      </c>
      <c r="V725" s="5" t="s">
        <v>4</v>
      </c>
      <c r="W725" s="84" t="s">
        <v>4</v>
      </c>
    </row>
    <row r="726" spans="1:23" x14ac:dyDescent="0.25">
      <c r="A726" s="90">
        <v>707</v>
      </c>
      <c r="B726" s="83"/>
      <c r="C726" s="100">
        <f ca="1">_xll.meDateFromTenor(C725,"1D","FOLLOWING",D$12)</f>
        <v>43528</v>
      </c>
      <c r="D726" s="13">
        <f ca="1">_xll.meDateFromTenor(C726,D$14,D$11,D$12)</f>
        <v>43529</v>
      </c>
      <c r="E726" s="98">
        <f ca="1"/>
        <v>-3.3001624918815981E-3</v>
      </c>
      <c r="F726" s="94"/>
      <c r="G726" s="100">
        <f ca="1">_xll.meDateFromTenor(G725,"1D","FOLLOWING",H$12)</f>
        <v>43528</v>
      </c>
      <c r="H726" s="13">
        <f ca="1">_xll.meDateFromTenor(G726,H$14,H$11,H$12)</f>
        <v>43559</v>
      </c>
      <c r="I726" s="98">
        <f ca="1"/>
        <v>-2.6319634692771178E-3</v>
      </c>
      <c r="J726" s="94" t="s">
        <v>4</v>
      </c>
      <c r="K726" s="100">
        <f ca="1">_xll.meDateFromTenor(K725,"1D","FOLLOWING",L$12)</f>
        <v>43528</v>
      </c>
      <c r="L726" s="13">
        <f ca="1">_xll.meDateFromTenor(K726,L$14,L$11,L$12)</f>
        <v>43620</v>
      </c>
      <c r="M726" s="98">
        <f ca="1"/>
        <v>-1.0864291686158078E-3</v>
      </c>
      <c r="N726" s="5" t="s">
        <v>4</v>
      </c>
      <c r="O726" s="100">
        <f ca="1">_xll.meDateFromTenor(O725,"1D","FOLLOWING",P$12)</f>
        <v>43528</v>
      </c>
      <c r="P726" s="13">
        <f ca="1">_xll.meDateFromTenor(O726,P$14,P$11,P$12)</f>
        <v>43712</v>
      </c>
      <c r="Q726" s="98">
        <f ca="1"/>
        <v>1.747513392907955E-4</v>
      </c>
      <c r="R726" s="5" t="s">
        <v>4</v>
      </c>
      <c r="S726" s="100">
        <f ca="1">_xll.meDateFromTenor(S725,"1D","FOLLOWING",T$12)</f>
        <v>43528</v>
      </c>
      <c r="T726" s="13">
        <f ca="1">_xll.meDateFromTenor(S726,T$14,T$11,T$12)</f>
        <v>43894</v>
      </c>
      <c r="U726" s="98">
        <f ca="1"/>
        <v>2.2597922859175523E-3</v>
      </c>
      <c r="V726" s="5" t="s">
        <v>4</v>
      </c>
      <c r="W726" s="84" t="s">
        <v>4</v>
      </c>
    </row>
    <row r="727" spans="1:23" x14ac:dyDescent="0.25">
      <c r="A727" s="90">
        <v>708</v>
      </c>
      <c r="B727" s="83"/>
      <c r="C727" s="100">
        <f ca="1">_xll.meDateFromTenor(C726,"1D","FOLLOWING",D$12)</f>
        <v>43529</v>
      </c>
      <c r="D727" s="13">
        <f ca="1">_xll.meDateFromTenor(C727,D$14,D$11,D$12)</f>
        <v>43530</v>
      </c>
      <c r="E727" s="98">
        <f ca="1"/>
        <v>-3.2987216200197739E-3</v>
      </c>
      <c r="F727" s="94"/>
      <c r="G727" s="100">
        <f ca="1">_xll.meDateFromTenor(G726,"1D","FOLLOWING",H$12)</f>
        <v>43529</v>
      </c>
      <c r="H727" s="13">
        <f ca="1">_xll.meDateFromTenor(G727,H$14,H$11,H$12)</f>
        <v>43560</v>
      </c>
      <c r="I727" s="98">
        <f ca="1"/>
        <v>-2.6278522956088928E-3</v>
      </c>
      <c r="J727" s="94" t="s">
        <v>4</v>
      </c>
      <c r="K727" s="100">
        <f ca="1">_xll.meDateFromTenor(K726,"1D","FOLLOWING",L$12)</f>
        <v>43529</v>
      </c>
      <c r="L727" s="13">
        <f ca="1">_xll.meDateFromTenor(K727,L$14,L$11,L$12)</f>
        <v>43621</v>
      </c>
      <c r="M727" s="98">
        <f ca="1"/>
        <v>-1.0826220830710631E-3</v>
      </c>
      <c r="N727" s="5" t="s">
        <v>4</v>
      </c>
      <c r="O727" s="100">
        <f ca="1">_xll.meDateFromTenor(O726,"1D","FOLLOWING",P$12)</f>
        <v>43529</v>
      </c>
      <c r="P727" s="13">
        <f ca="1">_xll.meDateFromTenor(O727,P$14,P$11,P$12)</f>
        <v>43713</v>
      </c>
      <c r="Q727" s="98">
        <f ca="1"/>
        <v>1.8051616759105001E-4</v>
      </c>
      <c r="R727" s="5" t="s">
        <v>4</v>
      </c>
      <c r="S727" s="100">
        <f ca="1">_xll.meDateFromTenor(S726,"1D","FOLLOWING",T$12)</f>
        <v>43529</v>
      </c>
      <c r="T727" s="13">
        <f ca="1">_xll.meDateFromTenor(S727,T$14,T$11,T$12)</f>
        <v>43895</v>
      </c>
      <c r="U727" s="98">
        <f ca="1"/>
        <v>2.2654954570418902E-3</v>
      </c>
      <c r="V727" s="5" t="s">
        <v>4</v>
      </c>
      <c r="W727" s="84" t="s">
        <v>4</v>
      </c>
    </row>
    <row r="728" spans="1:23" x14ac:dyDescent="0.25">
      <c r="A728" s="90">
        <v>709</v>
      </c>
      <c r="B728" s="83"/>
      <c r="C728" s="100">
        <f ca="1">_xll.meDateFromTenor(C727,"1D","FOLLOWING",D$12)</f>
        <v>43530</v>
      </c>
      <c r="D728" s="13">
        <f ca="1">_xll.meDateFromTenor(C728,D$14,D$11,D$12)</f>
        <v>43531</v>
      </c>
      <c r="E728" s="98">
        <f ca="1"/>
        <v>-3.297240976332117E-3</v>
      </c>
      <c r="F728" s="94"/>
      <c r="G728" s="100">
        <f ca="1">_xll.meDateFromTenor(G727,"1D","FOLLOWING",H$12)</f>
        <v>43530</v>
      </c>
      <c r="H728" s="13">
        <f ca="1">_xll.meDateFromTenor(G728,H$14,H$11,H$12)</f>
        <v>43563</v>
      </c>
      <c r="I728" s="98">
        <f ca="1"/>
        <v>-2.6237478429526314E-3</v>
      </c>
      <c r="J728" s="94" t="s">
        <v>4</v>
      </c>
      <c r="K728" s="100">
        <f ca="1">_xll.meDateFromTenor(K727,"1D","FOLLOWING",L$12)</f>
        <v>43530</v>
      </c>
      <c r="L728" s="13">
        <f ca="1">_xll.meDateFromTenor(K728,L$14,L$11,L$12)</f>
        <v>43622</v>
      </c>
      <c r="M728" s="98">
        <f ca="1"/>
        <v>-1.0788463580921469E-3</v>
      </c>
      <c r="N728" s="5" t="s">
        <v>4</v>
      </c>
      <c r="O728" s="100">
        <f ca="1">_xll.meDateFromTenor(O727,"1D","FOLLOWING",P$12)</f>
        <v>43530</v>
      </c>
      <c r="P728" s="13">
        <f ca="1">_xll.meDateFromTenor(O728,P$14,P$11,P$12)</f>
        <v>43714</v>
      </c>
      <c r="Q728" s="98">
        <f ca="1"/>
        <v>1.862848059017268E-4</v>
      </c>
      <c r="R728" s="5" t="s">
        <v>4</v>
      </c>
      <c r="S728" s="100">
        <f ca="1">_xll.meDateFromTenor(S727,"1D","FOLLOWING",T$12)</f>
        <v>43530</v>
      </c>
      <c r="T728" s="13">
        <f ca="1">_xll.meDateFromTenor(S728,T$14,T$11,T$12)</f>
        <v>43896</v>
      </c>
      <c r="U728" s="98">
        <f ca="1"/>
        <v>2.271199352885406E-3</v>
      </c>
      <c r="V728" s="5" t="s">
        <v>4</v>
      </c>
      <c r="W728" s="84" t="s">
        <v>4</v>
      </c>
    </row>
    <row r="729" spans="1:23" x14ac:dyDescent="0.25">
      <c r="A729" s="90">
        <v>710</v>
      </c>
      <c r="B729" s="83"/>
      <c r="C729" s="100">
        <f ca="1">_xll.meDateFromTenor(C728,"1D","FOLLOWING",D$12)</f>
        <v>43531</v>
      </c>
      <c r="D729" s="13">
        <f ca="1">_xll.meDateFromTenor(C729,D$14,D$11,D$12)</f>
        <v>43532</v>
      </c>
      <c r="E729" s="98">
        <f ca="1"/>
        <v>-3.2957205622974445E-3</v>
      </c>
      <c r="F729" s="94"/>
      <c r="G729" s="100">
        <f ca="1">_xll.meDateFromTenor(G728,"1D","FOLLOWING",H$12)</f>
        <v>43531</v>
      </c>
      <c r="H729" s="13">
        <f ca="1">_xll.meDateFromTenor(G729,H$14,H$11,H$12)</f>
        <v>43563</v>
      </c>
      <c r="I729" s="98">
        <f ca="1"/>
        <v>-2.6196492902413313E-3</v>
      </c>
      <c r="J729" s="94" t="s">
        <v>4</v>
      </c>
      <c r="K729" s="100">
        <f ca="1">_xll.meDateFromTenor(K728,"1D","FOLLOWING",L$12)</f>
        <v>43531</v>
      </c>
      <c r="L729" s="13">
        <f ca="1">_xll.meDateFromTenor(K729,L$14,L$11,L$12)</f>
        <v>43623</v>
      </c>
      <c r="M729" s="98">
        <f ca="1"/>
        <v>-1.0751015166177579E-3</v>
      </c>
      <c r="N729" s="5" t="s">
        <v>4</v>
      </c>
      <c r="O729" s="100">
        <f ca="1">_xll.meDateFromTenor(O728,"1D","FOLLOWING",P$12)</f>
        <v>43531</v>
      </c>
      <c r="P729" s="13">
        <f ca="1">_xll.meDateFromTenor(O729,P$14,P$11,P$12)</f>
        <v>43717</v>
      </c>
      <c r="Q729" s="98">
        <f ca="1"/>
        <v>1.9205720943815124E-4</v>
      </c>
      <c r="R729" s="5" t="s">
        <v>4</v>
      </c>
      <c r="S729" s="100">
        <f ca="1">_xll.meDateFromTenor(S728,"1D","FOLLOWING",T$12)</f>
        <v>43531</v>
      </c>
      <c r="T729" s="13">
        <f ca="1">_xll.meDateFromTenor(S729,T$14,T$11,T$12)</f>
        <v>43899</v>
      </c>
      <c r="U729" s="98">
        <f ca="1"/>
        <v>2.2769039380114466E-3</v>
      </c>
      <c r="V729" s="5" t="s">
        <v>4</v>
      </c>
      <c r="W729" s="84" t="s">
        <v>4</v>
      </c>
    </row>
    <row r="730" spans="1:23" x14ac:dyDescent="0.25">
      <c r="A730" s="90">
        <v>711</v>
      </c>
      <c r="B730" s="83"/>
      <c r="C730" s="100">
        <f ca="1">_xll.meDateFromTenor(C729,"1D","FOLLOWING",D$12)</f>
        <v>43532</v>
      </c>
      <c r="D730" s="13">
        <f ca="1">_xll.meDateFromTenor(C730,D$14,D$11,D$12)</f>
        <v>43535</v>
      </c>
      <c r="E730" s="98">
        <f ca="1"/>
        <v>-3.2925170594875789E-3</v>
      </c>
      <c r="F730" s="94"/>
      <c r="G730" s="100">
        <f ca="1">_xll.meDateFromTenor(G729,"1D","FOLLOWING",H$12)</f>
        <v>43532</v>
      </c>
      <c r="H730" s="13">
        <f ca="1">_xll.meDateFromTenor(G730,H$14,H$11,H$12)</f>
        <v>43563</v>
      </c>
      <c r="I730" s="98">
        <f ca="1"/>
        <v>-2.6155558164079923E-3</v>
      </c>
      <c r="J730" s="94" t="s">
        <v>4</v>
      </c>
      <c r="K730" s="100">
        <f ca="1">_xll.meDateFromTenor(K729,"1D","FOLLOWING",L$12)</f>
        <v>43532</v>
      </c>
      <c r="L730" s="13">
        <f ca="1">_xll.meDateFromTenor(K730,L$14,L$11,L$12)</f>
        <v>43626</v>
      </c>
      <c r="M730" s="98">
        <f ca="1"/>
        <v>-1.0713870815865973E-3</v>
      </c>
      <c r="N730" s="5" t="s">
        <v>4</v>
      </c>
      <c r="O730" s="100">
        <f ca="1">_xll.meDateFromTenor(O729,"1D","FOLLOWING",P$12)</f>
        <v>43532</v>
      </c>
      <c r="P730" s="13">
        <f ca="1">_xll.meDateFromTenor(O730,P$14,P$11,P$12)</f>
        <v>43717</v>
      </c>
      <c r="Q730" s="98">
        <f ca="1"/>
        <v>1.9783333341564588E-4</v>
      </c>
      <c r="R730" s="5" t="s">
        <v>4</v>
      </c>
      <c r="S730" s="100">
        <f ca="1">_xll.meDateFromTenor(S729,"1D","FOLLOWING",T$12)</f>
        <v>43532</v>
      </c>
      <c r="T730" s="13">
        <f ca="1">_xll.meDateFromTenor(S730,T$14,T$11,T$12)</f>
        <v>43899</v>
      </c>
      <c r="U730" s="98">
        <f ca="1"/>
        <v>2.2826091769833556E-3</v>
      </c>
      <c r="V730" s="5" t="s">
        <v>4</v>
      </c>
      <c r="W730" s="84" t="s">
        <v>4</v>
      </c>
    </row>
    <row r="731" spans="1:23" x14ac:dyDescent="0.25">
      <c r="A731" s="90">
        <v>712</v>
      </c>
      <c r="B731" s="83"/>
      <c r="C731" s="100">
        <f ca="1">_xll.meDateFromTenor(C730,"1D","FOLLOWING",D$12)</f>
        <v>43535</v>
      </c>
      <c r="D731" s="13">
        <f ca="1">_xll.meDateFromTenor(C731,D$14,D$11,D$12)</f>
        <v>43536</v>
      </c>
      <c r="E731" s="98">
        <f ca="1"/>
        <v>-3.2892412296270496E-3</v>
      </c>
      <c r="F731" s="94"/>
      <c r="G731" s="100">
        <f ca="1">_xll.meDateFromTenor(G730,"1D","FOLLOWING",H$12)</f>
        <v>43535</v>
      </c>
      <c r="H731" s="13">
        <f ca="1">_xll.meDateFromTenor(G731,H$14,H$11,H$12)</f>
        <v>43566</v>
      </c>
      <c r="I731" s="98">
        <f ca="1"/>
        <v>-2.6032976575057305E-3</v>
      </c>
      <c r="J731" s="94" t="s">
        <v>4</v>
      </c>
      <c r="K731" s="100">
        <f ca="1">_xll.meDateFromTenor(K730,"1D","FOLLOWING",L$12)</f>
        <v>43535</v>
      </c>
      <c r="L731" s="13">
        <f ca="1">_xll.meDateFromTenor(K731,L$14,L$11,L$12)</f>
        <v>43627</v>
      </c>
      <c r="M731" s="98">
        <f ca="1"/>
        <v>-1.0604214445394857E-3</v>
      </c>
      <c r="N731" s="5" t="s">
        <v>4</v>
      </c>
      <c r="O731" s="100">
        <f ca="1">_xll.meDateFromTenor(O730,"1D","FOLLOWING",P$12)</f>
        <v>43535</v>
      </c>
      <c r="P731" s="13">
        <f ca="1">_xll.meDateFromTenor(O731,P$14,P$11,P$12)</f>
        <v>43719</v>
      </c>
      <c r="Q731" s="98">
        <f ca="1"/>
        <v>2.151835801477855E-4</v>
      </c>
      <c r="R731" s="5" t="s">
        <v>4</v>
      </c>
      <c r="S731" s="100">
        <f ca="1">_xll.meDateFromTenor(S730,"1D","FOLLOWING",T$12)</f>
        <v>43535</v>
      </c>
      <c r="T731" s="13">
        <f ca="1">_xll.meDateFromTenor(S731,T$14,T$11,T$12)</f>
        <v>43901</v>
      </c>
      <c r="U731" s="98">
        <f ca="1"/>
        <v>2.299728462607746E-3</v>
      </c>
      <c r="V731" s="5" t="s">
        <v>4</v>
      </c>
      <c r="W731" s="84" t="s">
        <v>4</v>
      </c>
    </row>
    <row r="732" spans="1:23" x14ac:dyDescent="0.25">
      <c r="A732" s="90">
        <v>713</v>
      </c>
      <c r="B732" s="83"/>
      <c r="C732" s="100">
        <f ca="1">_xll.meDateFromTenor(C731,"1D","FOLLOWING",D$12)</f>
        <v>43536</v>
      </c>
      <c r="D732" s="13">
        <f ca="1">_xll.meDateFromTenor(C732,D$14,D$11,D$12)</f>
        <v>43537</v>
      </c>
      <c r="E732" s="98">
        <f ca="1"/>
        <v>-3.287521984640674E-3</v>
      </c>
      <c r="F732" s="94"/>
      <c r="G732" s="100">
        <f ca="1">_xll.meDateFromTenor(G731,"1D","FOLLOWING",H$12)</f>
        <v>43536</v>
      </c>
      <c r="H732" s="13">
        <f ca="1">_xll.meDateFromTenor(G732,H$14,H$11,H$12)</f>
        <v>43567</v>
      </c>
      <c r="I732" s="98">
        <f ca="1"/>
        <v>-2.5992162885142248E-3</v>
      </c>
      <c r="J732" s="94" t="s">
        <v>4</v>
      </c>
      <c r="K732" s="100">
        <f ca="1">_xll.meDateFromTenor(K731,"1D","FOLLOWING",L$12)</f>
        <v>43536</v>
      </c>
      <c r="L732" s="13">
        <f ca="1">_xll.meDateFromTenor(K732,L$14,L$11,L$12)</f>
        <v>43628</v>
      </c>
      <c r="M732" s="98">
        <f ca="1"/>
        <v>-1.0568238646682388E-3</v>
      </c>
      <c r="N732" s="5" t="s">
        <v>4</v>
      </c>
      <c r="O732" s="100">
        <f ca="1">_xll.meDateFromTenor(O731,"1D","FOLLOWING",P$12)</f>
        <v>43536</v>
      </c>
      <c r="P732" s="13">
        <f ca="1">_xll.meDateFromTenor(O732,P$14,P$11,P$12)</f>
        <v>43720</v>
      </c>
      <c r="Q732" s="98">
        <f ca="1"/>
        <v>2.2097413804279627E-4</v>
      </c>
      <c r="R732" s="5" t="s">
        <v>4</v>
      </c>
      <c r="S732" s="100">
        <f ca="1">_xll.meDateFromTenor(S731,"1D","FOLLOWING",T$12)</f>
        <v>43536</v>
      </c>
      <c r="T732" s="13">
        <f ca="1">_xll.meDateFromTenor(S732,T$14,T$11,T$12)</f>
        <v>43902</v>
      </c>
      <c r="U732" s="98">
        <f ca="1"/>
        <v>2.3054359625965821E-3</v>
      </c>
      <c r="V732" s="5" t="s">
        <v>4</v>
      </c>
      <c r="W732" s="84" t="s">
        <v>4</v>
      </c>
    </row>
    <row r="733" spans="1:23" x14ac:dyDescent="0.25">
      <c r="A733" s="90">
        <v>714</v>
      </c>
      <c r="B733" s="83"/>
      <c r="C733" s="100">
        <f ca="1">_xll.meDateFromTenor(C732,"1D","FOLLOWING",D$12)</f>
        <v>43537</v>
      </c>
      <c r="D733" s="13">
        <f ca="1">_xll.meDateFromTenor(C733,D$14,D$11,D$12)</f>
        <v>43538</v>
      </c>
      <c r="E733" s="98">
        <f ca="1"/>
        <v>-3.2857629777405368E-3</v>
      </c>
      <c r="F733" s="94"/>
      <c r="G733" s="100">
        <f ca="1">_xll.meDateFromTenor(G732,"1D","FOLLOWING",H$12)</f>
        <v>43537</v>
      </c>
      <c r="H733" s="13">
        <f ca="1">_xll.meDateFromTenor(G733,H$14,H$11,H$12)</f>
        <v>43570</v>
      </c>
      <c r="I733" s="98">
        <f ca="1"/>
        <v>-2.5951358930656754E-3</v>
      </c>
      <c r="J733" s="94" t="s">
        <v>4</v>
      </c>
      <c r="K733" s="100">
        <f ca="1">_xll.meDateFromTenor(K732,"1D","FOLLOWING",L$12)</f>
        <v>43537</v>
      </c>
      <c r="L733" s="13">
        <f ca="1">_xll.meDateFromTenor(K733,L$14,L$11,L$12)</f>
        <v>43629</v>
      </c>
      <c r="M733" s="98">
        <f ca="1"/>
        <v>-1.0532543059337211E-3</v>
      </c>
      <c r="N733" s="5" t="s">
        <v>4</v>
      </c>
      <c r="O733" s="100">
        <f ca="1">_xll.meDateFromTenor(O732,"1D","FOLLOWING",P$12)</f>
        <v>43537</v>
      </c>
      <c r="P733" s="13">
        <f ca="1">_xll.meDateFromTenor(O733,P$14,P$11,P$12)</f>
        <v>43721</v>
      </c>
      <c r="Q733" s="98">
        <f ca="1"/>
        <v>2.2676819245549487E-4</v>
      </c>
      <c r="R733" s="5" t="s">
        <v>4</v>
      </c>
      <c r="S733" s="100">
        <f ca="1">_xll.meDateFromTenor(S732,"1D","FOLLOWING",T$12)</f>
        <v>43537</v>
      </c>
      <c r="T733" s="13">
        <f ca="1">_xll.meDateFromTenor(S733,T$14,T$11,T$12)</f>
        <v>43903</v>
      </c>
      <c r="U733" s="98">
        <f ca="1"/>
        <v>2.311143939248013E-3</v>
      </c>
      <c r="V733" s="5" t="s">
        <v>4</v>
      </c>
      <c r="W733" s="84" t="s">
        <v>4</v>
      </c>
    </row>
    <row r="734" spans="1:23" x14ac:dyDescent="0.25">
      <c r="A734" s="90">
        <v>715</v>
      </c>
      <c r="B734" s="83"/>
      <c r="C734" s="100">
        <f ca="1">_xll.meDateFromTenor(C733,"1D","FOLLOWING",D$12)</f>
        <v>43538</v>
      </c>
      <c r="D734" s="13">
        <f ca="1">_xll.meDateFromTenor(C734,D$14,D$11,D$12)</f>
        <v>43539</v>
      </c>
      <c r="E734" s="98">
        <f ca="1"/>
        <v>-3.2839642104853912E-3</v>
      </c>
      <c r="F734" s="94"/>
      <c r="G734" s="100">
        <f ca="1">_xll.meDateFromTenor(G733,"1D","FOLLOWING",H$12)</f>
        <v>43538</v>
      </c>
      <c r="H734" s="13">
        <f ca="1">_xll.meDateFromTenor(G734,H$14,H$11,H$12)</f>
        <v>43570</v>
      </c>
      <c r="I734" s="98">
        <f ca="1"/>
        <v>-2.5910556500930806E-3</v>
      </c>
      <c r="J734" s="94" t="s">
        <v>4</v>
      </c>
      <c r="K734" s="100">
        <f ca="1">_xll.meDateFromTenor(K733,"1D","FOLLOWING",L$12)</f>
        <v>43538</v>
      </c>
      <c r="L734" s="13">
        <f ca="1">_xll.meDateFromTenor(K734,L$14,L$11,L$12)</f>
        <v>43630</v>
      </c>
      <c r="M734" s="98">
        <f ca="1"/>
        <v>-1.049712291274632E-3</v>
      </c>
      <c r="N734" s="5" t="s">
        <v>4</v>
      </c>
      <c r="O734" s="100">
        <f ca="1">_xll.meDateFromTenor(O733,"1D","FOLLOWING",P$12)</f>
        <v>43538</v>
      </c>
      <c r="P734" s="13">
        <f ca="1">_xll.meDateFromTenor(O734,P$14,P$11,P$12)</f>
        <v>43724</v>
      </c>
      <c r="Q734" s="98">
        <f ca="1"/>
        <v>2.3256569860120478E-4</v>
      </c>
      <c r="R734" s="5" t="s">
        <v>4</v>
      </c>
      <c r="S734" s="100">
        <f ca="1">_xll.meDateFromTenor(S733,"1D","FOLLOWING",T$12)</f>
        <v>43538</v>
      </c>
      <c r="T734" s="13">
        <f ca="1">_xll.meDateFromTenor(S734,T$14,T$11,T$12)</f>
        <v>43906</v>
      </c>
      <c r="U734" s="98">
        <f ca="1"/>
        <v>2.3168523571253838E-3</v>
      </c>
      <c r="V734" s="5" t="s">
        <v>4</v>
      </c>
      <c r="W734" s="84" t="s">
        <v>4</v>
      </c>
    </row>
    <row r="735" spans="1:23" x14ac:dyDescent="0.25">
      <c r="A735" s="90">
        <v>716</v>
      </c>
      <c r="B735" s="83"/>
      <c r="C735" s="100">
        <f ca="1">_xll.meDateFromTenor(C734,"1D","FOLLOWING",D$12)</f>
        <v>43539</v>
      </c>
      <c r="D735" s="13">
        <f ca="1">_xll.meDateFromTenor(C735,D$14,D$11,D$12)</f>
        <v>43542</v>
      </c>
      <c r="E735" s="98">
        <f ca="1"/>
        <v>-3.2802042593349629E-3</v>
      </c>
      <c r="F735" s="94"/>
      <c r="G735" s="100">
        <f ca="1">_xll.meDateFromTenor(G734,"1D","FOLLOWING",H$12)</f>
        <v>43539</v>
      </c>
      <c r="H735" s="13">
        <f ca="1">_xll.meDateFromTenor(G735,H$14,H$11,H$12)</f>
        <v>43570</v>
      </c>
      <c r="I735" s="98">
        <f ca="1"/>
        <v>-2.5869747385294409E-3</v>
      </c>
      <c r="J735" s="94" t="s">
        <v>4</v>
      </c>
      <c r="K735" s="100">
        <f ca="1">_xll.meDateFromTenor(K734,"1D","FOLLOWING",L$12)</f>
        <v>43539</v>
      </c>
      <c r="L735" s="13">
        <f ca="1">_xll.meDateFromTenor(K735,L$14,L$11,L$12)</f>
        <v>43633</v>
      </c>
      <c r="M735" s="98">
        <f ca="1"/>
        <v>-1.0461973436296727E-3</v>
      </c>
      <c r="N735" s="5" t="s">
        <v>4</v>
      </c>
      <c r="O735" s="100">
        <f ca="1">_xll.meDateFromTenor(O734,"1D","FOLLOWING",P$12)</f>
        <v>43539</v>
      </c>
      <c r="P735" s="13">
        <f ca="1">_xll.meDateFromTenor(O735,P$14,P$11,P$12)</f>
        <v>43724</v>
      </c>
      <c r="Q735" s="98">
        <f ca="1"/>
        <v>2.3836661169524852E-4</v>
      </c>
      <c r="R735" s="5" t="s">
        <v>4</v>
      </c>
      <c r="S735" s="100">
        <f ca="1">_xll.meDateFromTenor(S734,"1D","FOLLOWING",T$12)</f>
        <v>43539</v>
      </c>
      <c r="T735" s="13">
        <f ca="1">_xll.meDateFromTenor(S735,T$14,T$11,T$12)</f>
        <v>43906</v>
      </c>
      <c r="U735" s="98">
        <f ca="1"/>
        <v>2.3225611807920392E-3</v>
      </c>
      <c r="V735" s="5" t="s">
        <v>4</v>
      </c>
      <c r="W735" s="84" t="s">
        <v>4</v>
      </c>
    </row>
    <row r="736" spans="1:23" x14ac:dyDescent="0.25">
      <c r="A736" s="90">
        <v>717</v>
      </c>
      <c r="B736" s="83"/>
      <c r="C736" s="100">
        <f ca="1">_xll.meDateFromTenor(C735,"1D","FOLLOWING",D$12)</f>
        <v>43542</v>
      </c>
      <c r="D736" s="13">
        <f ca="1">_xll.meDateFromTenor(C736,D$14,D$11,D$12)</f>
        <v>43543</v>
      </c>
      <c r="E736" s="98">
        <f ca="1"/>
        <v>-3.2763715650130482E-3</v>
      </c>
      <c r="F736" s="94"/>
      <c r="G736" s="100">
        <f ca="1">_xll.meDateFromTenor(G735,"1D","FOLLOWING",H$12)</f>
        <v>43542</v>
      </c>
      <c r="H736" s="13">
        <f ca="1">_xll.meDateFromTenor(G736,H$14,H$11,H$12)</f>
        <v>43573</v>
      </c>
      <c r="I736" s="98">
        <f ca="1"/>
        <v>-2.5747197816222344E-3</v>
      </c>
      <c r="J736" s="94" t="s">
        <v>4</v>
      </c>
      <c r="K736" s="100">
        <f ca="1">_xll.meDateFromTenor(K735,"1D","FOLLOWING",L$12)</f>
        <v>43542</v>
      </c>
      <c r="L736" s="13">
        <f ca="1">_xll.meDateFromTenor(K736,L$14,L$11,L$12)</f>
        <v>43634</v>
      </c>
      <c r="M736" s="98">
        <f ca="1"/>
        <v>-1.0358101321665699E-3</v>
      </c>
      <c r="N736" s="5" t="s">
        <v>4</v>
      </c>
      <c r="O736" s="100">
        <f ca="1">_xll.meDateFromTenor(O735,"1D","FOLLOWING",P$12)</f>
        <v>43542</v>
      </c>
      <c r="P736" s="13">
        <f ca="1">_xll.meDateFromTenor(O736,P$14,P$11,P$12)</f>
        <v>43726</v>
      </c>
      <c r="Q736" s="98">
        <f ca="1"/>
        <v>2.5578934482062716E-4</v>
      </c>
      <c r="R736" s="5" t="s">
        <v>4</v>
      </c>
      <c r="S736" s="100">
        <f ca="1">_xll.meDateFromTenor(S735,"1D","FOLLOWING",T$12)</f>
        <v>43542</v>
      </c>
      <c r="T736" s="13">
        <f ca="1">_xll.meDateFromTenor(S736,T$14,T$11,T$12)</f>
        <v>43908</v>
      </c>
      <c r="U736" s="98">
        <f ca="1"/>
        <v>2.3396897321611714E-3</v>
      </c>
      <c r="V736" s="5" t="s">
        <v>4</v>
      </c>
      <c r="W736" s="84" t="s">
        <v>4</v>
      </c>
    </row>
    <row r="737" spans="1:23" x14ac:dyDescent="0.25">
      <c r="A737" s="90">
        <v>718</v>
      </c>
      <c r="B737" s="83"/>
      <c r="C737" s="100">
        <f ca="1">_xll.meDateFromTenor(C736,"1D","FOLLOWING",D$12)</f>
        <v>43543</v>
      </c>
      <c r="D737" s="13">
        <f ca="1">_xll.meDateFromTenor(C737,D$14,D$11,D$12)</f>
        <v>43544</v>
      </c>
      <c r="E737" s="98">
        <f ca="1"/>
        <v>-3.2743740166463315E-3</v>
      </c>
      <c r="F737" s="94"/>
      <c r="G737" s="100">
        <f ca="1">_xll.meDateFromTenor(G736,"1D","FOLLOWING",H$12)</f>
        <v>43543</v>
      </c>
      <c r="H737" s="13">
        <f ca="1">_xll.meDateFromTenor(G737,H$14,H$11,H$12)</f>
        <v>43578</v>
      </c>
      <c r="I737" s="98">
        <f ca="1"/>
        <v>-2.5706279850244004E-3</v>
      </c>
      <c r="J737" s="94" t="s">
        <v>4</v>
      </c>
      <c r="K737" s="100">
        <f ca="1">_xll.meDateFromTenor(K736,"1D","FOLLOWING",L$12)</f>
        <v>43543</v>
      </c>
      <c r="L737" s="13">
        <f ca="1">_xll.meDateFromTenor(K737,L$14,L$11,L$12)</f>
        <v>43635</v>
      </c>
      <c r="M737" s="98">
        <f ca="1"/>
        <v>-1.0323986819651279E-3</v>
      </c>
      <c r="N737" s="5" t="s">
        <v>4</v>
      </c>
      <c r="O737" s="100">
        <f ca="1">_xll.meDateFromTenor(O736,"1D","FOLLOWING",P$12)</f>
        <v>43543</v>
      </c>
      <c r="P737" s="13">
        <f ca="1">_xll.meDateFromTenor(O737,P$14,P$11,P$12)</f>
        <v>43727</v>
      </c>
      <c r="Q737" s="98">
        <f ca="1"/>
        <v>2.6160343786124646E-4</v>
      </c>
      <c r="R737" s="5" t="s">
        <v>4</v>
      </c>
      <c r="S737" s="100">
        <f ca="1">_xll.meDateFromTenor(S736,"1D","FOLLOWING",T$12)</f>
        <v>43543</v>
      </c>
      <c r="T737" s="13">
        <f ca="1">_xll.meDateFromTenor(S737,T$14,T$11,T$12)</f>
        <v>43909</v>
      </c>
      <c r="U737" s="98">
        <f ca="1"/>
        <v>2.3453998246184206E-3</v>
      </c>
      <c r="V737" s="5" t="s">
        <v>4</v>
      </c>
      <c r="W737" s="84" t="s">
        <v>4</v>
      </c>
    </row>
    <row r="738" spans="1:23" x14ac:dyDescent="0.25">
      <c r="A738" s="90">
        <v>719</v>
      </c>
      <c r="B738" s="83"/>
      <c r="C738" s="100">
        <f ca="1">_xll.meDateFromTenor(C737,"1D","FOLLOWING",D$12)</f>
        <v>43544</v>
      </c>
      <c r="D738" s="13">
        <f ca="1">_xll.meDateFromTenor(C738,D$14,D$11,D$12)</f>
        <v>43545</v>
      </c>
      <c r="E738" s="98">
        <f ca="1"/>
        <v>-3.2723367164777645E-3</v>
      </c>
      <c r="F738" s="94"/>
      <c r="G738" s="100">
        <f ca="1">_xll.meDateFromTenor(G737,"1D","FOLLOWING",H$12)</f>
        <v>43544</v>
      </c>
      <c r="H738" s="13">
        <f ca="1">_xll.meDateFromTenor(G738,H$14,H$11,H$12)</f>
        <v>43578</v>
      </c>
      <c r="I738" s="98">
        <f ca="1"/>
        <v>-2.5665314145005163E-3</v>
      </c>
      <c r="J738" s="94" t="s">
        <v>4</v>
      </c>
      <c r="K738" s="100">
        <f ca="1">_xll.meDateFromTenor(K737,"1D","FOLLOWING",L$12)</f>
        <v>43544</v>
      </c>
      <c r="L738" s="13">
        <f ca="1">_xll.meDateFromTenor(K738,L$14,L$11,L$12)</f>
        <v>43636</v>
      </c>
      <c r="M738" s="98">
        <f ca="1"/>
        <v>-1.0290119134713168E-3</v>
      </c>
      <c r="N738" s="5" t="s">
        <v>4</v>
      </c>
      <c r="O738" s="100">
        <f ca="1">_xll.meDateFromTenor(O737,"1D","FOLLOWING",P$12)</f>
        <v>43544</v>
      </c>
      <c r="P738" s="13">
        <f ca="1">_xll.meDateFromTenor(O738,P$14,P$11,P$12)</f>
        <v>43728</v>
      </c>
      <c r="Q738" s="98">
        <f ca="1"/>
        <v>2.6742071392681728E-4</v>
      </c>
      <c r="R738" s="5" t="s">
        <v>4</v>
      </c>
      <c r="S738" s="100">
        <f ca="1">_xll.meDateFromTenor(S737,"1D","FOLLOWING",T$12)</f>
        <v>43544</v>
      </c>
      <c r="T738" s="13">
        <f ca="1">_xll.meDateFromTenor(S738,T$14,T$11,T$12)</f>
        <v>43910</v>
      </c>
      <c r="U738" s="98">
        <f ca="1"/>
        <v>2.3511101456816807E-3</v>
      </c>
      <c r="V738" s="5" t="s">
        <v>4</v>
      </c>
      <c r="W738" s="84" t="s">
        <v>4</v>
      </c>
    </row>
    <row r="739" spans="1:23" x14ac:dyDescent="0.25">
      <c r="A739" s="90">
        <v>720</v>
      </c>
      <c r="B739" s="83"/>
      <c r="C739" s="100">
        <f ca="1">_xll.meDateFromTenor(C738,"1D","FOLLOWING",D$12)</f>
        <v>43545</v>
      </c>
      <c r="D739" s="13">
        <f ca="1">_xll.meDateFromTenor(C739,D$14,D$11,D$12)</f>
        <v>43546</v>
      </c>
      <c r="E739" s="98">
        <f ca="1"/>
        <v>-3.2702596657463562E-3</v>
      </c>
      <c r="F739" s="94"/>
      <c r="G739" s="100">
        <f ca="1">_xll.meDateFromTenor(G738,"1D","FOLLOWING",H$12)</f>
        <v>43545</v>
      </c>
      <c r="H739" s="13">
        <f ca="1">_xll.meDateFromTenor(G739,H$14,H$11,H$12)</f>
        <v>43578</v>
      </c>
      <c r="I739" s="98">
        <f ca="1"/>
        <v>-2.5624292489835792E-3</v>
      </c>
      <c r="J739" s="94" t="s">
        <v>4</v>
      </c>
      <c r="K739" s="100">
        <f ca="1">_xll.meDateFromTenor(K738,"1D","FOLLOWING",L$12)</f>
        <v>43545</v>
      </c>
      <c r="L739" s="13">
        <f ca="1">_xll.meDateFromTenor(K739,L$14,L$11,L$12)</f>
        <v>43637</v>
      </c>
      <c r="M739" s="98">
        <f ca="1"/>
        <v>-1.0256493496238351E-3</v>
      </c>
      <c r="N739" s="5" t="s">
        <v>4</v>
      </c>
      <c r="O739" s="100">
        <f ca="1">_xll.meDateFromTenor(O738,"1D","FOLLOWING",P$12)</f>
        <v>43545</v>
      </c>
      <c r="P739" s="13">
        <f ca="1">_xll.meDateFromTenor(O739,P$14,P$11,P$12)</f>
        <v>43731</v>
      </c>
      <c r="Q739" s="98">
        <f ca="1"/>
        <v>2.7324112823266496E-4</v>
      </c>
      <c r="R739" s="5" t="s">
        <v>4</v>
      </c>
      <c r="S739" s="100">
        <f ca="1">_xll.meDateFromTenor(S738,"1D","FOLLOWING",T$12)</f>
        <v>43545</v>
      </c>
      <c r="T739" s="13">
        <f ca="1">_xll.meDateFromTenor(S739,T$14,T$11,T$12)</f>
        <v>43913</v>
      </c>
      <c r="U739" s="98">
        <f ca="1"/>
        <v>2.3568206599142976E-3</v>
      </c>
      <c r="V739" s="5" t="s">
        <v>4</v>
      </c>
      <c r="W739" s="84" t="s">
        <v>4</v>
      </c>
    </row>
    <row r="740" spans="1:23" x14ac:dyDescent="0.25">
      <c r="A740" s="90">
        <v>721</v>
      </c>
      <c r="B740" s="83"/>
      <c r="C740" s="100">
        <f ca="1">_xll.meDateFromTenor(C739,"1D","FOLLOWING",D$12)</f>
        <v>43546</v>
      </c>
      <c r="D740" s="13">
        <f ca="1">_xll.meDateFromTenor(C740,D$14,D$11,D$12)</f>
        <v>43549</v>
      </c>
      <c r="E740" s="98">
        <f ca="1"/>
        <v>-3.2659434402759874E-3</v>
      </c>
      <c r="F740" s="94"/>
      <c r="G740" s="100">
        <f ca="1">_xll.meDateFromTenor(G739,"1D","FOLLOWING",H$12)</f>
        <v>43546</v>
      </c>
      <c r="H740" s="13">
        <f ca="1">_xll.meDateFromTenor(G740,H$14,H$11,H$12)</f>
        <v>43578</v>
      </c>
      <c r="I740" s="98">
        <f ca="1"/>
        <v>-2.5583206674065898E-3</v>
      </c>
      <c r="J740" s="94" t="s">
        <v>4</v>
      </c>
      <c r="K740" s="100">
        <f ca="1">_xll.meDateFromTenor(K739,"1D","FOLLOWING",L$12)</f>
        <v>43546</v>
      </c>
      <c r="L740" s="13">
        <f ca="1">_xll.meDateFromTenor(K740,L$14,L$11,L$12)</f>
        <v>43640</v>
      </c>
      <c r="M740" s="98">
        <f ca="1"/>
        <v>-1.0223105133613834E-3</v>
      </c>
      <c r="N740" s="5" t="s">
        <v>4</v>
      </c>
      <c r="O740" s="100">
        <f ca="1">_xll.meDateFromTenor(O739,"1D","FOLLOWING",P$12)</f>
        <v>43546</v>
      </c>
      <c r="P740" s="13">
        <f ca="1">_xll.meDateFromTenor(O740,P$14,P$11,P$12)</f>
        <v>43731</v>
      </c>
      <c r="Q740" s="98">
        <f ca="1"/>
        <v>2.7906463599411212E-4</v>
      </c>
      <c r="R740" s="5" t="s">
        <v>4</v>
      </c>
      <c r="S740" s="100">
        <f ca="1">_xll.meDateFromTenor(S739,"1D","FOLLOWING",T$12)</f>
        <v>43546</v>
      </c>
      <c r="T740" s="13">
        <f ca="1">_xll.meDateFromTenor(S740,T$14,T$11,T$12)</f>
        <v>43913</v>
      </c>
      <c r="U740" s="98">
        <f ca="1"/>
        <v>2.362531331879616E-3</v>
      </c>
      <c r="V740" s="5" t="s">
        <v>4</v>
      </c>
      <c r="W740" s="84" t="s">
        <v>4</v>
      </c>
    </row>
    <row r="741" spans="1:23" x14ac:dyDescent="0.25">
      <c r="A741" s="90">
        <v>722</v>
      </c>
      <c r="B741" s="83"/>
      <c r="C741" s="100">
        <f ca="1">_xll.meDateFromTenor(C740,"1D","FOLLOWING",D$12)</f>
        <v>43549</v>
      </c>
      <c r="D741" s="13">
        <f ca="1">_xll.meDateFromTenor(C741,D$14,D$11,D$12)</f>
        <v>43550</v>
      </c>
      <c r="E741" s="98">
        <f ca="1"/>
        <v>-3.2615539856895143E-3</v>
      </c>
      <c r="F741" s="94"/>
      <c r="G741" s="100">
        <f ca="1">_xll.meDateFromTenor(G740,"1D","FOLLOWING",H$12)</f>
        <v>43549</v>
      </c>
      <c r="H741" s="13">
        <f ca="1">_xll.meDateFromTenor(G741,H$14,H$11,H$12)</f>
        <v>43580</v>
      </c>
      <c r="I741" s="98">
        <f ca="1"/>
        <v>-2.5459482156452956E-3</v>
      </c>
      <c r="J741" s="94" t="s">
        <v>4</v>
      </c>
      <c r="K741" s="100">
        <f ca="1">_xll.meDateFromTenor(K740,"1D","FOLLOWING",L$12)</f>
        <v>43549</v>
      </c>
      <c r="L741" s="13">
        <f ca="1">_xll.meDateFromTenor(K741,L$14,L$11,L$12)</f>
        <v>43641</v>
      </c>
      <c r="M741" s="98">
        <f ca="1"/>
        <v>-1.0124315994712119E-3</v>
      </c>
      <c r="N741" s="5" t="s">
        <v>4</v>
      </c>
      <c r="O741" s="100">
        <f ca="1">_xll.meDateFromTenor(O740,"1D","FOLLOWING",P$12)</f>
        <v>43549</v>
      </c>
      <c r="P741" s="13">
        <f ca="1">_xll.meDateFromTenor(O741,P$14,P$11,P$12)</f>
        <v>43733</v>
      </c>
      <c r="Q741" s="98">
        <f ca="1"/>
        <v>2.9655327216528469E-4</v>
      </c>
      <c r="R741" s="5" t="s">
        <v>4</v>
      </c>
      <c r="S741" s="100">
        <f ca="1">_xll.meDateFromTenor(S740,"1D","FOLLOWING",T$12)</f>
        <v>43549</v>
      </c>
      <c r="T741" s="13">
        <f ca="1">_xll.meDateFromTenor(S741,T$14,T$11,T$12)</f>
        <v>43915</v>
      </c>
      <c r="U741" s="98">
        <f ca="1"/>
        <v>2.3796639398052347E-3</v>
      </c>
      <c r="V741" s="5" t="s">
        <v>4</v>
      </c>
      <c r="W741" s="84" t="s">
        <v>4</v>
      </c>
    </row>
    <row r="742" spans="1:23" x14ac:dyDescent="0.25">
      <c r="A742" s="90">
        <v>723</v>
      </c>
      <c r="B742" s="83"/>
      <c r="C742" s="100">
        <f ca="1">_xll.meDateFromTenor(C741,"1D","FOLLOWING",D$12)</f>
        <v>43550</v>
      </c>
      <c r="D742" s="13">
        <f ca="1">_xll.meDateFromTenor(C742,D$14,D$11,D$12)</f>
        <v>43551</v>
      </c>
      <c r="E742" s="98">
        <f ca="1"/>
        <v>-3.2592782034068907E-3</v>
      </c>
      <c r="F742" s="94"/>
      <c r="G742" s="100">
        <f ca="1">_xll.meDateFromTenor(G741,"1D","FOLLOWING",H$12)</f>
        <v>43550</v>
      </c>
      <c r="H742" s="13">
        <f ca="1">_xll.meDateFromTenor(G742,H$14,H$11,H$12)</f>
        <v>43581</v>
      </c>
      <c r="I742" s="98">
        <f ca="1"/>
        <v>-2.5418057591580852E-3</v>
      </c>
      <c r="J742" s="94" t="s">
        <v>4</v>
      </c>
      <c r="K742" s="100">
        <f ca="1">_xll.meDateFromTenor(K741,"1D","FOLLOWING",L$12)</f>
        <v>43550</v>
      </c>
      <c r="L742" s="13">
        <f ca="1">_xll.meDateFromTenor(K742,L$14,L$11,L$12)</f>
        <v>43642</v>
      </c>
      <c r="M742" s="98">
        <f ca="1"/>
        <v>-1.0091829029358827E-3</v>
      </c>
      <c r="N742" s="5" t="s">
        <v>4</v>
      </c>
      <c r="O742" s="100">
        <f ca="1">_xll.meDateFromTenor(O741,"1D","FOLLOWING",P$12)</f>
        <v>43550</v>
      </c>
      <c r="P742" s="13">
        <f ca="1">_xll.meDateFromTenor(O742,P$14,P$11,P$12)</f>
        <v>43734</v>
      </c>
      <c r="Q742" s="98">
        <f ca="1"/>
        <v>3.0238870590236483E-4</v>
      </c>
      <c r="R742" s="5" t="s">
        <v>4</v>
      </c>
      <c r="S742" s="100">
        <f ca="1">_xll.meDateFromTenor(S741,"1D","FOLLOWING",T$12)</f>
        <v>43550</v>
      </c>
      <c r="T742" s="13">
        <f ca="1">_xll.meDateFromTenor(S742,T$14,T$11,T$12)</f>
        <v>43916</v>
      </c>
      <c r="U742" s="98">
        <f ca="1"/>
        <v>2.3853748883348133E-3</v>
      </c>
      <c r="V742" s="5" t="s">
        <v>4</v>
      </c>
      <c r="W742" s="84" t="s">
        <v>4</v>
      </c>
    </row>
    <row r="743" spans="1:23" x14ac:dyDescent="0.25">
      <c r="A743" s="90">
        <v>724</v>
      </c>
      <c r="B743" s="83"/>
      <c r="C743" s="100">
        <f ca="1">_xll.meDateFromTenor(C742,"1D","FOLLOWING",D$12)</f>
        <v>43551</v>
      </c>
      <c r="D743" s="13">
        <f ca="1">_xll.meDateFromTenor(C743,D$14,D$11,D$12)</f>
        <v>43552</v>
      </c>
      <c r="E743" s="98">
        <f ca="1"/>
        <v>-3.2569626790346479E-3</v>
      </c>
      <c r="F743" s="94"/>
      <c r="G743" s="100">
        <f ca="1">_xll.meDateFromTenor(G742,"1D","FOLLOWING",H$12)</f>
        <v>43551</v>
      </c>
      <c r="H743" s="13">
        <f ca="1">_xll.meDateFromTenor(G743,H$14,H$11,H$12)</f>
        <v>43584</v>
      </c>
      <c r="I743" s="98">
        <f ca="1"/>
        <v>-2.5376527812758171E-3</v>
      </c>
      <c r="J743" s="94" t="s">
        <v>4</v>
      </c>
      <c r="K743" s="100">
        <f ca="1">_xll.meDateFromTenor(K742,"1D","FOLLOWING",L$12)</f>
        <v>43551</v>
      </c>
      <c r="L743" s="13">
        <f ca="1">_xll.meDateFromTenor(K743,L$14,L$11,L$12)</f>
        <v>43643</v>
      </c>
      <c r="M743" s="98">
        <f ca="1"/>
        <v>-1.0059555486790844E-3</v>
      </c>
      <c r="N743" s="5" t="s">
        <v>4</v>
      </c>
      <c r="O743" s="100">
        <f ca="1">_xll.meDateFromTenor(O742,"1D","FOLLOWING",P$12)</f>
        <v>43551</v>
      </c>
      <c r="P743" s="13">
        <f ca="1">_xll.meDateFromTenor(O743,P$14,P$11,P$12)</f>
        <v>43735</v>
      </c>
      <c r="Q743" s="98">
        <f ca="1"/>
        <v>3.0822700917166218E-4</v>
      </c>
      <c r="R743" s="5" t="s">
        <v>4</v>
      </c>
      <c r="S743" s="100">
        <f ca="1">_xll.meDateFromTenor(S742,"1D","FOLLOWING",T$12)</f>
        <v>43551</v>
      </c>
      <c r="T743" s="13">
        <f ca="1">_xll.meDateFromTenor(S743,T$14,T$11,T$12)</f>
        <v>43917</v>
      </c>
      <c r="U743" s="98">
        <f ca="1"/>
        <v>2.3910858174138187E-3</v>
      </c>
      <c r="V743" s="5" t="s">
        <v>4</v>
      </c>
      <c r="W743" s="84" t="s">
        <v>4</v>
      </c>
    </row>
    <row r="744" spans="1:23" x14ac:dyDescent="0.25">
      <c r="A744" s="90">
        <v>725</v>
      </c>
      <c r="B744" s="83"/>
      <c r="C744" s="100">
        <f ca="1">_xll.meDateFromTenor(C743,"1D","FOLLOWING",D$12)</f>
        <v>43552</v>
      </c>
      <c r="D744" s="13">
        <f ca="1">_xll.meDateFromTenor(C744,D$14,D$11,D$12)</f>
        <v>43553</v>
      </c>
      <c r="E744" s="98">
        <f ca="1"/>
        <v>-3.2546074138917309E-3</v>
      </c>
      <c r="F744" s="94"/>
      <c r="G744" s="100">
        <f ca="1">_xll.meDateFromTenor(G743,"1D","FOLLOWING",H$12)</f>
        <v>43552</v>
      </c>
      <c r="H744" s="13">
        <f ca="1">_xll.meDateFromTenor(G744,H$14,H$11,H$12)</f>
        <v>43584</v>
      </c>
      <c r="I744" s="98">
        <f ca="1"/>
        <v>-2.5334884609314904E-3</v>
      </c>
      <c r="J744" s="94" t="s">
        <v>4</v>
      </c>
      <c r="K744" s="100">
        <f ca="1">_xll.meDateFromTenor(K743,"1D","FOLLOWING",L$12)</f>
        <v>43552</v>
      </c>
      <c r="L744" s="13">
        <f ca="1">_xll.meDateFromTenor(K744,L$14,L$11,L$12)</f>
        <v>43644</v>
      </c>
      <c r="M744" s="98">
        <f ca="1"/>
        <v>-1.0027490596395169E-3</v>
      </c>
      <c r="N744" s="5" t="s">
        <v>4</v>
      </c>
      <c r="O744" s="100">
        <f ca="1">_xll.meDateFromTenor(O743,"1D","FOLLOWING",P$12)</f>
        <v>43552</v>
      </c>
      <c r="P744" s="13">
        <f ca="1">_xll.meDateFromTenor(O744,P$14,P$11,P$12)</f>
        <v>43738</v>
      </c>
      <c r="Q744" s="98">
        <f ca="1"/>
        <v>3.1406813718850006E-4</v>
      </c>
      <c r="R744" s="5" t="s">
        <v>4</v>
      </c>
      <c r="S744" s="100">
        <f ca="1">_xll.meDateFromTenor(S743,"1D","FOLLOWING",T$12)</f>
        <v>43552</v>
      </c>
      <c r="T744" s="13">
        <f ca="1">_xll.meDateFromTenor(S744,T$14,T$11,T$12)</f>
        <v>43920</v>
      </c>
      <c r="U744" s="98">
        <f ca="1"/>
        <v>2.3967966916055971E-3</v>
      </c>
      <c r="V744" s="5" t="s">
        <v>4</v>
      </c>
      <c r="W744" s="84" t="s">
        <v>4</v>
      </c>
    </row>
    <row r="745" spans="1:23" x14ac:dyDescent="0.25">
      <c r="A745" s="90">
        <v>726</v>
      </c>
      <c r="B745" s="83"/>
      <c r="C745" s="100">
        <f ca="1">_xll.meDateFromTenor(C744,"1D","FOLLOWING",D$12)</f>
        <v>43553</v>
      </c>
      <c r="D745" s="13">
        <f ca="1">_xll.meDateFromTenor(C745,D$14,D$11,D$12)</f>
        <v>43556</v>
      </c>
      <c r="E745" s="98">
        <f ca="1"/>
        <v>-3.2497350856575242E-3</v>
      </c>
      <c r="F745" s="94"/>
      <c r="G745" s="100">
        <f ca="1">_xll.meDateFromTenor(G744,"1D","FOLLOWING",H$12)</f>
        <v>43553</v>
      </c>
      <c r="H745" s="13">
        <f ca="1">_xll.meDateFromTenor(G745,H$14,H$11,H$12)</f>
        <v>43584</v>
      </c>
      <c r="I745" s="98">
        <f ca="1"/>
        <v>-2.5293119770581048E-3</v>
      </c>
      <c r="J745" s="94" t="s">
        <v>4</v>
      </c>
      <c r="K745" s="100">
        <f ca="1">_xll.meDateFromTenor(K744,"1D","FOLLOWING",L$12)</f>
        <v>43553</v>
      </c>
      <c r="L745" s="13">
        <f ca="1">_xll.meDateFromTenor(K745,L$14,L$11,L$12)</f>
        <v>43644</v>
      </c>
      <c r="M745" s="98">
        <f ca="1"/>
        <v>-9.9956295875588139E-4</v>
      </c>
      <c r="N745" s="5" t="s">
        <v>4</v>
      </c>
      <c r="O745" s="100">
        <f ca="1">_xll.meDateFromTenor(O744,"1D","FOLLOWING",P$12)</f>
        <v>43553</v>
      </c>
      <c r="P745" s="13">
        <f ca="1">_xll.meDateFromTenor(O745,P$14,P$11,P$12)</f>
        <v>43738</v>
      </c>
      <c r="Q745" s="98">
        <f ca="1"/>
        <v>3.1991204516820099E-4</v>
      </c>
      <c r="R745" s="5" t="s">
        <v>4</v>
      </c>
      <c r="S745" s="100">
        <f ca="1">_xll.meDateFromTenor(S744,"1D","FOLLOWING",T$12)</f>
        <v>43553</v>
      </c>
      <c r="T745" s="13">
        <f ca="1">_xll.meDateFromTenor(S745,T$14,T$11,T$12)</f>
        <v>43920</v>
      </c>
      <c r="U745" s="98">
        <f ca="1"/>
        <v>2.4025074754734934E-3</v>
      </c>
      <c r="V745" s="5" t="s">
        <v>4</v>
      </c>
      <c r="W745" s="84" t="s">
        <v>4</v>
      </c>
    </row>
    <row r="746" spans="1:23" x14ac:dyDescent="0.25">
      <c r="A746" s="90">
        <v>727</v>
      </c>
      <c r="B746" s="83"/>
      <c r="C746" s="100">
        <f ca="1">_xll.meDateFromTenor(C745,"1D","FOLLOWING",D$12)</f>
        <v>43556</v>
      </c>
      <c r="D746" s="13">
        <f ca="1">_xll.meDateFromTenor(C746,D$14,D$11,D$12)</f>
        <v>43557</v>
      </c>
      <c r="E746" s="98">
        <f ca="1"/>
        <v>-3.2447889742304287E-3</v>
      </c>
      <c r="F746" s="94"/>
      <c r="G746" s="100">
        <f ca="1">_xll.meDateFromTenor(G745,"1D","FOLLOWING",H$12)</f>
        <v>43556</v>
      </c>
      <c r="H746" s="13">
        <f ca="1">_xll.meDateFromTenor(G746,H$14,H$11,H$12)</f>
        <v>43587</v>
      </c>
      <c r="I746" s="98">
        <f ca="1"/>
        <v>-2.5167013335935791E-3</v>
      </c>
      <c r="J746" s="94" t="s">
        <v>4</v>
      </c>
      <c r="K746" s="100">
        <f ca="1">_xll.meDateFromTenor(K745,"1D","FOLLOWING",L$12)</f>
        <v>43556</v>
      </c>
      <c r="L746" s="13">
        <f ca="1">_xll.meDateFromTenor(K746,L$14,L$11,L$12)</f>
        <v>43647</v>
      </c>
      <c r="M746" s="98">
        <f ca="1"/>
        <v>-9.9012221442756226E-4</v>
      </c>
      <c r="N746" s="5" t="s">
        <v>4</v>
      </c>
      <c r="O746" s="100">
        <f ca="1">_xll.meDateFromTenor(O745,"1D","FOLLOWING",P$12)</f>
        <v>43556</v>
      </c>
      <c r="P746" s="13">
        <f ca="1">_xll.meDateFromTenor(O746,P$14,P$11,P$12)</f>
        <v>43739</v>
      </c>
      <c r="Q746" s="98">
        <f ca="1"/>
        <v>3.3746000103772545E-4</v>
      </c>
      <c r="R746" s="5" t="s">
        <v>4</v>
      </c>
      <c r="S746" s="100">
        <f ca="1">_xll.meDateFromTenor(S745,"1D","FOLLOWING",T$12)</f>
        <v>43556</v>
      </c>
      <c r="T746" s="13">
        <f ca="1">_xll.meDateFromTenor(S746,T$14,T$11,T$12)</f>
        <v>43922</v>
      </c>
      <c r="U746" s="98">
        <f ca="1"/>
        <v>2.4196389307673451E-3</v>
      </c>
      <c r="V746" s="5" t="s">
        <v>4</v>
      </c>
      <c r="W746" s="84" t="s">
        <v>4</v>
      </c>
    </row>
    <row r="747" spans="1:23" x14ac:dyDescent="0.25">
      <c r="A747" s="90">
        <v>728</v>
      </c>
      <c r="B747" s="83"/>
      <c r="C747" s="100">
        <f ca="1">_xll.meDateFromTenor(C746,"1D","FOLLOWING",D$12)</f>
        <v>43557</v>
      </c>
      <c r="D747" s="13">
        <f ca="1">_xll.meDateFromTenor(C747,D$14,D$11,D$12)</f>
        <v>43558</v>
      </c>
      <c r="E747" s="98">
        <f ca="1"/>
        <v>-3.2422350263372596E-3</v>
      </c>
      <c r="F747" s="94"/>
      <c r="G747" s="100">
        <f ca="1">_xll.meDateFromTenor(G746,"1D","FOLLOWING",H$12)</f>
        <v>43557</v>
      </c>
      <c r="H747" s="13">
        <f ca="1">_xll.meDateFromTenor(G747,H$14,H$11,H$12)</f>
        <v>43587</v>
      </c>
      <c r="I747" s="98">
        <f ca="1"/>
        <v>-2.5124679849339443E-3</v>
      </c>
      <c r="J747" s="94" t="s">
        <v>4</v>
      </c>
      <c r="K747" s="100">
        <f ca="1">_xll.meDateFromTenor(K746,"1D","FOLLOWING",L$12)</f>
        <v>43557</v>
      </c>
      <c r="L747" s="13">
        <f ca="1">_xll.meDateFromTenor(K747,L$14,L$11,L$12)</f>
        <v>43648</v>
      </c>
      <c r="M747" s="98">
        <f ca="1"/>
        <v>-9.8701289555465279E-4</v>
      </c>
      <c r="N747" s="5" t="s">
        <v>4</v>
      </c>
      <c r="O747" s="100">
        <f ca="1">_xll.meDateFromTenor(O746,"1D","FOLLOWING",P$12)</f>
        <v>43557</v>
      </c>
      <c r="P747" s="13">
        <f ca="1">_xll.meDateFromTenor(O747,P$14,P$11,P$12)</f>
        <v>43740</v>
      </c>
      <c r="Q747" s="98">
        <f ca="1"/>
        <v>3.4331458102211887E-4</v>
      </c>
      <c r="R747" s="5" t="s">
        <v>4</v>
      </c>
      <c r="S747" s="100">
        <f ca="1">_xll.meDateFromTenor(S746,"1D","FOLLOWING",T$12)</f>
        <v>43557</v>
      </c>
      <c r="T747" s="13">
        <f ca="1">_xll.meDateFromTenor(S747,T$14,T$11,T$12)</f>
        <v>43923</v>
      </c>
      <c r="U747" s="98">
        <f ca="1"/>
        <v>2.4253489989731671E-3</v>
      </c>
      <c r="V747" s="5" t="s">
        <v>4</v>
      </c>
      <c r="W747" s="84" t="s">
        <v>4</v>
      </c>
    </row>
    <row r="748" spans="1:23" x14ac:dyDescent="0.25">
      <c r="A748" s="90">
        <v>729</v>
      </c>
      <c r="B748" s="83"/>
      <c r="C748" s="100">
        <f ca="1">_xll.meDateFromTenor(C747,"1D","FOLLOWING",D$12)</f>
        <v>43558</v>
      </c>
      <c r="D748" s="13">
        <f ca="1">_xll.meDateFromTenor(C748,D$14,D$11,D$12)</f>
        <v>43559</v>
      </c>
      <c r="E748" s="98">
        <f ca="1"/>
        <v>-3.2396413460267343E-3</v>
      </c>
      <c r="F748" s="94"/>
      <c r="G748" s="100">
        <f ca="1">_xll.meDateFromTenor(G747,"1D","FOLLOWING",H$12)</f>
        <v>43558</v>
      </c>
      <c r="H748" s="13">
        <f ca="1">_xll.meDateFromTenor(G748,H$14,H$11,H$12)</f>
        <v>43588</v>
      </c>
      <c r="I748" s="98">
        <f ca="1"/>
        <v>-2.5082187261501634E-3</v>
      </c>
      <c r="J748" s="94" t="s">
        <v>4</v>
      </c>
      <c r="K748" s="100">
        <f ca="1">_xll.meDateFromTenor(K747,"1D","FOLLOWING",L$12)</f>
        <v>43558</v>
      </c>
      <c r="L748" s="13">
        <f ca="1">_xll.meDateFromTenor(K748,L$14,L$11,L$12)</f>
        <v>43649</v>
      </c>
      <c r="M748" s="98">
        <f ca="1"/>
        <v>-9.8392157953117502E-4</v>
      </c>
      <c r="N748" s="5" t="s">
        <v>4</v>
      </c>
      <c r="O748" s="100">
        <f ca="1">_xll.meDateFromTenor(O747,"1D","FOLLOWING",P$12)</f>
        <v>43558</v>
      </c>
      <c r="P748" s="13">
        <f ca="1">_xll.meDateFromTenor(O748,P$14,P$11,P$12)</f>
        <v>43741</v>
      </c>
      <c r="Q748" s="98">
        <f ca="1"/>
        <v>3.4917171704599393E-4</v>
      </c>
      <c r="R748" s="5" t="s">
        <v>4</v>
      </c>
      <c r="S748" s="100">
        <f ca="1">_xll.meDateFromTenor(S747,"1D","FOLLOWING",T$12)</f>
        <v>43558</v>
      </c>
      <c r="T748" s="13">
        <f ca="1">_xll.meDateFromTenor(S748,T$14,T$11,T$12)</f>
        <v>43924</v>
      </c>
      <c r="U748" s="98">
        <f ca="1"/>
        <v>2.4310587996718334E-3</v>
      </c>
      <c r="V748" s="5" t="s">
        <v>4</v>
      </c>
      <c r="W748" s="84" t="s">
        <v>4</v>
      </c>
    </row>
    <row r="749" spans="1:23" x14ac:dyDescent="0.25">
      <c r="A749" s="90">
        <v>730</v>
      </c>
      <c r="B749" s="83"/>
      <c r="C749" s="100">
        <f ca="1">_xll.meDateFromTenor(C748,"1D","FOLLOWING",D$12)</f>
        <v>43559</v>
      </c>
      <c r="D749" s="13">
        <f ca="1">_xll.meDateFromTenor(C749,D$14,D$11,D$12)</f>
        <v>43560</v>
      </c>
      <c r="E749" s="98">
        <f ca="1"/>
        <v>-3.2370079348576059E-3</v>
      </c>
      <c r="F749" s="94"/>
      <c r="G749" s="100">
        <f ca="1">_xll.meDateFromTenor(G748,"1D","FOLLOWING",H$12)</f>
        <v>43559</v>
      </c>
      <c r="H749" s="13">
        <f ca="1">_xll.meDateFromTenor(G749,H$14,H$11,H$12)</f>
        <v>43591</v>
      </c>
      <c r="I749" s="98">
        <f ca="1"/>
        <v>-2.5039545298748264E-3</v>
      </c>
      <c r="J749" s="94" t="s">
        <v>4</v>
      </c>
      <c r="K749" s="100">
        <f ca="1">_xll.meDateFromTenor(K748,"1D","FOLLOWING",L$12)</f>
        <v>43559</v>
      </c>
      <c r="L749" s="13">
        <f ca="1">_xll.meDateFromTenor(K749,L$14,L$11,L$12)</f>
        <v>43650</v>
      </c>
      <c r="M749" s="98">
        <f ca="1"/>
        <v>-9.808477892958294E-4</v>
      </c>
      <c r="N749" s="5" t="s">
        <v>4</v>
      </c>
      <c r="O749" s="100">
        <f ca="1">_xll.meDateFromTenor(O748,"1D","FOLLOWING",P$12)</f>
        <v>43559</v>
      </c>
      <c r="P749" s="13">
        <f ca="1">_xll.meDateFromTenor(O749,P$14,P$11,P$12)</f>
        <v>43742</v>
      </c>
      <c r="Q749" s="98">
        <f ca="1"/>
        <v>3.5503136432467423E-4</v>
      </c>
      <c r="R749" s="5" t="s">
        <v>4</v>
      </c>
      <c r="S749" s="100">
        <f ca="1">_xll.meDateFromTenor(S748,"1D","FOLLOWING",T$12)</f>
        <v>43559</v>
      </c>
      <c r="T749" s="13">
        <f ca="1">_xll.meDateFromTenor(S749,T$14,T$11,T$12)</f>
        <v>43927</v>
      </c>
      <c r="U749" s="98">
        <f ca="1"/>
        <v>2.4367682974266894E-3</v>
      </c>
      <c r="V749" s="5" t="s">
        <v>4</v>
      </c>
      <c r="W749" s="84" t="s">
        <v>4</v>
      </c>
    </row>
    <row r="750" spans="1:23" x14ac:dyDescent="0.25">
      <c r="A750" s="90">
        <v>731</v>
      </c>
      <c r="B750" s="83"/>
      <c r="C750" s="100">
        <f ca="1">_xll.meDateFromTenor(C749,"1D","FOLLOWING",D$12)</f>
        <v>43560</v>
      </c>
      <c r="D750" s="13">
        <f ca="1">_xll.meDateFromTenor(C750,D$14,D$11,D$12)</f>
        <v>43563</v>
      </c>
      <c r="E750" s="98">
        <f ca="1"/>
        <v>-3.2315796733106807E-3</v>
      </c>
      <c r="F750" s="94"/>
      <c r="G750" s="100">
        <f ca="1">_xll.meDateFromTenor(G749,"1D","FOLLOWING",H$12)</f>
        <v>43560</v>
      </c>
      <c r="H750" s="13">
        <f ca="1">_xll.meDateFromTenor(G750,H$14,H$11,H$12)</f>
        <v>43591</v>
      </c>
      <c r="I750" s="98">
        <f ca="1"/>
        <v>-2.4996767274804419E-3</v>
      </c>
      <c r="J750" s="94" t="s">
        <v>4</v>
      </c>
      <c r="K750" s="100">
        <f ca="1">_xll.meDateFromTenor(K749,"1D","FOLLOWING",L$12)</f>
        <v>43560</v>
      </c>
      <c r="L750" s="13">
        <f ca="1">_xll.meDateFromTenor(K750,L$14,L$11,L$12)</f>
        <v>43651</v>
      </c>
      <c r="M750" s="98">
        <f ca="1"/>
        <v>-9.7779104778731598E-4</v>
      </c>
      <c r="N750" s="5" t="s">
        <v>4</v>
      </c>
      <c r="O750" s="100">
        <f ca="1">_xll.meDateFromTenor(O749,"1D","FOLLOWING",P$12)</f>
        <v>43560</v>
      </c>
      <c r="P750" s="13">
        <f ca="1">_xll.meDateFromTenor(O750,P$14,P$11,P$12)</f>
        <v>43745</v>
      </c>
      <c r="Q750" s="98">
        <f ca="1"/>
        <v>3.6089347807348313E-4</v>
      </c>
      <c r="R750" s="5" t="s">
        <v>4</v>
      </c>
      <c r="S750" s="100">
        <f ca="1">_xll.meDateFromTenor(S749,"1D","FOLLOWING",T$12)</f>
        <v>43560</v>
      </c>
      <c r="T750" s="13">
        <f ca="1">_xll.meDateFromTenor(S750,T$14,T$11,T$12)</f>
        <v>43927</v>
      </c>
      <c r="U750" s="98">
        <f ca="1"/>
        <v>2.4424774568010802E-3</v>
      </c>
      <c r="V750" s="5" t="s">
        <v>4</v>
      </c>
      <c r="W750" s="84" t="s">
        <v>4</v>
      </c>
    </row>
    <row r="751" spans="1:23" x14ac:dyDescent="0.25">
      <c r="A751" s="90">
        <v>732</v>
      </c>
      <c r="B751" s="83"/>
      <c r="C751" s="100">
        <f ca="1">_xll.meDateFromTenor(C750,"1D","FOLLOWING",D$12)</f>
        <v>43563</v>
      </c>
      <c r="D751" s="13">
        <f ca="1">_xll.meDateFromTenor(C751,D$14,D$11,D$12)</f>
        <v>43564</v>
      </c>
      <c r="E751" s="98">
        <f ca="1"/>
        <v>-3.2260770068548552E-3</v>
      </c>
      <c r="F751" s="94"/>
      <c r="G751" s="100">
        <f ca="1">_xll.meDateFromTenor(G750,"1D","FOLLOWING",H$12)</f>
        <v>43563</v>
      </c>
      <c r="H751" s="13">
        <f ca="1">_xll.meDateFromTenor(G751,H$14,H$11,H$12)</f>
        <v>43593</v>
      </c>
      <c r="I751" s="98">
        <f ca="1"/>
        <v>-2.4867749973080861E-3</v>
      </c>
      <c r="J751" s="94" t="s">
        <v>4</v>
      </c>
      <c r="K751" s="100">
        <f ca="1">_xll.meDateFromTenor(K750,"1D","FOLLOWING",L$12)</f>
        <v>43563</v>
      </c>
      <c r="L751" s="13">
        <f ca="1">_xll.meDateFromTenor(K751,L$14,L$11,L$12)</f>
        <v>43654</v>
      </c>
      <c r="M751" s="98">
        <f ca="1"/>
        <v>-9.6871834500977143E-4</v>
      </c>
      <c r="N751" s="5" t="s">
        <v>4</v>
      </c>
      <c r="O751" s="100">
        <f ca="1">_xll.meDateFromTenor(O750,"1D","FOLLOWING",P$12)</f>
        <v>43563</v>
      </c>
      <c r="P751" s="13">
        <f ca="1">_xll.meDateFromTenor(O751,P$14,P$11,P$12)</f>
        <v>43746</v>
      </c>
      <c r="Q751" s="98">
        <f ca="1"/>
        <v>3.784941702939165E-4</v>
      </c>
      <c r="R751" s="5" t="s">
        <v>4</v>
      </c>
      <c r="S751" s="100">
        <f ca="1">_xll.meDateFromTenor(S750,"1D","FOLLOWING",T$12)</f>
        <v>43563</v>
      </c>
      <c r="T751" s="13">
        <f ca="1">_xll.meDateFromTenor(S751,T$14,T$11,T$12)</f>
        <v>43929</v>
      </c>
      <c r="U751" s="98">
        <f ca="1"/>
        <v>2.4596025502749111E-3</v>
      </c>
      <c r="V751" s="5" t="s">
        <v>4</v>
      </c>
      <c r="W751" s="84" t="s">
        <v>4</v>
      </c>
    </row>
    <row r="752" spans="1:23" x14ac:dyDescent="0.25">
      <c r="A752" s="90">
        <v>733</v>
      </c>
      <c r="B752" s="83"/>
      <c r="C752" s="100">
        <f ca="1">_xll.meDateFromTenor(C751,"1D","FOLLOWING",D$12)</f>
        <v>43564</v>
      </c>
      <c r="D752" s="13">
        <f ca="1">_xll.meDateFromTenor(C752,D$14,D$11,D$12)</f>
        <v>43565</v>
      </c>
      <c r="E752" s="98">
        <f ca="1"/>
        <v>-3.2232449609370774E-3</v>
      </c>
      <c r="F752" s="94"/>
      <c r="G752" s="100">
        <f ca="1">_xll.meDateFromTenor(G751,"1D","FOLLOWING",H$12)</f>
        <v>43564</v>
      </c>
      <c r="H752" s="13">
        <f ca="1">_xll.meDateFromTenor(G752,H$14,H$11,H$12)</f>
        <v>43594</v>
      </c>
      <c r="I752" s="98">
        <f ca="1"/>
        <v>-2.4824560841625949E-3</v>
      </c>
      <c r="J752" s="94" t="s">
        <v>4</v>
      </c>
      <c r="K752" s="100">
        <f ca="1">_xll.meDateFromTenor(K751,"1D","FOLLOWING",L$12)</f>
        <v>43564</v>
      </c>
      <c r="L752" s="13">
        <f ca="1">_xll.meDateFromTenor(K752,L$14,L$11,L$12)</f>
        <v>43655</v>
      </c>
      <c r="M752" s="98">
        <f ca="1"/>
        <v>-9.6572502779558871E-4</v>
      </c>
      <c r="N752" s="5" t="s">
        <v>4</v>
      </c>
      <c r="O752" s="100">
        <f ca="1">_xll.meDateFromTenor(O751,"1D","FOLLOWING",P$12)</f>
        <v>43564</v>
      </c>
      <c r="P752" s="13">
        <f ca="1">_xll.meDateFromTenor(O752,P$14,P$11,P$12)</f>
        <v>43747</v>
      </c>
      <c r="Q752" s="98">
        <f ca="1"/>
        <v>3.8436570207647547E-4</v>
      </c>
      <c r="R752" s="5" t="s">
        <v>4</v>
      </c>
      <c r="S752" s="100">
        <f ca="1">_xll.meDateFromTenor(S751,"1D","FOLLOWING",T$12)</f>
        <v>43564</v>
      </c>
      <c r="T752" s="13">
        <f ca="1">_xll.meDateFromTenor(S752,T$14,T$11,T$12)</f>
        <v>43930</v>
      </c>
      <c r="U752" s="98">
        <f ca="1"/>
        <v>2.4653100017608932E-3</v>
      </c>
      <c r="V752" s="5" t="s">
        <v>4</v>
      </c>
      <c r="W752" s="84" t="s">
        <v>4</v>
      </c>
    </row>
    <row r="753" spans="1:23" x14ac:dyDescent="0.25">
      <c r="A753" s="90">
        <v>734</v>
      </c>
      <c r="B753" s="83"/>
      <c r="C753" s="100">
        <f ca="1">_xll.meDateFromTenor(C752,"1D","FOLLOWING",D$12)</f>
        <v>43565</v>
      </c>
      <c r="D753" s="13">
        <f ca="1">_xll.meDateFromTenor(C753,D$14,D$11,D$12)</f>
        <v>43566</v>
      </c>
      <c r="E753" s="98">
        <f ca="1"/>
        <v>-3.2203731922742064E-3</v>
      </c>
      <c r="F753" s="94"/>
      <c r="G753" s="100">
        <f ca="1">_xll.meDateFromTenor(G752,"1D","FOLLOWING",H$12)</f>
        <v>43565</v>
      </c>
      <c r="H753" s="13">
        <f ca="1">_xll.meDateFromTenor(G753,H$14,H$11,H$12)</f>
        <v>43595</v>
      </c>
      <c r="I753" s="98">
        <f ca="1"/>
        <v>-2.4781302217605984E-3</v>
      </c>
      <c r="J753" s="94" t="s">
        <v>4</v>
      </c>
      <c r="K753" s="100">
        <f ca="1">_xll.meDateFromTenor(K752,"1D","FOLLOWING",L$12)</f>
        <v>43565</v>
      </c>
      <c r="L753" s="13">
        <f ca="1">_xll.meDateFromTenor(K753,L$14,L$11,L$12)</f>
        <v>43656</v>
      </c>
      <c r="M753" s="98">
        <f ca="1"/>
        <v>-9.6274637400173952E-4</v>
      </c>
      <c r="N753" s="5" t="s">
        <v>4</v>
      </c>
      <c r="O753" s="100">
        <f ca="1">_xll.meDateFromTenor(O752,"1D","FOLLOWING",P$12)</f>
        <v>43565</v>
      </c>
      <c r="P753" s="13">
        <f ca="1">_xll.meDateFromTenor(O753,P$14,P$11,P$12)</f>
        <v>43748</v>
      </c>
      <c r="Q753" s="98">
        <f ca="1"/>
        <v>3.902394764057798E-4</v>
      </c>
      <c r="R753" s="5" t="s">
        <v>4</v>
      </c>
      <c r="S753" s="100">
        <f ca="1">_xll.meDateFromTenor(S752,"1D","FOLLOWING",T$12)</f>
        <v>43565</v>
      </c>
      <c r="T753" s="13">
        <f ca="1">_xll.meDateFromTenor(S753,T$14,T$11,T$12)</f>
        <v>43935</v>
      </c>
      <c r="U753" s="98">
        <f ca="1"/>
        <v>2.4710169376831346E-3</v>
      </c>
      <c r="V753" s="5" t="s">
        <v>4</v>
      </c>
      <c r="W753" s="84" t="s">
        <v>4</v>
      </c>
    </row>
    <row r="754" spans="1:23" x14ac:dyDescent="0.25">
      <c r="A754" s="90">
        <v>735</v>
      </c>
      <c r="B754" s="83"/>
      <c r="C754" s="100">
        <f ca="1">_xll.meDateFromTenor(C753,"1D","FOLLOWING",D$12)</f>
        <v>43566</v>
      </c>
      <c r="D754" s="13">
        <f ca="1">_xll.meDateFromTenor(C754,D$14,D$11,D$12)</f>
        <v>43567</v>
      </c>
      <c r="E754" s="98">
        <f ca="1"/>
        <v>-3.217461701905411E-3</v>
      </c>
      <c r="F754" s="94"/>
      <c r="G754" s="100">
        <f ca="1">_xll.meDateFromTenor(G753,"1D","FOLLOWING",H$12)</f>
        <v>43566</v>
      </c>
      <c r="H754" s="13">
        <f ca="1">_xll.meDateFromTenor(G754,H$14,H$11,H$12)</f>
        <v>43598</v>
      </c>
      <c r="I754" s="98">
        <f ca="1"/>
        <v>-2.4737987414746041E-3</v>
      </c>
      <c r="J754" s="94" t="s">
        <v>4</v>
      </c>
      <c r="K754" s="100">
        <f ca="1">_xll.meDateFromTenor(K753,"1D","FOLLOWING",L$12)</f>
        <v>43566</v>
      </c>
      <c r="L754" s="13">
        <f ca="1">_xll.meDateFromTenor(K754,L$14,L$11,L$12)</f>
        <v>43657</v>
      </c>
      <c r="M754" s="98">
        <f ca="1"/>
        <v>-9.5978190656692292E-4</v>
      </c>
      <c r="N754" s="5" t="s">
        <v>4</v>
      </c>
      <c r="O754" s="100">
        <f ca="1">_xll.meDateFromTenor(O753,"1D","FOLLOWING",P$12)</f>
        <v>43566</v>
      </c>
      <c r="P754" s="13">
        <f ca="1">_xll.meDateFromTenor(O754,P$14,P$11,P$12)</f>
        <v>43749</v>
      </c>
      <c r="Q754" s="98">
        <f ca="1"/>
        <v>3.9611544849715472E-4</v>
      </c>
      <c r="R754" s="5" t="s">
        <v>4</v>
      </c>
      <c r="S754" s="100">
        <f ca="1">_xll.meDateFromTenor(S753,"1D","FOLLOWING",T$12)</f>
        <v>43566</v>
      </c>
      <c r="T754" s="13">
        <f ca="1">_xll.meDateFromTenor(S754,T$14,T$11,T$12)</f>
        <v>43935</v>
      </c>
      <c r="U754" s="98">
        <f ca="1"/>
        <v>2.4767233226049828E-3</v>
      </c>
      <c r="V754" s="5" t="s">
        <v>4</v>
      </c>
      <c r="W754" s="84" t="s">
        <v>4</v>
      </c>
    </row>
    <row r="755" spans="1:23" x14ac:dyDescent="0.25">
      <c r="A755" s="90">
        <v>736</v>
      </c>
      <c r="B755" s="83"/>
      <c r="C755" s="100">
        <f ca="1">_xll.meDateFromTenor(C754,"1D","FOLLOWING",D$12)</f>
        <v>43567</v>
      </c>
      <c r="D755" s="13">
        <f ca="1">_xll.meDateFromTenor(C755,D$14,D$11,D$12)</f>
        <v>43570</v>
      </c>
      <c r="E755" s="98">
        <f ca="1"/>
        <v>-3.2114776741121289E-3</v>
      </c>
      <c r="F755" s="94"/>
      <c r="G755" s="100">
        <f ca="1">_xll.meDateFromTenor(G754,"1D","FOLLOWING",H$12)</f>
        <v>43567</v>
      </c>
      <c r="H755" s="13">
        <f ca="1">_xll.meDateFromTenor(G755,H$14,H$11,H$12)</f>
        <v>43598</v>
      </c>
      <c r="I755" s="98">
        <f ca="1"/>
        <v>-2.4694629746771207E-3</v>
      </c>
      <c r="J755" s="94" t="s">
        <v>4</v>
      </c>
      <c r="K755" s="100">
        <f ca="1">_xll.meDateFromTenor(K754,"1D","FOLLOWING",L$12)</f>
        <v>43567</v>
      </c>
      <c r="L755" s="13">
        <f ca="1">_xll.meDateFromTenor(K755,L$14,L$11,L$12)</f>
        <v>43658</v>
      </c>
      <c r="M755" s="98">
        <f ca="1"/>
        <v>-9.5683114842983949E-4</v>
      </c>
      <c r="N755" s="5" t="s">
        <v>4</v>
      </c>
      <c r="O755" s="100">
        <f ca="1">_xll.meDateFromTenor(O754,"1D","FOLLOWING",P$12)</f>
        <v>43567</v>
      </c>
      <c r="P755" s="13">
        <f ca="1">_xll.meDateFromTenor(O755,P$14,P$11,P$12)</f>
        <v>43752</v>
      </c>
      <c r="Q755" s="98">
        <f ca="1"/>
        <v>4.0199357356592312E-4</v>
      </c>
      <c r="R755" s="5" t="s">
        <v>4</v>
      </c>
      <c r="S755" s="100">
        <f ca="1">_xll.meDateFromTenor(S754,"1D","FOLLOWING",T$12)</f>
        <v>43567</v>
      </c>
      <c r="T755" s="13">
        <f ca="1">_xll.meDateFromTenor(S755,T$14,T$11,T$12)</f>
        <v>43935</v>
      </c>
      <c r="U755" s="98">
        <f ca="1"/>
        <v>2.4824291210897827E-3</v>
      </c>
      <c r="V755" s="5" t="s">
        <v>4</v>
      </c>
      <c r="W755" s="84" t="s">
        <v>4</v>
      </c>
    </row>
    <row r="756" spans="1:23" x14ac:dyDescent="0.25">
      <c r="A756" s="90">
        <v>737</v>
      </c>
      <c r="B756" s="83"/>
      <c r="C756" s="100">
        <f ca="1">_xll.meDateFromTenor(C755,"1D","FOLLOWING",D$12)</f>
        <v>43570</v>
      </c>
      <c r="D756" s="13">
        <f ca="1">_xll.meDateFromTenor(C756,D$14,D$11,D$12)</f>
        <v>43571</v>
      </c>
      <c r="E756" s="98">
        <f ca="1"/>
        <v>-3.20541855326707E-3</v>
      </c>
      <c r="F756" s="94"/>
      <c r="G756" s="100">
        <f ca="1">_xll.meDateFromTenor(G755,"1D","FOLLOWING",H$12)</f>
        <v>43570</v>
      </c>
      <c r="H756" s="13">
        <f ca="1">_xll.meDateFromTenor(G756,H$14,H$11,H$12)</f>
        <v>43600</v>
      </c>
      <c r="I756" s="98">
        <f ca="1"/>
        <v>-2.4564432689408214E-3</v>
      </c>
      <c r="J756" s="94" t="s">
        <v>4</v>
      </c>
      <c r="K756" s="100">
        <f ca="1">_xll.meDateFromTenor(K755,"1D","FOLLOWING",L$12)</f>
        <v>43570</v>
      </c>
      <c r="L756" s="13">
        <f ca="1">_xll.meDateFromTenor(K756,L$14,L$11,L$12)</f>
        <v>43661</v>
      </c>
      <c r="M756" s="98">
        <f ca="1"/>
        <v>-9.4805635919199089E-4</v>
      </c>
      <c r="N756" s="5" t="s">
        <v>4</v>
      </c>
      <c r="O756" s="100">
        <f ca="1">_xll.meDateFromTenor(O755,"1D","FOLLOWING",P$12)</f>
        <v>43570</v>
      </c>
      <c r="P756" s="13">
        <f ca="1">_xll.meDateFromTenor(O756,P$14,P$11,P$12)</f>
        <v>43753</v>
      </c>
      <c r="Q756" s="98">
        <f ca="1"/>
        <v>4.1964041878982328E-4</v>
      </c>
      <c r="R756" s="5" t="s">
        <v>4</v>
      </c>
      <c r="S756" s="100">
        <f ca="1">_xll.meDateFromTenor(S755,"1D","FOLLOWING",T$12)</f>
        <v>43570</v>
      </c>
      <c r="T756" s="13">
        <f ca="1">_xll.meDateFromTenor(S756,T$14,T$11,T$12)</f>
        <v>43936</v>
      </c>
      <c r="U756" s="98">
        <f ca="1"/>
        <v>2.499542643555341E-3</v>
      </c>
      <c r="V756" s="5" t="s">
        <v>4</v>
      </c>
      <c r="W756" s="84" t="s">
        <v>4</v>
      </c>
    </row>
    <row r="757" spans="1:23" x14ac:dyDescent="0.25">
      <c r="A757" s="90">
        <v>738</v>
      </c>
      <c r="B757" s="83"/>
      <c r="C757" s="100">
        <f ca="1">_xll.meDateFromTenor(C756,"1D","FOLLOWING",D$12)</f>
        <v>43571</v>
      </c>
      <c r="D757" s="13">
        <f ca="1">_xll.meDateFromTenor(C757,D$14,D$11,D$12)</f>
        <v>43572</v>
      </c>
      <c r="E757" s="98">
        <f ca="1"/>
        <v>-3.2023084757515476E-3</v>
      </c>
      <c r="F757" s="94"/>
      <c r="G757" s="100">
        <f ca="1">_xll.meDateFromTenor(G756,"1D","FOLLOWING",H$12)</f>
        <v>43571</v>
      </c>
      <c r="H757" s="13">
        <f ca="1">_xll.meDateFromTenor(G757,H$14,H$11,H$12)</f>
        <v>43601</v>
      </c>
      <c r="I757" s="98">
        <f ca="1"/>
        <v>-2.4521036698224681E-3</v>
      </c>
      <c r="J757" s="94" t="s">
        <v>4</v>
      </c>
      <c r="K757" s="100">
        <f ca="1">_xll.meDateFromTenor(K756,"1D","FOLLOWING",L$12)</f>
        <v>43571</v>
      </c>
      <c r="L757" s="13">
        <f ca="1">_xll.meDateFromTenor(K757,L$14,L$11,L$12)</f>
        <v>43662</v>
      </c>
      <c r="M757" s="98">
        <f ca="1"/>
        <v>-9.4515566763284271E-4</v>
      </c>
      <c r="N757" s="5" t="s">
        <v>4</v>
      </c>
      <c r="O757" s="100">
        <f ca="1">_xll.meDateFromTenor(O756,"1D","FOLLOWING",P$12)</f>
        <v>43571</v>
      </c>
      <c r="P757" s="13">
        <f ca="1">_xll.meDateFromTenor(O757,P$14,P$11,P$12)</f>
        <v>43754</v>
      </c>
      <c r="Q757" s="98">
        <f ca="1"/>
        <v>4.2552670792139904E-4</v>
      </c>
      <c r="R757" s="5" t="s">
        <v>4</v>
      </c>
      <c r="S757" s="100">
        <f ca="1">_xll.meDateFromTenor(S756,"1D","FOLLOWING",T$12)</f>
        <v>43571</v>
      </c>
      <c r="T757" s="13">
        <f ca="1">_xll.meDateFromTenor(S757,T$14,T$11,T$12)</f>
        <v>43937</v>
      </c>
      <c r="U757" s="98">
        <f ca="1"/>
        <v>2.5052457419253967E-3</v>
      </c>
      <c r="V757" s="5" t="s">
        <v>4</v>
      </c>
      <c r="W757" s="84" t="s">
        <v>4</v>
      </c>
    </row>
    <row r="758" spans="1:23" x14ac:dyDescent="0.25">
      <c r="A758" s="90">
        <v>739</v>
      </c>
      <c r="B758" s="83"/>
      <c r="C758" s="100">
        <f ca="1">_xll.meDateFromTenor(C757,"1D","FOLLOWING",D$12)</f>
        <v>43572</v>
      </c>
      <c r="D758" s="13">
        <f ca="1">_xll.meDateFromTenor(C758,D$14,D$11,D$12)</f>
        <v>43573</v>
      </c>
      <c r="E758" s="98">
        <f ca="1"/>
        <v>-3.1991586848834188E-3</v>
      </c>
      <c r="F758" s="94"/>
      <c r="G758" s="100">
        <f ca="1">_xll.meDateFromTenor(G757,"1D","FOLLOWING",H$12)</f>
        <v>43572</v>
      </c>
      <c r="H758" s="13">
        <f ca="1">_xll.meDateFromTenor(G758,H$14,H$11,H$12)</f>
        <v>43602</v>
      </c>
      <c r="I758" s="98">
        <f ca="1"/>
        <v>-2.447766441055166E-3</v>
      </c>
      <c r="J758" s="94" t="s">
        <v>4</v>
      </c>
      <c r="K758" s="100">
        <f ca="1">_xll.meDateFromTenor(K757,"1D","FOLLOWING",L$12)</f>
        <v>43572</v>
      </c>
      <c r="L758" s="13">
        <f ca="1">_xll.meDateFromTenor(K758,L$14,L$11,L$12)</f>
        <v>43663</v>
      </c>
      <c r="M758" s="98">
        <f ca="1"/>
        <v>-9.4226630006492807E-4</v>
      </c>
      <c r="N758" s="5" t="s">
        <v>4</v>
      </c>
      <c r="O758" s="100">
        <f ca="1">_xll.meDateFromTenor(O757,"1D","FOLLOWING",P$12)</f>
        <v>43572</v>
      </c>
      <c r="P758" s="13">
        <f ca="1">_xll.meDateFromTenor(O758,P$14,P$11,P$12)</f>
        <v>43755</v>
      </c>
      <c r="Q758" s="98">
        <f ca="1"/>
        <v>4.3141492610698681E-4</v>
      </c>
      <c r="R758" s="5" t="s">
        <v>4</v>
      </c>
      <c r="S758" s="100">
        <f ca="1">_xll.meDateFromTenor(S757,"1D","FOLLOWING",T$12)</f>
        <v>43572</v>
      </c>
      <c r="T758" s="13">
        <f ca="1">_xll.meDateFromTenor(S758,T$14,T$11,T$12)</f>
        <v>43938</v>
      </c>
      <c r="U758" s="98">
        <f ca="1"/>
        <v>2.5109480766751305E-3</v>
      </c>
      <c r="V758" s="5" t="s">
        <v>4</v>
      </c>
      <c r="W758" s="84" t="s">
        <v>4</v>
      </c>
    </row>
    <row r="759" spans="1:23" x14ac:dyDescent="0.25">
      <c r="A759" s="90">
        <v>740</v>
      </c>
      <c r="B759" s="83"/>
      <c r="C759" s="100">
        <f ca="1">_xll.meDateFromTenor(C758,"1D","FOLLOWING",D$12)</f>
        <v>43573</v>
      </c>
      <c r="D759" s="13">
        <f ca="1">_xll.meDateFromTenor(C759,D$14,D$11,D$12)</f>
        <v>43578</v>
      </c>
      <c r="E759" s="98">
        <f ca="1"/>
        <v>-3.1893748235543142E-3</v>
      </c>
      <c r="F759" s="94"/>
      <c r="G759" s="100">
        <f ca="1">_xll.meDateFromTenor(G758,"1D","FOLLOWING",H$12)</f>
        <v>43573</v>
      </c>
      <c r="H759" s="13">
        <f ca="1">_xll.meDateFromTenor(G759,H$14,H$11,H$12)</f>
        <v>43605</v>
      </c>
      <c r="I759" s="98">
        <f ca="1"/>
        <v>-2.4434329140114262E-3</v>
      </c>
      <c r="J759" s="94" t="s">
        <v>4</v>
      </c>
      <c r="K759" s="100">
        <f ca="1">_xll.meDateFromTenor(K758,"1D","FOLLOWING",L$12)</f>
        <v>43573</v>
      </c>
      <c r="L759" s="13">
        <f ca="1">_xll.meDateFromTenor(K759,L$14,L$11,L$12)</f>
        <v>43664</v>
      </c>
      <c r="M759" s="98">
        <f ca="1"/>
        <v>-9.3938777942694776E-4</v>
      </c>
      <c r="N759" s="5" t="s">
        <v>4</v>
      </c>
      <c r="O759" s="100">
        <f ca="1">_xll.meDateFromTenor(O758,"1D","FOLLOWING",P$12)</f>
        <v>43573</v>
      </c>
      <c r="P759" s="13">
        <f ca="1">_xll.meDateFromTenor(O759,P$14,P$11,P$12)</f>
        <v>43756</v>
      </c>
      <c r="Q759" s="98">
        <f ca="1"/>
        <v>4.3730502856190894E-4</v>
      </c>
      <c r="R759" s="5" t="s">
        <v>4</v>
      </c>
      <c r="S759" s="100">
        <f ca="1">_xll.meDateFromTenor(S758,"1D","FOLLOWING",T$12)</f>
        <v>43573</v>
      </c>
      <c r="T759" s="13">
        <f ca="1">_xll.meDateFromTenor(S759,T$14,T$11,T$12)</f>
        <v>43941</v>
      </c>
      <c r="U759" s="98">
        <f ca="1"/>
        <v>2.5166496123678866E-3</v>
      </c>
      <c r="V759" s="5" t="s">
        <v>4</v>
      </c>
      <c r="W759" s="84" t="s">
        <v>4</v>
      </c>
    </row>
    <row r="760" spans="1:23" x14ac:dyDescent="0.25">
      <c r="A760" s="90">
        <v>741</v>
      </c>
      <c r="B760" s="83"/>
      <c r="C760" s="100">
        <f ca="1">_xll.meDateFromTenor(C759,"1D","FOLLOWING",D$12)</f>
        <v>43578</v>
      </c>
      <c r="D760" s="13">
        <f ca="1">_xll.meDateFromTenor(C760,D$14,D$11,D$12)</f>
        <v>43579</v>
      </c>
      <c r="E760" s="98">
        <f ca="1"/>
        <v>-3.1794260316115345E-3</v>
      </c>
      <c r="F760" s="94"/>
      <c r="G760" s="100">
        <f ca="1">_xll.meDateFromTenor(G759,"1D","FOLLOWING",H$12)</f>
        <v>43578</v>
      </c>
      <c r="H760" s="13">
        <f ca="1">_xll.meDateFromTenor(G760,H$14,H$11,H$12)</f>
        <v>43608</v>
      </c>
      <c r="I760" s="98">
        <f ca="1"/>
        <v>-2.4218674026839446E-3</v>
      </c>
      <c r="J760" s="94" t="s">
        <v>4</v>
      </c>
      <c r="K760" s="100">
        <f ca="1">_xll.meDateFromTenor(K759,"1D","FOLLOWING",L$12)</f>
        <v>43578</v>
      </c>
      <c r="L760" s="13">
        <f ca="1">_xll.meDateFromTenor(K760,L$14,L$11,L$12)</f>
        <v>43669</v>
      </c>
      <c r="M760" s="98">
        <f ca="1"/>
        <v>-9.2514118304056414E-4</v>
      </c>
      <c r="N760" s="5" t="s">
        <v>4</v>
      </c>
      <c r="O760" s="100">
        <f ca="1">_xll.meDateFromTenor(O759,"1D","FOLLOWING",P$12)</f>
        <v>43578</v>
      </c>
      <c r="P760" s="13">
        <f ca="1">_xll.meDateFromTenor(O760,P$14,P$11,P$12)</f>
        <v>43761</v>
      </c>
      <c r="Q760" s="98">
        <f ca="1"/>
        <v>4.6678223741285793E-4</v>
      </c>
      <c r="R760" s="5" t="s">
        <v>4</v>
      </c>
      <c r="S760" s="100">
        <f ca="1">_xll.meDateFromTenor(S759,"1D","FOLLOWING",T$12)</f>
        <v>43578</v>
      </c>
      <c r="T760" s="13">
        <f ca="1">_xll.meDateFromTenor(S760,T$14,T$11,T$12)</f>
        <v>43944</v>
      </c>
      <c r="U760" s="98">
        <f ca="1"/>
        <v>2.5451440646940874E-3</v>
      </c>
      <c r="V760" s="5" t="s">
        <v>4</v>
      </c>
      <c r="W760" s="84" t="s">
        <v>4</v>
      </c>
    </row>
    <row r="761" spans="1:23" x14ac:dyDescent="0.25">
      <c r="A761" s="90">
        <v>742</v>
      </c>
      <c r="B761" s="83"/>
      <c r="C761" s="100">
        <f ca="1">_xll.meDateFromTenor(C760,"1D","FOLLOWING",D$12)</f>
        <v>43579</v>
      </c>
      <c r="D761" s="13">
        <f ca="1">_xll.meDateFromTenor(C761,D$14,D$11,D$12)</f>
        <v>43580</v>
      </c>
      <c r="E761" s="98">
        <f ca="1"/>
        <v>-3.1759982837664793E-3</v>
      </c>
      <c r="F761" s="94"/>
      <c r="G761" s="100">
        <f ca="1">_xll.meDateFromTenor(G760,"1D","FOLLOWING",H$12)</f>
        <v>43579</v>
      </c>
      <c r="H761" s="13">
        <f ca="1">_xll.meDateFromTenor(G761,H$14,H$11,H$12)</f>
        <v>43609</v>
      </c>
      <c r="I761" s="98">
        <f ca="1"/>
        <v>-2.4175840448042506E-3</v>
      </c>
      <c r="J761" s="94" t="s">
        <v>4</v>
      </c>
      <c r="K761" s="100">
        <f ca="1">_xll.meDateFromTenor(K760,"1D","FOLLOWING",L$12)</f>
        <v>43579</v>
      </c>
      <c r="L761" s="13">
        <f ca="1">_xll.meDateFromTenor(K761,L$14,L$11,L$12)</f>
        <v>43670</v>
      </c>
      <c r="M761" s="98">
        <f ca="1"/>
        <v>-9.2231772569489195E-4</v>
      </c>
      <c r="N761" s="5" t="s">
        <v>4</v>
      </c>
      <c r="O761" s="100">
        <f ca="1">_xll.meDateFromTenor(O760,"1D","FOLLOWING",P$12)</f>
        <v>43579</v>
      </c>
      <c r="P761" s="13">
        <f ca="1">_xll.meDateFromTenor(O761,P$14,P$11,P$12)</f>
        <v>43762</v>
      </c>
      <c r="Q761" s="98">
        <f ca="1"/>
        <v>4.7268270500558038E-4</v>
      </c>
      <c r="R761" s="5" t="s">
        <v>4</v>
      </c>
      <c r="S761" s="100">
        <f ca="1">_xll.meDateFromTenor(S760,"1D","FOLLOWING",T$12)</f>
        <v>43579</v>
      </c>
      <c r="T761" s="13">
        <f ca="1">_xll.meDateFromTenor(S761,T$14,T$11,T$12)</f>
        <v>43945</v>
      </c>
      <c r="U761" s="98">
        <f ca="1"/>
        <v>2.550840061875228E-3</v>
      </c>
      <c r="V761" s="5" t="s">
        <v>4</v>
      </c>
      <c r="W761" s="84" t="s">
        <v>4</v>
      </c>
    </row>
    <row r="762" spans="1:23" x14ac:dyDescent="0.25">
      <c r="A762" s="90">
        <v>743</v>
      </c>
      <c r="B762" s="83"/>
      <c r="C762" s="100">
        <f ca="1">_xll.meDateFromTenor(C761,"1D","FOLLOWING",D$12)</f>
        <v>43580</v>
      </c>
      <c r="D762" s="13">
        <f ca="1">_xll.meDateFromTenor(C762,D$14,D$11,D$12)</f>
        <v>43581</v>
      </c>
      <c r="E762" s="98">
        <f ca="1"/>
        <v>-3.1725308329599968E-3</v>
      </c>
      <c r="F762" s="94"/>
      <c r="G762" s="100">
        <f ca="1">_xll.meDateFromTenor(G761,"1D","FOLLOWING",H$12)</f>
        <v>43580</v>
      </c>
      <c r="H762" s="13">
        <f ca="1">_xll.meDateFromTenor(G762,H$14,H$11,H$12)</f>
        <v>43612</v>
      </c>
      <c r="I762" s="98">
        <f ca="1"/>
        <v>-2.4133137082556775E-3</v>
      </c>
      <c r="J762" s="94" t="s">
        <v>4</v>
      </c>
      <c r="K762" s="100">
        <f ca="1">_xll.meDateFromTenor(K761,"1D","FOLLOWING",L$12)</f>
        <v>43580</v>
      </c>
      <c r="L762" s="13">
        <f ca="1">_xll.meDateFromTenor(K762,L$14,L$11,L$12)</f>
        <v>43671</v>
      </c>
      <c r="M762" s="98">
        <f ca="1"/>
        <v>-9.1950177585005562E-4</v>
      </c>
      <c r="N762" s="5" t="s">
        <v>4</v>
      </c>
      <c r="O762" s="100">
        <f ca="1">_xll.meDateFromTenor(O761,"1D","FOLLOWING",P$12)</f>
        <v>43580</v>
      </c>
      <c r="P762" s="13">
        <f ca="1">_xll.meDateFromTenor(O762,P$14,P$11,P$12)</f>
        <v>43763</v>
      </c>
      <c r="Q762" s="98">
        <f ca="1"/>
        <v>4.7858474337490102E-4</v>
      </c>
      <c r="R762" s="5" t="s">
        <v>4</v>
      </c>
      <c r="S762" s="100">
        <f ca="1">_xll.meDateFromTenor(S761,"1D","FOLLOWING",T$12)</f>
        <v>43580</v>
      </c>
      <c r="T762" s="13">
        <f ca="1">_xll.meDateFromTenor(S762,T$14,T$11,T$12)</f>
        <v>43948</v>
      </c>
      <c r="U762" s="98">
        <f ca="1"/>
        <v>2.556535011942807E-3</v>
      </c>
      <c r="V762" s="5" t="s">
        <v>4</v>
      </c>
      <c r="W762" s="84" t="s">
        <v>4</v>
      </c>
    </row>
    <row r="763" spans="1:23" x14ac:dyDescent="0.25">
      <c r="A763" s="90">
        <v>744</v>
      </c>
      <c r="B763" s="83"/>
      <c r="C763" s="100">
        <f ca="1">_xll.meDateFromTenor(C762,"1D","FOLLOWING",D$12)</f>
        <v>43581</v>
      </c>
      <c r="D763" s="13">
        <f ca="1">_xll.meDateFromTenor(C763,D$14,D$11,D$12)</f>
        <v>43584</v>
      </c>
      <c r="E763" s="98">
        <f ca="1"/>
        <v>-3.1654357612431851E-3</v>
      </c>
      <c r="F763" s="94"/>
      <c r="G763" s="100">
        <f ca="1">_xll.meDateFromTenor(G762,"1D","FOLLOWING",H$12)</f>
        <v>43581</v>
      </c>
      <c r="H763" s="13">
        <f ca="1">_xll.meDateFromTenor(G763,H$14,H$11,H$12)</f>
        <v>43612</v>
      </c>
      <c r="I763" s="98">
        <f ca="1"/>
        <v>-2.4090577244107328E-3</v>
      </c>
      <c r="J763" s="94" t="s">
        <v>4</v>
      </c>
      <c r="K763" s="100">
        <f ca="1">_xll.meDateFromTenor(K762,"1D","FOLLOWING",L$12)</f>
        <v>43581</v>
      </c>
      <c r="L763" s="13">
        <f ca="1">_xll.meDateFromTenor(K763,L$14,L$11,L$12)</f>
        <v>43672</v>
      </c>
      <c r="M763" s="98">
        <f ca="1"/>
        <v>-9.1669285644475418E-4</v>
      </c>
      <c r="N763" s="5" t="s">
        <v>4</v>
      </c>
      <c r="O763" s="100">
        <f ca="1">_xll.meDateFromTenor(O762,"1D","FOLLOWING",P$12)</f>
        <v>43581</v>
      </c>
      <c r="P763" s="13">
        <f ca="1">_xll.meDateFromTenor(O763,P$14,P$11,P$12)</f>
        <v>43766</v>
      </c>
      <c r="Q763" s="98">
        <f ca="1"/>
        <v>4.8448830773614509E-4</v>
      </c>
      <c r="R763" s="5" t="s">
        <v>4</v>
      </c>
      <c r="S763" s="100">
        <f ca="1">_xll.meDateFromTenor(S762,"1D","FOLLOWING",T$12)</f>
        <v>43581</v>
      </c>
      <c r="T763" s="13">
        <f ca="1">_xll.meDateFromTenor(S763,T$14,T$11,T$12)</f>
        <v>43948</v>
      </c>
      <c r="U763" s="98">
        <f ca="1"/>
        <v>2.5622288794601711E-3</v>
      </c>
      <c r="V763" s="5" t="s">
        <v>4</v>
      </c>
      <c r="W763" s="84" t="s">
        <v>4</v>
      </c>
    </row>
    <row r="764" spans="1:23" x14ac:dyDescent="0.25">
      <c r="A764" s="90">
        <v>745</v>
      </c>
      <c r="B764" s="83"/>
      <c r="C764" s="100">
        <f ca="1">_xll.meDateFromTenor(C763,"1D","FOLLOWING",D$12)</f>
        <v>43584</v>
      </c>
      <c r="D764" s="13">
        <f ca="1">_xll.meDateFromTenor(C764,D$14,D$11,D$12)</f>
        <v>43585</v>
      </c>
      <c r="E764" s="98">
        <f ca="1"/>
        <v>-3.1582640268634889E-3</v>
      </c>
      <c r="F764" s="94"/>
      <c r="G764" s="100">
        <f ca="1">_xll.meDateFromTenor(G763,"1D","FOLLOWING",H$12)</f>
        <v>43584</v>
      </c>
      <c r="H764" s="13">
        <f ca="1">_xll.meDateFromTenor(G764,H$14,H$11,H$12)</f>
        <v>43614</v>
      </c>
      <c r="I764" s="98">
        <f ca="1"/>
        <v>-2.3963892028227552E-3</v>
      </c>
      <c r="J764" s="94" t="s">
        <v>4</v>
      </c>
      <c r="K764" s="100">
        <f ca="1">_xll.meDateFromTenor(K763,"1D","FOLLOWING",L$12)</f>
        <v>43584</v>
      </c>
      <c r="L764" s="13">
        <f ca="1">_xll.meDateFromTenor(K764,L$14,L$11,L$12)</f>
        <v>43675</v>
      </c>
      <c r="M764" s="98">
        <f ca="1"/>
        <v>-9.0830351025306371E-4</v>
      </c>
      <c r="N764" s="5" t="s">
        <v>4</v>
      </c>
      <c r="O764" s="100">
        <f ca="1">_xll.meDateFromTenor(O763,"1D","FOLLOWING",P$12)</f>
        <v>43584</v>
      </c>
      <c r="P764" s="13">
        <f ca="1">_xll.meDateFromTenor(O764,P$14,P$11,P$12)</f>
        <v>43767</v>
      </c>
      <c r="Q764" s="98">
        <f ca="1"/>
        <v>5.0220770892464692E-4</v>
      </c>
      <c r="R764" s="5" t="s">
        <v>4</v>
      </c>
      <c r="S764" s="100">
        <f ca="1">_xll.meDateFromTenor(S763,"1D","FOLLOWING",T$12)</f>
        <v>43584</v>
      </c>
      <c r="T764" s="13">
        <f ca="1">_xll.meDateFromTenor(S764,T$14,T$11,T$12)</f>
        <v>43950</v>
      </c>
      <c r="U764" s="98">
        <f ca="1"/>
        <v>2.5793036323444193E-3</v>
      </c>
      <c r="V764" s="5" t="s">
        <v>4</v>
      </c>
      <c r="W764" s="84" t="s">
        <v>4</v>
      </c>
    </row>
    <row r="765" spans="1:23" x14ac:dyDescent="0.25">
      <c r="A765" s="90">
        <v>746</v>
      </c>
      <c r="B765" s="83"/>
      <c r="C765" s="100">
        <f ca="1">_xll.meDateFromTenor(C764,"1D","FOLLOWING",D$12)</f>
        <v>43585</v>
      </c>
      <c r="D765" s="13">
        <f ca="1">_xll.meDateFromTenor(C765,D$14,D$11,D$12)</f>
        <v>43587</v>
      </c>
      <c r="E765" s="98">
        <f ca="1"/>
        <v>-3.1527314552226684E-3</v>
      </c>
      <c r="F765" s="94"/>
      <c r="G765" s="100">
        <f ca="1">_xll.meDateFromTenor(G764,"1D","FOLLOWING",H$12)</f>
        <v>43585</v>
      </c>
      <c r="H765" s="13">
        <f ca="1">_xll.meDateFromTenor(G765,H$14,H$11,H$12)</f>
        <v>43615</v>
      </c>
      <c r="I765" s="98">
        <f ca="1"/>
        <v>-2.3922039435174099E-3</v>
      </c>
      <c r="J765" s="94" t="s">
        <v>4</v>
      </c>
      <c r="K765" s="100">
        <f ca="1">_xll.meDateFromTenor(K764,"1D","FOLLOWING",L$12)</f>
        <v>43585</v>
      </c>
      <c r="L765" s="13">
        <f ca="1">_xll.meDateFromTenor(K765,L$14,L$11,L$12)</f>
        <v>43676</v>
      </c>
      <c r="M765" s="98">
        <f ca="1"/>
        <v>-9.0551794199290523E-4</v>
      </c>
      <c r="N765" s="5" t="s">
        <v>4</v>
      </c>
      <c r="O765" s="100">
        <f ca="1">_xll.meDateFromTenor(O764,"1D","FOLLOWING",P$12)</f>
        <v>43585</v>
      </c>
      <c r="P765" s="13">
        <f ca="1">_xll.meDateFromTenor(O765,P$14,P$11,P$12)</f>
        <v>43768</v>
      </c>
      <c r="Q765" s="98">
        <f ca="1"/>
        <v>5.0811692940681634E-4</v>
      </c>
      <c r="R765" s="5" t="s">
        <v>4</v>
      </c>
      <c r="S765" s="100">
        <f ca="1">_xll.meDateFromTenor(S764,"1D","FOLLOWING",T$12)</f>
        <v>43585</v>
      </c>
      <c r="T765" s="13">
        <f ca="1">_xll.meDateFromTenor(S765,T$14,T$11,T$12)</f>
        <v>43951</v>
      </c>
      <c r="U765" s="98">
        <f ca="1"/>
        <v>2.5849928152943723E-3</v>
      </c>
      <c r="V765" s="5" t="s">
        <v>4</v>
      </c>
      <c r="W765" s="84" t="s">
        <v>4</v>
      </c>
    </row>
    <row r="766" spans="1:23" x14ac:dyDescent="0.25">
      <c r="A766" s="90">
        <v>747</v>
      </c>
      <c r="B766" s="83"/>
      <c r="C766" s="100">
        <f ca="1">_xll.meDateFromTenor(C765,"1D","FOLLOWING",D$12)</f>
        <v>43587</v>
      </c>
      <c r="D766" s="13">
        <f ca="1">_xll.meDateFromTenor(C766,D$14,D$11,D$12)</f>
        <v>43588</v>
      </c>
      <c r="E766" s="98">
        <f ca="1"/>
        <v>-3.1471471051602974E-3</v>
      </c>
      <c r="F766" s="94"/>
      <c r="G766" s="100">
        <f ca="1">_xll.meDateFromTenor(G765,"1D","FOLLOWING",H$12)</f>
        <v>43587</v>
      </c>
      <c r="H766" s="13">
        <f ca="1">_xll.meDateFromTenor(G766,H$14,H$11,H$12)</f>
        <v>43619</v>
      </c>
      <c r="I766" s="98">
        <f ca="1"/>
        <v>-2.3838977849777393E-3</v>
      </c>
      <c r="J766" s="94" t="s">
        <v>4</v>
      </c>
      <c r="K766" s="100">
        <f ca="1">_xll.meDateFromTenor(K765,"1D","FOLLOWING",L$12)</f>
        <v>43587</v>
      </c>
      <c r="L766" s="13">
        <f ca="1">_xll.meDateFromTenor(K766,L$14,L$11,L$12)</f>
        <v>43679</v>
      </c>
      <c r="M766" s="98">
        <f ca="1"/>
        <v>-8.999602638103967E-4</v>
      </c>
      <c r="N766" s="5" t="s">
        <v>4</v>
      </c>
      <c r="O766" s="100">
        <f ca="1">_xll.meDateFromTenor(O765,"1D","FOLLOWING",P$12)</f>
        <v>43587</v>
      </c>
      <c r="P766" s="13">
        <f ca="1">_xll.meDateFromTenor(O766,P$14,P$11,P$12)</f>
        <v>43773</v>
      </c>
      <c r="Q766" s="98">
        <f ca="1"/>
        <v>5.1993923179209926E-4</v>
      </c>
      <c r="R766" s="5" t="s">
        <v>4</v>
      </c>
      <c r="S766" s="100">
        <f ca="1">_xll.meDateFromTenor(S765,"1D","FOLLOWING",T$12)</f>
        <v>43587</v>
      </c>
      <c r="T766" s="13">
        <f ca="1">_xll.meDateFromTenor(S766,T$14,T$11,T$12)</f>
        <v>43955</v>
      </c>
      <c r="U766" s="98">
        <f ca="1"/>
        <v>2.596367366557154E-3</v>
      </c>
      <c r="V766" s="5" t="s">
        <v>4</v>
      </c>
      <c r="W766" s="84" t="s">
        <v>4</v>
      </c>
    </row>
    <row r="767" spans="1:23" x14ac:dyDescent="0.25">
      <c r="A767" s="90">
        <v>748</v>
      </c>
      <c r="B767" s="83"/>
      <c r="C767" s="100">
        <f ca="1">_xll.meDateFromTenor(C766,"1D","FOLLOWING",D$12)</f>
        <v>43588</v>
      </c>
      <c r="D767" s="13">
        <f ca="1">_xll.meDateFromTenor(C767,D$14,D$11,D$12)</f>
        <v>43591</v>
      </c>
      <c r="E767" s="98">
        <f ca="1"/>
        <v>-3.1394967495179784E-3</v>
      </c>
      <c r="F767" s="94"/>
      <c r="G767" s="100">
        <f ca="1">_xll.meDateFromTenor(G766,"1D","FOLLOWING",H$12)</f>
        <v>43588</v>
      </c>
      <c r="H767" s="13">
        <f ca="1">_xll.meDateFromTenor(G767,H$14,H$11,H$12)</f>
        <v>43619</v>
      </c>
      <c r="I767" s="98">
        <f ca="1"/>
        <v>-2.3797790255648747E-3</v>
      </c>
      <c r="J767" s="94" t="s">
        <v>4</v>
      </c>
      <c r="K767" s="100">
        <f ca="1">_xll.meDateFromTenor(K766,"1D","FOLLOWING",L$12)</f>
        <v>43588</v>
      </c>
      <c r="L767" s="13">
        <f ca="1">_xll.meDateFromTenor(K767,L$14,L$11,L$12)</f>
        <v>43682</v>
      </c>
      <c r="M767" s="98">
        <f ca="1"/>
        <v>-8.9718719976544694E-4</v>
      </c>
      <c r="N767" s="5" t="s">
        <v>4</v>
      </c>
      <c r="O767" s="100">
        <f ca="1">_xll.meDateFromTenor(O766,"1D","FOLLOWING",P$12)</f>
        <v>43588</v>
      </c>
      <c r="P767" s="13">
        <f ca="1">_xll.meDateFromTenor(O767,P$14,P$11,P$12)</f>
        <v>43773</v>
      </c>
      <c r="Q767" s="98">
        <f ca="1"/>
        <v>5.2585222412585963E-4</v>
      </c>
      <c r="R767" s="5" t="s">
        <v>4</v>
      </c>
      <c r="S767" s="100">
        <f ca="1">_xll.meDateFromTenor(S766,"1D","FOLLOWING",T$12)</f>
        <v>43588</v>
      </c>
      <c r="T767" s="13">
        <f ca="1">_xll.meDateFromTenor(S767,T$14,T$11,T$12)</f>
        <v>43955</v>
      </c>
      <c r="U767" s="98">
        <f ca="1"/>
        <v>2.6020526639966728E-3</v>
      </c>
      <c r="V767" s="5" t="s">
        <v>4</v>
      </c>
      <c r="W767" s="84" t="s">
        <v>4</v>
      </c>
    </row>
    <row r="768" spans="1:23" x14ac:dyDescent="0.25">
      <c r="A768" s="90">
        <v>749</v>
      </c>
      <c r="B768" s="83"/>
      <c r="C768" s="100">
        <f ca="1">_xll.meDateFromTenor(C767,"1D","FOLLOWING",D$12)</f>
        <v>43591</v>
      </c>
      <c r="D768" s="13">
        <f ca="1">_xll.meDateFromTenor(C768,D$14,D$11,D$12)</f>
        <v>43592</v>
      </c>
      <c r="E768" s="98">
        <f ca="1"/>
        <v>-3.1317688524490463E-3</v>
      </c>
      <c r="F768" s="94"/>
      <c r="G768" s="100">
        <f ca="1">_xll.meDateFromTenor(G767,"1D","FOLLOWING",H$12)</f>
        <v>43591</v>
      </c>
      <c r="H768" s="13">
        <f ca="1">_xll.meDateFromTenor(G768,H$14,H$11,H$12)</f>
        <v>43622</v>
      </c>
      <c r="I768" s="98">
        <f ca="1"/>
        <v>-2.3675467195050852E-3</v>
      </c>
      <c r="J768" s="94" t="s">
        <v>4</v>
      </c>
      <c r="K768" s="100">
        <f ca="1">_xll.meDateFromTenor(K767,"1D","FOLLOWING",L$12)</f>
        <v>43591</v>
      </c>
      <c r="L768" s="13">
        <f ca="1">_xll.meDateFromTenor(K768,L$14,L$11,L$12)</f>
        <v>43683</v>
      </c>
      <c r="M768" s="98">
        <f ca="1"/>
        <v>-8.8888538308021822E-4</v>
      </c>
      <c r="N768" s="5" t="s">
        <v>4</v>
      </c>
      <c r="O768" s="100">
        <f ca="1">_xll.meDateFromTenor(O767,"1D","FOLLOWING",P$12)</f>
        <v>43591</v>
      </c>
      <c r="P768" s="13">
        <f ca="1">_xll.meDateFromTenor(O768,P$14,P$11,P$12)</f>
        <v>43775</v>
      </c>
      <c r="Q768" s="98">
        <f ca="1"/>
        <v>5.4359802827549811E-4</v>
      </c>
      <c r="R768" s="5" t="s">
        <v>4</v>
      </c>
      <c r="S768" s="100">
        <f ca="1">_xll.meDateFromTenor(S767,"1D","FOLLOWING",T$12)</f>
        <v>43591</v>
      </c>
      <c r="T768" s="13">
        <f ca="1">_xll.meDateFromTenor(S768,T$14,T$11,T$12)</f>
        <v>43957</v>
      </c>
      <c r="U768" s="98">
        <f ca="1"/>
        <v>2.6191002183078866E-3</v>
      </c>
      <c r="V768" s="5" t="s">
        <v>4</v>
      </c>
      <c r="W768" s="84" t="s">
        <v>4</v>
      </c>
    </row>
    <row r="769" spans="1:23" x14ac:dyDescent="0.25">
      <c r="A769" s="90">
        <v>750</v>
      </c>
      <c r="B769" s="83"/>
      <c r="C769" s="100">
        <f ca="1">_xll.meDateFromTenor(C768,"1D","FOLLOWING",D$12)</f>
        <v>43592</v>
      </c>
      <c r="D769" s="13">
        <f ca="1">_xll.meDateFromTenor(C769,D$14,D$11,D$12)</f>
        <v>43593</v>
      </c>
      <c r="E769" s="98">
        <f ca="1"/>
        <v>-3.1278250671107457E-3</v>
      </c>
      <c r="F769" s="94"/>
      <c r="G769" s="100">
        <f ca="1">_xll.meDateFromTenor(G768,"1D","FOLLOWING",H$12)</f>
        <v>43592</v>
      </c>
      <c r="H769" s="13">
        <f ca="1">_xll.meDateFromTenor(G769,H$14,H$11,H$12)</f>
        <v>43623</v>
      </c>
      <c r="I769" s="98">
        <f ca="1"/>
        <v>-2.3635045876486491E-3</v>
      </c>
      <c r="J769" s="94" t="s">
        <v>4</v>
      </c>
      <c r="K769" s="100">
        <f ca="1">_xll.meDateFromTenor(K768,"1D","FOLLOWING",L$12)</f>
        <v>43592</v>
      </c>
      <c r="L769" s="13">
        <f ca="1">_xll.meDateFromTenor(K769,L$14,L$11,L$12)</f>
        <v>43684</v>
      </c>
      <c r="M769" s="98">
        <f ca="1"/>
        <v>-8.8612231246401607E-4</v>
      </c>
      <c r="N769" s="5" t="s">
        <v>4</v>
      </c>
      <c r="O769" s="100">
        <f ca="1">_xll.meDateFromTenor(O768,"1D","FOLLOWING",P$12)</f>
        <v>43592</v>
      </c>
      <c r="P769" s="13">
        <f ca="1">_xll.meDateFromTenor(O769,P$14,P$11,P$12)</f>
        <v>43776</v>
      </c>
      <c r="Q769" s="98">
        <f ca="1"/>
        <v>5.4951542275924145E-4</v>
      </c>
      <c r="R769" s="5" t="s">
        <v>4</v>
      </c>
      <c r="S769" s="100">
        <f ca="1">_xll.meDateFromTenor(S768,"1D","FOLLOWING",T$12)</f>
        <v>43592</v>
      </c>
      <c r="T769" s="13">
        <f ca="1">_xll.meDateFromTenor(S769,T$14,T$11,T$12)</f>
        <v>43958</v>
      </c>
      <c r="U769" s="98">
        <f ca="1"/>
        <v>2.6247798389536594E-3</v>
      </c>
      <c r="V769" s="5" t="s">
        <v>4</v>
      </c>
      <c r="W769" s="84" t="s">
        <v>4</v>
      </c>
    </row>
    <row r="770" spans="1:23" x14ac:dyDescent="0.25">
      <c r="A770" s="90">
        <v>751</v>
      </c>
      <c r="B770" s="83"/>
      <c r="C770" s="100">
        <f ca="1">_xll.meDateFromTenor(C769,"1D","FOLLOWING",D$12)</f>
        <v>43593</v>
      </c>
      <c r="D770" s="13">
        <f ca="1">_xll.meDateFromTenor(C770,D$14,D$11,D$12)</f>
        <v>43594</v>
      </c>
      <c r="E770" s="98">
        <f ca="1"/>
        <v>-3.1238415956380662E-3</v>
      </c>
      <c r="F770" s="94"/>
      <c r="G770" s="100">
        <f ca="1">_xll.meDateFromTenor(G769,"1D","FOLLOWING",H$12)</f>
        <v>43593</v>
      </c>
      <c r="H770" s="13">
        <f ca="1">_xll.meDateFromTenor(G770,H$14,H$11,H$12)</f>
        <v>43626</v>
      </c>
      <c r="I770" s="98">
        <f ca="1"/>
        <v>-2.3594770972592397E-3</v>
      </c>
      <c r="J770" s="94" t="s">
        <v>4</v>
      </c>
      <c r="K770" s="100">
        <f ca="1">_xll.meDateFromTenor(K769,"1D","FOLLOWING",L$12)</f>
        <v>43593</v>
      </c>
      <c r="L770" s="13">
        <f ca="1">_xll.meDateFromTenor(K770,L$14,L$11,L$12)</f>
        <v>43685</v>
      </c>
      <c r="M770" s="98">
        <f ca="1"/>
        <v>-8.8336054755175049E-4</v>
      </c>
      <c r="N770" s="5" t="s">
        <v>4</v>
      </c>
      <c r="O770" s="100">
        <f ca="1">_xll.meDateFromTenor(O769,"1D","FOLLOWING",P$12)</f>
        <v>43593</v>
      </c>
      <c r="P770" s="13">
        <f ca="1">_xll.meDateFromTenor(O770,P$14,P$11,P$12)</f>
        <v>43777</v>
      </c>
      <c r="Q770" s="98">
        <f ca="1"/>
        <v>5.5543380581879063E-4</v>
      </c>
      <c r="R770" s="5" t="s">
        <v>4</v>
      </c>
      <c r="S770" s="100">
        <f ca="1">_xll.meDateFromTenor(S769,"1D","FOLLOWING",T$12)</f>
        <v>43593</v>
      </c>
      <c r="T770" s="13">
        <f ca="1">_xll.meDateFromTenor(S770,T$14,T$11,T$12)</f>
        <v>43959</v>
      </c>
      <c r="U770" s="98">
        <f ca="1"/>
        <v>2.6304579518093602E-3</v>
      </c>
      <c r="V770" s="5" t="s">
        <v>4</v>
      </c>
      <c r="W770" s="84" t="s">
        <v>4</v>
      </c>
    </row>
    <row r="771" spans="1:23" x14ac:dyDescent="0.25">
      <c r="A771" s="90">
        <v>752</v>
      </c>
      <c r="B771" s="83"/>
      <c r="C771" s="100">
        <f ca="1">_xll.meDateFromTenor(C770,"1D","FOLLOWING",D$12)</f>
        <v>43594</v>
      </c>
      <c r="D771" s="13">
        <f ca="1">_xll.meDateFromTenor(C771,D$14,D$11,D$12)</f>
        <v>43595</v>
      </c>
      <c r="E771" s="98">
        <f ca="1"/>
        <v>-3.1198184390701768E-3</v>
      </c>
      <c r="F771" s="94"/>
      <c r="G771" s="100">
        <f ca="1">_xll.meDateFromTenor(G770,"1D","FOLLOWING",H$12)</f>
        <v>43594</v>
      </c>
      <c r="H771" s="13">
        <f ca="1">_xll.meDateFromTenor(G771,H$14,H$11,H$12)</f>
        <v>43626</v>
      </c>
      <c r="I771" s="98">
        <f ca="1"/>
        <v>-2.3554624421680244E-3</v>
      </c>
      <c r="J771" s="94" t="s">
        <v>4</v>
      </c>
      <c r="K771" s="100">
        <f ca="1">_xll.meDateFromTenor(K770,"1D","FOLLOWING",L$12)</f>
        <v>43594</v>
      </c>
      <c r="L771" s="13">
        <f ca="1">_xll.meDateFromTenor(K771,L$14,L$11,L$12)</f>
        <v>43686</v>
      </c>
      <c r="M771" s="98">
        <f ca="1"/>
        <v>-8.805996112821225E-4</v>
      </c>
      <c r="N771" s="5" t="s">
        <v>4</v>
      </c>
      <c r="O771" s="100">
        <f ca="1">_xll.meDateFromTenor(O770,"1D","FOLLOWING",P$12)</f>
        <v>43594</v>
      </c>
      <c r="P771" s="13">
        <f ca="1">_xll.meDateFromTenor(O771,P$14,P$11,P$12)</f>
        <v>43780</v>
      </c>
      <c r="Q771" s="98">
        <f ca="1"/>
        <v>5.6135313266946786E-4</v>
      </c>
      <c r="R771" s="5" t="s">
        <v>4</v>
      </c>
      <c r="S771" s="100">
        <f ca="1">_xll.meDateFromTenor(S770,"1D","FOLLOWING",T$12)</f>
        <v>43594</v>
      </c>
      <c r="T771" s="13">
        <f ca="1">_xll.meDateFromTenor(S771,T$14,T$11,T$12)</f>
        <v>43962</v>
      </c>
      <c r="U771" s="98">
        <f ca="1"/>
        <v>2.6361345214383335E-3</v>
      </c>
      <c r="V771" s="5" t="s">
        <v>4</v>
      </c>
      <c r="W771" s="84" t="s">
        <v>4</v>
      </c>
    </row>
    <row r="772" spans="1:23" x14ac:dyDescent="0.25">
      <c r="A772" s="90">
        <v>753</v>
      </c>
      <c r="B772" s="83"/>
      <c r="C772" s="100">
        <f ca="1">_xll.meDateFromTenor(C771,"1D","FOLLOWING",D$12)</f>
        <v>43595</v>
      </c>
      <c r="D772" s="13">
        <f ca="1">_xll.meDateFromTenor(C772,D$14,D$11,D$12)</f>
        <v>43598</v>
      </c>
      <c r="E772" s="98">
        <f ca="1"/>
        <v>-3.1116129533659384E-3</v>
      </c>
      <c r="F772" s="94"/>
      <c r="G772" s="100">
        <f ca="1">_xll.meDateFromTenor(G771,"1D","FOLLOWING",H$12)</f>
        <v>43595</v>
      </c>
      <c r="H772" s="13">
        <f ca="1">_xll.meDateFromTenor(G772,H$14,H$11,H$12)</f>
        <v>43626</v>
      </c>
      <c r="I772" s="98">
        <f ca="1"/>
        <v>-2.3514588162061715E-3</v>
      </c>
      <c r="J772" s="94" t="s">
        <v>4</v>
      </c>
      <c r="K772" s="100">
        <f ca="1">_xll.meDateFromTenor(K771,"1D","FOLLOWING",L$12)</f>
        <v>43595</v>
      </c>
      <c r="L772" s="13">
        <f ca="1">_xll.meDateFromTenor(K772,L$14,L$11,L$12)</f>
        <v>43689</v>
      </c>
      <c r="M772" s="98">
        <f ca="1"/>
        <v>-8.7783902659383179E-4</v>
      </c>
      <c r="N772" s="5" t="s">
        <v>4</v>
      </c>
      <c r="O772" s="100">
        <f ca="1">_xll.meDateFromTenor(O771,"1D","FOLLOWING",P$12)</f>
        <v>43595</v>
      </c>
      <c r="P772" s="13">
        <f ca="1">_xll.meDateFromTenor(O772,P$14,P$11,P$12)</f>
        <v>43780</v>
      </c>
      <c r="Q772" s="98">
        <f ca="1"/>
        <v>5.6727335852659695E-4</v>
      </c>
      <c r="R772" s="5" t="s">
        <v>4</v>
      </c>
      <c r="S772" s="100">
        <f ca="1">_xll.meDateFromTenor(S771,"1D","FOLLOWING",T$12)</f>
        <v>43595</v>
      </c>
      <c r="T772" s="13">
        <f ca="1">_xll.meDateFromTenor(S772,T$14,T$11,T$12)</f>
        <v>43962</v>
      </c>
      <c r="U772" s="98">
        <f ca="1"/>
        <v>2.6418095124039233E-3</v>
      </c>
      <c r="V772" s="5" t="s">
        <v>4</v>
      </c>
      <c r="W772" s="84" t="s">
        <v>4</v>
      </c>
    </row>
    <row r="773" spans="1:23" x14ac:dyDescent="0.25">
      <c r="A773" s="90">
        <v>754</v>
      </c>
      <c r="B773" s="83"/>
      <c r="C773" s="100">
        <f ca="1">_xll.meDateFromTenor(C772,"1D","FOLLOWING",D$12)</f>
        <v>43598</v>
      </c>
      <c r="D773" s="13">
        <f ca="1">_xll.meDateFromTenor(C773,D$14,D$11,D$12)</f>
        <v>43599</v>
      </c>
      <c r="E773" s="98">
        <f ca="1"/>
        <v>-3.1033289869464406E-3</v>
      </c>
      <c r="F773" s="94"/>
      <c r="G773" s="100">
        <f ca="1">_xll.meDateFromTenor(G772,"1D","FOLLOWING",H$12)</f>
        <v>43598</v>
      </c>
      <c r="H773" s="13">
        <f ca="1">_xll.meDateFromTenor(G773,H$14,H$11,H$12)</f>
        <v>43629</v>
      </c>
      <c r="I773" s="98">
        <f ca="1"/>
        <v>-2.3394960514084651E-3</v>
      </c>
      <c r="J773" s="94" t="s">
        <v>4</v>
      </c>
      <c r="K773" s="100">
        <f ca="1">_xll.meDateFromTenor(K772,"1D","FOLLOWING",L$12)</f>
        <v>43598</v>
      </c>
      <c r="L773" s="13">
        <f ca="1">_xll.meDateFromTenor(K773,L$14,L$11,L$12)</f>
        <v>43690</v>
      </c>
      <c r="M773" s="98">
        <f ca="1"/>
        <v>-8.6955461140398639E-4</v>
      </c>
      <c r="N773" s="5" t="s">
        <v>4</v>
      </c>
      <c r="O773" s="100">
        <f ca="1">_xll.meDateFromTenor(O772,"1D","FOLLOWING",P$12)</f>
        <v>43598</v>
      </c>
      <c r="P773" s="13">
        <f ca="1">_xll.meDateFromTenor(O773,P$14,P$11,P$12)</f>
        <v>43782</v>
      </c>
      <c r="Q773" s="98">
        <f ca="1"/>
        <v>5.8503898228992927E-4</v>
      </c>
      <c r="R773" s="5" t="s">
        <v>4</v>
      </c>
      <c r="S773" s="100">
        <f ca="1">_xll.meDateFromTenor(S772,"1D","FOLLOWING",T$12)</f>
        <v>43598</v>
      </c>
      <c r="T773" s="13">
        <f ca="1">_xll.meDateFromTenor(S773,T$14,T$11,T$12)</f>
        <v>43964</v>
      </c>
      <c r="U773" s="98">
        <f ca="1"/>
        <v>2.6588246589538478E-3</v>
      </c>
      <c r="V773" s="5" t="s">
        <v>4</v>
      </c>
      <c r="W773" s="84" t="s">
        <v>4</v>
      </c>
    </row>
    <row r="774" spans="1:23" x14ac:dyDescent="0.25">
      <c r="A774" s="90">
        <v>755</v>
      </c>
      <c r="B774" s="83"/>
      <c r="C774" s="100">
        <f ca="1">_xll.meDateFromTenor(C773,"1D","FOLLOWING",D$12)</f>
        <v>43599</v>
      </c>
      <c r="D774" s="13">
        <f ca="1">_xll.meDateFromTenor(C774,D$14,D$11,D$12)</f>
        <v>43600</v>
      </c>
      <c r="E774" s="98">
        <f ca="1"/>
        <v>-3.0991074235675706E-3</v>
      </c>
      <c r="F774" s="94"/>
      <c r="G774" s="100">
        <f ca="1">_xll.meDateFromTenor(G773,"1D","FOLLOWING",H$12)</f>
        <v>43599</v>
      </c>
      <c r="H774" s="13">
        <f ca="1">_xll.meDateFromTenor(G774,H$14,H$11,H$12)</f>
        <v>43630</v>
      </c>
      <c r="I774" s="98">
        <f ca="1"/>
        <v>-2.3355184802757389E-3</v>
      </c>
      <c r="J774" s="94" t="s">
        <v>4</v>
      </c>
      <c r="K774" s="100">
        <f ca="1">_xll.meDateFromTenor(K773,"1D","FOLLOWING",L$12)</f>
        <v>43599</v>
      </c>
      <c r="L774" s="13">
        <f ca="1">_xll.meDateFromTenor(K774,L$14,L$11,L$12)</f>
        <v>43691</v>
      </c>
      <c r="M774" s="98">
        <f ca="1"/>
        <v>-8.6679066242804708E-4</v>
      </c>
      <c r="N774" s="5" t="s">
        <v>4</v>
      </c>
      <c r="O774" s="100">
        <f ca="1">_xll.meDateFromTenor(O773,"1D","FOLLOWING",P$12)</f>
        <v>43599</v>
      </c>
      <c r="P774" s="13">
        <f ca="1">_xll.meDateFromTenor(O774,P$14,P$11,P$12)</f>
        <v>43783</v>
      </c>
      <c r="Q774" s="98">
        <f ca="1"/>
        <v>5.9096235632610068E-4</v>
      </c>
      <c r="R774" s="5" t="s">
        <v>4</v>
      </c>
      <c r="S774" s="100">
        <f ca="1">_xll.meDateFromTenor(S773,"1D","FOLLOWING",T$12)</f>
        <v>43599</v>
      </c>
      <c r="T774" s="13">
        <f ca="1">_xll.meDateFromTenor(S774,T$14,T$11,T$12)</f>
        <v>43965</v>
      </c>
      <c r="U774" s="98">
        <f ca="1"/>
        <v>2.6644929808993583E-3</v>
      </c>
      <c r="V774" s="5" t="s">
        <v>4</v>
      </c>
      <c r="W774" s="84" t="s">
        <v>4</v>
      </c>
    </row>
    <row r="775" spans="1:23" x14ac:dyDescent="0.25">
      <c r="A775" s="90">
        <v>756</v>
      </c>
      <c r="B775" s="83"/>
      <c r="C775" s="100">
        <f ca="1">_xll.meDateFromTenor(C774,"1D","FOLLOWING",D$12)</f>
        <v>43600</v>
      </c>
      <c r="D775" s="13">
        <f ca="1">_xll.meDateFromTenor(C775,D$14,D$11,D$12)</f>
        <v>43601</v>
      </c>
      <c r="E775" s="98">
        <f ca="1"/>
        <v>-3.0948461825275439E-3</v>
      </c>
      <c r="F775" s="94"/>
      <c r="G775" s="100">
        <f ca="1">_xll.meDateFromTenor(G774,"1D","FOLLOWING",H$12)</f>
        <v>43600</v>
      </c>
      <c r="H775" s="13">
        <f ca="1">_xll.meDateFromTenor(G775,H$14,H$11,H$12)</f>
        <v>43633</v>
      </c>
      <c r="I775" s="98">
        <f ca="1"/>
        <v>-2.3315429074282144E-3</v>
      </c>
      <c r="J775" s="94" t="s">
        <v>4</v>
      </c>
      <c r="K775" s="100">
        <f ca="1">_xll.meDateFromTenor(K774,"1D","FOLLOWING",L$12)</f>
        <v>43600</v>
      </c>
      <c r="L775" s="13">
        <f ca="1">_xll.meDateFromTenor(K775,L$14,L$11,L$12)</f>
        <v>43692</v>
      </c>
      <c r="M775" s="98">
        <f ca="1"/>
        <v>-8.6402467972694576E-4</v>
      </c>
      <c r="N775" s="5" t="s">
        <v>4</v>
      </c>
      <c r="O775" s="100">
        <f ca="1">_xll.meDateFromTenor(O774,"1D","FOLLOWING",P$12)</f>
        <v>43600</v>
      </c>
      <c r="P775" s="13">
        <f ca="1">_xll.meDateFromTenor(O775,P$14,P$11,P$12)</f>
        <v>43784</v>
      </c>
      <c r="Q775" s="98">
        <f ca="1"/>
        <v>5.9688640544534161E-4</v>
      </c>
      <c r="R775" s="5" t="s">
        <v>4</v>
      </c>
      <c r="S775" s="100">
        <f ca="1">_xll.meDateFromTenor(S774,"1D","FOLLOWING",T$12)</f>
        <v>43600</v>
      </c>
      <c r="T775" s="13">
        <f ca="1">_xll.meDateFromTenor(S775,T$14,T$11,T$12)</f>
        <v>43966</v>
      </c>
      <c r="U775" s="98">
        <f ca="1"/>
        <v>2.6701595469982129E-3</v>
      </c>
      <c r="V775" s="5" t="s">
        <v>4</v>
      </c>
      <c r="W775" s="84" t="s">
        <v>4</v>
      </c>
    </row>
    <row r="776" spans="1:23" x14ac:dyDescent="0.25">
      <c r="A776" s="90">
        <v>757</v>
      </c>
      <c r="B776" s="83"/>
      <c r="C776" s="100">
        <f ca="1">_xll.meDateFromTenor(C775,"1D","FOLLOWING",D$12)</f>
        <v>43601</v>
      </c>
      <c r="D776" s="13">
        <f ca="1">_xll.meDateFromTenor(C776,D$14,D$11,D$12)</f>
        <v>43602</v>
      </c>
      <c r="E776" s="98">
        <f ca="1"/>
        <v>-3.0905452651453055E-3</v>
      </c>
      <c r="F776" s="94"/>
      <c r="G776" s="100">
        <f ca="1">_xll.meDateFromTenor(G775,"1D","FOLLOWING",H$12)</f>
        <v>43601</v>
      </c>
      <c r="H776" s="13">
        <f ca="1">_xll.meDateFromTenor(G776,H$14,H$11,H$12)</f>
        <v>43633</v>
      </c>
      <c r="I776" s="98">
        <f ca="1"/>
        <v>-2.3275675266970592E-3</v>
      </c>
      <c r="J776" s="94" t="s">
        <v>4</v>
      </c>
      <c r="K776" s="100">
        <f ca="1">_xll.meDateFromTenor(K775,"1D","FOLLOWING",L$12)</f>
        <v>43601</v>
      </c>
      <c r="L776" s="13">
        <f ca="1">_xll.meDateFromTenor(K776,L$14,L$11,L$12)</f>
        <v>43693</v>
      </c>
      <c r="M776" s="98">
        <f ca="1"/>
        <v>-8.6125618623938342E-4</v>
      </c>
      <c r="N776" s="5" t="s">
        <v>4</v>
      </c>
      <c r="O776" s="100">
        <f ca="1">_xll.meDateFromTenor(O775,"1D","FOLLOWING",P$12)</f>
        <v>43601</v>
      </c>
      <c r="P776" s="13">
        <f ca="1">_xll.meDateFromTenor(O776,P$14,P$11,P$12)</f>
        <v>43787</v>
      </c>
      <c r="Q776" s="98">
        <f ca="1"/>
        <v>6.0281108486297415E-4</v>
      </c>
      <c r="R776" s="5" t="s">
        <v>4</v>
      </c>
      <c r="S776" s="100">
        <f ca="1">_xll.meDateFromTenor(S775,"1D","FOLLOWING",T$12)</f>
        <v>43601</v>
      </c>
      <c r="T776" s="13">
        <f ca="1">_xll.meDateFromTenor(S776,T$14,T$11,T$12)</f>
        <v>43969</v>
      </c>
      <c r="U776" s="98">
        <f ca="1"/>
        <v>2.6758243218137547E-3</v>
      </c>
      <c r="V776" s="5" t="s">
        <v>4</v>
      </c>
      <c r="W776" s="84" t="s">
        <v>4</v>
      </c>
    </row>
    <row r="777" spans="1:23" x14ac:dyDescent="0.25">
      <c r="A777" s="90">
        <v>758</v>
      </c>
      <c r="B777" s="83"/>
      <c r="C777" s="100">
        <f ca="1">_xll.meDateFromTenor(C776,"1D","FOLLOWING",D$12)</f>
        <v>43602</v>
      </c>
      <c r="D777" s="13">
        <f ca="1">_xll.meDateFromTenor(C777,D$14,D$11,D$12)</f>
        <v>43605</v>
      </c>
      <c r="E777" s="98">
        <f ca="1"/>
        <v>-3.0817847994058065E-3</v>
      </c>
      <c r="F777" s="94"/>
      <c r="G777" s="100">
        <f ca="1">_xll.meDateFromTenor(G776,"1D","FOLLOWING",H$12)</f>
        <v>43602</v>
      </c>
      <c r="H777" s="13">
        <f ca="1">_xll.meDateFromTenor(G777,H$14,H$11,H$12)</f>
        <v>43633</v>
      </c>
      <c r="I777" s="98">
        <f ca="1"/>
        <v>-2.3235905319134408E-3</v>
      </c>
      <c r="J777" s="94" t="s">
        <v>4</v>
      </c>
      <c r="K777" s="100">
        <f ca="1">_xll.meDateFromTenor(K776,"1D","FOLLOWING",L$12)</f>
        <v>43602</v>
      </c>
      <c r="L777" s="13">
        <f ca="1">_xll.meDateFromTenor(K777,L$14,L$11,L$12)</f>
        <v>43696</v>
      </c>
      <c r="M777" s="98">
        <f ca="1"/>
        <v>-8.5848470490405913E-4</v>
      </c>
      <c r="N777" s="5" t="s">
        <v>4</v>
      </c>
      <c r="O777" s="100">
        <f ca="1">_xll.meDateFromTenor(O776,"1D","FOLLOWING",P$12)</f>
        <v>43602</v>
      </c>
      <c r="P777" s="13">
        <f ca="1">_xll.meDateFromTenor(O777,P$14,P$11,P$12)</f>
        <v>43787</v>
      </c>
      <c r="Q777" s="98">
        <f ca="1"/>
        <v>6.0873634979432428E-4</v>
      </c>
      <c r="R777" s="5" t="s">
        <v>4</v>
      </c>
      <c r="S777" s="100">
        <f ca="1">_xll.meDateFromTenor(S776,"1D","FOLLOWING",T$12)</f>
        <v>43602</v>
      </c>
      <c r="T777" s="13">
        <f ca="1">_xll.meDateFromTenor(S777,T$14,T$11,T$12)</f>
        <v>43969</v>
      </c>
      <c r="U777" s="98">
        <f ca="1"/>
        <v>2.6814872699093308E-3</v>
      </c>
      <c r="V777" s="5" t="s">
        <v>4</v>
      </c>
      <c r="W777" s="84" t="s">
        <v>4</v>
      </c>
    </row>
    <row r="778" spans="1:23" x14ac:dyDescent="0.25">
      <c r="A778" s="90">
        <v>759</v>
      </c>
      <c r="B778" s="83"/>
      <c r="C778" s="100">
        <f ca="1">_xll.meDateFromTenor(C777,"1D","FOLLOWING",D$12)</f>
        <v>43605</v>
      </c>
      <c r="D778" s="13">
        <f ca="1">_xll.meDateFromTenor(C778,D$14,D$11,D$12)</f>
        <v>43606</v>
      </c>
      <c r="E778" s="98">
        <f ca="1"/>
        <v>-3.0729448547761715E-3</v>
      </c>
      <c r="F778" s="94"/>
      <c r="G778" s="100">
        <f ca="1">_xll.meDateFromTenor(G777,"1D","FOLLOWING",H$12)</f>
        <v>43605</v>
      </c>
      <c r="H778" s="13">
        <f ca="1">_xll.meDateFromTenor(G778,H$14,H$11,H$12)</f>
        <v>43636</v>
      </c>
      <c r="I778" s="98">
        <f ca="1"/>
        <v>-2.311631801559483E-3</v>
      </c>
      <c r="J778" s="94" t="s">
        <v>4</v>
      </c>
      <c r="K778" s="100">
        <f ca="1">_xll.meDateFromTenor(K777,"1D","FOLLOWING",L$12)</f>
        <v>43605</v>
      </c>
      <c r="L778" s="13">
        <f ca="1">_xll.meDateFromTenor(K778,L$14,L$11,L$12)</f>
        <v>43697</v>
      </c>
      <c r="M778" s="98">
        <f ca="1"/>
        <v>-8.501475631985183E-4</v>
      </c>
      <c r="N778" s="5" t="s">
        <v>4</v>
      </c>
      <c r="O778" s="100">
        <f ca="1">_xll.meDateFromTenor(O777,"1D","FOLLOWING",P$12)</f>
        <v>43605</v>
      </c>
      <c r="P778" s="13">
        <f ca="1">_xll.meDateFromTenor(O778,P$14,P$11,P$12)</f>
        <v>43789</v>
      </c>
      <c r="Q778" s="98">
        <f ca="1"/>
        <v>6.2651520982390826E-4</v>
      </c>
      <c r="R778" s="5" t="s">
        <v>4</v>
      </c>
      <c r="S778" s="100">
        <f ca="1">_xll.meDateFromTenor(S777,"1D","FOLLOWING",T$12)</f>
        <v>43605</v>
      </c>
      <c r="T778" s="13">
        <f ca="1">_xll.meDateFromTenor(S778,T$14,T$11,T$12)</f>
        <v>43971</v>
      </c>
      <c r="U778" s="98">
        <f ca="1"/>
        <v>2.6984647995097135E-3</v>
      </c>
      <c r="V778" s="5" t="s">
        <v>4</v>
      </c>
      <c r="W778" s="84" t="s">
        <v>4</v>
      </c>
    </row>
    <row r="779" spans="1:23" x14ac:dyDescent="0.25">
      <c r="A779" s="90">
        <v>760</v>
      </c>
      <c r="B779" s="83"/>
      <c r="C779" s="100">
        <f ca="1">_xll.meDateFromTenor(C778,"1D","FOLLOWING",D$12)</f>
        <v>43606</v>
      </c>
      <c r="D779" s="13">
        <f ca="1">_xll.meDateFromTenor(C779,D$14,D$11,D$12)</f>
        <v>43607</v>
      </c>
      <c r="E779" s="98">
        <f ca="1"/>
        <v>-3.0684455731489033E-3</v>
      </c>
      <c r="F779" s="94"/>
      <c r="G779" s="100">
        <f ca="1">_xll.meDateFromTenor(G778,"1D","FOLLOWING",H$12)</f>
        <v>43606</v>
      </c>
      <c r="H779" s="13">
        <f ca="1">_xll.meDateFromTenor(G779,H$14,H$11,H$12)</f>
        <v>43637</v>
      </c>
      <c r="I779" s="98">
        <f ca="1"/>
        <v>-2.3076302888776902E-3</v>
      </c>
      <c r="J779" s="94" t="s">
        <v>4</v>
      </c>
      <c r="K779" s="100">
        <f ca="1">_xll.meDateFromTenor(K778,"1D","FOLLOWING",L$12)</f>
        <v>43606</v>
      </c>
      <c r="L779" s="13">
        <f ca="1">_xll.meDateFromTenor(K779,L$14,L$11,L$12)</f>
        <v>43698</v>
      </c>
      <c r="M779" s="98">
        <f ca="1"/>
        <v>-8.4735935985914986E-4</v>
      </c>
      <c r="N779" s="5" t="s">
        <v>4</v>
      </c>
      <c r="O779" s="100">
        <f ca="1">_xll.meDateFromTenor(O778,"1D","FOLLOWING",P$12)</f>
        <v>43606</v>
      </c>
      <c r="P779" s="13">
        <f ca="1">_xll.meDateFromTenor(O779,P$14,P$11,P$12)</f>
        <v>43790</v>
      </c>
      <c r="Q779" s="98">
        <f ca="1"/>
        <v>6.3244236896335812E-4</v>
      </c>
      <c r="R779" s="5" t="s">
        <v>4</v>
      </c>
      <c r="S779" s="100">
        <f ca="1">_xll.meDateFromTenor(S778,"1D","FOLLOWING",T$12)</f>
        <v>43606</v>
      </c>
      <c r="T779" s="13">
        <f ca="1">_xll.meDateFromTenor(S779,T$14,T$11,T$12)</f>
        <v>43972</v>
      </c>
      <c r="U779" s="98">
        <f ca="1"/>
        <v>2.7041200863588757E-3</v>
      </c>
      <c r="V779" s="5" t="s">
        <v>4</v>
      </c>
      <c r="W779" s="84" t="s">
        <v>4</v>
      </c>
    </row>
    <row r="780" spans="1:23" x14ac:dyDescent="0.25">
      <c r="A780" s="90">
        <v>761</v>
      </c>
      <c r="B780" s="83"/>
      <c r="C780" s="100">
        <f ca="1">_xll.meDateFromTenor(C779,"1D","FOLLOWING",D$12)</f>
        <v>43607</v>
      </c>
      <c r="D780" s="13">
        <f ca="1">_xll.meDateFromTenor(C780,D$14,D$11,D$12)</f>
        <v>43608</v>
      </c>
      <c r="E780" s="98">
        <f ca="1"/>
        <v>-3.0639066222137965E-3</v>
      </c>
      <c r="F780" s="94"/>
      <c r="G780" s="100">
        <f ca="1">_xll.meDateFromTenor(G779,"1D","FOLLOWING",H$12)</f>
        <v>43607</v>
      </c>
      <c r="H780" s="13">
        <f ca="1">_xll.meDateFromTenor(G780,H$14,H$11,H$12)</f>
        <v>43640</v>
      </c>
      <c r="I780" s="98">
        <f ca="1"/>
        <v>-2.303618131299273E-3</v>
      </c>
      <c r="J780" s="94" t="s">
        <v>4</v>
      </c>
      <c r="K780" s="100">
        <f ca="1">_xll.meDateFromTenor(K779,"1D","FOLLOWING",L$12)</f>
        <v>43607</v>
      </c>
      <c r="L780" s="13">
        <f ca="1">_xll.meDateFromTenor(K780,L$14,L$11,L$12)</f>
        <v>43699</v>
      </c>
      <c r="M780" s="98">
        <f ca="1"/>
        <v>-8.4456578336552016E-4</v>
      </c>
      <c r="N780" s="5" t="s">
        <v>4</v>
      </c>
      <c r="O780" s="100">
        <f ca="1">_xll.meDateFromTenor(O779,"1D","FOLLOWING",P$12)</f>
        <v>43607</v>
      </c>
      <c r="P780" s="13">
        <f ca="1">_xll.meDateFromTenor(O780,P$14,P$11,P$12)</f>
        <v>43791</v>
      </c>
      <c r="Q780" s="98">
        <f ca="1"/>
        <v>6.3836988969314301E-4</v>
      </c>
      <c r="R780" s="5" t="s">
        <v>4</v>
      </c>
      <c r="S780" s="100">
        <f ca="1">_xll.meDateFromTenor(S779,"1D","FOLLOWING",T$12)</f>
        <v>43607</v>
      </c>
      <c r="T780" s="13">
        <f ca="1">_xll.meDateFromTenor(S780,T$14,T$11,T$12)</f>
        <v>43973</v>
      </c>
      <c r="U780" s="98">
        <f ca="1"/>
        <v>2.7097733693047985E-3</v>
      </c>
      <c r="V780" s="5" t="s">
        <v>4</v>
      </c>
      <c r="W780" s="84" t="s">
        <v>4</v>
      </c>
    </row>
    <row r="781" spans="1:23" x14ac:dyDescent="0.25">
      <c r="A781" s="90">
        <v>762</v>
      </c>
      <c r="B781" s="83"/>
      <c r="C781" s="100">
        <f ca="1">_xll.meDateFromTenor(C780,"1D","FOLLOWING",D$12)</f>
        <v>43608</v>
      </c>
      <c r="D781" s="13">
        <f ca="1">_xll.meDateFromTenor(C781,D$14,D$11,D$12)</f>
        <v>43609</v>
      </c>
      <c r="E781" s="98">
        <f ca="1"/>
        <v>-3.0593280030499878E-3</v>
      </c>
      <c r="F781" s="94"/>
      <c r="G781" s="100">
        <f ca="1">_xll.meDateFromTenor(G780,"1D","FOLLOWING",H$12)</f>
        <v>43608</v>
      </c>
      <c r="H781" s="13">
        <f ca="1">_xll.meDateFromTenor(G781,H$14,H$11,H$12)</f>
        <v>43640</v>
      </c>
      <c r="I781" s="98">
        <f ca="1"/>
        <v>-2.2995935226553989E-3</v>
      </c>
      <c r="J781" s="94" t="s">
        <v>4</v>
      </c>
      <c r="K781" s="100">
        <f ca="1">_xll.meDateFromTenor(K780,"1D","FOLLOWING",L$12)</f>
        <v>43608</v>
      </c>
      <c r="L781" s="13">
        <f ca="1">_xll.meDateFromTenor(K781,L$14,L$11,L$12)</f>
        <v>43700</v>
      </c>
      <c r="M781" s="98">
        <f ca="1"/>
        <v>-8.4176635665632988E-4</v>
      </c>
      <c r="N781" s="5" t="s">
        <v>4</v>
      </c>
      <c r="O781" s="100">
        <f ca="1">_xll.meDateFromTenor(O780,"1D","FOLLOWING",P$12)</f>
        <v>43608</v>
      </c>
      <c r="P781" s="13">
        <f ca="1">_xll.meDateFromTenor(O781,P$14,P$11,P$12)</f>
        <v>43794</v>
      </c>
      <c r="Q781" s="98">
        <f ca="1"/>
        <v>6.4429772722858546E-4</v>
      </c>
      <c r="R781" s="5" t="s">
        <v>4</v>
      </c>
      <c r="S781" s="100">
        <f ca="1">_xll.meDateFromTenor(S780,"1D","FOLLOWING",T$12)</f>
        <v>43608</v>
      </c>
      <c r="T781" s="13">
        <f ca="1">_xll.meDateFromTenor(S781,T$14,T$11,T$12)</f>
        <v>43976</v>
      </c>
      <c r="U781" s="98">
        <f ca="1"/>
        <v>2.7154246129108264E-3</v>
      </c>
      <c r="V781" s="5" t="s">
        <v>4</v>
      </c>
      <c r="W781" s="84" t="s">
        <v>4</v>
      </c>
    </row>
    <row r="782" spans="1:23" x14ac:dyDescent="0.25">
      <c r="A782" s="90">
        <v>763</v>
      </c>
      <c r="B782" s="83"/>
      <c r="C782" s="100">
        <f ca="1">_xll.meDateFromTenor(C781,"1D","FOLLOWING",D$12)</f>
        <v>43609</v>
      </c>
      <c r="D782" s="13">
        <f ca="1">_xll.meDateFromTenor(C782,D$14,D$11,D$12)</f>
        <v>43612</v>
      </c>
      <c r="E782" s="98">
        <f ca="1"/>
        <v>-3.050012703038629E-3</v>
      </c>
      <c r="F782" s="94"/>
      <c r="G782" s="100">
        <f ca="1">_xll.meDateFromTenor(G781,"1D","FOLLOWING",H$12)</f>
        <v>43609</v>
      </c>
      <c r="H782" s="13">
        <f ca="1">_xll.meDateFromTenor(G782,H$14,H$11,H$12)</f>
        <v>43640</v>
      </c>
      <c r="I782" s="98">
        <f ca="1"/>
        <v>-2.2955546567772363E-3</v>
      </c>
      <c r="J782" s="94" t="s">
        <v>4</v>
      </c>
      <c r="K782" s="100">
        <f ca="1">_xll.meDateFromTenor(K781,"1D","FOLLOWING",L$12)</f>
        <v>43609</v>
      </c>
      <c r="L782" s="13">
        <f ca="1">_xll.meDateFromTenor(K782,L$14,L$11,L$12)</f>
        <v>43703</v>
      </c>
      <c r="M782" s="98">
        <f ca="1"/>
        <v>-8.3896060267027906E-4</v>
      </c>
      <c r="N782" s="5" t="s">
        <v>4</v>
      </c>
      <c r="O782" s="100">
        <f ca="1">_xll.meDateFromTenor(O781,"1D","FOLLOWING",P$12)</f>
        <v>43609</v>
      </c>
      <c r="P782" s="13">
        <f ca="1">_xll.meDateFromTenor(O782,P$14,P$11,P$12)</f>
        <v>43794</v>
      </c>
      <c r="Q782" s="98">
        <f ca="1"/>
        <v>6.5022583678500884E-4</v>
      </c>
      <c r="R782" s="5" t="s">
        <v>4</v>
      </c>
      <c r="S782" s="100">
        <f ca="1">_xll.meDateFromTenor(S781,"1D","FOLLOWING",T$12)</f>
        <v>43609</v>
      </c>
      <c r="T782" s="13">
        <f ca="1">_xll.meDateFromTenor(S782,T$14,T$11,T$12)</f>
        <v>43976</v>
      </c>
      <c r="U782" s="98">
        <f ca="1"/>
        <v>2.7210737817403045E-3</v>
      </c>
      <c r="V782" s="5" t="s">
        <v>4</v>
      </c>
      <c r="W782" s="84" t="s">
        <v>4</v>
      </c>
    </row>
    <row r="783" spans="1:23" x14ac:dyDescent="0.25">
      <c r="A783" s="90">
        <v>764</v>
      </c>
      <c r="B783" s="83"/>
      <c r="C783" s="100">
        <f ca="1">_xll.meDateFromTenor(C782,"1D","FOLLOWING",D$12)</f>
        <v>43612</v>
      </c>
      <c r="D783" s="13">
        <f ca="1">_xll.meDateFromTenor(C783,D$14,D$11,D$12)</f>
        <v>43613</v>
      </c>
      <c r="E783" s="98">
        <f ca="1"/>
        <v>-3.0406168694074973E-3</v>
      </c>
      <c r="F783" s="94"/>
      <c r="G783" s="100">
        <f ca="1">_xll.meDateFromTenor(G782,"1D","FOLLOWING",H$12)</f>
        <v>43612</v>
      </c>
      <c r="H783" s="13">
        <f ca="1">_xll.meDateFromTenor(G783,H$14,H$11,H$12)</f>
        <v>43643</v>
      </c>
      <c r="I783" s="98">
        <f ca="1"/>
        <v>-2.2833344540486968E-3</v>
      </c>
      <c r="J783" s="94" t="s">
        <v>4</v>
      </c>
      <c r="K783" s="100">
        <f ca="1">_xll.meDateFromTenor(K782,"1D","FOLLOWING",L$12)</f>
        <v>43612</v>
      </c>
      <c r="L783" s="13">
        <f ca="1">_xll.meDateFromTenor(K783,L$14,L$11,L$12)</f>
        <v>43704</v>
      </c>
      <c r="M783" s="98">
        <f ca="1"/>
        <v>-8.3050060643796578E-4</v>
      </c>
      <c r="N783" s="5" t="s">
        <v>4</v>
      </c>
      <c r="O783" s="100">
        <f ca="1">_xll.meDateFromTenor(O782,"1D","FOLLOWING",P$12)</f>
        <v>43612</v>
      </c>
      <c r="P783" s="13">
        <f ca="1">_xll.meDateFromTenor(O783,P$14,P$11,P$12)</f>
        <v>43796</v>
      </c>
      <c r="Q783" s="98">
        <f ca="1"/>
        <v>6.6801134973339929E-4</v>
      </c>
      <c r="R783" s="5" t="s">
        <v>4</v>
      </c>
      <c r="S783" s="100">
        <f ca="1">_xll.meDateFromTenor(S782,"1D","FOLLOWING",T$12)</f>
        <v>43612</v>
      </c>
      <c r="T783" s="13">
        <f ca="1">_xll.meDateFromTenor(S783,T$14,T$11,T$12)</f>
        <v>43978</v>
      </c>
      <c r="U783" s="98">
        <f ca="1"/>
        <v>2.7380084852028901E-3</v>
      </c>
      <c r="V783" s="5" t="s">
        <v>4</v>
      </c>
      <c r="W783" s="84" t="s">
        <v>4</v>
      </c>
    </row>
    <row r="784" spans="1:23" x14ac:dyDescent="0.25">
      <c r="A784" s="90">
        <v>765</v>
      </c>
      <c r="B784" s="83"/>
      <c r="C784" s="100">
        <f ca="1">_xll.meDateFromTenor(C783,"1D","FOLLOWING",D$12)</f>
        <v>43613</v>
      </c>
      <c r="D784" s="13">
        <f ca="1">_xll.meDateFromTenor(C784,D$14,D$11,D$12)</f>
        <v>43614</v>
      </c>
      <c r="E784" s="98">
        <f ca="1"/>
        <v>-3.0358399272856326E-3</v>
      </c>
      <c r="F784" s="94"/>
      <c r="G784" s="100">
        <f ca="1">_xll.meDateFromTenor(G783,"1D","FOLLOWING",H$12)</f>
        <v>43613</v>
      </c>
      <c r="H784" s="13">
        <f ca="1">_xll.meDateFromTenor(G784,H$14,H$11,H$12)</f>
        <v>43644</v>
      </c>
      <c r="I784" s="98">
        <f ca="1"/>
        <v>-2.2792204975450579E-3</v>
      </c>
      <c r="J784" s="94" t="s">
        <v>4</v>
      </c>
      <c r="K784" s="100">
        <f ca="1">_xll.meDateFromTenor(K783,"1D","FOLLOWING",L$12)</f>
        <v>43613</v>
      </c>
      <c r="L784" s="13">
        <f ca="1">_xll.meDateFromTenor(K784,L$14,L$11,L$12)</f>
        <v>43705</v>
      </c>
      <c r="M784" s="98">
        <f ca="1"/>
        <v>-8.2766477273147482E-4</v>
      </c>
      <c r="N784" s="5" t="s">
        <v>4</v>
      </c>
      <c r="O784" s="100">
        <f ca="1">_xll.meDateFromTenor(O783,"1D","FOLLOWING",P$12)</f>
        <v>43613</v>
      </c>
      <c r="P784" s="13">
        <f ca="1">_xll.meDateFromTenor(O784,P$14,P$11,P$12)</f>
        <v>43797</v>
      </c>
      <c r="Q784" s="98">
        <f ca="1"/>
        <v>6.7394009952698218E-4</v>
      </c>
      <c r="R784" s="5" t="s">
        <v>4</v>
      </c>
      <c r="S784" s="100">
        <f ca="1">_xll.meDateFromTenor(S783,"1D","FOLLOWING",T$12)</f>
        <v>43613</v>
      </c>
      <c r="T784" s="13">
        <f ca="1">_xll.meDateFromTenor(S784,T$14,T$11,T$12)</f>
        <v>43979</v>
      </c>
      <c r="U784" s="98">
        <f ca="1"/>
        <v>2.7436490005596204E-3</v>
      </c>
      <c r="V784" s="5" t="s">
        <v>4</v>
      </c>
      <c r="W784" s="84" t="s">
        <v>4</v>
      </c>
    </row>
    <row r="785" spans="1:23" x14ac:dyDescent="0.25">
      <c r="A785" s="90">
        <v>766</v>
      </c>
      <c r="B785" s="83"/>
      <c r="C785" s="100">
        <f ca="1">_xll.meDateFromTenor(C784,"1D","FOLLOWING",D$12)</f>
        <v>43614</v>
      </c>
      <c r="D785" s="13">
        <f ca="1">_xll.meDateFromTenor(C785,D$14,D$11,D$12)</f>
        <v>43615</v>
      </c>
      <c r="E785" s="98">
        <f ca="1"/>
        <v>-3.0310233242092474E-3</v>
      </c>
      <c r="F785" s="94"/>
      <c r="G785" s="100">
        <f ca="1">_xll.meDateFromTenor(G784,"1D","FOLLOWING",H$12)</f>
        <v>43614</v>
      </c>
      <c r="H785" s="13">
        <f ca="1">_xll.meDateFromTenor(G785,H$14,H$11,H$12)</f>
        <v>43644</v>
      </c>
      <c r="I785" s="98">
        <f ca="1"/>
        <v>-2.2750832529629694E-3</v>
      </c>
      <c r="J785" s="94" t="s">
        <v>4</v>
      </c>
      <c r="K785" s="100">
        <f ca="1">_xll.meDateFromTenor(K784,"1D","FOLLOWING",L$12)</f>
        <v>43614</v>
      </c>
      <c r="L785" s="13">
        <f ca="1">_xll.meDateFromTenor(K785,L$14,L$11,L$12)</f>
        <v>43706</v>
      </c>
      <c r="M785" s="98">
        <f ca="1"/>
        <v>-8.248202264416239E-4</v>
      </c>
      <c r="N785" s="5" t="s">
        <v>4</v>
      </c>
      <c r="O785" s="100">
        <f ca="1">_xll.meDateFromTenor(O784,"1D","FOLLOWING",P$12)</f>
        <v>43614</v>
      </c>
      <c r="P785" s="13">
        <f ca="1">_xll.meDateFromTenor(O785,P$14,P$11,P$12)</f>
        <v>43798</v>
      </c>
      <c r="Q785" s="98">
        <f ca="1"/>
        <v>6.7986889741816347E-4</v>
      </c>
      <c r="R785" s="5" t="s">
        <v>4</v>
      </c>
      <c r="S785" s="100">
        <f ca="1">_xll.meDateFromTenor(S784,"1D","FOLLOWING",T$12)</f>
        <v>43614</v>
      </c>
      <c r="T785" s="13">
        <f ca="1">_xll.meDateFromTenor(S785,T$14,T$11,T$12)</f>
        <v>43980</v>
      </c>
      <c r="U785" s="98">
        <f ca="1"/>
        <v>2.7492872639565276E-3</v>
      </c>
      <c r="V785" s="5" t="s">
        <v>4</v>
      </c>
      <c r="W785" s="84" t="s">
        <v>4</v>
      </c>
    </row>
    <row r="786" spans="1:23" x14ac:dyDescent="0.25">
      <c r="A786" s="90">
        <v>767</v>
      </c>
      <c r="B786" s="83"/>
      <c r="C786" s="100">
        <f ca="1">_xll.meDateFromTenor(C785,"1D","FOLLOWING",D$12)</f>
        <v>43615</v>
      </c>
      <c r="D786" s="13">
        <f ca="1">_xll.meDateFromTenor(C786,D$14,D$11,D$12)</f>
        <v>43616</v>
      </c>
      <c r="E786" s="98">
        <f ca="1"/>
        <v>-3.0261670611375743E-3</v>
      </c>
      <c r="F786" s="94"/>
      <c r="G786" s="100">
        <f ca="1">_xll.meDateFromTenor(G785,"1D","FOLLOWING",H$12)</f>
        <v>43615</v>
      </c>
      <c r="H786" s="13">
        <f ca="1">_xll.meDateFromTenor(G786,H$14,H$11,H$12)</f>
        <v>43644</v>
      </c>
      <c r="I786" s="98">
        <f ca="1"/>
        <v>-2.2709209141336005E-3</v>
      </c>
      <c r="J786" s="94" t="s">
        <v>4</v>
      </c>
      <c r="K786" s="100">
        <f ca="1">_xll.meDateFromTenor(K785,"1D","FOLLOWING",L$12)</f>
        <v>43615</v>
      </c>
      <c r="L786" s="13">
        <f ca="1">_xll.meDateFromTenor(K786,L$14,L$11,L$12)</f>
        <v>43707</v>
      </c>
      <c r="M786" s="98">
        <f ca="1"/>
        <v>-8.2196649050711381E-4</v>
      </c>
      <c r="N786" s="5" t="s">
        <v>4</v>
      </c>
      <c r="O786" s="100">
        <f ca="1">_xll.meDateFromTenor(O785,"1D","FOLLOWING",P$12)</f>
        <v>43615</v>
      </c>
      <c r="P786" s="13">
        <f ca="1">_xll.meDateFromTenor(O786,P$14,P$11,P$12)</f>
        <v>43798</v>
      </c>
      <c r="Q786" s="98">
        <f ca="1"/>
        <v>6.8579769862226576E-4</v>
      </c>
      <c r="R786" s="5" t="s">
        <v>4</v>
      </c>
      <c r="S786" s="100">
        <f ca="1">_xll.meDateFromTenor(S785,"1D","FOLLOWING",T$12)</f>
        <v>43615</v>
      </c>
      <c r="T786" s="13">
        <f ca="1">_xll.meDateFromTenor(S786,T$14,T$11,T$12)</f>
        <v>43980</v>
      </c>
      <c r="U786" s="98">
        <f ca="1"/>
        <v>2.7549232399569552E-3</v>
      </c>
      <c r="V786" s="5" t="s">
        <v>4</v>
      </c>
      <c r="W786" s="84" t="s">
        <v>4</v>
      </c>
    </row>
    <row r="787" spans="1:23" x14ac:dyDescent="0.25">
      <c r="A787" s="90">
        <v>768</v>
      </c>
      <c r="B787" s="83"/>
      <c r="C787" s="100">
        <f ca="1">_xll.meDateFromTenor(C786,"1D","FOLLOWING",D$12)</f>
        <v>43616</v>
      </c>
      <c r="D787" s="13">
        <f ca="1">_xll.meDateFromTenor(C787,D$14,D$11,D$12)</f>
        <v>43619</v>
      </c>
      <c r="E787" s="98">
        <f ca="1"/>
        <v>-3.0162970680214338E-3</v>
      </c>
      <c r="F787" s="94"/>
      <c r="G787" s="100">
        <f ca="1">_xll.meDateFromTenor(G786,"1D","FOLLOWING",H$12)</f>
        <v>43616</v>
      </c>
      <c r="H787" s="13">
        <f ca="1">_xll.meDateFromTenor(G787,H$14,H$11,H$12)</f>
        <v>43644</v>
      </c>
      <c r="I787" s="98">
        <f ca="1"/>
        <v>-2.2667316748881169E-3</v>
      </c>
      <c r="J787" s="94" t="s">
        <v>4</v>
      </c>
      <c r="K787" s="100">
        <f ca="1">_xll.meDateFromTenor(K786,"1D","FOLLOWING",L$12)</f>
        <v>43616</v>
      </c>
      <c r="L787" s="13">
        <f ca="1">_xll.meDateFromTenor(K787,L$14,L$11,L$12)</f>
        <v>43707</v>
      </c>
      <c r="M787" s="98">
        <f ca="1"/>
        <v>-8.1910308786664382E-4</v>
      </c>
      <c r="N787" s="5" t="s">
        <v>4</v>
      </c>
      <c r="O787" s="100">
        <f ca="1">_xll.meDateFromTenor(O786,"1D","FOLLOWING",P$12)</f>
        <v>43616</v>
      </c>
      <c r="P787" s="13">
        <f ca="1">_xll.meDateFromTenor(O787,P$14,P$11,P$12)</f>
        <v>43798</v>
      </c>
      <c r="Q787" s="98">
        <f ca="1"/>
        <v>6.9172645835461483E-4</v>
      </c>
      <c r="R787" s="5" t="s">
        <v>4</v>
      </c>
      <c r="S787" s="100">
        <f ca="1">_xll.meDateFromTenor(S786,"1D","FOLLOWING",T$12)</f>
        <v>43616</v>
      </c>
      <c r="T787" s="13">
        <f ca="1">_xll.meDateFromTenor(S787,T$14,T$11,T$12)</f>
        <v>43980</v>
      </c>
      <c r="U787" s="98">
        <f ca="1"/>
        <v>2.7605568931242499E-3</v>
      </c>
      <c r="V787" s="5" t="s">
        <v>4</v>
      </c>
      <c r="W787" s="84" t="s">
        <v>4</v>
      </c>
    </row>
    <row r="788" spans="1:23" x14ac:dyDescent="0.25">
      <c r="A788" s="90">
        <v>769</v>
      </c>
      <c r="B788" s="83"/>
      <c r="C788" s="100">
        <f ca="1">_xll.meDateFromTenor(C787,"1D","FOLLOWING",D$12)</f>
        <v>43619</v>
      </c>
      <c r="D788" s="13">
        <f ca="1">_xll.meDateFromTenor(C788,D$14,D$11,D$12)</f>
        <v>43620</v>
      </c>
      <c r="E788" s="98">
        <f ca="1"/>
        <v>-3.0063523883550156E-3</v>
      </c>
      <c r="F788" s="94"/>
      <c r="G788" s="100">
        <f ca="1">_xll.meDateFromTenor(G787,"1D","FOLLOWING",H$12)</f>
        <v>43619</v>
      </c>
      <c r="H788" s="13">
        <f ca="1">_xll.meDateFromTenor(G788,H$14,H$11,H$12)</f>
        <v>43649</v>
      </c>
      <c r="I788" s="98">
        <f ca="1"/>
        <v>-2.2539844929666602E-3</v>
      </c>
      <c r="J788" s="94" t="s">
        <v>4</v>
      </c>
      <c r="K788" s="100">
        <f ca="1">_xll.meDateFromTenor(K787,"1D","FOLLOWING",L$12)</f>
        <v>43619</v>
      </c>
      <c r="L788" s="13">
        <f ca="1">_xll.meDateFromTenor(K788,L$14,L$11,L$12)</f>
        <v>43711</v>
      </c>
      <c r="M788" s="98">
        <f ca="1"/>
        <v>-8.1045010909647935E-4</v>
      </c>
      <c r="N788" s="5" t="s">
        <v>4</v>
      </c>
      <c r="O788" s="100">
        <f ca="1">_xll.meDateFromTenor(O787,"1D","FOLLOWING",P$12)</f>
        <v>43619</v>
      </c>
      <c r="P788" s="13">
        <f ca="1">_xll.meDateFromTenor(O788,P$14,P$11,P$12)</f>
        <v>43802</v>
      </c>
      <c r="Q788" s="98">
        <f ca="1"/>
        <v>7.0951204087437011E-4</v>
      </c>
      <c r="R788" s="5" t="s">
        <v>4</v>
      </c>
      <c r="S788" s="100">
        <f ca="1">_xll.meDateFromTenor(S787,"1D","FOLLOWING",T$12)</f>
        <v>43619</v>
      </c>
      <c r="T788" s="13">
        <f ca="1">_xll.meDateFromTenor(S788,T$14,T$11,T$12)</f>
        <v>43985</v>
      </c>
      <c r="U788" s="98">
        <f ca="1"/>
        <v>2.7774435612607858E-3</v>
      </c>
      <c r="V788" s="5" t="s">
        <v>4</v>
      </c>
      <c r="W788" s="84" t="s">
        <v>4</v>
      </c>
    </row>
    <row r="789" spans="1:23" x14ac:dyDescent="0.25">
      <c r="A789" s="90">
        <v>770</v>
      </c>
      <c r="B789" s="83"/>
      <c r="C789" s="100">
        <f ca="1">_xll.meDateFromTenor(C788,"1D","FOLLOWING",D$12)</f>
        <v>43620</v>
      </c>
      <c r="D789" s="13">
        <f ca="1">_xll.meDateFromTenor(C789,D$14,D$11,D$12)</f>
        <v>43621</v>
      </c>
      <c r="E789" s="98">
        <f ca="1"/>
        <v>-3.0013395817452102E-3</v>
      </c>
      <c r="F789" s="94"/>
      <c r="G789" s="100">
        <f ca="1">_xll.meDateFromTenor(G788,"1D","FOLLOWING",H$12)</f>
        <v>43620</v>
      </c>
      <c r="H789" s="13">
        <f ca="1">_xll.meDateFromTenor(G789,H$14,H$11,H$12)</f>
        <v>43650</v>
      </c>
      <c r="I789" s="98">
        <f ca="1"/>
        <v>-2.2496701165765323E-3</v>
      </c>
      <c r="J789" s="94" t="s">
        <v>4</v>
      </c>
      <c r="K789" s="100">
        <f ca="1">_xll.meDateFromTenor(K788,"1D","FOLLOWING",L$12)</f>
        <v>43620</v>
      </c>
      <c r="L789" s="13">
        <f ca="1">_xll.meDateFromTenor(K789,L$14,L$11,L$12)</f>
        <v>43712</v>
      </c>
      <c r="M789" s="98">
        <f ca="1"/>
        <v>-8.0754334990806593E-4</v>
      </c>
      <c r="N789" s="5" t="s">
        <v>4</v>
      </c>
      <c r="O789" s="100">
        <f ca="1">_xll.meDateFromTenor(O788,"1D","FOLLOWING",P$12)</f>
        <v>43620</v>
      </c>
      <c r="P789" s="13">
        <f ca="1">_xll.meDateFromTenor(O789,P$14,P$11,P$12)</f>
        <v>43803</v>
      </c>
      <c r="Q789" s="98">
        <f ca="1"/>
        <v>7.1544019427536925E-4</v>
      </c>
      <c r="R789" s="5" t="s">
        <v>4</v>
      </c>
      <c r="S789" s="100">
        <f ca="1">_xll.meDateFromTenor(S788,"1D","FOLLOWING",T$12)</f>
        <v>43620</v>
      </c>
      <c r="T789" s="13">
        <f ca="1">_xll.meDateFromTenor(S789,T$14,T$11,T$12)</f>
        <v>43986</v>
      </c>
      <c r="U789" s="98">
        <f ca="1"/>
        <v>2.7830675785066616E-3</v>
      </c>
      <c r="V789" s="5" t="s">
        <v>4</v>
      </c>
      <c r="W789" s="84" t="s">
        <v>4</v>
      </c>
    </row>
    <row r="790" spans="1:23" x14ac:dyDescent="0.25">
      <c r="A790" s="90">
        <v>771</v>
      </c>
      <c r="B790" s="83"/>
      <c r="C790" s="100">
        <f ca="1">_xll.meDateFromTenor(C789,"1D","FOLLOWING",D$12)</f>
        <v>43621</v>
      </c>
      <c r="D790" s="13">
        <f ca="1">_xll.meDateFromTenor(C790,D$14,D$11,D$12)</f>
        <v>43622</v>
      </c>
      <c r="E790" s="98">
        <f ca="1"/>
        <v>-2.9963288601875357E-3</v>
      </c>
      <c r="F790" s="94"/>
      <c r="G790" s="100">
        <f ca="1">_xll.meDateFromTenor(G789,"1D","FOLLOWING",H$12)</f>
        <v>43621</v>
      </c>
      <c r="H790" s="13">
        <f ca="1">_xll.meDateFromTenor(G790,H$14,H$11,H$12)</f>
        <v>43651</v>
      </c>
      <c r="I790" s="98">
        <f ca="1"/>
        <v>-2.2453229661749344E-3</v>
      </c>
      <c r="J790" s="94" t="s">
        <v>4</v>
      </c>
      <c r="K790" s="100">
        <f ca="1">_xll.meDateFromTenor(K789,"1D","FOLLOWING",L$12)</f>
        <v>43621</v>
      </c>
      <c r="L790" s="13">
        <f ca="1">_xll.meDateFromTenor(K790,L$14,L$11,L$12)</f>
        <v>43713</v>
      </c>
      <c r="M790" s="98">
        <f ca="1"/>
        <v>-8.0462502404054961E-4</v>
      </c>
      <c r="N790" s="5" t="s">
        <v>4</v>
      </c>
      <c r="O790" s="100">
        <f ca="1">_xll.meDateFromTenor(O789,"1D","FOLLOWING",P$12)</f>
        <v>43621</v>
      </c>
      <c r="P790" s="13">
        <f ca="1">_xll.meDateFromTenor(O790,P$14,P$11,P$12)</f>
        <v>43804</v>
      </c>
      <c r="Q790" s="98">
        <f ca="1"/>
        <v>7.2136812669582626E-4</v>
      </c>
      <c r="R790" s="5" t="s">
        <v>4</v>
      </c>
      <c r="S790" s="100">
        <f ca="1">_xll.meDateFromTenor(S789,"1D","FOLLOWING",T$12)</f>
        <v>43621</v>
      </c>
      <c r="T790" s="13">
        <f ca="1">_xll.meDateFromTenor(S790,T$14,T$11,T$12)</f>
        <v>43987</v>
      </c>
      <c r="U790" s="98">
        <f ca="1"/>
        <v>2.7886891544021027E-3</v>
      </c>
      <c r="V790" s="5" t="s">
        <v>4</v>
      </c>
      <c r="W790" s="84" t="s">
        <v>4</v>
      </c>
    </row>
    <row r="791" spans="1:23" x14ac:dyDescent="0.25">
      <c r="A791" s="90">
        <v>772</v>
      </c>
      <c r="B791" s="83"/>
      <c r="C791" s="100">
        <f ca="1">_xll.meDateFromTenor(C790,"1D","FOLLOWING",D$12)</f>
        <v>43622</v>
      </c>
      <c r="D791" s="13">
        <f ca="1">_xll.meDateFromTenor(C791,D$14,D$11,D$12)</f>
        <v>43623</v>
      </c>
      <c r="E791" s="98">
        <f ca="1"/>
        <v>-2.9913202232423439E-3</v>
      </c>
      <c r="F791" s="94"/>
      <c r="G791" s="100">
        <f ca="1">_xll.meDateFromTenor(G790,"1D","FOLLOWING",H$12)</f>
        <v>43622</v>
      </c>
      <c r="H791" s="13">
        <f ca="1">_xll.meDateFromTenor(G791,H$14,H$11,H$12)</f>
        <v>43654</v>
      </c>
      <c r="I791" s="98">
        <f ca="1"/>
        <v>-2.2409443928418371E-3</v>
      </c>
      <c r="J791" s="94" t="s">
        <v>4</v>
      </c>
      <c r="K791" s="100">
        <f ca="1">_xll.meDateFromTenor(K790,"1D","FOLLOWING",L$12)</f>
        <v>43622</v>
      </c>
      <c r="L791" s="13">
        <f ca="1">_xll.meDateFromTenor(K791,L$14,L$11,L$12)</f>
        <v>43714</v>
      </c>
      <c r="M791" s="98">
        <f ca="1"/>
        <v>-8.0169513976598703E-4</v>
      </c>
      <c r="N791" s="5" t="s">
        <v>4</v>
      </c>
      <c r="O791" s="100">
        <f ca="1">_xll.meDateFromTenor(O790,"1D","FOLLOWING",P$12)</f>
        <v>43622</v>
      </c>
      <c r="P791" s="13">
        <f ca="1">_xll.meDateFromTenor(O791,P$14,P$11,P$12)</f>
        <v>43805</v>
      </c>
      <c r="Q791" s="98">
        <f ca="1"/>
        <v>7.2729583776565891E-4</v>
      </c>
      <c r="R791" s="5" t="s">
        <v>4</v>
      </c>
      <c r="S791" s="100">
        <f ca="1">_xll.meDateFromTenor(S790,"1D","FOLLOWING",T$12)</f>
        <v>43622</v>
      </c>
      <c r="T791" s="13">
        <f ca="1">_xll.meDateFromTenor(S791,T$14,T$11,T$12)</f>
        <v>43990</v>
      </c>
      <c r="U791" s="98">
        <f ca="1"/>
        <v>2.7943083121764268E-3</v>
      </c>
      <c r="V791" s="5" t="s">
        <v>4</v>
      </c>
      <c r="W791" s="84" t="s">
        <v>4</v>
      </c>
    </row>
    <row r="792" spans="1:23" x14ac:dyDescent="0.25">
      <c r="A792" s="90">
        <v>773</v>
      </c>
      <c r="B792" s="83"/>
      <c r="C792" s="100">
        <f ca="1">_xll.meDateFromTenor(C791,"1D","FOLLOWING",D$12)</f>
        <v>43623</v>
      </c>
      <c r="D792" s="13">
        <f ca="1">_xll.meDateFromTenor(C792,D$14,D$11,D$12)</f>
        <v>43626</v>
      </c>
      <c r="E792" s="98">
        <f ca="1"/>
        <v>-2.9812852074371969E-3</v>
      </c>
      <c r="F792" s="94"/>
      <c r="G792" s="100">
        <f ca="1">_xll.meDateFromTenor(G791,"1D","FOLLOWING",H$12)</f>
        <v>43623</v>
      </c>
      <c r="H792" s="13">
        <f ca="1">_xll.meDateFromTenor(G792,H$14,H$11,H$12)</f>
        <v>43654</v>
      </c>
      <c r="I792" s="98">
        <f ca="1"/>
        <v>-2.2365357476572126E-3</v>
      </c>
      <c r="J792" s="94" t="s">
        <v>4</v>
      </c>
      <c r="K792" s="100">
        <f ca="1">_xll.meDateFromTenor(K791,"1D","FOLLOWING",L$12)</f>
        <v>43623</v>
      </c>
      <c r="L792" s="13">
        <f ca="1">_xll.meDateFromTenor(K792,L$14,L$11,L$12)</f>
        <v>43717</v>
      </c>
      <c r="M792" s="98">
        <f ca="1"/>
        <v>-7.9875370535643431E-4</v>
      </c>
      <c r="N792" s="5" t="s">
        <v>4</v>
      </c>
      <c r="O792" s="100">
        <f ca="1">_xll.meDateFromTenor(O791,"1D","FOLLOWING",P$12)</f>
        <v>43623</v>
      </c>
      <c r="P792" s="13">
        <f ca="1">_xll.meDateFromTenor(O792,P$14,P$11,P$12)</f>
        <v>43808</v>
      </c>
      <c r="Q792" s="98">
        <f ca="1"/>
        <v>7.3322332711478553E-4</v>
      </c>
      <c r="R792" s="5" t="s">
        <v>4</v>
      </c>
      <c r="S792" s="100">
        <f ca="1">_xll.meDateFromTenor(S791,"1D","FOLLOWING",T$12)</f>
        <v>43623</v>
      </c>
      <c r="T792" s="13">
        <f ca="1">_xll.meDateFromTenor(S792,T$14,T$11,T$12)</f>
        <v>43990</v>
      </c>
      <c r="U792" s="98">
        <f ca="1"/>
        <v>2.7999250750589508E-3</v>
      </c>
      <c r="V792" s="5" t="s">
        <v>4</v>
      </c>
      <c r="W792" s="84" t="s">
        <v>4</v>
      </c>
    </row>
    <row r="793" spans="1:23" x14ac:dyDescent="0.25">
      <c r="A793" s="90">
        <v>774</v>
      </c>
      <c r="B793" s="83"/>
      <c r="C793" s="100">
        <f ca="1">_xll.meDateFromTenor(C792,"1D","FOLLOWING",D$12)</f>
        <v>43626</v>
      </c>
      <c r="D793" s="13">
        <f ca="1">_xll.meDateFromTenor(C793,D$14,D$11,D$12)</f>
        <v>43627</v>
      </c>
      <c r="E793" s="98">
        <f ca="1"/>
        <v>-2.9713065164305268E-3</v>
      </c>
      <c r="F793" s="94"/>
      <c r="G793" s="100">
        <f ca="1">_xll.meDateFromTenor(G792,"1D","FOLLOWING",H$12)</f>
        <v>43626</v>
      </c>
      <c r="H793" s="13">
        <f ca="1">_xll.meDateFromTenor(G793,H$14,H$11,H$12)</f>
        <v>43656</v>
      </c>
      <c r="I793" s="98">
        <f ca="1"/>
        <v>-2.2231428917938983E-3</v>
      </c>
      <c r="J793" s="94" t="s">
        <v>4</v>
      </c>
      <c r="K793" s="100">
        <f ca="1">_xll.meDateFromTenor(K792,"1D","FOLLOWING",L$12)</f>
        <v>43626</v>
      </c>
      <c r="L793" s="13">
        <f ca="1">_xll.meDateFromTenor(K793,L$14,L$11,L$12)</f>
        <v>43718</v>
      </c>
      <c r="M793" s="98">
        <f ca="1"/>
        <v>-7.8986018403839724E-4</v>
      </c>
      <c r="N793" s="5" t="s">
        <v>4</v>
      </c>
      <c r="O793" s="100">
        <f ca="1">_xll.meDateFromTenor(O792,"1D","FOLLOWING",P$12)</f>
        <v>43626</v>
      </c>
      <c r="P793" s="13">
        <f ca="1">_xll.meDateFromTenor(O793,P$14,P$11,P$12)</f>
        <v>43809</v>
      </c>
      <c r="Q793" s="98">
        <f ca="1"/>
        <v>7.5100446113710723E-4</v>
      </c>
      <c r="R793" s="5" t="s">
        <v>4</v>
      </c>
      <c r="S793" s="100">
        <f ca="1">_xll.meDateFromTenor(S792,"1D","FOLLOWING",T$12)</f>
        <v>43626</v>
      </c>
      <c r="T793" s="13">
        <f ca="1">_xll.meDateFromTenor(S793,T$14,T$11,T$12)</f>
        <v>43992</v>
      </c>
      <c r="U793" s="98">
        <f ca="1"/>
        <v>2.816761226648905E-3</v>
      </c>
      <c r="V793" s="5" t="s">
        <v>4</v>
      </c>
      <c r="W793" s="84" t="s">
        <v>4</v>
      </c>
    </row>
    <row r="794" spans="1:23" x14ac:dyDescent="0.25">
      <c r="A794" s="90">
        <v>775</v>
      </c>
      <c r="B794" s="83"/>
      <c r="C794" s="100">
        <f ca="1">_xll.meDateFromTenor(C793,"1D","FOLLOWING",D$12)</f>
        <v>43627</v>
      </c>
      <c r="D794" s="13">
        <f ca="1">_xll.meDateFromTenor(C794,D$14,D$11,D$12)</f>
        <v>43628</v>
      </c>
      <c r="E794" s="98">
        <f ca="1"/>
        <v>-2.9663082987108173E-3</v>
      </c>
      <c r="F794" s="94"/>
      <c r="G794" s="100">
        <f ca="1">_xll.meDateFromTenor(G793,"1D","FOLLOWING",H$12)</f>
        <v>43627</v>
      </c>
      <c r="H794" s="13">
        <f ca="1">_xll.meDateFromTenor(G794,H$14,H$11,H$12)</f>
        <v>43657</v>
      </c>
      <c r="I794" s="98">
        <f ca="1"/>
        <v>-2.2186274700028864E-3</v>
      </c>
      <c r="J794" s="94" t="s">
        <v>4</v>
      </c>
      <c r="K794" s="100">
        <f ca="1">_xll.meDateFromTenor(K793,"1D","FOLLOWING",L$12)</f>
        <v>43627</v>
      </c>
      <c r="L794" s="13">
        <f ca="1">_xll.meDateFromTenor(K794,L$14,L$11,L$12)</f>
        <v>43719</v>
      </c>
      <c r="M794" s="98">
        <f ca="1"/>
        <v>-7.86872631809446E-4</v>
      </c>
      <c r="N794" s="5" t="s">
        <v>4</v>
      </c>
      <c r="O794" s="100">
        <f ca="1">_xll.meDateFromTenor(O793,"1D","FOLLOWING",P$12)</f>
        <v>43627</v>
      </c>
      <c r="P794" s="13">
        <f ca="1">_xll.meDateFromTenor(O794,P$14,P$11,P$12)</f>
        <v>43810</v>
      </c>
      <c r="Q794" s="98">
        <f ca="1"/>
        <v>7.5693105990258839E-4</v>
      </c>
      <c r="R794" s="5" t="s">
        <v>4</v>
      </c>
      <c r="S794" s="100">
        <f ca="1">_xll.meDateFromTenor(S793,"1D","FOLLOWING",T$12)</f>
        <v>43627</v>
      </c>
      <c r="T794" s="13">
        <f ca="1">_xll.meDateFromTenor(S794,T$14,T$11,T$12)</f>
        <v>43993</v>
      </c>
      <c r="U794" s="98">
        <f ca="1"/>
        <v>2.8223686422574087E-3</v>
      </c>
      <c r="V794" s="5" t="s">
        <v>4</v>
      </c>
      <c r="W794" s="84" t="s">
        <v>4</v>
      </c>
    </row>
    <row r="795" spans="1:23" x14ac:dyDescent="0.25">
      <c r="A795" s="90">
        <v>776</v>
      </c>
      <c r="B795" s="83"/>
      <c r="C795" s="100">
        <f ca="1">_xll.meDateFromTenor(C794,"1D","FOLLOWING",D$12)</f>
        <v>43628</v>
      </c>
      <c r="D795" s="13">
        <f ca="1">_xll.meDateFromTenor(C795,D$14,D$11,D$12)</f>
        <v>43629</v>
      </c>
      <c r="E795" s="98">
        <f ca="1"/>
        <v>-2.9613121640848054E-3</v>
      </c>
      <c r="F795" s="94"/>
      <c r="G795" s="100">
        <f ca="1">_xll.meDateFromTenor(G794,"1D","FOLLOWING",H$12)</f>
        <v>43628</v>
      </c>
      <c r="H795" s="13">
        <f ca="1">_xll.meDateFromTenor(G795,H$14,H$11,H$12)</f>
        <v>43658</v>
      </c>
      <c r="I795" s="98">
        <f ca="1"/>
        <v>-2.2140887317602066E-3</v>
      </c>
      <c r="J795" s="94" t="s">
        <v>4</v>
      </c>
      <c r="K795" s="100">
        <f ca="1">_xll.meDateFromTenor(K794,"1D","FOLLOWING",L$12)</f>
        <v>43628</v>
      </c>
      <c r="L795" s="13">
        <f ca="1">_xll.meDateFromTenor(K795,L$14,L$11,L$12)</f>
        <v>43720</v>
      </c>
      <c r="M795" s="98">
        <f ca="1"/>
        <v>-7.8387357080578527E-4</v>
      </c>
      <c r="N795" s="5" t="s">
        <v>4</v>
      </c>
      <c r="O795" s="100">
        <f ca="1">_xll.meDateFromTenor(O794,"1D","FOLLOWING",P$12)</f>
        <v>43628</v>
      </c>
      <c r="P795" s="13">
        <f ca="1">_xll.meDateFromTenor(O795,P$14,P$11,P$12)</f>
        <v>43811</v>
      </c>
      <c r="Q795" s="98">
        <f ca="1"/>
        <v>7.6285743509695427E-4</v>
      </c>
      <c r="R795" s="5" t="s">
        <v>4</v>
      </c>
      <c r="S795" s="100">
        <f ca="1">_xll.meDateFromTenor(S794,"1D","FOLLOWING",T$12)</f>
        <v>43628</v>
      </c>
      <c r="T795" s="13">
        <f ca="1">_xll.meDateFromTenor(S795,T$14,T$11,T$12)</f>
        <v>43994</v>
      </c>
      <c r="U795" s="98">
        <f ca="1"/>
        <v>2.8279737791207025E-3</v>
      </c>
      <c r="V795" s="5" t="s">
        <v>4</v>
      </c>
      <c r="W795" s="84" t="s">
        <v>4</v>
      </c>
    </row>
    <row r="796" spans="1:23" x14ac:dyDescent="0.25">
      <c r="A796" s="90">
        <v>777</v>
      </c>
      <c r="B796" s="83"/>
      <c r="C796" s="100">
        <f ca="1">_xll.meDateFromTenor(C795,"1D","FOLLOWING",D$12)</f>
        <v>43629</v>
      </c>
      <c r="D796" s="13">
        <f ca="1">_xll.meDateFromTenor(C796,D$14,D$11,D$12)</f>
        <v>43630</v>
      </c>
      <c r="E796" s="98">
        <f ca="1"/>
        <v>-2.9563181119130026E-3</v>
      </c>
      <c r="F796" s="94"/>
      <c r="G796" s="100">
        <f ca="1">_xll.meDateFromTenor(G795,"1D","FOLLOWING",H$12)</f>
        <v>43629</v>
      </c>
      <c r="H796" s="13">
        <f ca="1">_xll.meDateFromTenor(G796,H$14,H$11,H$12)</f>
        <v>43661</v>
      </c>
      <c r="I796" s="98">
        <f ca="1"/>
        <v>-2.2095280281458308E-3</v>
      </c>
      <c r="J796" s="94" t="s">
        <v>4</v>
      </c>
      <c r="K796" s="100">
        <f ca="1">_xll.meDateFromTenor(K795,"1D","FOLLOWING",L$12)</f>
        <v>43629</v>
      </c>
      <c r="L796" s="13">
        <f ca="1">_xll.meDateFromTenor(K796,L$14,L$11,L$12)</f>
        <v>43721</v>
      </c>
      <c r="M796" s="98">
        <f ca="1"/>
        <v>-7.8086300929947159E-4</v>
      </c>
      <c r="N796" s="5" t="s">
        <v>4</v>
      </c>
      <c r="O796" s="100">
        <f ca="1">_xll.meDateFromTenor(O795,"1D","FOLLOWING",P$12)</f>
        <v>43629</v>
      </c>
      <c r="P796" s="13">
        <f ca="1">_xll.meDateFromTenor(O796,P$14,P$11,P$12)</f>
        <v>43812</v>
      </c>
      <c r="Q796" s="98">
        <f ca="1"/>
        <v>7.687835863501222E-4</v>
      </c>
      <c r="R796" s="5" t="s">
        <v>4</v>
      </c>
      <c r="S796" s="100">
        <f ca="1">_xll.meDateFromTenor(S795,"1D","FOLLOWING",T$12)</f>
        <v>43629</v>
      </c>
      <c r="T796" s="13">
        <f ca="1">_xll.meDateFromTenor(S796,T$14,T$11,T$12)</f>
        <v>43997</v>
      </c>
      <c r="U796" s="98">
        <f ca="1"/>
        <v>2.8335766604681038E-3</v>
      </c>
      <c r="V796" s="5" t="s">
        <v>4</v>
      </c>
      <c r="W796" s="84" t="s">
        <v>4</v>
      </c>
    </row>
    <row r="797" spans="1:23" x14ac:dyDescent="0.25">
      <c r="A797" s="90">
        <v>778</v>
      </c>
      <c r="B797" s="83"/>
      <c r="C797" s="100">
        <f ca="1">_xll.meDateFromTenor(C796,"1D","FOLLOWING",D$12)</f>
        <v>43630</v>
      </c>
      <c r="D797" s="13">
        <f ca="1">_xll.meDateFromTenor(C797,D$14,D$11,D$12)</f>
        <v>43633</v>
      </c>
      <c r="E797" s="98">
        <f ca="1"/>
        <v>-2.946312835505626E-3</v>
      </c>
      <c r="F797" s="94"/>
      <c r="G797" s="100">
        <f ca="1">_xll.meDateFromTenor(G796,"1D","FOLLOWING",H$12)</f>
        <v>43630</v>
      </c>
      <c r="H797" s="13">
        <f ca="1">_xll.meDateFromTenor(G797,H$14,H$11,H$12)</f>
        <v>43661</v>
      </c>
      <c r="I797" s="98">
        <f ca="1"/>
        <v>-2.2049467102397322E-3</v>
      </c>
      <c r="J797" s="94" t="s">
        <v>4</v>
      </c>
      <c r="K797" s="100">
        <f ca="1">_xll.meDateFromTenor(K796,"1D","FOLLOWING",L$12)</f>
        <v>43630</v>
      </c>
      <c r="L797" s="13">
        <f ca="1">_xll.meDateFromTenor(K797,L$14,L$11,L$12)</f>
        <v>43724</v>
      </c>
      <c r="M797" s="98">
        <f ca="1"/>
        <v>-7.7784095556256106E-4</v>
      </c>
      <c r="N797" s="5" t="s">
        <v>4</v>
      </c>
      <c r="O797" s="100">
        <f ca="1">_xll.meDateFromTenor(O796,"1D","FOLLOWING",P$12)</f>
        <v>43630</v>
      </c>
      <c r="P797" s="13">
        <f ca="1">_xll.meDateFromTenor(O797,P$14,P$11,P$12)</f>
        <v>43815</v>
      </c>
      <c r="Q797" s="98">
        <f ca="1"/>
        <v>7.7470951329201019E-4</v>
      </c>
      <c r="R797" s="5" t="s">
        <v>4</v>
      </c>
      <c r="S797" s="100">
        <f ca="1">_xll.meDateFromTenor(S796,"1D","FOLLOWING",T$12)</f>
        <v>43630</v>
      </c>
      <c r="T797" s="13">
        <f ca="1">_xll.meDateFromTenor(S797,T$14,T$11,T$12)</f>
        <v>43997</v>
      </c>
      <c r="U797" s="98">
        <f ca="1"/>
        <v>2.839177309528929E-3</v>
      </c>
      <c r="V797" s="5" t="s">
        <v>4</v>
      </c>
      <c r="W797" s="84" t="s">
        <v>4</v>
      </c>
    </row>
    <row r="798" spans="1:23" x14ac:dyDescent="0.25">
      <c r="A798" s="90">
        <v>779</v>
      </c>
      <c r="B798" s="83"/>
      <c r="C798" s="100">
        <f ca="1">_xll.meDateFromTenor(C797,"1D","FOLLOWING",D$12)</f>
        <v>43633</v>
      </c>
      <c r="D798" s="13">
        <f ca="1">_xll.meDateFromTenor(C798,D$14,D$11,D$12)</f>
        <v>43634</v>
      </c>
      <c r="E798" s="98">
        <f ca="1"/>
        <v>-2.9363627257295126E-3</v>
      </c>
      <c r="F798" s="94"/>
      <c r="G798" s="100">
        <f ca="1">_xll.meDateFromTenor(G797,"1D","FOLLOWING",H$12)</f>
        <v>43633</v>
      </c>
      <c r="H798" s="13">
        <f ca="1">_xll.meDateFromTenor(G798,H$14,H$11,H$12)</f>
        <v>43663</v>
      </c>
      <c r="I798" s="98">
        <f ca="1"/>
        <v>-2.1910925815708136E-3</v>
      </c>
      <c r="J798" s="94" t="s">
        <v>4</v>
      </c>
      <c r="K798" s="100">
        <f ca="1">_xll.meDateFromTenor(K797,"1D","FOLLOWING",L$12)</f>
        <v>43633</v>
      </c>
      <c r="L798" s="13">
        <f ca="1">_xll.meDateFromTenor(K798,L$14,L$11,L$12)</f>
        <v>43725</v>
      </c>
      <c r="M798" s="98">
        <f ca="1"/>
        <v>-7.6870592368881126E-4</v>
      </c>
      <c r="N798" s="5" t="s">
        <v>4</v>
      </c>
      <c r="O798" s="100">
        <f ca="1">_xll.meDateFromTenor(O797,"1D","FOLLOWING",P$12)</f>
        <v>43633</v>
      </c>
      <c r="P798" s="13">
        <f ca="1">_xll.meDateFromTenor(O798,P$14,P$11,P$12)</f>
        <v>43816</v>
      </c>
      <c r="Q798" s="98">
        <f ca="1"/>
        <v>7.9248594454917444E-4</v>
      </c>
      <c r="R798" s="5" t="s">
        <v>4</v>
      </c>
      <c r="S798" s="100">
        <f ca="1">_xll.meDateFromTenor(S797,"1D","FOLLOWING",T$12)</f>
        <v>43633</v>
      </c>
      <c r="T798" s="13">
        <f ca="1">_xll.meDateFromTenor(S798,T$14,T$11,T$12)</f>
        <v>43999</v>
      </c>
      <c r="U798" s="98">
        <f ca="1"/>
        <v>2.8559660952851311E-3</v>
      </c>
      <c r="V798" s="5" t="s">
        <v>4</v>
      </c>
      <c r="W798" s="84" t="s">
        <v>4</v>
      </c>
    </row>
    <row r="799" spans="1:23" x14ac:dyDescent="0.25">
      <c r="A799" s="90">
        <v>780</v>
      </c>
      <c r="B799" s="83"/>
      <c r="C799" s="100">
        <f ca="1">_xll.meDateFromTenor(C798,"1D","FOLLOWING",D$12)</f>
        <v>43634</v>
      </c>
      <c r="D799" s="13">
        <f ca="1">_xll.meDateFromTenor(C799,D$14,D$11,D$12)</f>
        <v>43635</v>
      </c>
      <c r="E799" s="98">
        <f ca="1"/>
        <v>-2.9313790833507374E-3</v>
      </c>
      <c r="F799" s="94"/>
      <c r="G799" s="100">
        <f ca="1">_xll.meDateFromTenor(G798,"1D","FOLLOWING",H$12)</f>
        <v>43634</v>
      </c>
      <c r="H799" s="13">
        <f ca="1">_xll.meDateFromTenor(G799,H$14,H$11,H$12)</f>
        <v>43664</v>
      </c>
      <c r="I799" s="98">
        <f ca="1"/>
        <v>-2.1864423172975405E-3</v>
      </c>
      <c r="J799" s="94" t="s">
        <v>4</v>
      </c>
      <c r="K799" s="100">
        <f ca="1">_xll.meDateFromTenor(K798,"1D","FOLLOWING",L$12)</f>
        <v>43634</v>
      </c>
      <c r="L799" s="13">
        <f ca="1">_xll.meDateFromTenor(K799,L$14,L$11,L$12)</f>
        <v>43726</v>
      </c>
      <c r="M799" s="98">
        <f ca="1"/>
        <v>-7.656379837500763E-4</v>
      </c>
      <c r="N799" s="5" t="s">
        <v>4</v>
      </c>
      <c r="O799" s="100">
        <f ca="1">_xll.meDateFromTenor(O798,"1D","FOLLOWING",P$12)</f>
        <v>43634</v>
      </c>
      <c r="P799" s="13">
        <f ca="1">_xll.meDateFromTenor(O799,P$14,P$11,P$12)</f>
        <v>43817</v>
      </c>
      <c r="Q799" s="98">
        <f ca="1"/>
        <v>7.9841097054512175E-4</v>
      </c>
      <c r="R799" s="5" t="s">
        <v>4</v>
      </c>
      <c r="S799" s="100">
        <f ca="1">_xll.meDateFromTenor(S798,"1D","FOLLOWING",T$12)</f>
        <v>43634</v>
      </c>
      <c r="T799" s="13">
        <f ca="1">_xll.meDateFromTenor(S799,T$14,T$11,T$12)</f>
        <v>44000</v>
      </c>
      <c r="U799" s="98">
        <f ca="1"/>
        <v>2.8615580474928314E-3</v>
      </c>
      <c r="V799" s="5" t="s">
        <v>4</v>
      </c>
      <c r="W799" s="84" t="s">
        <v>4</v>
      </c>
    </row>
    <row r="800" spans="1:23" x14ac:dyDescent="0.25">
      <c r="A800" s="90">
        <v>781</v>
      </c>
      <c r="B800" s="83"/>
      <c r="C800" s="100">
        <f ca="1">_xll.meDateFromTenor(C799,"1D","FOLLOWING",D$12)</f>
        <v>43635</v>
      </c>
      <c r="D800" s="13">
        <f ca="1">_xll.meDateFromTenor(C800,D$14,D$11,D$12)</f>
        <v>43636</v>
      </c>
      <c r="E800" s="98">
        <f ca="1"/>
        <v>-2.9263975220672582E-3</v>
      </c>
      <c r="F800" s="94"/>
      <c r="G800" s="100">
        <f ca="1">_xll.meDateFromTenor(G799,"1D","FOLLOWING",H$12)</f>
        <v>43635</v>
      </c>
      <c r="H800" s="13">
        <f ca="1">_xll.meDateFromTenor(G800,H$14,H$11,H$12)</f>
        <v>43665</v>
      </c>
      <c r="I800" s="98">
        <f ca="1"/>
        <v>-2.1817781941324034E-3</v>
      </c>
      <c r="J800" s="94" t="s">
        <v>4</v>
      </c>
      <c r="K800" s="100">
        <f ca="1">_xll.meDateFromTenor(K799,"1D","FOLLOWING",L$12)</f>
        <v>43635</v>
      </c>
      <c r="L800" s="13">
        <f ca="1">_xll.meDateFromTenor(K800,L$14,L$11,L$12)</f>
        <v>43727</v>
      </c>
      <c r="M800" s="98">
        <f ca="1"/>
        <v>-7.6255859294102515E-4</v>
      </c>
      <c r="N800" s="5" t="s">
        <v>4</v>
      </c>
      <c r="O800" s="100">
        <f ca="1">_xll.meDateFromTenor(O799,"1D","FOLLOWING",P$12)</f>
        <v>43635</v>
      </c>
      <c r="P800" s="13">
        <f ca="1">_xll.meDateFromTenor(O800,P$14,P$11,P$12)</f>
        <v>43818</v>
      </c>
      <c r="Q800" s="98">
        <f ca="1"/>
        <v>8.0433577037938039E-4</v>
      </c>
      <c r="R800" s="5" t="s">
        <v>4</v>
      </c>
      <c r="S800" s="100">
        <f ca="1">_xll.meDateFromTenor(S799,"1D","FOLLOWING",T$12)</f>
        <v>43635</v>
      </c>
      <c r="T800" s="13">
        <f ca="1">_xll.meDateFromTenor(S800,T$14,T$11,T$12)</f>
        <v>44001</v>
      </c>
      <c r="U800" s="98">
        <f ca="1"/>
        <v>2.8671478835605464E-3</v>
      </c>
      <c r="V800" s="5" t="s">
        <v>4</v>
      </c>
      <c r="W800" s="84" t="s">
        <v>4</v>
      </c>
    </row>
    <row r="801" spans="1:23" x14ac:dyDescent="0.25">
      <c r="A801" s="90">
        <v>782</v>
      </c>
      <c r="B801" s="83"/>
      <c r="C801" s="100">
        <f ca="1">_xll.meDateFromTenor(C800,"1D","FOLLOWING",D$12)</f>
        <v>43636</v>
      </c>
      <c r="D801" s="13">
        <f ca="1">_xll.meDateFromTenor(C801,D$14,D$11,D$12)</f>
        <v>43637</v>
      </c>
      <c r="E801" s="98">
        <f ca="1"/>
        <v>-2.9214180414793949E-3</v>
      </c>
      <c r="F801" s="94"/>
      <c r="G801" s="100">
        <f ca="1">_xll.meDateFromTenor(G800,"1D","FOLLOWING",H$12)</f>
        <v>43636</v>
      </c>
      <c r="H801" s="13">
        <f ca="1">_xll.meDateFromTenor(G801,H$14,H$11,H$12)</f>
        <v>43668</v>
      </c>
      <c r="I801" s="98">
        <f ca="1"/>
        <v>-2.1771015631553742E-3</v>
      </c>
      <c r="J801" s="94" t="s">
        <v>4</v>
      </c>
      <c r="K801" s="100">
        <f ca="1">_xll.meDateFromTenor(K800,"1D","FOLLOWING",L$12)</f>
        <v>43636</v>
      </c>
      <c r="L801" s="13">
        <f ca="1">_xll.meDateFromTenor(K801,L$14,L$11,L$12)</f>
        <v>43728</v>
      </c>
      <c r="M801" s="98">
        <f ca="1"/>
        <v>-7.5946775953371511E-4</v>
      </c>
      <c r="N801" s="5" t="s">
        <v>4</v>
      </c>
      <c r="O801" s="100">
        <f ca="1">_xll.meDateFromTenor(O800,"1D","FOLLOWING",P$12)</f>
        <v>43636</v>
      </c>
      <c r="P801" s="13">
        <f ca="1">_xll.meDateFromTenor(O801,P$14,P$11,P$12)</f>
        <v>43819</v>
      </c>
      <c r="Q801" s="98">
        <f ca="1"/>
        <v>8.1026034368186599E-4</v>
      </c>
      <c r="R801" s="5" t="s">
        <v>4</v>
      </c>
      <c r="S801" s="100">
        <f ca="1">_xll.meDateFromTenor(S800,"1D","FOLLOWING",T$12)</f>
        <v>43636</v>
      </c>
      <c r="T801" s="13">
        <f ca="1">_xll.meDateFromTenor(S801,T$14,T$11,T$12)</f>
        <v>44004</v>
      </c>
      <c r="U801" s="98">
        <f ca="1"/>
        <v>2.8727356267175914E-3</v>
      </c>
      <c r="V801" s="5" t="s">
        <v>4</v>
      </c>
      <c r="W801" s="84" t="s">
        <v>4</v>
      </c>
    </row>
    <row r="802" spans="1:23" x14ac:dyDescent="0.25">
      <c r="A802" s="90">
        <v>783</v>
      </c>
      <c r="B802" s="83"/>
      <c r="C802" s="100">
        <f ca="1">_xll.meDateFromTenor(C801,"1D","FOLLOWING",D$12)</f>
        <v>43637</v>
      </c>
      <c r="D802" s="13">
        <f ca="1">_xll.meDateFromTenor(C802,D$14,D$11,D$12)</f>
        <v>43640</v>
      </c>
      <c r="E802" s="98">
        <f ca="1"/>
        <v>-2.9114424690846012E-3</v>
      </c>
      <c r="F802" s="94"/>
      <c r="G802" s="100">
        <f ca="1">_xll.meDateFromTenor(G801,"1D","FOLLOWING",H$12)</f>
        <v>43637</v>
      </c>
      <c r="H802" s="13">
        <f ca="1">_xll.meDateFromTenor(G802,H$14,H$11,H$12)</f>
        <v>43668</v>
      </c>
      <c r="I802" s="98">
        <f ca="1"/>
        <v>-2.1724137754464252E-3</v>
      </c>
      <c r="J802" s="94" t="s">
        <v>4</v>
      </c>
      <c r="K802" s="100">
        <f ca="1">_xll.meDateFromTenor(K801,"1D","FOLLOWING",L$12)</f>
        <v>43637</v>
      </c>
      <c r="L802" s="13">
        <f ca="1">_xll.meDateFromTenor(K802,L$14,L$11,L$12)</f>
        <v>43731</v>
      </c>
      <c r="M802" s="98">
        <f ca="1"/>
        <v>-7.5636549180020099E-4</v>
      </c>
      <c r="N802" s="5" t="s">
        <v>4</v>
      </c>
      <c r="O802" s="100">
        <f ca="1">_xll.meDateFromTenor(O801,"1D","FOLLOWING",P$12)</f>
        <v>43637</v>
      </c>
      <c r="P802" s="13">
        <f ca="1">_xll.meDateFromTenor(O802,P$14,P$11,P$12)</f>
        <v>43822</v>
      </c>
      <c r="Q802" s="98">
        <f ca="1"/>
        <v>8.1618469008249892E-4</v>
      </c>
      <c r="R802" s="5" t="s">
        <v>4</v>
      </c>
      <c r="S802" s="100">
        <f ca="1">_xll.meDateFromTenor(S801,"1D","FOLLOWING",T$12)</f>
        <v>43637</v>
      </c>
      <c r="T802" s="13">
        <f ca="1">_xll.meDateFromTenor(S802,T$14,T$11,T$12)</f>
        <v>44004</v>
      </c>
      <c r="U802" s="98">
        <f ca="1"/>
        <v>2.8783213001932866E-3</v>
      </c>
      <c r="V802" s="5" t="s">
        <v>4</v>
      </c>
      <c r="W802" s="84" t="s">
        <v>4</v>
      </c>
    </row>
    <row r="803" spans="1:23" x14ac:dyDescent="0.25">
      <c r="A803" s="90">
        <v>784</v>
      </c>
      <c r="B803" s="83"/>
      <c r="C803" s="100">
        <f ca="1">_xll.meDateFromTenor(C802,"1D","FOLLOWING",D$12)</f>
        <v>43640</v>
      </c>
      <c r="D803" s="13">
        <f ca="1">_xll.meDateFromTenor(C803,D$14,D$11,D$12)</f>
        <v>43641</v>
      </c>
      <c r="E803" s="98">
        <f ca="1"/>
        <v>-2.9015209221272646E-3</v>
      </c>
      <c r="F803" s="94"/>
      <c r="G803" s="100">
        <f ca="1">_xll.meDateFromTenor(G802,"1D","FOLLOWING",H$12)</f>
        <v>43640</v>
      </c>
      <c r="H803" s="13">
        <f ca="1">_xll.meDateFromTenor(G803,H$14,H$11,H$12)</f>
        <v>43670</v>
      </c>
      <c r="I803" s="98">
        <f ca="1"/>
        <v>-2.1582969827277764E-3</v>
      </c>
      <c r="J803" s="94" t="s">
        <v>4</v>
      </c>
      <c r="K803" s="100">
        <f ca="1">_xll.meDateFromTenor(K802,"1D","FOLLOWING",L$12)</f>
        <v>43640</v>
      </c>
      <c r="L803" s="13">
        <f ca="1">_xll.meDateFromTenor(K803,L$14,L$11,L$12)</f>
        <v>43732</v>
      </c>
      <c r="M803" s="98">
        <f ca="1"/>
        <v>-7.4699016536300151E-4</v>
      </c>
      <c r="N803" s="5" t="s">
        <v>4</v>
      </c>
      <c r="O803" s="100">
        <f ca="1">_xll.meDateFromTenor(O802,"1D","FOLLOWING",P$12)</f>
        <v>43640</v>
      </c>
      <c r="P803" s="13">
        <f ca="1">_xll.meDateFromTenor(O803,P$14,P$11,P$12)</f>
        <v>43823</v>
      </c>
      <c r="Q803" s="98">
        <f ca="1"/>
        <v>8.3395636417245528E-4</v>
      </c>
      <c r="R803" s="5" t="s">
        <v>4</v>
      </c>
      <c r="S803" s="100">
        <f ca="1">_xll.meDateFromTenor(S802,"1D","FOLLOWING",T$12)</f>
        <v>43640</v>
      </c>
      <c r="T803" s="13">
        <f ca="1">_xll.meDateFromTenor(S803,T$14,T$11,T$12)</f>
        <v>44006</v>
      </c>
      <c r="U803" s="98">
        <f ca="1"/>
        <v>2.8950661348254403E-3</v>
      </c>
      <c r="V803" s="5" t="s">
        <v>4</v>
      </c>
      <c r="W803" s="84" t="s">
        <v>4</v>
      </c>
    </row>
    <row r="804" spans="1:23" x14ac:dyDescent="0.25">
      <c r="A804" s="90">
        <v>785</v>
      </c>
      <c r="B804" s="83"/>
      <c r="C804" s="100">
        <f ca="1">_xll.meDateFromTenor(C803,"1D","FOLLOWING",D$12)</f>
        <v>43641</v>
      </c>
      <c r="D804" s="13">
        <f ca="1">_xll.meDateFromTenor(C804,D$14,D$11,D$12)</f>
        <v>43642</v>
      </c>
      <c r="E804" s="98">
        <f ca="1"/>
        <v>-2.896551841860006E-3</v>
      </c>
      <c r="F804" s="94"/>
      <c r="G804" s="100">
        <f ca="1">_xll.meDateFromTenor(G803,"1D","FOLLOWING",H$12)</f>
        <v>43641</v>
      </c>
      <c r="H804" s="13">
        <f ca="1">_xll.meDateFromTenor(G804,H$14,H$11,H$12)</f>
        <v>43671</v>
      </c>
      <c r="I804" s="98">
        <f ca="1"/>
        <v>-2.1535780788908667E-3</v>
      </c>
      <c r="J804" s="94" t="s">
        <v>4</v>
      </c>
      <c r="K804" s="100">
        <f ca="1">_xll.meDateFromTenor(K803,"1D","FOLLOWING",L$12)</f>
        <v>43641</v>
      </c>
      <c r="L804" s="13">
        <f ca="1">_xll.meDateFromTenor(K804,L$14,L$11,L$12)</f>
        <v>43733</v>
      </c>
      <c r="M804" s="98">
        <f ca="1"/>
        <v>-7.4384224304523637E-4</v>
      </c>
      <c r="N804" s="5" t="s">
        <v>4</v>
      </c>
      <c r="O804" s="100">
        <f ca="1">_xll.meDateFromTenor(O803,"1D","FOLLOWING",P$12)</f>
        <v>43641</v>
      </c>
      <c r="P804" s="13">
        <f ca="1">_xll.meDateFromTenor(O804,P$14,P$11,P$12)</f>
        <v>43826</v>
      </c>
      <c r="Q804" s="98">
        <f ca="1"/>
        <v>8.3987979926485338E-4</v>
      </c>
      <c r="R804" s="5" t="s">
        <v>4</v>
      </c>
      <c r="S804" s="100">
        <f ca="1">_xll.meDateFromTenor(S803,"1D","FOLLOWING",T$12)</f>
        <v>43641</v>
      </c>
      <c r="T804" s="13">
        <f ca="1">_xll.meDateFromTenor(S804,T$14,T$11,T$12)</f>
        <v>44007</v>
      </c>
      <c r="U804" s="98">
        <f ca="1"/>
        <v>2.9006437618689079E-3</v>
      </c>
      <c r="V804" s="5" t="s">
        <v>4</v>
      </c>
      <c r="W804" s="84" t="s">
        <v>4</v>
      </c>
    </row>
    <row r="805" spans="1:23" x14ac:dyDescent="0.25">
      <c r="A805" s="90">
        <v>786</v>
      </c>
      <c r="B805" s="83"/>
      <c r="C805" s="100">
        <f ca="1">_xll.meDateFromTenor(C804,"1D","FOLLOWING",D$12)</f>
        <v>43642</v>
      </c>
      <c r="D805" s="13">
        <f ca="1">_xll.meDateFromTenor(C805,D$14,D$11,D$12)</f>
        <v>43643</v>
      </c>
      <c r="E805" s="98">
        <f ca="1"/>
        <v>-2.8915848404098658E-3</v>
      </c>
      <c r="F805" s="94"/>
      <c r="G805" s="100">
        <f ca="1">_xll.meDateFromTenor(G804,"1D","FOLLOWING",H$12)</f>
        <v>43642</v>
      </c>
      <c r="H805" s="13">
        <f ca="1">_xll.meDateFromTenor(G805,H$14,H$11,H$12)</f>
        <v>43672</v>
      </c>
      <c r="I805" s="98">
        <f ca="1"/>
        <v>-2.148854773721896E-3</v>
      </c>
      <c r="J805" s="94" t="s">
        <v>4</v>
      </c>
      <c r="K805" s="100">
        <f ca="1">_xll.meDateFromTenor(K804,"1D","FOLLOWING",L$12)</f>
        <v>43642</v>
      </c>
      <c r="L805" s="13">
        <f ca="1">_xll.meDateFromTenor(K805,L$14,L$11,L$12)</f>
        <v>43734</v>
      </c>
      <c r="M805" s="98">
        <f ca="1"/>
        <v>-7.4068292776154922E-4</v>
      </c>
      <c r="N805" s="5" t="s">
        <v>4</v>
      </c>
      <c r="O805" s="100">
        <f ca="1">_xll.meDateFromTenor(O804,"1D","FOLLOWING",P$12)</f>
        <v>43642</v>
      </c>
      <c r="P805" s="13">
        <f ca="1">_xll.meDateFromTenor(O805,P$14,P$11,P$12)</f>
        <v>43826</v>
      </c>
      <c r="Q805" s="98">
        <f ca="1"/>
        <v>8.4580300560498783E-4</v>
      </c>
      <c r="R805" s="5" t="s">
        <v>4</v>
      </c>
      <c r="S805" s="100">
        <f ca="1">_xll.meDateFromTenor(S804,"1D","FOLLOWING",T$12)</f>
        <v>43642</v>
      </c>
      <c r="T805" s="13">
        <f ca="1">_xll.meDateFromTenor(S805,T$14,T$11,T$12)</f>
        <v>44008</v>
      </c>
      <c r="U805" s="98">
        <f ca="1"/>
        <v>2.9062194353776123E-3</v>
      </c>
      <c r="V805" s="5" t="s">
        <v>4</v>
      </c>
      <c r="W805" s="84" t="s">
        <v>4</v>
      </c>
    </row>
    <row r="806" spans="1:23" x14ac:dyDescent="0.25">
      <c r="A806" s="90">
        <v>787</v>
      </c>
      <c r="B806" s="83"/>
      <c r="C806" s="100">
        <f ca="1">_xll.meDateFromTenor(C805,"1D","FOLLOWING",D$12)</f>
        <v>43643</v>
      </c>
      <c r="D806" s="13">
        <f ca="1">_xll.meDateFromTenor(C806,D$14,D$11,D$12)</f>
        <v>43644</v>
      </c>
      <c r="E806" s="98">
        <f ca="1"/>
        <v>-2.8866199182164924E-3</v>
      </c>
      <c r="F806" s="94"/>
      <c r="G806" s="100">
        <f ca="1">_xll.meDateFromTenor(G805,"1D","FOLLOWING",H$12)</f>
        <v>43643</v>
      </c>
      <c r="H806" s="13">
        <f ca="1">_xll.meDateFromTenor(G806,H$14,H$11,H$12)</f>
        <v>43675</v>
      </c>
      <c r="I806" s="98">
        <f ca="1"/>
        <v>-2.1441284183008379E-3</v>
      </c>
      <c r="J806" s="94" t="s">
        <v>4</v>
      </c>
      <c r="K806" s="100">
        <f ca="1">_xll.meDateFromTenor(K805,"1D","FOLLOWING",L$12)</f>
        <v>43643</v>
      </c>
      <c r="L806" s="13">
        <f ca="1">_xll.meDateFromTenor(K806,L$14,L$11,L$12)</f>
        <v>43735</v>
      </c>
      <c r="M806" s="98">
        <f ca="1"/>
        <v>-7.3751222778399637E-4</v>
      </c>
      <c r="N806" s="5" t="s">
        <v>4</v>
      </c>
      <c r="O806" s="100">
        <f ca="1">_xll.meDateFromTenor(O805,"1D","FOLLOWING",P$12)</f>
        <v>43643</v>
      </c>
      <c r="P806" s="13">
        <f ca="1">_xll.meDateFromTenor(O806,P$14,P$11,P$12)</f>
        <v>43826</v>
      </c>
      <c r="Q806" s="98">
        <f ca="1"/>
        <v>8.5172598282277597E-4</v>
      </c>
      <c r="R806" s="5" t="s">
        <v>4</v>
      </c>
      <c r="S806" s="100">
        <f ca="1">_xll.meDateFromTenor(S805,"1D","FOLLOWING",T$12)</f>
        <v>43643</v>
      </c>
      <c r="T806" s="13">
        <f ca="1">_xll.meDateFromTenor(S806,T$14,T$11,T$12)</f>
        <v>44011</v>
      </c>
      <c r="U806" s="98">
        <f ca="1"/>
        <v>2.9117931785808708E-3</v>
      </c>
      <c r="V806" s="5" t="s">
        <v>4</v>
      </c>
      <c r="W806" s="84" t="s">
        <v>4</v>
      </c>
    </row>
    <row r="807" spans="1:23" x14ac:dyDescent="0.25">
      <c r="A807" s="90">
        <v>788</v>
      </c>
      <c r="B807" s="83"/>
      <c r="C807" s="100">
        <f ca="1">_xll.meDateFromTenor(C806,"1D","FOLLOWING",D$12)</f>
        <v>43644</v>
      </c>
      <c r="D807" s="13">
        <f ca="1">_xll.meDateFromTenor(C807,D$14,D$11,D$12)</f>
        <v>43647</v>
      </c>
      <c r="E807" s="98">
        <f ca="1"/>
        <v>-2.876674014715707E-3</v>
      </c>
      <c r="F807" s="94"/>
      <c r="G807" s="100">
        <f ca="1">_xll.meDateFromTenor(G806,"1D","FOLLOWING",H$12)</f>
        <v>43644</v>
      </c>
      <c r="H807" s="13">
        <f ca="1">_xll.meDateFromTenor(G807,H$14,H$11,H$12)</f>
        <v>43675</v>
      </c>
      <c r="I807" s="98">
        <f ca="1"/>
        <v>-2.1394003637076626E-3</v>
      </c>
      <c r="J807" s="94" t="s">
        <v>4</v>
      </c>
      <c r="K807" s="100">
        <f ca="1">_xll.meDateFromTenor(K806,"1D","FOLLOWING",L$12)</f>
        <v>43644</v>
      </c>
      <c r="L807" s="13">
        <f ca="1">_xll.meDateFromTenor(K807,L$14,L$11,L$12)</f>
        <v>43738</v>
      </c>
      <c r="M807" s="98">
        <f ca="1"/>
        <v>-7.3433015138463318E-4</v>
      </c>
      <c r="N807" s="5" t="s">
        <v>4</v>
      </c>
      <c r="O807" s="100">
        <f ca="1">_xll.meDateFromTenor(O806,"1D","FOLLOWING",P$12)</f>
        <v>43644</v>
      </c>
      <c r="P807" s="13">
        <f ca="1">_xll.meDateFromTenor(O807,P$14,P$11,P$12)</f>
        <v>43829</v>
      </c>
      <c r="Q807" s="98">
        <f ca="1"/>
        <v>8.576487305481372E-4</v>
      </c>
      <c r="R807" s="5" t="s">
        <v>4</v>
      </c>
      <c r="S807" s="100">
        <f ca="1">_xll.meDateFromTenor(S806,"1D","FOLLOWING",T$12)</f>
        <v>43644</v>
      </c>
      <c r="T807" s="13">
        <f ca="1">_xll.meDateFromTenor(S807,T$14,T$11,T$12)</f>
        <v>44011</v>
      </c>
      <c r="U807" s="98">
        <f ca="1"/>
        <v>2.9173650147080034E-3</v>
      </c>
      <c r="V807" s="5" t="s">
        <v>4</v>
      </c>
      <c r="W807" s="84" t="s">
        <v>4</v>
      </c>
    </row>
    <row r="808" spans="1:23" x14ac:dyDescent="0.25">
      <c r="A808" s="90">
        <v>789</v>
      </c>
      <c r="B808" s="83"/>
      <c r="C808" s="100">
        <f ca="1">_xll.meDateFromTenor(C807,"1D","FOLLOWING",D$12)</f>
        <v>43647</v>
      </c>
      <c r="D808" s="13">
        <f ca="1">_xll.meDateFromTenor(C808,D$14,D$11,D$12)</f>
        <v>43648</v>
      </c>
      <c r="E808" s="98">
        <f ca="1"/>
        <v>-2.8667810124982751E-3</v>
      </c>
      <c r="F808" s="94"/>
      <c r="G808" s="100">
        <f ca="1">_xll.meDateFromTenor(G807,"1D","FOLLOWING",H$12)</f>
        <v>43647</v>
      </c>
      <c r="H808" s="13">
        <f ca="1">_xll.meDateFromTenor(G808,H$14,H$11,H$12)</f>
        <v>43678</v>
      </c>
      <c r="I808" s="98">
        <f ca="1"/>
        <v>-2.1252195156951574E-3</v>
      </c>
      <c r="J808" s="94" t="s">
        <v>4</v>
      </c>
      <c r="K808" s="100">
        <f ca="1">_xll.meDateFromTenor(K807,"1D","FOLLOWING",L$12)</f>
        <v>43647</v>
      </c>
      <c r="L808" s="13">
        <f ca="1">_xll.meDateFromTenor(K808,L$14,L$11,L$12)</f>
        <v>43739</v>
      </c>
      <c r="M808" s="98">
        <f ca="1"/>
        <v>-7.2471574637624717E-4</v>
      </c>
      <c r="N808" s="5" t="s">
        <v>4</v>
      </c>
      <c r="O808" s="100">
        <f ca="1">_xll.meDateFromTenor(O807,"1D","FOLLOWING",P$12)</f>
        <v>43647</v>
      </c>
      <c r="P808" s="13">
        <f ca="1">_xll.meDateFromTenor(O808,P$14,P$11,P$12)</f>
        <v>43832</v>
      </c>
      <c r="Q808" s="98">
        <f ca="1"/>
        <v>8.754155930688353E-4</v>
      </c>
      <c r="R808" s="5" t="s">
        <v>4</v>
      </c>
      <c r="S808" s="100">
        <f ca="1">_xll.meDateFromTenor(S807,"1D","FOLLOWING",T$12)</f>
        <v>43647</v>
      </c>
      <c r="T808" s="13">
        <f ca="1">_xll.meDateFromTenor(S808,T$14,T$11,T$12)</f>
        <v>44013</v>
      </c>
      <c r="U808" s="98">
        <f ca="1"/>
        <v>2.9340693129258138E-3</v>
      </c>
      <c r="V808" s="5" t="s">
        <v>4</v>
      </c>
      <c r="W808" s="84" t="s">
        <v>4</v>
      </c>
    </row>
    <row r="809" spans="1:23" x14ac:dyDescent="0.25">
      <c r="A809" s="90">
        <v>790</v>
      </c>
      <c r="B809" s="83"/>
      <c r="C809" s="100">
        <f ca="1">_xll.meDateFromTenor(C808,"1D","FOLLOWING",D$12)</f>
        <v>43648</v>
      </c>
      <c r="D809" s="13">
        <f ca="1">_xll.meDateFromTenor(C809,D$14,D$11,D$12)</f>
        <v>43649</v>
      </c>
      <c r="E809" s="98">
        <f ca="1"/>
        <v>-2.8618264808333393E-3</v>
      </c>
      <c r="F809" s="94"/>
      <c r="G809" s="100">
        <f ca="1">_xll.meDateFromTenor(G808,"1D","FOLLOWING",H$12)</f>
        <v>43648</v>
      </c>
      <c r="H809" s="13">
        <f ca="1">_xll.meDateFromTenor(G809,H$14,H$11,H$12)</f>
        <v>43679</v>
      </c>
      <c r="I809" s="98">
        <f ca="1"/>
        <v>-2.1204981752132352E-3</v>
      </c>
      <c r="J809" s="94" t="s">
        <v>4</v>
      </c>
      <c r="K809" s="100">
        <f ca="1">_xll.meDateFromTenor(K808,"1D","FOLLOWING",L$12)</f>
        <v>43648</v>
      </c>
      <c r="L809" s="13">
        <f ca="1">_xll.meDateFromTenor(K809,L$14,L$11,L$12)</f>
        <v>43740</v>
      </c>
      <c r="M809" s="98">
        <f ca="1"/>
        <v>-7.2148824701020672E-4</v>
      </c>
      <c r="N809" s="5" t="s">
        <v>4</v>
      </c>
      <c r="O809" s="100">
        <f ca="1">_xll.meDateFromTenor(O808,"1D","FOLLOWING",P$12)</f>
        <v>43648</v>
      </c>
      <c r="P809" s="13">
        <f ca="1">_xll.meDateFromTenor(O809,P$14,P$11,P$12)</f>
        <v>43832</v>
      </c>
      <c r="Q809" s="98">
        <f ca="1"/>
        <v>8.8133741912366659E-4</v>
      </c>
      <c r="R809" s="5" t="s">
        <v>4</v>
      </c>
      <c r="S809" s="100">
        <f ca="1">_xll.meDateFromTenor(S808,"1D","FOLLOWING",T$12)</f>
        <v>43648</v>
      </c>
      <c r="T809" s="13">
        <f ca="1">_xll.meDateFromTenor(S809,T$14,T$11,T$12)</f>
        <v>44014</v>
      </c>
      <c r="U809" s="98">
        <f ca="1"/>
        <v>2.9396337530416148E-3</v>
      </c>
      <c r="V809" s="5" t="s">
        <v>4</v>
      </c>
      <c r="W809" s="84" t="s">
        <v>4</v>
      </c>
    </row>
    <row r="810" spans="1:23" x14ac:dyDescent="0.25">
      <c r="A810" s="90">
        <v>791</v>
      </c>
      <c r="B810" s="83"/>
      <c r="C810" s="100">
        <f ca="1">_xll.meDateFromTenor(C809,"1D","FOLLOWING",D$12)</f>
        <v>43649</v>
      </c>
      <c r="D810" s="13">
        <f ca="1">_xll.meDateFromTenor(C810,D$14,D$11,D$12)</f>
        <v>43650</v>
      </c>
      <c r="E810" s="98">
        <f ca="1"/>
        <v>-2.8568740262668968E-3</v>
      </c>
      <c r="F810" s="94"/>
      <c r="G810" s="100">
        <f ca="1">_xll.meDateFromTenor(G809,"1D","FOLLOWING",H$12)</f>
        <v>43649</v>
      </c>
      <c r="H810" s="13">
        <f ca="1">_xll.meDateFromTenor(G810,H$14,H$11,H$12)</f>
        <v>43682</v>
      </c>
      <c r="I810" s="98">
        <f ca="1"/>
        <v>-2.1157816497395761E-3</v>
      </c>
      <c r="J810" s="94" t="s">
        <v>4</v>
      </c>
      <c r="K810" s="100">
        <f ca="1">_xll.meDateFromTenor(K809,"1D","FOLLOWING",L$12)</f>
        <v>43649</v>
      </c>
      <c r="L810" s="13">
        <f ca="1">_xll.meDateFromTenor(K810,L$14,L$11,L$12)</f>
        <v>43741</v>
      </c>
      <c r="M810" s="98">
        <f ca="1"/>
        <v>-7.1824941258263745E-4</v>
      </c>
      <c r="N810" s="5" t="s">
        <v>4</v>
      </c>
      <c r="O810" s="100">
        <f ca="1">_xll.meDateFromTenor(O809,"1D","FOLLOWING",P$12)</f>
        <v>43649</v>
      </c>
      <c r="P810" s="13">
        <f ca="1">_xll.meDateFromTenor(O810,P$14,P$11,P$12)</f>
        <v>43833</v>
      </c>
      <c r="Q810" s="98">
        <f ca="1"/>
        <v>8.8725901383566064E-4</v>
      </c>
      <c r="R810" s="5" t="s">
        <v>4</v>
      </c>
      <c r="S810" s="100">
        <f ca="1">_xll.meDateFromTenor(S809,"1D","FOLLOWING",T$12)</f>
        <v>43649</v>
      </c>
      <c r="T810" s="13">
        <f ca="1">_xll.meDateFromTenor(S810,T$14,T$11,T$12)</f>
        <v>44015</v>
      </c>
      <c r="U810" s="98">
        <f ca="1"/>
        <v>2.9451964022278775E-3</v>
      </c>
      <c r="V810" s="5" t="s">
        <v>4</v>
      </c>
      <c r="W810" s="84" t="s">
        <v>4</v>
      </c>
    </row>
    <row r="811" spans="1:23" x14ac:dyDescent="0.25">
      <c r="A811" s="90">
        <v>792</v>
      </c>
      <c r="B811" s="83"/>
      <c r="C811" s="100">
        <f ca="1">_xll.meDateFromTenor(C810,"1D","FOLLOWING",D$12)</f>
        <v>43650</v>
      </c>
      <c r="D811" s="13">
        <f ca="1">_xll.meDateFromTenor(C811,D$14,D$11,D$12)</f>
        <v>43651</v>
      </c>
      <c r="E811" s="98">
        <f ca="1"/>
        <v>-2.8519236489188515E-3</v>
      </c>
      <c r="F811" s="94"/>
      <c r="G811" s="100">
        <f ca="1">_xll.meDateFromTenor(G810,"1D","FOLLOWING",H$12)</f>
        <v>43650</v>
      </c>
      <c r="H811" s="13">
        <f ca="1">_xll.meDateFromTenor(G811,H$14,H$11,H$12)</f>
        <v>43682</v>
      </c>
      <c r="I811" s="98">
        <f ca="1"/>
        <v>-2.1110700842567475E-3</v>
      </c>
      <c r="J811" s="94" t="s">
        <v>4</v>
      </c>
      <c r="K811" s="100">
        <f ca="1">_xll.meDateFromTenor(K810,"1D","FOLLOWING",L$12)</f>
        <v>43650</v>
      </c>
      <c r="L811" s="13">
        <f ca="1">_xll.meDateFromTenor(K811,L$14,L$11,L$12)</f>
        <v>43742</v>
      </c>
      <c r="M811" s="98">
        <f ca="1"/>
        <v>-7.1499925136559567E-4</v>
      </c>
      <c r="N811" s="5" t="s">
        <v>4</v>
      </c>
      <c r="O811" s="100">
        <f ca="1">_xll.meDateFromTenor(O810,"1D","FOLLOWING",P$12)</f>
        <v>43650</v>
      </c>
      <c r="P811" s="13">
        <f ca="1">_xll.meDateFromTenor(O811,P$14,P$11,P$12)</f>
        <v>43836</v>
      </c>
      <c r="Q811" s="98">
        <f ca="1"/>
        <v>8.9318037683473522E-4</v>
      </c>
      <c r="R811" s="5" t="s">
        <v>4</v>
      </c>
      <c r="S811" s="100">
        <f ca="1">_xll.meDateFromTenor(S810,"1D","FOLLOWING",T$12)</f>
        <v>43650</v>
      </c>
      <c r="T811" s="13">
        <f ca="1">_xll.meDateFromTenor(S811,T$14,T$11,T$12)</f>
        <v>44018</v>
      </c>
      <c r="U811" s="98">
        <f ca="1"/>
        <v>2.9507572837139191E-3</v>
      </c>
      <c r="V811" s="5" t="s">
        <v>4</v>
      </c>
      <c r="W811" s="84" t="s">
        <v>4</v>
      </c>
    </row>
    <row r="812" spans="1:23" x14ac:dyDescent="0.25">
      <c r="A812" s="90">
        <v>793</v>
      </c>
      <c r="B812" s="83"/>
      <c r="C812" s="100">
        <f ca="1">_xll.meDateFromTenor(C811,"1D","FOLLOWING",D$12)</f>
        <v>43651</v>
      </c>
      <c r="D812" s="13">
        <f ca="1">_xll.meDateFromTenor(C812,D$14,D$11,D$12)</f>
        <v>43654</v>
      </c>
      <c r="E812" s="98">
        <f ca="1"/>
        <v>-2.842007379753052E-3</v>
      </c>
      <c r="F812" s="94"/>
      <c r="G812" s="100">
        <f ca="1">_xll.meDateFromTenor(G811,"1D","FOLLOWING",H$12)</f>
        <v>43651</v>
      </c>
      <c r="H812" s="13">
        <f ca="1">_xll.meDateFromTenor(G812,H$14,H$11,H$12)</f>
        <v>43682</v>
      </c>
      <c r="I812" s="98">
        <f ca="1"/>
        <v>-2.1063633825278388E-3</v>
      </c>
      <c r="J812" s="94" t="s">
        <v>4</v>
      </c>
      <c r="K812" s="100">
        <f ca="1">_xll.meDateFromTenor(K811,"1D","FOLLOWING",L$12)</f>
        <v>43651</v>
      </c>
      <c r="L812" s="13">
        <f ca="1">_xll.meDateFromTenor(K812,L$14,L$11,L$12)</f>
        <v>43745</v>
      </c>
      <c r="M812" s="98">
        <f ca="1"/>
        <v>-7.117377716311374E-4</v>
      </c>
      <c r="N812" s="5" t="s">
        <v>4</v>
      </c>
      <c r="O812" s="100">
        <f ca="1">_xll.meDateFromTenor(O811,"1D","FOLLOWING",P$12)</f>
        <v>43651</v>
      </c>
      <c r="P812" s="13">
        <f ca="1">_xll.meDateFromTenor(O812,P$14,P$11,P$12)</f>
        <v>43836</v>
      </c>
      <c r="Q812" s="98">
        <f ca="1"/>
        <v>8.9910150775080844E-4</v>
      </c>
      <c r="R812" s="5" t="s">
        <v>4</v>
      </c>
      <c r="S812" s="100">
        <f ca="1">_xll.meDateFromTenor(S811,"1D","FOLLOWING",T$12)</f>
        <v>43651</v>
      </c>
      <c r="T812" s="13">
        <f ca="1">_xll.meDateFromTenor(S812,T$14,T$11,T$12)</f>
        <v>44018</v>
      </c>
      <c r="U812" s="98">
        <f ca="1"/>
        <v>2.9563164207290576E-3</v>
      </c>
      <c r="V812" s="5" t="s">
        <v>4</v>
      </c>
      <c r="W812" s="84" t="s">
        <v>4</v>
      </c>
    </row>
    <row r="813" spans="1:23" x14ac:dyDescent="0.25">
      <c r="A813" s="90">
        <v>794</v>
      </c>
      <c r="B813" s="83"/>
      <c r="C813" s="100">
        <f ca="1">_xll.meDateFromTenor(C812,"1D","FOLLOWING",D$12)</f>
        <v>43654</v>
      </c>
      <c r="D813" s="13">
        <f ca="1">_xll.meDateFromTenor(C813,D$14,D$11,D$12)</f>
        <v>43655</v>
      </c>
      <c r="E813" s="98">
        <f ca="1"/>
        <v>-2.83214290427659E-3</v>
      </c>
      <c r="F813" s="94"/>
      <c r="G813" s="100">
        <f ca="1">_xll.meDateFromTenor(G812,"1D","FOLLOWING",H$12)</f>
        <v>43654</v>
      </c>
      <c r="H813" s="13">
        <f ca="1">_xll.meDateFromTenor(G813,H$14,H$11,H$12)</f>
        <v>43685</v>
      </c>
      <c r="I813" s="98">
        <f ca="1"/>
        <v>-2.0922714974955172E-3</v>
      </c>
      <c r="J813" s="94" t="s">
        <v>4</v>
      </c>
      <c r="K813" s="100">
        <f ca="1">_xll.meDateFromTenor(K812,"1D","FOLLOWING",L$12)</f>
        <v>43654</v>
      </c>
      <c r="L813" s="13">
        <f ca="1">_xll.meDateFromTenor(K813,L$14,L$11,L$12)</f>
        <v>43746</v>
      </c>
      <c r="M813" s="98">
        <f ca="1"/>
        <v>-7.0188550404382747E-4</v>
      </c>
      <c r="N813" s="5" t="s">
        <v>4</v>
      </c>
      <c r="O813" s="100">
        <f ca="1">_xll.meDateFromTenor(O812,"1D","FOLLOWING",P$12)</f>
        <v>43654</v>
      </c>
      <c r="P813" s="13">
        <f ca="1">_xll.meDateFromTenor(O813,P$14,P$11,P$12)</f>
        <v>43838</v>
      </c>
      <c r="Q813" s="98">
        <f ca="1"/>
        <v>9.1686350430019857E-4</v>
      </c>
      <c r="R813" s="5" t="s">
        <v>4</v>
      </c>
      <c r="S813" s="100">
        <f ca="1">_xll.meDateFromTenor(S812,"1D","FOLLOWING",T$12)</f>
        <v>43654</v>
      </c>
      <c r="T813" s="13">
        <f ca="1">_xll.meDateFromTenor(S813,T$14,T$11,T$12)</f>
        <v>44020</v>
      </c>
      <c r="U813" s="98">
        <f ca="1"/>
        <v>2.9729835972422299E-3</v>
      </c>
      <c r="V813" s="5" t="s">
        <v>4</v>
      </c>
      <c r="W813" s="84" t="s">
        <v>4</v>
      </c>
    </row>
    <row r="814" spans="1:23" x14ac:dyDescent="0.25">
      <c r="A814" s="90">
        <v>795</v>
      </c>
      <c r="B814" s="83"/>
      <c r="C814" s="100">
        <f ca="1">_xll.meDateFromTenor(C813,"1D","FOLLOWING",D$12)</f>
        <v>43655</v>
      </c>
      <c r="D814" s="13">
        <f ca="1">_xll.meDateFromTenor(C814,D$14,D$11,D$12)</f>
        <v>43656</v>
      </c>
      <c r="E814" s="98">
        <f ca="1"/>
        <v>-2.8272029079046235E-3</v>
      </c>
      <c r="F814" s="94"/>
      <c r="G814" s="100">
        <f ca="1">_xll.meDateFromTenor(G813,"1D","FOLLOWING",H$12)</f>
        <v>43655</v>
      </c>
      <c r="H814" s="13">
        <f ca="1">_xll.meDateFromTenor(G814,H$14,H$11,H$12)</f>
        <v>43686</v>
      </c>
      <c r="I814" s="98">
        <f ca="1"/>
        <v>-2.087583288413171E-3</v>
      </c>
      <c r="J814" s="94" t="s">
        <v>4</v>
      </c>
      <c r="K814" s="100">
        <f ca="1">_xll.meDateFromTenor(K813,"1D","FOLLOWING",L$12)</f>
        <v>43655</v>
      </c>
      <c r="L814" s="13">
        <f ca="1">_xll.meDateFromTenor(K814,L$14,L$11,L$12)</f>
        <v>43747</v>
      </c>
      <c r="M814" s="98">
        <f ca="1"/>
        <v>-6.9857883296026591E-4</v>
      </c>
      <c r="N814" s="5" t="s">
        <v>4</v>
      </c>
      <c r="O814" s="100">
        <f ca="1">_xll.meDateFromTenor(O813,"1D","FOLLOWING",P$12)</f>
        <v>43655</v>
      </c>
      <c r="P814" s="13">
        <f ca="1">_xll.meDateFromTenor(O814,P$14,P$11,P$12)</f>
        <v>43839</v>
      </c>
      <c r="Q814" s="98">
        <f ca="1"/>
        <v>9.2278370318344674E-4</v>
      </c>
      <c r="R814" s="5" t="s">
        <v>4</v>
      </c>
      <c r="S814" s="100">
        <f ca="1">_xll.meDateFromTenor(S813,"1D","FOLLOWING",T$12)</f>
        <v>43655</v>
      </c>
      <c r="T814" s="13">
        <f ca="1">_xll.meDateFromTenor(S814,T$14,T$11,T$12)</f>
        <v>44021</v>
      </c>
      <c r="U814" s="98">
        <f ca="1"/>
        <v>2.9785359886669326E-3</v>
      </c>
      <c r="V814" s="5" t="s">
        <v>4</v>
      </c>
      <c r="W814" s="84" t="s">
        <v>4</v>
      </c>
    </row>
    <row r="815" spans="1:23" x14ac:dyDescent="0.25">
      <c r="A815" s="90">
        <v>796</v>
      </c>
      <c r="B815" s="83"/>
      <c r="C815" s="100">
        <f ca="1">_xll.meDateFromTenor(C814,"1D","FOLLOWING",D$12)</f>
        <v>43656</v>
      </c>
      <c r="D815" s="13">
        <f ca="1">_xll.meDateFromTenor(C815,D$14,D$11,D$12)</f>
        <v>43657</v>
      </c>
      <c r="E815" s="98">
        <f ca="1"/>
        <v>-2.8222649871523331E-3</v>
      </c>
      <c r="F815" s="94"/>
      <c r="G815" s="100">
        <f ca="1">_xll.meDateFromTenor(G814,"1D","FOLLOWING",H$12)</f>
        <v>43656</v>
      </c>
      <c r="H815" s="13">
        <f ca="1">_xll.meDateFromTenor(G815,H$14,H$11,H$12)</f>
        <v>43689</v>
      </c>
      <c r="I815" s="98">
        <f ca="1"/>
        <v>-2.0828994619001861E-3</v>
      </c>
      <c r="J815" s="94" t="s">
        <v>4</v>
      </c>
      <c r="K815" s="100">
        <f ca="1">_xll.meDateFromTenor(K814,"1D","FOLLOWING",L$12)</f>
        <v>43656</v>
      </c>
      <c r="L815" s="13">
        <f ca="1">_xll.meDateFromTenor(K815,L$14,L$11,L$12)</f>
        <v>43748</v>
      </c>
      <c r="M815" s="98">
        <f ca="1"/>
        <v>-6.9526088471956893E-4</v>
      </c>
      <c r="N815" s="5" t="s">
        <v>4</v>
      </c>
      <c r="O815" s="100">
        <f ca="1">_xll.meDateFromTenor(O814,"1D","FOLLOWING",P$12)</f>
        <v>43656</v>
      </c>
      <c r="P815" s="13">
        <f ca="1">_xll.meDateFromTenor(O815,P$14,P$11,P$12)</f>
        <v>43840</v>
      </c>
      <c r="Q815" s="98">
        <f ca="1"/>
        <v>9.2870366813328374E-4</v>
      </c>
      <c r="R815" s="5" t="s">
        <v>4</v>
      </c>
      <c r="S815" s="100">
        <f ca="1">_xll.meDateFromTenor(S814,"1D","FOLLOWING",T$12)</f>
        <v>43656</v>
      </c>
      <c r="T815" s="13">
        <f ca="1">_xll.meDateFromTenor(S815,T$14,T$11,T$12)</f>
        <v>44022</v>
      </c>
      <c r="U815" s="98">
        <f ca="1"/>
        <v>2.9840867517673215E-3</v>
      </c>
      <c r="V815" s="5" t="s">
        <v>4</v>
      </c>
      <c r="W815" s="84" t="s">
        <v>4</v>
      </c>
    </row>
    <row r="816" spans="1:23" x14ac:dyDescent="0.25">
      <c r="A816" s="90">
        <v>797</v>
      </c>
      <c r="B816" s="83"/>
      <c r="C816" s="100">
        <f ca="1">_xll.meDateFromTenor(C815,"1D","FOLLOWING",D$12)</f>
        <v>43657</v>
      </c>
      <c r="D816" s="13">
        <f ca="1">_xll.meDateFromTenor(C816,D$14,D$11,D$12)</f>
        <v>43658</v>
      </c>
      <c r="E816" s="98">
        <f ca="1"/>
        <v>-2.8173291415401025E-3</v>
      </c>
      <c r="F816" s="94"/>
      <c r="G816" s="100">
        <f ca="1">_xll.meDateFromTenor(G815,"1D","FOLLOWING",H$12)</f>
        <v>43657</v>
      </c>
      <c r="H816" s="13">
        <f ca="1">_xll.meDateFromTenor(G816,H$14,H$11,H$12)</f>
        <v>43689</v>
      </c>
      <c r="I816" s="98">
        <f ca="1"/>
        <v>-2.0782199217196508E-3</v>
      </c>
      <c r="J816" s="94" t="s">
        <v>4</v>
      </c>
      <c r="K816" s="100">
        <f ca="1">_xll.meDateFromTenor(K815,"1D","FOLLOWING",L$12)</f>
        <v>43657</v>
      </c>
      <c r="L816" s="13">
        <f ca="1">_xll.meDateFromTenor(K816,L$14,L$11,L$12)</f>
        <v>43749</v>
      </c>
      <c r="M816" s="98">
        <f ca="1"/>
        <v>-6.9193166759379287E-4</v>
      </c>
      <c r="N816" s="5" t="s">
        <v>4</v>
      </c>
      <c r="O816" s="100">
        <f ca="1">_xll.meDateFromTenor(O815,"1D","FOLLOWING",P$12)</f>
        <v>43657</v>
      </c>
      <c r="P816" s="13">
        <f ca="1">_xll.meDateFromTenor(O816,P$14,P$11,P$12)</f>
        <v>43843</v>
      </c>
      <c r="Q816" s="98">
        <f ca="1"/>
        <v>9.3462339877962758E-4</v>
      </c>
      <c r="R816" s="5" t="s">
        <v>4</v>
      </c>
      <c r="S816" s="100">
        <f ca="1">_xll.meDateFromTenor(S815,"1D","FOLLOWING",T$12)</f>
        <v>43657</v>
      </c>
      <c r="T816" s="13">
        <f ca="1">_xll.meDateFromTenor(S816,T$14,T$11,T$12)</f>
        <v>44025</v>
      </c>
      <c r="U816" s="98">
        <f ca="1"/>
        <v>2.9896359097727138E-3</v>
      </c>
      <c r="V816" s="5" t="s">
        <v>4</v>
      </c>
      <c r="W816" s="84" t="s">
        <v>4</v>
      </c>
    </row>
    <row r="817" spans="1:23" x14ac:dyDescent="0.25">
      <c r="A817" s="90">
        <v>798</v>
      </c>
      <c r="B817" s="83"/>
      <c r="C817" s="100">
        <f ca="1">_xll.meDateFromTenor(C816,"1D","FOLLOWING",D$12)</f>
        <v>43658</v>
      </c>
      <c r="D817" s="13">
        <f ca="1">_xll.meDateFromTenor(C817,D$14,D$11,D$12)</f>
        <v>43661</v>
      </c>
      <c r="E817" s="98">
        <f ca="1"/>
        <v>-2.8074424722302027E-3</v>
      </c>
      <c r="F817" s="94"/>
      <c r="G817" s="100">
        <f ca="1">_xll.meDateFromTenor(G816,"1D","FOLLOWING",H$12)</f>
        <v>43658</v>
      </c>
      <c r="H817" s="13">
        <f ca="1">_xll.meDateFromTenor(G817,H$14,H$11,H$12)</f>
        <v>43689</v>
      </c>
      <c r="I817" s="98">
        <f ca="1"/>
        <v>-2.0735445716346538E-3</v>
      </c>
      <c r="J817" s="94" t="s">
        <v>4</v>
      </c>
      <c r="K817" s="100">
        <f ca="1">_xll.meDateFromTenor(K816,"1D","FOLLOWING",L$12)</f>
        <v>43658</v>
      </c>
      <c r="L817" s="13">
        <f ca="1">_xll.meDateFromTenor(K817,L$14,L$11,L$12)</f>
        <v>43752</v>
      </c>
      <c r="M817" s="98">
        <f ca="1"/>
        <v>-6.8859118985499371E-4</v>
      </c>
      <c r="N817" s="5" t="s">
        <v>4</v>
      </c>
      <c r="O817" s="100">
        <f ca="1">_xll.meDateFromTenor(O816,"1D","FOLLOWING",P$12)</f>
        <v>43658</v>
      </c>
      <c r="P817" s="13">
        <f ca="1">_xll.meDateFromTenor(O817,P$14,P$11,P$12)</f>
        <v>43843</v>
      </c>
      <c r="Q817" s="98">
        <f ca="1"/>
        <v>9.4054289475239625E-4</v>
      </c>
      <c r="R817" s="5" t="s">
        <v>4</v>
      </c>
      <c r="S817" s="100">
        <f ca="1">_xll.meDateFromTenor(S816,"1D","FOLLOWING",T$12)</f>
        <v>43658</v>
      </c>
      <c r="T817" s="13">
        <f ca="1">_xll.meDateFromTenor(S817,T$14,T$11,T$12)</f>
        <v>44025</v>
      </c>
      <c r="U817" s="98">
        <f ca="1"/>
        <v>2.9951834859124268E-3</v>
      </c>
      <c r="V817" s="5" t="s">
        <v>4</v>
      </c>
      <c r="W817" s="84" t="s">
        <v>4</v>
      </c>
    </row>
    <row r="818" spans="1:23" x14ac:dyDescent="0.25">
      <c r="A818" s="90">
        <v>799</v>
      </c>
      <c r="B818" s="83"/>
      <c r="C818" s="100">
        <f ca="1">_xll.meDateFromTenor(C817,"1D","FOLLOWING",D$12)</f>
        <v>43661</v>
      </c>
      <c r="D818" s="13">
        <f ca="1">_xll.meDateFromTenor(C818,D$14,D$11,D$12)</f>
        <v>43662</v>
      </c>
      <c r="E818" s="98">
        <f ca="1"/>
        <v>-2.7976065052959342E-3</v>
      </c>
      <c r="F818" s="94"/>
      <c r="G818" s="100">
        <f ca="1">_xll.meDateFromTenor(G817,"1D","FOLLOWING",H$12)</f>
        <v>43661</v>
      </c>
      <c r="H818" s="13">
        <f ca="1">_xll.meDateFromTenor(G818,H$14,H$11,H$12)</f>
        <v>43692</v>
      </c>
      <c r="I818" s="98">
        <f ca="1"/>
        <v>-2.0595426995837743E-3</v>
      </c>
      <c r="J818" s="94" t="s">
        <v>4</v>
      </c>
      <c r="K818" s="100">
        <f ca="1">_xll.meDateFromTenor(K817,"1D","FOLLOWING",L$12)</f>
        <v>43661</v>
      </c>
      <c r="L818" s="13">
        <f ca="1">_xll.meDateFromTenor(K818,L$14,L$11,L$12)</f>
        <v>43753</v>
      </c>
      <c r="M818" s="98">
        <f ca="1"/>
        <v>-6.7850227568102184E-4</v>
      </c>
      <c r="N818" s="5" t="s">
        <v>4</v>
      </c>
      <c r="O818" s="100">
        <f ca="1">_xll.meDateFromTenor(O817,"1D","FOLLOWING",P$12)</f>
        <v>43661</v>
      </c>
      <c r="P818" s="13">
        <f ca="1">_xll.meDateFromTenor(O818,P$14,P$11,P$12)</f>
        <v>43845</v>
      </c>
      <c r="Q818" s="98">
        <f ca="1"/>
        <v>9.5829997092843078E-4</v>
      </c>
      <c r="R818" s="5" t="s">
        <v>4</v>
      </c>
      <c r="S818" s="100">
        <f ca="1">_xll.meDateFromTenor(S817,"1D","FOLLOWING",T$12)</f>
        <v>43661</v>
      </c>
      <c r="T818" s="13">
        <f ca="1">_xll.meDateFromTenor(S818,T$14,T$11,T$12)</f>
        <v>44027</v>
      </c>
      <c r="U818" s="98">
        <f ca="1"/>
        <v>3.0118169554306674E-3</v>
      </c>
      <c r="V818" s="5" t="s">
        <v>4</v>
      </c>
      <c r="W818" s="84" t="s">
        <v>4</v>
      </c>
    </row>
    <row r="819" spans="1:23" x14ac:dyDescent="0.25">
      <c r="A819" s="90">
        <v>800</v>
      </c>
      <c r="B819" s="83"/>
      <c r="C819" s="100">
        <f ca="1">_xll.meDateFromTenor(C818,"1D","FOLLOWING",D$12)</f>
        <v>43662</v>
      </c>
      <c r="D819" s="13">
        <f ca="1">_xll.meDateFromTenor(C819,D$14,D$11,D$12)</f>
        <v>43663</v>
      </c>
      <c r="E819" s="98">
        <f ca="1"/>
        <v>-2.7926810316270079E-3</v>
      </c>
      <c r="F819" s="94"/>
      <c r="G819" s="100">
        <f ca="1">_xll.meDateFromTenor(G818,"1D","FOLLOWING",H$12)</f>
        <v>43662</v>
      </c>
      <c r="H819" s="13">
        <f ca="1">_xll.meDateFromTenor(G819,H$14,H$11,H$12)</f>
        <v>43693</v>
      </c>
      <c r="I819" s="98">
        <f ca="1"/>
        <v>-2.0548831475118126E-3</v>
      </c>
      <c r="J819" s="94" t="s">
        <v>4</v>
      </c>
      <c r="K819" s="100">
        <f ca="1">_xll.meDateFromTenor(K818,"1D","FOLLOWING",L$12)</f>
        <v>43662</v>
      </c>
      <c r="L819" s="13">
        <f ca="1">_xll.meDateFromTenor(K819,L$14,L$11,L$12)</f>
        <v>43754</v>
      </c>
      <c r="M819" s="98">
        <f ca="1"/>
        <v>-6.7511683821069315E-4</v>
      </c>
      <c r="N819" s="5" t="s">
        <v>4</v>
      </c>
      <c r="O819" s="100">
        <f ca="1">_xll.meDateFromTenor(O818,"1D","FOLLOWING",P$12)</f>
        <v>43662</v>
      </c>
      <c r="P819" s="13">
        <f ca="1">_xll.meDateFromTenor(O819,P$14,P$11,P$12)</f>
        <v>43846</v>
      </c>
      <c r="Q819" s="98">
        <f ca="1"/>
        <v>9.6421852450607939E-4</v>
      </c>
      <c r="R819" s="5" t="s">
        <v>4</v>
      </c>
      <c r="S819" s="100">
        <f ca="1">_xll.meDateFromTenor(S818,"1D","FOLLOWING",T$12)</f>
        <v>43662</v>
      </c>
      <c r="T819" s="13">
        <f ca="1">_xll.meDateFromTenor(S819,T$14,T$11,T$12)</f>
        <v>44028</v>
      </c>
      <c r="U819" s="98">
        <f ca="1"/>
        <v>3.0173584364008416E-3</v>
      </c>
      <c r="V819" s="5" t="s">
        <v>4</v>
      </c>
      <c r="W819" s="84" t="s">
        <v>4</v>
      </c>
    </row>
    <row r="820" spans="1:23" x14ac:dyDescent="0.25">
      <c r="A820" s="90">
        <v>801</v>
      </c>
      <c r="B820" s="83"/>
      <c r="C820" s="100">
        <f ca="1">_xll.meDateFromTenor(C819,"1D","FOLLOWING",D$12)</f>
        <v>43663</v>
      </c>
      <c r="D820" s="13">
        <f ca="1">_xll.meDateFromTenor(C820,D$14,D$11,D$12)</f>
        <v>43664</v>
      </c>
      <c r="E820" s="98">
        <f ca="1"/>
        <v>-2.787757631339548E-3</v>
      </c>
      <c r="F820" s="94"/>
      <c r="G820" s="100">
        <f ca="1">_xll.meDateFromTenor(G819,"1D","FOLLOWING",H$12)</f>
        <v>43663</v>
      </c>
      <c r="H820" s="13">
        <f ca="1">_xll.meDateFromTenor(G820,H$14,H$11,H$12)</f>
        <v>43696</v>
      </c>
      <c r="I820" s="98">
        <f ca="1"/>
        <v>-2.0502273043508314E-3</v>
      </c>
      <c r="J820" s="94" t="s">
        <v>4</v>
      </c>
      <c r="K820" s="100">
        <f ca="1">_xll.meDateFromTenor(K819,"1D","FOLLOWING",L$12)</f>
        <v>43663</v>
      </c>
      <c r="L820" s="13">
        <f ca="1">_xll.meDateFromTenor(K820,L$14,L$11,L$12)</f>
        <v>43755</v>
      </c>
      <c r="M820" s="98">
        <f ca="1"/>
        <v>-6.7172018148762321E-4</v>
      </c>
      <c r="N820" s="5" t="s">
        <v>4</v>
      </c>
      <c r="O820" s="100">
        <f ca="1">_xll.meDateFromTenor(O819,"1D","FOLLOWING",P$12)</f>
        <v>43663</v>
      </c>
      <c r="P820" s="13">
        <f ca="1">_xll.meDateFromTenor(O820,P$14,P$11,P$12)</f>
        <v>43847</v>
      </c>
      <c r="Q820" s="98">
        <f ca="1"/>
        <v>9.7013684155974184E-4</v>
      </c>
      <c r="R820" s="5" t="s">
        <v>4</v>
      </c>
      <c r="S820" s="100">
        <f ca="1">_xll.meDateFromTenor(S819,"1D","FOLLOWING",T$12)</f>
        <v>43663</v>
      </c>
      <c r="T820" s="13">
        <f ca="1">_xll.meDateFromTenor(S820,T$14,T$11,T$12)</f>
        <v>44029</v>
      </c>
      <c r="U820" s="98">
        <f ca="1"/>
        <v>3.0228984516519242E-3</v>
      </c>
      <c r="V820" s="5" t="s">
        <v>4</v>
      </c>
      <c r="W820" s="84" t="s">
        <v>4</v>
      </c>
    </row>
    <row r="821" spans="1:23" x14ac:dyDescent="0.25">
      <c r="A821" s="90">
        <v>802</v>
      </c>
      <c r="B821" s="83"/>
      <c r="C821" s="100">
        <f ca="1">_xll.meDateFromTenor(C820,"1D","FOLLOWING",D$12)</f>
        <v>43664</v>
      </c>
      <c r="D821" s="13">
        <f ca="1">_xll.meDateFromTenor(C821,D$14,D$11,D$12)</f>
        <v>43665</v>
      </c>
      <c r="E821" s="98">
        <f ca="1"/>
        <v>-2.7828363044735227E-3</v>
      </c>
      <c r="F821" s="94"/>
      <c r="G821" s="100">
        <f ca="1">_xll.meDateFromTenor(G820,"1D","FOLLOWING",H$12)</f>
        <v>43664</v>
      </c>
      <c r="H821" s="13">
        <f ca="1">_xll.meDateFromTenor(G821,H$14,H$11,H$12)</f>
        <v>43696</v>
      </c>
      <c r="I821" s="98">
        <f ca="1"/>
        <v>-2.0455750738639172E-3</v>
      </c>
      <c r="J821" s="94" t="s">
        <v>4</v>
      </c>
      <c r="K821" s="100">
        <f ca="1">_xll.meDateFromTenor(K820,"1D","FOLLOWING",L$12)</f>
        <v>43664</v>
      </c>
      <c r="L821" s="13">
        <f ca="1">_xll.meDateFromTenor(K821,L$14,L$11,L$12)</f>
        <v>43756</v>
      </c>
      <c r="M821" s="98">
        <f ca="1"/>
        <v>-6.6831231378386684E-4</v>
      </c>
      <c r="N821" s="5" t="s">
        <v>4</v>
      </c>
      <c r="O821" s="100">
        <f ca="1">_xll.meDateFromTenor(O820,"1D","FOLLOWING",P$12)</f>
        <v>43664</v>
      </c>
      <c r="P821" s="13">
        <f ca="1">_xll.meDateFromTenor(O821,P$14,P$11,P$12)</f>
        <v>43850</v>
      </c>
      <c r="Q821" s="98">
        <f ca="1"/>
        <v>9.7605492171933829E-4</v>
      </c>
      <c r="R821" s="5" t="s">
        <v>4</v>
      </c>
      <c r="S821" s="100">
        <f ca="1">_xll.meDateFromTenor(S820,"1D","FOLLOWING",T$12)</f>
        <v>43664</v>
      </c>
      <c r="T821" s="13">
        <f ca="1">_xll.meDateFromTenor(S821,T$14,T$11,T$12)</f>
        <v>44032</v>
      </c>
      <c r="U821" s="98">
        <f ca="1"/>
        <v>3.0284370244132346E-3</v>
      </c>
      <c r="V821" s="5" t="s">
        <v>4</v>
      </c>
      <c r="W821" s="84" t="s">
        <v>4</v>
      </c>
    </row>
    <row r="822" spans="1:23" x14ac:dyDescent="0.25">
      <c r="A822" s="90">
        <v>803</v>
      </c>
      <c r="B822" s="83"/>
      <c r="C822" s="100">
        <f ca="1">_xll.meDateFromTenor(C821,"1D","FOLLOWING",D$12)</f>
        <v>43665</v>
      </c>
      <c r="D822" s="13">
        <f ca="1">_xll.meDateFromTenor(C822,D$14,D$11,D$12)</f>
        <v>43668</v>
      </c>
      <c r="E822" s="98">
        <f ca="1"/>
        <v>-2.7729792007003084E-3</v>
      </c>
      <c r="F822" s="94"/>
      <c r="G822" s="100">
        <f ca="1">_xll.meDateFromTenor(G821,"1D","FOLLOWING",H$12)</f>
        <v>43665</v>
      </c>
      <c r="H822" s="13">
        <f ca="1">_xll.meDateFromTenor(G822,H$14,H$11,H$12)</f>
        <v>43696</v>
      </c>
      <c r="I822" s="98">
        <f ca="1"/>
        <v>-2.0409263598141591E-3</v>
      </c>
      <c r="J822" s="94" t="s">
        <v>4</v>
      </c>
      <c r="K822" s="100">
        <f ca="1">_xll.meDateFromTenor(K821,"1D","FOLLOWING",L$12)</f>
        <v>43665</v>
      </c>
      <c r="L822" s="13">
        <f ca="1">_xll.meDateFromTenor(K822,L$14,L$11,L$12)</f>
        <v>43759</v>
      </c>
      <c r="M822" s="98">
        <f ca="1"/>
        <v>-6.6489324337148134E-4</v>
      </c>
      <c r="N822" s="5" t="s">
        <v>4</v>
      </c>
      <c r="O822" s="100">
        <f ca="1">_xll.meDateFromTenor(O821,"1D","FOLLOWING",P$12)</f>
        <v>43665</v>
      </c>
      <c r="P822" s="13">
        <f ca="1">_xll.meDateFromTenor(O822,P$14,P$11,P$12)</f>
        <v>43850</v>
      </c>
      <c r="Q822" s="98">
        <f ca="1"/>
        <v>9.8197276461478599E-4</v>
      </c>
      <c r="R822" s="5" t="s">
        <v>4</v>
      </c>
      <c r="S822" s="100">
        <f ca="1">_xll.meDateFromTenor(S821,"1D","FOLLOWING",T$12)</f>
        <v>43665</v>
      </c>
      <c r="T822" s="13">
        <f ca="1">_xll.meDateFromTenor(S822,T$14,T$11,T$12)</f>
        <v>44032</v>
      </c>
      <c r="U822" s="98">
        <f ca="1"/>
        <v>3.0339741779140911E-3</v>
      </c>
      <c r="V822" s="5" t="s">
        <v>4</v>
      </c>
      <c r="W822" s="84" t="s">
        <v>4</v>
      </c>
    </row>
    <row r="823" spans="1:23" x14ac:dyDescent="0.25">
      <c r="A823" s="90">
        <v>804</v>
      </c>
      <c r="B823" s="83"/>
      <c r="C823" s="100">
        <f ca="1">_xll.meDateFromTenor(C822,"1D","FOLLOWING",D$12)</f>
        <v>43668</v>
      </c>
      <c r="D823" s="13">
        <f ca="1">_xll.meDateFromTenor(C823,D$14,D$11,D$12)</f>
        <v>43669</v>
      </c>
      <c r="E823" s="98">
        <f ca="1"/>
        <v>-2.7631717247485043E-3</v>
      </c>
      <c r="F823" s="94"/>
      <c r="G823" s="100">
        <f ca="1">_xll.meDateFromTenor(G822,"1D","FOLLOWING",H$12)</f>
        <v>43668</v>
      </c>
      <c r="H823" s="13">
        <f ca="1">_xll.meDateFromTenor(G823,H$14,H$11,H$12)</f>
        <v>43699</v>
      </c>
      <c r="I823" s="98">
        <f ca="1"/>
        <v>-2.0270003539187057E-3</v>
      </c>
      <c r="J823" s="94" t="s">
        <v>4</v>
      </c>
      <c r="K823" s="100">
        <f ca="1">_xll.meDateFromTenor(K822,"1D","FOLLOWING",L$12)</f>
        <v>43668</v>
      </c>
      <c r="L823" s="13">
        <f ca="1">_xll.meDateFromTenor(K823,L$14,L$11,L$12)</f>
        <v>43760</v>
      </c>
      <c r="M823" s="98">
        <f ca="1"/>
        <v>-6.5456889860310969E-4</v>
      </c>
      <c r="N823" s="5" t="s">
        <v>4</v>
      </c>
      <c r="O823" s="100">
        <f ca="1">_xll.meDateFromTenor(O822,"1D","FOLLOWING",P$12)</f>
        <v>43668</v>
      </c>
      <c r="P823" s="13">
        <f ca="1">_xll.meDateFromTenor(O823,P$14,P$11,P$12)</f>
        <v>43852</v>
      </c>
      <c r="Q823" s="98">
        <f ca="1"/>
        <v>9.9972486601541564E-4</v>
      </c>
      <c r="R823" s="5" t="s">
        <v>4</v>
      </c>
      <c r="S823" s="100">
        <f ca="1">_xll.meDateFromTenor(S822,"1D","FOLLOWING",T$12)</f>
        <v>43668</v>
      </c>
      <c r="T823" s="13">
        <f ca="1">_xll.meDateFromTenor(S823,T$14,T$11,T$12)</f>
        <v>44034</v>
      </c>
      <c r="U823" s="98">
        <f ca="1"/>
        <v>3.0505773551471049E-3</v>
      </c>
      <c r="V823" s="5" t="s">
        <v>4</v>
      </c>
      <c r="W823" s="84" t="s">
        <v>4</v>
      </c>
    </row>
    <row r="824" spans="1:23" x14ac:dyDescent="0.25">
      <c r="A824" s="90">
        <v>805</v>
      </c>
      <c r="B824" s="83"/>
      <c r="C824" s="100">
        <f ca="1">_xll.meDateFromTenor(C823,"1D","FOLLOWING",D$12)</f>
        <v>43669</v>
      </c>
      <c r="D824" s="13">
        <f ca="1">_xll.meDateFromTenor(C824,D$14,D$11,D$12)</f>
        <v>43670</v>
      </c>
      <c r="E824" s="98">
        <f ca="1"/>
        <v>-2.7582607604337383E-3</v>
      </c>
      <c r="F824" s="94"/>
      <c r="G824" s="100">
        <f ca="1">_xll.meDateFromTenor(G823,"1D","FOLLOWING",H$12)</f>
        <v>43669</v>
      </c>
      <c r="H824" s="13">
        <f ca="1">_xll.meDateFromTenor(G824,H$14,H$11,H$12)</f>
        <v>43700</v>
      </c>
      <c r="I824" s="98">
        <f ca="1"/>
        <v>-2.0223647432484563E-3</v>
      </c>
      <c r="J824" s="94" t="s">
        <v>4</v>
      </c>
      <c r="K824" s="100">
        <f ca="1">_xll.meDateFromTenor(K823,"1D","FOLLOWING",L$12)</f>
        <v>43669</v>
      </c>
      <c r="L824" s="13">
        <f ca="1">_xll.meDateFromTenor(K824,L$14,L$11,L$12)</f>
        <v>43761</v>
      </c>
      <c r="M824" s="98">
        <f ca="1"/>
        <v>-6.5110510007676883E-4</v>
      </c>
      <c r="N824" s="5" t="s">
        <v>4</v>
      </c>
      <c r="O824" s="100">
        <f ca="1">_xll.meDateFromTenor(O823,"1D","FOLLOWING",P$12)</f>
        <v>43669</v>
      </c>
      <c r="P824" s="13">
        <f ca="1">_xll.meDateFromTenor(O824,P$14,P$11,P$12)</f>
        <v>43853</v>
      </c>
      <c r="Q824" s="98">
        <f ca="1"/>
        <v>1.0056417561534465E-3</v>
      </c>
      <c r="R824" s="5" t="s">
        <v>4</v>
      </c>
      <c r="S824" s="100">
        <f ca="1">_xll.meDateFromTenor(S823,"1D","FOLLOWING",T$12)</f>
        <v>43669</v>
      </c>
      <c r="T824" s="13">
        <f ca="1">_xll.meDateFromTenor(S824,T$14,T$11,T$12)</f>
        <v>44035</v>
      </c>
      <c r="U824" s="98">
        <f ca="1"/>
        <v>3.0561090638993173E-3</v>
      </c>
      <c r="V824" s="5" t="s">
        <v>4</v>
      </c>
      <c r="W824" s="84" t="s">
        <v>4</v>
      </c>
    </row>
    <row r="825" spans="1:23" x14ac:dyDescent="0.25">
      <c r="A825" s="90">
        <v>806</v>
      </c>
      <c r="B825" s="83"/>
      <c r="C825" s="100">
        <f ca="1">_xll.meDateFromTenor(C824,"1D","FOLLOWING",D$12)</f>
        <v>43670</v>
      </c>
      <c r="D825" s="13">
        <f ca="1">_xll.meDateFromTenor(C825,D$14,D$11,D$12)</f>
        <v>43671</v>
      </c>
      <c r="E825" s="98">
        <f ca="1"/>
        <v>-2.7533518679412439E-3</v>
      </c>
      <c r="F825" s="94"/>
      <c r="G825" s="100">
        <f ca="1">_xll.meDateFromTenor(G824,"1D","FOLLOWING",H$12)</f>
        <v>43670</v>
      </c>
      <c r="H825" s="13">
        <f ca="1">_xll.meDateFromTenor(G825,H$14,H$11,H$12)</f>
        <v>43703</v>
      </c>
      <c r="I825" s="98">
        <f ca="1"/>
        <v>-2.0177321678308052E-3</v>
      </c>
      <c r="J825" s="94" t="s">
        <v>4</v>
      </c>
      <c r="K825" s="100">
        <f ca="1">_xll.meDateFromTenor(K824,"1D","FOLLOWING",L$12)</f>
        <v>43670</v>
      </c>
      <c r="L825" s="13">
        <f ca="1">_xll.meDateFromTenor(K825,L$14,L$11,L$12)</f>
        <v>43762</v>
      </c>
      <c r="M825" s="98">
        <f ca="1"/>
        <v>-6.4763014020207906E-4</v>
      </c>
      <c r="N825" s="5" t="s">
        <v>4</v>
      </c>
      <c r="O825" s="100">
        <f ca="1">_xll.meDateFromTenor(O824,"1D","FOLLOWING",P$12)</f>
        <v>43670</v>
      </c>
      <c r="P825" s="13">
        <f ca="1">_xll.meDateFromTenor(O825,P$14,P$11,P$12)</f>
        <v>43854</v>
      </c>
      <c r="Q825" s="98">
        <f ca="1"/>
        <v>1.0115584071769201E-3</v>
      </c>
      <c r="R825" s="5" t="s">
        <v>4</v>
      </c>
      <c r="S825" s="100">
        <f ca="1">_xll.meDateFromTenor(S824,"1D","FOLLOWING",T$12)</f>
        <v>43670</v>
      </c>
      <c r="T825" s="13">
        <f ca="1">_xll.meDateFromTenor(S825,T$14,T$11,T$12)</f>
        <v>44036</v>
      </c>
      <c r="U825" s="98">
        <f ca="1"/>
        <v>3.0616394695376641E-3</v>
      </c>
      <c r="V825" s="5" t="s">
        <v>4</v>
      </c>
      <c r="W825" s="84" t="s">
        <v>4</v>
      </c>
    </row>
    <row r="826" spans="1:23" x14ac:dyDescent="0.25">
      <c r="A826" s="90">
        <v>807</v>
      </c>
      <c r="B826" s="83"/>
      <c r="C826" s="100">
        <f ca="1">_xll.meDateFromTenor(C825,"1D","FOLLOWING",D$12)</f>
        <v>43671</v>
      </c>
      <c r="D826" s="13">
        <f ca="1">_xll.meDateFromTenor(C826,D$14,D$11,D$12)</f>
        <v>43672</v>
      </c>
      <c r="E826" s="98">
        <f ca="1"/>
        <v>-2.7484450467918464E-3</v>
      </c>
      <c r="F826" s="94"/>
      <c r="G826" s="100">
        <f ca="1">_xll.meDateFromTenor(G825,"1D","FOLLOWING",H$12)</f>
        <v>43671</v>
      </c>
      <c r="H826" s="13">
        <f ca="1">_xll.meDateFromTenor(G826,H$14,H$11,H$12)</f>
        <v>43703</v>
      </c>
      <c r="I826" s="98">
        <f ca="1"/>
        <v>-2.0131025314288394E-3</v>
      </c>
      <c r="J826" s="94" t="s">
        <v>4</v>
      </c>
      <c r="K826" s="100">
        <f ca="1">_xll.meDateFromTenor(K825,"1D","FOLLOWING",L$12)</f>
        <v>43671</v>
      </c>
      <c r="L826" s="13">
        <f ca="1">_xll.meDateFromTenor(K826,L$14,L$11,L$12)</f>
        <v>43763</v>
      </c>
      <c r="M826" s="98">
        <f ca="1"/>
        <v>-6.4414402725109714E-4</v>
      </c>
      <c r="N826" s="5" t="s">
        <v>4</v>
      </c>
      <c r="O826" s="100">
        <f ca="1">_xll.meDateFromTenor(O825,"1D","FOLLOWING",P$12)</f>
        <v>43671</v>
      </c>
      <c r="P826" s="13">
        <f ca="1">_xll.meDateFromTenor(O826,P$14,P$11,P$12)</f>
        <v>43857</v>
      </c>
      <c r="Q826" s="98">
        <f ca="1"/>
        <v>1.0174748187157529E-3</v>
      </c>
      <c r="R826" s="5" t="s">
        <v>4</v>
      </c>
      <c r="S826" s="100">
        <f ca="1">_xll.meDateFromTenor(S825,"1D","FOLLOWING",T$12)</f>
        <v>43671</v>
      </c>
      <c r="T826" s="13">
        <f ca="1">_xll.meDateFromTenor(S826,T$14,T$11,T$12)</f>
        <v>44039</v>
      </c>
      <c r="U826" s="98">
        <f ca="1"/>
        <v>3.0671685952914618E-3</v>
      </c>
      <c r="V826" s="5" t="s">
        <v>4</v>
      </c>
      <c r="W826" s="84" t="s">
        <v>4</v>
      </c>
    </row>
    <row r="827" spans="1:23" x14ac:dyDescent="0.25">
      <c r="A827" s="90">
        <v>808</v>
      </c>
      <c r="B827" s="83"/>
      <c r="C827" s="100">
        <f ca="1">_xll.meDateFromTenor(C826,"1D","FOLLOWING",D$12)</f>
        <v>43672</v>
      </c>
      <c r="D827" s="13">
        <f ca="1">_xll.meDateFromTenor(C827,D$14,D$11,D$12)</f>
        <v>43675</v>
      </c>
      <c r="E827" s="98">
        <f ca="1"/>
        <v>-2.7386174746224607E-3</v>
      </c>
      <c r="F827" s="94"/>
      <c r="G827" s="100">
        <f ca="1">_xll.meDateFromTenor(G826,"1D","FOLLOWING",H$12)</f>
        <v>43672</v>
      </c>
      <c r="H827" s="13">
        <f ca="1">_xll.meDateFromTenor(G827,H$14,H$11,H$12)</f>
        <v>43703</v>
      </c>
      <c r="I827" s="98">
        <f ca="1"/>
        <v>-2.0084757378056491E-3</v>
      </c>
      <c r="J827" s="94" t="s">
        <v>4</v>
      </c>
      <c r="K827" s="100">
        <f ca="1">_xll.meDateFromTenor(K826,"1D","FOLLOWING",L$12)</f>
        <v>43672</v>
      </c>
      <c r="L827" s="13">
        <f ca="1">_xll.meDateFromTenor(K827,L$14,L$11,L$12)</f>
        <v>43766</v>
      </c>
      <c r="M827" s="98">
        <f ca="1"/>
        <v>-6.4064676949587959E-4</v>
      </c>
      <c r="N827" s="5" t="s">
        <v>4</v>
      </c>
      <c r="O827" s="100">
        <f ca="1">_xll.meDateFromTenor(O826,"1D","FOLLOWING",P$12)</f>
        <v>43672</v>
      </c>
      <c r="P827" s="13">
        <f ca="1">_xll.meDateFromTenor(O827,P$14,P$11,P$12)</f>
        <v>43857</v>
      </c>
      <c r="Q827" s="98">
        <f ca="1"/>
        <v>1.0233909903998621E-3</v>
      </c>
      <c r="R827" s="5" t="s">
        <v>4</v>
      </c>
      <c r="S827" s="100">
        <f ca="1">_xll.meDateFromTenor(S826,"1D","FOLLOWING",T$12)</f>
        <v>43672</v>
      </c>
      <c r="T827" s="13">
        <f ca="1">_xll.meDateFromTenor(S827,T$14,T$11,T$12)</f>
        <v>44039</v>
      </c>
      <c r="U827" s="98">
        <f ca="1"/>
        <v>3.0726964643900279E-3</v>
      </c>
      <c r="V827" s="5" t="s">
        <v>4</v>
      </c>
      <c r="W827" s="84" t="s">
        <v>4</v>
      </c>
    </row>
    <row r="828" spans="1:23" x14ac:dyDescent="0.25">
      <c r="A828" s="90">
        <v>809</v>
      </c>
      <c r="B828" s="83"/>
      <c r="C828" s="100">
        <f ca="1">_xll.meDateFromTenor(C827,"1D","FOLLOWING",D$12)</f>
        <v>43675</v>
      </c>
      <c r="D828" s="13">
        <f ca="1">_xll.meDateFromTenor(C828,D$14,D$11,D$12)</f>
        <v>43676</v>
      </c>
      <c r="E828" s="98">
        <f ca="1"/>
        <v>-2.728838471988136E-3</v>
      </c>
      <c r="F828" s="94"/>
      <c r="G828" s="100">
        <f ca="1">_xll.meDateFromTenor(G827,"1D","FOLLOWING",H$12)</f>
        <v>43675</v>
      </c>
      <c r="H828" s="13">
        <f ca="1">_xll.meDateFromTenor(G828,H$14,H$11,H$12)</f>
        <v>43706</v>
      </c>
      <c r="I828" s="98">
        <f ca="1"/>
        <v>-1.9946114512396059E-3</v>
      </c>
      <c r="J828" s="94" t="s">
        <v>4</v>
      </c>
      <c r="K828" s="100">
        <f ca="1">_xll.meDateFromTenor(K827,"1D","FOLLOWING",L$12)</f>
        <v>43675</v>
      </c>
      <c r="L828" s="13">
        <f ca="1">_xll.meDateFromTenor(K828,L$14,L$11,L$12)</f>
        <v>43767</v>
      </c>
      <c r="M828" s="98">
        <f ca="1"/>
        <v>-6.3008821012537164E-4</v>
      </c>
      <c r="N828" s="5" t="s">
        <v>4</v>
      </c>
      <c r="O828" s="100">
        <f ca="1">_xll.meDateFromTenor(O827,"1D","FOLLOWING",P$12)</f>
        <v>43675</v>
      </c>
      <c r="P828" s="13">
        <f ca="1">_xll.meDateFromTenor(O828,P$14,P$11,P$12)</f>
        <v>43859</v>
      </c>
      <c r="Q828" s="98">
        <f ca="1"/>
        <v>1.0411380626230359E-3</v>
      </c>
      <c r="R828" s="5" t="s">
        <v>4</v>
      </c>
      <c r="S828" s="100">
        <f ca="1">_xll.meDateFromTenor(S827,"1D","FOLLOWING",T$12)</f>
        <v>43675</v>
      </c>
      <c r="T828" s="13">
        <f ca="1">_xll.meDateFromTenor(S828,T$14,T$11,T$12)</f>
        <v>44041</v>
      </c>
      <c r="U828" s="98">
        <f ca="1"/>
        <v>3.0892727640475202E-3</v>
      </c>
      <c r="V828" s="5" t="s">
        <v>4</v>
      </c>
      <c r="W828" s="84" t="s">
        <v>4</v>
      </c>
    </row>
    <row r="829" spans="1:23" x14ac:dyDescent="0.25">
      <c r="A829" s="90">
        <v>810</v>
      </c>
      <c r="B829" s="83"/>
      <c r="C829" s="100">
        <f ca="1">_xll.meDateFromTenor(C828,"1D","FOLLOWING",D$12)</f>
        <v>43676</v>
      </c>
      <c r="D829" s="13">
        <f ca="1">_xll.meDateFromTenor(C829,D$14,D$11,D$12)</f>
        <v>43677</v>
      </c>
      <c r="E829" s="98">
        <f ca="1"/>
        <v>-2.7239420041169733E-3</v>
      </c>
      <c r="F829" s="94"/>
      <c r="G829" s="100">
        <f ca="1">_xll.meDateFromTenor(G828,"1D","FOLLOWING",H$12)</f>
        <v>43676</v>
      </c>
      <c r="H829" s="13">
        <f ca="1">_xll.meDateFromTenor(G829,H$14,H$11,H$12)</f>
        <v>43707</v>
      </c>
      <c r="I829" s="98">
        <f ca="1"/>
        <v>-1.9899950663623961E-3</v>
      </c>
      <c r="J829" s="94" t="s">
        <v>4</v>
      </c>
      <c r="K829" s="100">
        <f ca="1">_xll.meDateFromTenor(K828,"1D","FOLLOWING",L$12)</f>
        <v>43676</v>
      </c>
      <c r="L829" s="13">
        <f ca="1">_xll.meDateFromTenor(K829,L$14,L$11,L$12)</f>
        <v>43768</v>
      </c>
      <c r="M829" s="98">
        <f ca="1"/>
        <v>-6.2654645587377164E-4</v>
      </c>
      <c r="N829" s="5" t="s">
        <v>4</v>
      </c>
      <c r="O829" s="100">
        <f ca="1">_xll.meDateFromTenor(O828,"1D","FOLLOWING",P$12)</f>
        <v>43676</v>
      </c>
      <c r="P829" s="13">
        <f ca="1">_xll.meDateFromTenor(O829,P$14,P$11,P$12)</f>
        <v>43860</v>
      </c>
      <c r="Q829" s="98">
        <f ca="1"/>
        <v>1.0470532711874354E-3</v>
      </c>
      <c r="R829" s="5" t="s">
        <v>4</v>
      </c>
      <c r="S829" s="100">
        <f ca="1">_xll.meDateFromTenor(S828,"1D","FOLLOWING",T$12)</f>
        <v>43676</v>
      </c>
      <c r="T829" s="13">
        <f ca="1">_xll.meDateFromTenor(S829,T$14,T$11,T$12)</f>
        <v>44042</v>
      </c>
      <c r="U829" s="98">
        <f ca="1"/>
        <v>3.0947958388183408E-3</v>
      </c>
      <c r="V829" s="5" t="s">
        <v>4</v>
      </c>
      <c r="W829" s="84" t="s">
        <v>4</v>
      </c>
    </row>
    <row r="830" spans="1:23" x14ac:dyDescent="0.25">
      <c r="A830" s="90">
        <v>811</v>
      </c>
      <c r="B830" s="83"/>
      <c r="C830" s="100">
        <f ca="1">_xll.meDateFromTenor(C829,"1D","FOLLOWING",D$12)</f>
        <v>43677</v>
      </c>
      <c r="D830" s="13">
        <f ca="1">_xll.meDateFromTenor(C830,D$14,D$11,D$12)</f>
        <v>43678</v>
      </c>
      <c r="E830" s="98">
        <f ca="1"/>
        <v>-2.7190476065897069E-3</v>
      </c>
      <c r="F830" s="94"/>
      <c r="G830" s="100">
        <f ca="1">_xll.meDateFromTenor(G829,"1D","FOLLOWING",H$12)</f>
        <v>43677</v>
      </c>
      <c r="H830" s="13">
        <f ca="1">_xll.meDateFromTenor(G830,H$14,H$11,H$12)</f>
        <v>43707</v>
      </c>
      <c r="I830" s="98">
        <f ca="1"/>
        <v>-1.9853810430794021E-3</v>
      </c>
      <c r="J830" s="94" t="s">
        <v>4</v>
      </c>
      <c r="K830" s="100">
        <f ca="1">_xll.meDateFromTenor(K829,"1D","FOLLOWING",L$12)</f>
        <v>43677</v>
      </c>
      <c r="L830" s="13">
        <f ca="1">_xll.meDateFromTenor(K830,L$14,L$11,L$12)</f>
        <v>43769</v>
      </c>
      <c r="M830" s="98">
        <f ca="1"/>
        <v>-6.2299359817821677E-4</v>
      </c>
      <c r="N830" s="5" t="s">
        <v>4</v>
      </c>
      <c r="O830" s="100">
        <f ca="1">_xll.meDateFromTenor(O829,"1D","FOLLOWING",P$12)</f>
        <v>43677</v>
      </c>
      <c r="P830" s="13">
        <f ca="1">_xll.meDateFromTenor(O830,P$14,P$11,P$12)</f>
        <v>43861</v>
      </c>
      <c r="Q830" s="98">
        <f ca="1"/>
        <v>1.0529682380467022E-3</v>
      </c>
      <c r="R830" s="5" t="s">
        <v>4</v>
      </c>
      <c r="S830" s="100">
        <f ca="1">_xll.meDateFromTenor(S829,"1D","FOLLOWING",T$12)</f>
        <v>43677</v>
      </c>
      <c r="T830" s="13">
        <f ca="1">_xll.meDateFromTenor(S830,T$14,T$11,T$12)</f>
        <v>44043</v>
      </c>
      <c r="U830" s="98">
        <f ca="1"/>
        <v>3.1003177730805193E-3</v>
      </c>
      <c r="V830" s="5" t="s">
        <v>4</v>
      </c>
      <c r="W830" s="84" t="s">
        <v>4</v>
      </c>
    </row>
    <row r="831" spans="1:23" x14ac:dyDescent="0.25">
      <c r="A831" s="90">
        <v>812</v>
      </c>
      <c r="B831" s="83"/>
      <c r="C831" s="100">
        <f ca="1">_xll.meDateFromTenor(C830,"1D","FOLLOWING",D$12)</f>
        <v>43678</v>
      </c>
      <c r="D831" s="13">
        <f ca="1">_xll.meDateFromTenor(C831,D$14,D$11,D$12)</f>
        <v>43679</v>
      </c>
      <c r="E831" s="98">
        <f ca="1"/>
        <v>-2.7141552784071361E-3</v>
      </c>
      <c r="F831" s="94"/>
      <c r="G831" s="100">
        <f ca="1">_xll.meDateFromTenor(G830,"1D","FOLLOWING",H$12)</f>
        <v>43678</v>
      </c>
      <c r="H831" s="13">
        <f ca="1">_xll.meDateFromTenor(G831,H$14,H$11,H$12)</f>
        <v>43710</v>
      </c>
      <c r="I831" s="98">
        <f ca="1"/>
        <v>-1.9807692851537139E-3</v>
      </c>
      <c r="J831" s="94" t="s">
        <v>4</v>
      </c>
      <c r="K831" s="100">
        <f ca="1">_xll.meDateFromTenor(K830,"1D","FOLLOWING",L$12)</f>
        <v>43678</v>
      </c>
      <c r="L831" s="13">
        <f ca="1">_xll.meDateFromTenor(K831,L$14,L$11,L$12)</f>
        <v>43770</v>
      </c>
      <c r="M831" s="98">
        <f ca="1"/>
        <v>-6.1942964531076371E-4</v>
      </c>
      <c r="N831" s="5" t="s">
        <v>4</v>
      </c>
      <c r="O831" s="100">
        <f ca="1">_xll.meDateFromTenor(O830,"1D","FOLLOWING",P$12)</f>
        <v>43678</v>
      </c>
      <c r="P831" s="13">
        <f ca="1">_xll.meDateFromTenor(O831,P$14,P$11,P$12)</f>
        <v>43864</v>
      </c>
      <c r="Q831" s="98">
        <f ca="1"/>
        <v>1.0588829628307536E-3</v>
      </c>
      <c r="R831" s="5" t="s">
        <v>4</v>
      </c>
      <c r="S831" s="100">
        <f ca="1">_xll.meDateFromTenor(S830,"1D","FOLLOWING",T$12)</f>
        <v>43678</v>
      </c>
      <c r="T831" s="13">
        <f ca="1">_xll.meDateFromTenor(S831,T$14,T$11,T$12)</f>
        <v>44046</v>
      </c>
      <c r="U831" s="98">
        <f ca="1"/>
        <v>3.1058385900633719E-3</v>
      </c>
      <c r="V831" s="5" t="s">
        <v>4</v>
      </c>
      <c r="W831" s="84" t="s">
        <v>4</v>
      </c>
    </row>
    <row r="832" spans="1:23" x14ac:dyDescent="0.25">
      <c r="A832" s="90">
        <v>813</v>
      </c>
      <c r="B832" s="83"/>
      <c r="C832" s="100">
        <f ca="1">_xll.meDateFromTenor(C831,"1D","FOLLOWING",D$12)</f>
        <v>43679</v>
      </c>
      <c r="D832" s="13">
        <f ca="1">_xll.meDateFromTenor(C832,D$14,D$11,D$12)</f>
        <v>43682</v>
      </c>
      <c r="E832" s="98">
        <f ca="1"/>
        <v>-2.7043572039486914E-3</v>
      </c>
      <c r="F832" s="94"/>
      <c r="G832" s="100">
        <f ca="1">_xll.meDateFromTenor(G831,"1D","FOLLOWING",H$12)</f>
        <v>43679</v>
      </c>
      <c r="H832" s="13">
        <f ca="1">_xll.meDateFromTenor(G832,H$14,H$11,H$12)</f>
        <v>43710</v>
      </c>
      <c r="I832" s="98">
        <f ca="1"/>
        <v>-1.9761596963484172E-3</v>
      </c>
      <c r="J832" s="94" t="s">
        <v>4</v>
      </c>
      <c r="K832" s="100">
        <f ca="1">_xll.meDateFromTenor(K831,"1D","FOLLOWING",L$12)</f>
        <v>43679</v>
      </c>
      <c r="L832" s="13">
        <f ca="1">_xll.meDateFromTenor(K832,L$14,L$11,L$12)</f>
        <v>43773</v>
      </c>
      <c r="M832" s="98">
        <f ca="1"/>
        <v>-6.1585460554346746E-4</v>
      </c>
      <c r="N832" s="5" t="s">
        <v>4</v>
      </c>
      <c r="O832" s="100">
        <f ca="1">_xll.meDateFromTenor(O831,"1D","FOLLOWING",P$12)</f>
        <v>43679</v>
      </c>
      <c r="P832" s="13">
        <f ca="1">_xll.meDateFromTenor(O832,P$14,P$11,P$12)</f>
        <v>43864</v>
      </c>
      <c r="Q832" s="98">
        <f ca="1"/>
        <v>1.0647974451695095E-3</v>
      </c>
      <c r="R832" s="5" t="s">
        <v>4</v>
      </c>
      <c r="S832" s="100">
        <f ca="1">_xll.meDateFromTenor(S831,"1D","FOLLOWING",T$12)</f>
        <v>43679</v>
      </c>
      <c r="T832" s="13">
        <f ca="1">_xll.meDateFromTenor(S832,T$14,T$11,T$12)</f>
        <v>44046</v>
      </c>
      <c r="U832" s="98">
        <f ca="1"/>
        <v>3.1113583129962186E-3</v>
      </c>
      <c r="V832" s="5" t="s">
        <v>4</v>
      </c>
      <c r="W832" s="84" t="s">
        <v>4</v>
      </c>
    </row>
    <row r="833" spans="1:23" x14ac:dyDescent="0.25">
      <c r="A833" s="90">
        <v>814</v>
      </c>
      <c r="B833" s="83"/>
      <c r="C833" s="100">
        <f ca="1">_xll.meDateFromTenor(C832,"1D","FOLLOWING",D$12)</f>
        <v>43682</v>
      </c>
      <c r="D833" s="13">
        <f ca="1">_xll.meDateFromTenor(C833,D$14,D$11,D$12)</f>
        <v>43683</v>
      </c>
      <c r="E833" s="98">
        <f ca="1"/>
        <v>-2.6946066571254075E-3</v>
      </c>
      <c r="F833" s="94"/>
      <c r="G833" s="100">
        <f ca="1">_xll.meDateFromTenor(G832,"1D","FOLLOWING",H$12)</f>
        <v>43682</v>
      </c>
      <c r="H833" s="13">
        <f ca="1">_xll.meDateFromTenor(G833,H$14,H$11,H$12)</f>
        <v>43713</v>
      </c>
      <c r="I833" s="98">
        <f ca="1"/>
        <v>-1.9623375057302582E-3</v>
      </c>
      <c r="J833" s="94" t="s">
        <v>4</v>
      </c>
      <c r="K833" s="100">
        <f ca="1">_xll.meDateFromTenor(K832,"1D","FOLLOWING",L$12)</f>
        <v>43682</v>
      </c>
      <c r="L833" s="13">
        <f ca="1">_xll.meDateFromTenor(K833,L$14,L$11,L$12)</f>
        <v>43774</v>
      </c>
      <c r="M833" s="98">
        <f ca="1"/>
        <v>-6.0506304756308637E-4</v>
      </c>
      <c r="N833" s="5" t="s">
        <v>4</v>
      </c>
      <c r="O833" s="100">
        <f ca="1">_xll.meDateFromTenor(O832,"1D","FOLLOWING",P$12)</f>
        <v>43682</v>
      </c>
      <c r="P833" s="13">
        <f ca="1">_xll.meDateFromTenor(O833,P$14,P$11,P$12)</f>
        <v>43866</v>
      </c>
      <c r="Q833" s="98">
        <f ca="1"/>
        <v>1.0825394338131774E-3</v>
      </c>
      <c r="R833" s="5" t="s">
        <v>4</v>
      </c>
      <c r="S833" s="100">
        <f ca="1">_xll.meDateFromTenor(S832,"1D","FOLLOWING",T$12)</f>
        <v>43682</v>
      </c>
      <c r="T833" s="13">
        <f ca="1">_xll.meDateFromTenor(S833,T$14,T$11,T$12)</f>
        <v>44048</v>
      </c>
      <c r="U833" s="98">
        <f ca="1"/>
        <v>3.1279111497878932E-3</v>
      </c>
      <c r="V833" s="5" t="s">
        <v>4</v>
      </c>
      <c r="W833" s="84" t="s">
        <v>4</v>
      </c>
    </row>
    <row r="834" spans="1:23" x14ac:dyDescent="0.25">
      <c r="A834" s="90">
        <v>815</v>
      </c>
      <c r="B834" s="83"/>
      <c r="C834" s="100">
        <f ca="1">_xll.meDateFromTenor(C833,"1D","FOLLOWING",D$12)</f>
        <v>43683</v>
      </c>
      <c r="D834" s="13">
        <f ca="1">_xll.meDateFromTenor(C834,D$14,D$11,D$12)</f>
        <v>43684</v>
      </c>
      <c r="E834" s="98">
        <f ca="1"/>
        <v>-2.6897246731483289E-3</v>
      </c>
      <c r="F834" s="94"/>
      <c r="G834" s="100">
        <f ca="1">_xll.meDateFromTenor(G833,"1D","FOLLOWING",H$12)</f>
        <v>43683</v>
      </c>
      <c r="H834" s="13">
        <f ca="1">_xll.meDateFromTenor(G834,H$14,H$11,H$12)</f>
        <v>43714</v>
      </c>
      <c r="I834" s="98">
        <f ca="1"/>
        <v>-1.9577281261280136E-3</v>
      </c>
      <c r="J834" s="94" t="s">
        <v>4</v>
      </c>
      <c r="K834" s="100">
        <f ca="1">_xll.meDateFromTenor(K833,"1D","FOLLOWING",L$12)</f>
        <v>43683</v>
      </c>
      <c r="L834" s="13">
        <f ca="1">_xll.meDateFromTenor(K834,L$14,L$11,L$12)</f>
        <v>43775</v>
      </c>
      <c r="M834" s="98">
        <f ca="1"/>
        <v>-6.0144374291698206E-4</v>
      </c>
      <c r="N834" s="5" t="s">
        <v>4</v>
      </c>
      <c r="O834" s="100">
        <f ca="1">_xll.meDateFromTenor(O833,"1D","FOLLOWING",P$12)</f>
        <v>43683</v>
      </c>
      <c r="P834" s="13">
        <f ca="1">_xll.meDateFromTenor(O834,P$14,P$11,P$12)</f>
        <v>43867</v>
      </c>
      <c r="Q834" s="98">
        <f ca="1"/>
        <v>1.088452942669928E-3</v>
      </c>
      <c r="R834" s="5" t="s">
        <v>4</v>
      </c>
      <c r="S834" s="100">
        <f ca="1">_xll.meDateFromTenor(S833,"1D","FOLLOWING",T$12)</f>
        <v>43683</v>
      </c>
      <c r="T834" s="13">
        <f ca="1">_xll.meDateFromTenor(S834,T$14,T$11,T$12)</f>
        <v>44049</v>
      </c>
      <c r="U834" s="98">
        <f ca="1"/>
        <v>3.1334267288138894E-3</v>
      </c>
      <c r="V834" s="5" t="s">
        <v>4</v>
      </c>
      <c r="W834" s="84" t="s">
        <v>4</v>
      </c>
    </row>
    <row r="835" spans="1:23" x14ac:dyDescent="0.25">
      <c r="A835" s="90">
        <v>816</v>
      </c>
      <c r="B835" s="83"/>
      <c r="C835" s="100">
        <f ca="1">_xll.meDateFromTenor(C834,"1D","FOLLOWING",D$12)</f>
        <v>43684</v>
      </c>
      <c r="D835" s="13">
        <f ca="1">_xll.meDateFromTenor(C835,D$14,D$11,D$12)</f>
        <v>43685</v>
      </c>
      <c r="E835" s="98">
        <f ca="1"/>
        <v>-2.6848447574767771E-3</v>
      </c>
      <c r="F835" s="94"/>
      <c r="G835" s="100">
        <f ca="1">_xll.meDateFromTenor(G834,"1D","FOLLOWING",H$12)</f>
        <v>43684</v>
      </c>
      <c r="H835" s="13">
        <f ca="1">_xll.meDateFromTenor(G835,H$14,H$11,H$12)</f>
        <v>43717</v>
      </c>
      <c r="I835" s="98">
        <f ca="1"/>
        <v>-1.9531155664122609E-3</v>
      </c>
      <c r="J835" s="94" t="s">
        <v>4</v>
      </c>
      <c r="K835" s="100">
        <f ca="1">_xll.meDateFromTenor(K834,"1D","FOLLOWING",L$12)</f>
        <v>43684</v>
      </c>
      <c r="L835" s="13">
        <f ca="1">_xll.meDateFromTenor(K835,L$14,L$11,L$12)</f>
        <v>43776</v>
      </c>
      <c r="M835" s="98">
        <f ca="1"/>
        <v>-5.9781339273131642E-4</v>
      </c>
      <c r="N835" s="5" t="s">
        <v>4</v>
      </c>
      <c r="O835" s="100">
        <f ca="1">_xll.meDateFromTenor(O834,"1D","FOLLOWING",P$12)</f>
        <v>43684</v>
      </c>
      <c r="P835" s="13">
        <f ca="1">_xll.meDateFromTenor(O835,P$14,P$11,P$12)</f>
        <v>43868</v>
      </c>
      <c r="Q835" s="98">
        <f ca="1"/>
        <v>1.0943662072309716E-3</v>
      </c>
      <c r="R835" s="5" t="s">
        <v>4</v>
      </c>
      <c r="S835" s="100">
        <f ca="1">_xll.meDateFromTenor(S834,"1D","FOLLOWING",T$12)</f>
        <v>43684</v>
      </c>
      <c r="T835" s="13">
        <f ca="1">_xll.meDateFromTenor(S835,T$14,T$11,T$12)</f>
        <v>44050</v>
      </c>
      <c r="U835" s="98">
        <f ca="1"/>
        <v>3.1389413299364672E-3</v>
      </c>
      <c r="V835" s="5" t="s">
        <v>4</v>
      </c>
      <c r="W835" s="84" t="s">
        <v>4</v>
      </c>
    </row>
    <row r="836" spans="1:23" x14ac:dyDescent="0.25">
      <c r="A836" s="90">
        <v>817</v>
      </c>
      <c r="B836" s="83"/>
      <c r="C836" s="100">
        <f ca="1">_xll.meDateFromTenor(C835,"1D","FOLLOWING",D$12)</f>
        <v>43685</v>
      </c>
      <c r="D836" s="13">
        <f ca="1">_xll.meDateFromTenor(C836,D$14,D$11,D$12)</f>
        <v>43686</v>
      </c>
      <c r="E836" s="98">
        <f ca="1"/>
        <v>-2.6799669095112317E-3</v>
      </c>
      <c r="F836" s="94"/>
      <c r="G836" s="100">
        <f ca="1">_xll.meDateFromTenor(G835,"1D","FOLLOWING",H$12)</f>
        <v>43685</v>
      </c>
      <c r="H836" s="13">
        <f ca="1">_xll.meDateFromTenor(G836,H$14,H$11,H$12)</f>
        <v>43717</v>
      </c>
      <c r="I836" s="98">
        <f ca="1"/>
        <v>-1.9484985133337534E-3</v>
      </c>
      <c r="J836" s="94" t="s">
        <v>4</v>
      </c>
      <c r="K836" s="100">
        <f ca="1">_xll.meDateFromTenor(K835,"1D","FOLLOWING",L$12)</f>
        <v>43685</v>
      </c>
      <c r="L836" s="13">
        <f ca="1">_xll.meDateFromTenor(K836,L$14,L$11,L$12)</f>
        <v>43777</v>
      </c>
      <c r="M836" s="98">
        <f ca="1"/>
        <v>-5.9417200527814523E-4</v>
      </c>
      <c r="N836" s="5" t="s">
        <v>4</v>
      </c>
      <c r="O836" s="100">
        <f ca="1">_xll.meDateFromTenor(O835,"1D","FOLLOWING",P$12)</f>
        <v>43685</v>
      </c>
      <c r="P836" s="13">
        <f ca="1">_xll.meDateFromTenor(O836,P$14,P$11,P$12)</f>
        <v>43871</v>
      </c>
      <c r="Q836" s="98">
        <f ca="1"/>
        <v>1.1002792271262271E-3</v>
      </c>
      <c r="R836" s="5" t="s">
        <v>4</v>
      </c>
      <c r="S836" s="100">
        <f ca="1">_xll.meDateFromTenor(S835,"1D","FOLLOWING",T$12)</f>
        <v>43685</v>
      </c>
      <c r="T836" s="13">
        <f ca="1">_xll.meDateFromTenor(S836,T$14,T$11,T$12)</f>
        <v>44053</v>
      </c>
      <c r="U836" s="98">
        <f ca="1"/>
        <v>3.1444549763849452E-3</v>
      </c>
      <c r="V836" s="5" t="s">
        <v>4</v>
      </c>
      <c r="W836" s="84" t="s">
        <v>4</v>
      </c>
    </row>
    <row r="837" spans="1:23" x14ac:dyDescent="0.25">
      <c r="A837" s="90">
        <v>818</v>
      </c>
      <c r="B837" s="83"/>
      <c r="C837" s="100">
        <f ca="1">_xll.meDateFromTenor(C836,"1D","FOLLOWING",D$12)</f>
        <v>43686</v>
      </c>
      <c r="D837" s="13">
        <f ca="1">_xll.meDateFromTenor(C837,D$14,D$11,D$12)</f>
        <v>43689</v>
      </c>
      <c r="E837" s="98">
        <f ca="1"/>
        <v>-2.6701982995636182E-3</v>
      </c>
      <c r="F837" s="94"/>
      <c r="G837" s="100">
        <f ca="1">_xll.meDateFromTenor(G836,"1D","FOLLOWING",H$12)</f>
        <v>43686</v>
      </c>
      <c r="H837" s="13">
        <f ca="1">_xll.meDateFromTenor(G837,H$14,H$11,H$12)</f>
        <v>43717</v>
      </c>
      <c r="I837" s="98">
        <f ca="1"/>
        <v>-1.9438756536432438E-3</v>
      </c>
      <c r="J837" s="94" t="s">
        <v>4</v>
      </c>
      <c r="K837" s="100">
        <f ca="1">_xll.meDateFromTenor(K836,"1D","FOLLOWING",L$12)</f>
        <v>43686</v>
      </c>
      <c r="L837" s="13">
        <f ca="1">_xll.meDateFromTenor(K837,L$14,L$11,L$12)</f>
        <v>43780</v>
      </c>
      <c r="M837" s="98">
        <f ca="1"/>
        <v>-5.9051958882952514E-4</v>
      </c>
      <c r="N837" s="5" t="s">
        <v>4</v>
      </c>
      <c r="O837" s="100">
        <f ca="1">_xll.meDateFromTenor(O836,"1D","FOLLOWING",P$12)</f>
        <v>43686</v>
      </c>
      <c r="P837" s="13">
        <f ca="1">_xll.meDateFromTenor(O837,P$14,P$11,P$12)</f>
        <v>43871</v>
      </c>
      <c r="Q837" s="98">
        <f ca="1"/>
        <v>1.1061920019856124E-3</v>
      </c>
      <c r="R837" s="5" t="s">
        <v>4</v>
      </c>
      <c r="S837" s="100">
        <f ca="1">_xll.meDateFromTenor(S836,"1D","FOLLOWING",T$12)</f>
        <v>43686</v>
      </c>
      <c r="T837" s="13">
        <f ca="1">_xll.meDateFromTenor(S837,T$14,T$11,T$12)</f>
        <v>44053</v>
      </c>
      <c r="U837" s="98">
        <f ca="1"/>
        <v>3.1499676913886395E-3</v>
      </c>
      <c r="V837" s="5" t="s">
        <v>4</v>
      </c>
      <c r="W837" s="84" t="s">
        <v>4</v>
      </c>
    </row>
    <row r="838" spans="1:23" x14ac:dyDescent="0.25">
      <c r="A838" s="90">
        <v>819</v>
      </c>
      <c r="B838" s="83"/>
      <c r="C838" s="100">
        <f ca="1">_xll.meDateFromTenor(C837,"1D","FOLLOWING",D$12)</f>
        <v>43689</v>
      </c>
      <c r="D838" s="13">
        <f ca="1">_xll.meDateFromTenor(C838,D$14,D$11,D$12)</f>
        <v>43690</v>
      </c>
      <c r="E838" s="98">
        <f ca="1"/>
        <v>-2.6604761909521197E-3</v>
      </c>
      <c r="F838" s="94"/>
      <c r="G838" s="100">
        <f ca="1">_xll.meDateFromTenor(G837,"1D","FOLLOWING",H$12)</f>
        <v>43689</v>
      </c>
      <c r="H838" s="13">
        <f ca="1">_xll.meDateFromTenor(G838,H$14,H$11,H$12)</f>
        <v>43720</v>
      </c>
      <c r="I838" s="98">
        <f ca="1"/>
        <v>-1.9299591024072309E-3</v>
      </c>
      <c r="J838" s="94" t="s">
        <v>4</v>
      </c>
      <c r="K838" s="100">
        <f ca="1">_xll.meDateFromTenor(K837,"1D","FOLLOWING",L$12)</f>
        <v>43689</v>
      </c>
      <c r="L838" s="13">
        <f ca="1">_xll.meDateFromTenor(K838,L$14,L$11,L$12)</f>
        <v>43781</v>
      </c>
      <c r="M838" s="98">
        <f ca="1"/>
        <v>-5.7949624823153351E-4</v>
      </c>
      <c r="N838" s="5" t="s">
        <v>4</v>
      </c>
      <c r="O838" s="100">
        <f ca="1">_xll.meDateFromTenor(O837,"1D","FOLLOWING",P$12)</f>
        <v>43689</v>
      </c>
      <c r="P838" s="13">
        <f ca="1">_xll.meDateFromTenor(O838,P$14,P$11,P$12)</f>
        <v>43873</v>
      </c>
      <c r="Q838" s="98">
        <f ca="1"/>
        <v>1.1239288526477247E-3</v>
      </c>
      <c r="R838" s="5" t="s">
        <v>4</v>
      </c>
      <c r="S838" s="100">
        <f ca="1">_xll.meDateFromTenor(S837,"1D","FOLLOWING",T$12)</f>
        <v>43689</v>
      </c>
      <c r="T838" s="13">
        <f ca="1">_xll.meDateFromTenor(S838,T$14,T$11,T$12)</f>
        <v>44055</v>
      </c>
      <c r="U838" s="98">
        <f ca="1"/>
        <v>3.1665004800242023E-3</v>
      </c>
      <c r="V838" s="5" t="s">
        <v>4</v>
      </c>
      <c r="W838" s="84" t="s">
        <v>4</v>
      </c>
    </row>
    <row r="839" spans="1:23" x14ac:dyDescent="0.25">
      <c r="A839" s="90">
        <v>820</v>
      </c>
      <c r="B839" s="83"/>
      <c r="C839" s="100">
        <f ca="1">_xll.meDateFromTenor(C838,"1D","FOLLOWING",D$12)</f>
        <v>43690</v>
      </c>
      <c r="D839" s="13">
        <f ca="1">_xll.meDateFromTenor(C839,D$14,D$11,D$12)</f>
        <v>43691</v>
      </c>
      <c r="E839" s="98">
        <f ca="1"/>
        <v>-2.6556086783191641E-3</v>
      </c>
      <c r="F839" s="94"/>
      <c r="G839" s="100">
        <f ca="1">_xll.meDateFromTenor(G838,"1D","FOLLOWING",H$12)</f>
        <v>43690</v>
      </c>
      <c r="H839" s="13">
        <f ca="1">_xll.meDateFromTenor(G839,H$14,H$11,H$12)</f>
        <v>43721</v>
      </c>
      <c r="I839" s="98">
        <f ca="1"/>
        <v>-1.9252998837762404E-3</v>
      </c>
      <c r="J839" s="94" t="s">
        <v>4</v>
      </c>
      <c r="K839" s="100">
        <f ca="1">_xll.meDateFromTenor(K838,"1D","FOLLOWING",L$12)</f>
        <v>43690</v>
      </c>
      <c r="L839" s="13">
        <f ca="1">_xll.meDateFromTenor(K839,L$14,L$11,L$12)</f>
        <v>43782</v>
      </c>
      <c r="M839" s="98">
        <f ca="1"/>
        <v>-5.7579979852167922E-4</v>
      </c>
      <c r="N839" s="5" t="s">
        <v>4</v>
      </c>
      <c r="O839" s="100">
        <f ca="1">_xll.meDateFromTenor(O838,"1D","FOLLOWING",P$12)</f>
        <v>43690</v>
      </c>
      <c r="P839" s="13">
        <f ca="1">_xll.meDateFromTenor(O839,P$14,P$11,P$12)</f>
        <v>43874</v>
      </c>
      <c r="Q839" s="98">
        <f ca="1"/>
        <v>1.1298406436628095E-3</v>
      </c>
      <c r="R839" s="5" t="s">
        <v>4</v>
      </c>
      <c r="S839" s="100">
        <f ca="1">_xll.meDateFromTenor(S838,"1D","FOLLOWING",T$12)</f>
        <v>43690</v>
      </c>
      <c r="T839" s="13">
        <f ca="1">_xll.meDateFromTenor(S839,T$14,T$11,T$12)</f>
        <v>44056</v>
      </c>
      <c r="U839" s="98">
        <f ca="1"/>
        <v>3.1720097015419425E-3</v>
      </c>
      <c r="V839" s="5" t="s">
        <v>4</v>
      </c>
      <c r="W839" s="84" t="s">
        <v>4</v>
      </c>
    </row>
    <row r="840" spans="1:23" x14ac:dyDescent="0.25">
      <c r="A840" s="90">
        <v>821</v>
      </c>
      <c r="B840" s="83"/>
      <c r="C840" s="100">
        <f ca="1">_xll.meDateFromTenor(C839,"1D","FOLLOWING",D$12)</f>
        <v>43691</v>
      </c>
      <c r="D840" s="13">
        <f ca="1">_xll.meDateFromTenor(C840,D$14,D$11,D$12)</f>
        <v>43692</v>
      </c>
      <c r="E840" s="98">
        <f ca="1"/>
        <v>-2.6507432318734299E-3</v>
      </c>
      <c r="F840" s="94"/>
      <c r="G840" s="100">
        <f ca="1">_xll.meDateFromTenor(G839,"1D","FOLLOWING",H$12)</f>
        <v>43691</v>
      </c>
      <c r="H840" s="13">
        <f ca="1">_xll.meDateFromTenor(G840,H$14,H$11,H$12)</f>
        <v>43724</v>
      </c>
      <c r="I840" s="98">
        <f ca="1"/>
        <v>-1.9206282922870114E-3</v>
      </c>
      <c r="J840" s="94" t="s">
        <v>4</v>
      </c>
      <c r="K840" s="100">
        <f ca="1">_xll.meDateFromTenor(K839,"1D","FOLLOWING",L$12)</f>
        <v>43691</v>
      </c>
      <c r="L840" s="13">
        <f ca="1">_xll.meDateFromTenor(K840,L$14,L$11,L$12)</f>
        <v>43783</v>
      </c>
      <c r="M840" s="98">
        <f ca="1"/>
        <v>-5.7209236117665657E-4</v>
      </c>
      <c r="N840" s="5" t="s">
        <v>4</v>
      </c>
      <c r="O840" s="100">
        <f ca="1">_xll.meDateFromTenor(O839,"1D","FOLLOWING",P$12)</f>
        <v>43691</v>
      </c>
      <c r="P840" s="13">
        <f ca="1">_xll.meDateFromTenor(O840,P$14,P$11,P$12)</f>
        <v>43875</v>
      </c>
      <c r="Q840" s="98">
        <f ca="1"/>
        <v>1.1357521877916137E-3</v>
      </c>
      <c r="R840" s="5" t="s">
        <v>4</v>
      </c>
      <c r="S840" s="100">
        <f ca="1">_xll.meDateFromTenor(S839,"1D","FOLLOWING",T$12)</f>
        <v>43691</v>
      </c>
      <c r="T840" s="13">
        <f ca="1">_xll.meDateFromTenor(S840,T$14,T$11,T$12)</f>
        <v>44057</v>
      </c>
      <c r="U840" s="98">
        <f ca="1"/>
        <v>3.1775181077614888E-3</v>
      </c>
      <c r="V840" s="5" t="s">
        <v>4</v>
      </c>
      <c r="W840" s="84" t="s">
        <v>4</v>
      </c>
    </row>
    <row r="841" spans="1:23" x14ac:dyDescent="0.25">
      <c r="A841" s="90">
        <v>822</v>
      </c>
      <c r="B841" s="83"/>
      <c r="C841" s="100">
        <f ca="1">_xll.meDateFromTenor(C840,"1D","FOLLOWING",D$12)</f>
        <v>43692</v>
      </c>
      <c r="D841" s="13">
        <f ca="1">_xll.meDateFromTenor(C841,D$14,D$11,D$12)</f>
        <v>43693</v>
      </c>
      <c r="E841" s="98">
        <f ca="1"/>
        <v>-2.6458798516149169E-3</v>
      </c>
      <c r="F841" s="94"/>
      <c r="G841" s="100">
        <f ca="1">_xll.meDateFromTenor(G840,"1D","FOLLOWING",H$12)</f>
        <v>43692</v>
      </c>
      <c r="H841" s="13">
        <f ca="1">_xll.meDateFromTenor(G841,H$14,H$11,H$12)</f>
        <v>43724</v>
      </c>
      <c r="I841" s="98">
        <f ca="1"/>
        <v>-1.9159430146902974E-3</v>
      </c>
      <c r="J841" s="94" t="s">
        <v>4</v>
      </c>
      <c r="K841" s="100">
        <f ca="1">_xll.meDateFromTenor(K840,"1D","FOLLOWING",L$12)</f>
        <v>43692</v>
      </c>
      <c r="L841" s="13">
        <f ca="1">_xll.meDateFromTenor(K841,L$14,L$11,L$12)</f>
        <v>43784</v>
      </c>
      <c r="M841" s="98">
        <f ca="1"/>
        <v>-5.6837394446852243E-4</v>
      </c>
      <c r="N841" s="5" t="s">
        <v>4</v>
      </c>
      <c r="O841" s="100">
        <f ca="1">_xll.meDateFromTenor(O840,"1D","FOLLOWING",P$12)</f>
        <v>43692</v>
      </c>
      <c r="P841" s="13">
        <f ca="1">_xll.meDateFromTenor(O841,P$14,P$11,P$12)</f>
        <v>43878</v>
      </c>
      <c r="Q841" s="98">
        <f ca="1"/>
        <v>1.1416634846640559E-3</v>
      </c>
      <c r="R841" s="5" t="s">
        <v>4</v>
      </c>
      <c r="S841" s="100">
        <f ca="1">_xll.meDateFromTenor(S840,"1D","FOLLOWING",T$12)</f>
        <v>43692</v>
      </c>
      <c r="T841" s="13">
        <f ca="1">_xll.meDateFromTenor(S841,T$14,T$11,T$12)</f>
        <v>44060</v>
      </c>
      <c r="U841" s="98">
        <f ca="1"/>
        <v>3.1830257219121584E-3</v>
      </c>
      <c r="V841" s="5" t="s">
        <v>4</v>
      </c>
      <c r="W841" s="84" t="s">
        <v>4</v>
      </c>
    </row>
    <row r="842" spans="1:23" x14ac:dyDescent="0.25">
      <c r="A842" s="90">
        <v>823</v>
      </c>
      <c r="B842" s="83"/>
      <c r="C842" s="100">
        <f ca="1">_xll.meDateFromTenor(C841,"1D","FOLLOWING",D$12)</f>
        <v>43693</v>
      </c>
      <c r="D842" s="13">
        <f ca="1">_xll.meDateFromTenor(C842,D$14,D$11,D$12)</f>
        <v>43696</v>
      </c>
      <c r="E842" s="98">
        <f ca="1"/>
        <v>-2.636140672658281E-3</v>
      </c>
      <c r="F842" s="94"/>
      <c r="G842" s="100">
        <f ca="1">_xll.meDateFromTenor(G841,"1D","FOLLOWING",H$12)</f>
        <v>43693</v>
      </c>
      <c r="H842" s="13">
        <f ca="1">_xll.meDateFromTenor(G842,H$14,H$11,H$12)</f>
        <v>43724</v>
      </c>
      <c r="I842" s="98">
        <f ca="1"/>
        <v>-1.9112427377368502E-3</v>
      </c>
      <c r="J842" s="94" t="s">
        <v>4</v>
      </c>
      <c r="K842" s="100">
        <f ca="1">_xll.meDateFromTenor(K841,"1D","FOLLOWING",L$12)</f>
        <v>43693</v>
      </c>
      <c r="L842" s="13">
        <f ca="1">_xll.meDateFromTenor(K842,L$14,L$11,L$12)</f>
        <v>43787</v>
      </c>
      <c r="M842" s="98">
        <f ca="1"/>
        <v>-5.6464455666933248E-4</v>
      </c>
      <c r="N842" s="5" t="s">
        <v>4</v>
      </c>
      <c r="O842" s="100">
        <f ca="1">_xll.meDateFromTenor(O841,"1D","FOLLOWING",P$12)</f>
        <v>43693</v>
      </c>
      <c r="P842" s="13">
        <f ca="1">_xll.meDateFromTenor(O842,P$14,P$11,P$12)</f>
        <v>43878</v>
      </c>
      <c r="Q842" s="98">
        <f ca="1"/>
        <v>1.1475745339100539E-3</v>
      </c>
      <c r="R842" s="5" t="s">
        <v>4</v>
      </c>
      <c r="S842" s="100">
        <f ca="1">_xll.meDateFromTenor(S841,"1D","FOLLOWING",T$12)</f>
        <v>43693</v>
      </c>
      <c r="T842" s="13">
        <f ca="1">_xll.meDateFromTenor(S842,T$14,T$11,T$12)</f>
        <v>44060</v>
      </c>
      <c r="U842" s="98">
        <f ca="1"/>
        <v>3.1885325672232697E-3</v>
      </c>
      <c r="V842" s="5" t="s">
        <v>4</v>
      </c>
      <c r="W842" s="84" t="s">
        <v>4</v>
      </c>
    </row>
    <row r="843" spans="1:23" x14ac:dyDescent="0.25">
      <c r="A843" s="90">
        <v>824</v>
      </c>
      <c r="B843" s="83"/>
      <c r="C843" s="100">
        <f ca="1">_xll.meDateFromTenor(C842,"1D","FOLLOWING",D$12)</f>
        <v>43696</v>
      </c>
      <c r="D843" s="13">
        <f ca="1">_xll.meDateFromTenor(C843,D$14,D$11,D$12)</f>
        <v>43697</v>
      </c>
      <c r="E843" s="98">
        <f ca="1"/>
        <v>-2.626446985218865E-3</v>
      </c>
      <c r="F843" s="94"/>
      <c r="G843" s="100">
        <f ca="1">_xll.meDateFromTenor(G842,"1D","FOLLOWING",H$12)</f>
        <v>43696</v>
      </c>
      <c r="H843" s="13">
        <f ca="1">_xll.meDateFromTenor(G843,H$14,H$11,H$12)</f>
        <v>43727</v>
      </c>
      <c r="I843" s="98">
        <f ca="1"/>
        <v>-1.8970387782436416E-3</v>
      </c>
      <c r="J843" s="94" t="s">
        <v>4</v>
      </c>
      <c r="K843" s="100">
        <f ca="1">_xll.meDateFromTenor(K842,"1D","FOLLOWING",L$12)</f>
        <v>43696</v>
      </c>
      <c r="L843" s="13">
        <f ca="1">_xll.meDateFromTenor(K843,L$14,L$11,L$12)</f>
        <v>43788</v>
      </c>
      <c r="M843" s="98">
        <f ca="1"/>
        <v>-5.5339064944599184E-4</v>
      </c>
      <c r="N843" s="5" t="s">
        <v>4</v>
      </c>
      <c r="O843" s="100">
        <f ca="1">_xll.meDateFromTenor(O842,"1D","FOLLOWING",P$12)</f>
        <v>43696</v>
      </c>
      <c r="P843" s="13">
        <f ca="1">_xll.meDateFromTenor(O843,P$14,P$11,P$12)</f>
        <v>43880</v>
      </c>
      <c r="Q843" s="98">
        <f ca="1"/>
        <v>1.1653061921885631E-3</v>
      </c>
      <c r="R843" s="5" t="s">
        <v>4</v>
      </c>
      <c r="S843" s="100">
        <f ca="1">_xll.meDateFromTenor(S842,"1D","FOLLOWING",T$12)</f>
        <v>43696</v>
      </c>
      <c r="T843" s="13">
        <f ca="1">_xll.meDateFromTenor(S843,T$14,T$11,T$12)</f>
        <v>44062</v>
      </c>
      <c r="U843" s="98">
        <f ca="1"/>
        <v>3.2050487224124257E-3</v>
      </c>
      <c r="V843" s="5" t="s">
        <v>4</v>
      </c>
      <c r="W843" s="84" t="s">
        <v>4</v>
      </c>
    </row>
    <row r="844" spans="1:23" x14ac:dyDescent="0.25">
      <c r="A844" s="90">
        <v>825</v>
      </c>
      <c r="B844" s="83"/>
      <c r="C844" s="100">
        <f ca="1">_xll.meDateFromTenor(C843,"1D","FOLLOWING",D$12)</f>
        <v>43697</v>
      </c>
      <c r="D844" s="13">
        <f ca="1">_xll.meDateFromTenor(C844,D$14,D$11,D$12)</f>
        <v>43698</v>
      </c>
      <c r="E844" s="98">
        <f ca="1"/>
        <v>-2.6215939312601668E-3</v>
      </c>
      <c r="F844" s="94"/>
      <c r="G844" s="100">
        <f ca="1">_xll.meDateFromTenor(G843,"1D","FOLLOWING",H$12)</f>
        <v>43697</v>
      </c>
      <c r="H844" s="13">
        <f ca="1">_xll.meDateFromTenor(G844,H$14,H$11,H$12)</f>
        <v>43728</v>
      </c>
      <c r="I844" s="98">
        <f ca="1"/>
        <v>-1.8922653713707915E-3</v>
      </c>
      <c r="J844" s="94" t="s">
        <v>4</v>
      </c>
      <c r="K844" s="100">
        <f ca="1">_xll.meDateFromTenor(K843,"1D","FOLLOWING",L$12)</f>
        <v>43697</v>
      </c>
      <c r="L844" s="13">
        <f ca="1">_xll.meDateFromTenor(K844,L$14,L$11,L$12)</f>
        <v>43789</v>
      </c>
      <c r="M844" s="98">
        <f ca="1"/>
        <v>-5.4961746000314166E-4</v>
      </c>
      <c r="N844" s="5" t="s">
        <v>4</v>
      </c>
      <c r="O844" s="100">
        <f ca="1">_xll.meDateFromTenor(O843,"1D","FOLLOWING",P$12)</f>
        <v>43697</v>
      </c>
      <c r="P844" s="13">
        <f ca="1">_xll.meDateFromTenor(O844,P$14,P$11,P$12)</f>
        <v>43881</v>
      </c>
      <c r="Q844" s="98">
        <f ca="1"/>
        <v>1.1712162472279654E-3</v>
      </c>
      <c r="R844" s="5" t="s">
        <v>4</v>
      </c>
      <c r="S844" s="100">
        <f ca="1">_xll.meDateFromTenor(S843,"1D","FOLLOWING",T$12)</f>
        <v>43697</v>
      </c>
      <c r="T844" s="13">
        <f ca="1">_xll.meDateFromTenor(S844,T$14,T$11,T$12)</f>
        <v>44063</v>
      </c>
      <c r="U844" s="98">
        <f ca="1"/>
        <v>3.2105527246584793E-3</v>
      </c>
      <c r="V844" s="5" t="s">
        <v>4</v>
      </c>
      <c r="W844" s="84" t="s">
        <v>4</v>
      </c>
    </row>
    <row r="845" spans="1:23" x14ac:dyDescent="0.25">
      <c r="A845" s="90">
        <v>826</v>
      </c>
      <c r="B845" s="83"/>
      <c r="C845" s="100">
        <f ca="1">_xll.meDateFromTenor(C844,"1D","FOLLOWING",D$12)</f>
        <v>43698</v>
      </c>
      <c r="D845" s="13">
        <f ca="1">_xll.meDateFromTenor(C845,D$14,D$11,D$12)</f>
        <v>43699</v>
      </c>
      <c r="E845" s="98">
        <f ca="1"/>
        <v>-2.616742941530257E-3</v>
      </c>
      <c r="F845" s="94"/>
      <c r="G845" s="100">
        <f ca="1">_xll.meDateFromTenor(G844,"1D","FOLLOWING",H$12)</f>
        <v>43698</v>
      </c>
      <c r="H845" s="13">
        <f ca="1">_xll.meDateFromTenor(G845,H$14,H$11,H$12)</f>
        <v>43731</v>
      </c>
      <c r="I845" s="98">
        <f ca="1"/>
        <v>-1.8874703988949735E-3</v>
      </c>
      <c r="J845" s="94" t="s">
        <v>4</v>
      </c>
      <c r="K845" s="100">
        <f ca="1">_xll.meDateFromTenor(K844,"1D","FOLLOWING",L$12)</f>
        <v>43698</v>
      </c>
      <c r="L845" s="13">
        <f ca="1">_xll.meDateFromTenor(K845,L$14,L$11,L$12)</f>
        <v>43790</v>
      </c>
      <c r="M845" s="98">
        <f ca="1"/>
        <v>-5.458333408295174E-4</v>
      </c>
      <c r="N845" s="5" t="s">
        <v>4</v>
      </c>
      <c r="O845" s="100">
        <f ca="1">_xll.meDateFromTenor(O844,"1D","FOLLOWING",P$12)</f>
        <v>43698</v>
      </c>
      <c r="P845" s="13">
        <f ca="1">_xll.meDateFromTenor(O845,P$14,P$11,P$12)</f>
        <v>43882</v>
      </c>
      <c r="Q845" s="98">
        <f ca="1"/>
        <v>1.1771260527905125E-3</v>
      </c>
      <c r="R845" s="5" t="s">
        <v>4</v>
      </c>
      <c r="S845" s="100">
        <f ca="1">_xll.meDateFromTenor(S844,"1D","FOLLOWING",T$12)</f>
        <v>43698</v>
      </c>
      <c r="T845" s="13">
        <f ca="1">_xll.meDateFromTenor(S845,T$14,T$11,T$12)</f>
        <v>44064</v>
      </c>
      <c r="U845" s="98">
        <f ca="1"/>
        <v>3.2160560742115619E-3</v>
      </c>
      <c r="V845" s="5" t="s">
        <v>4</v>
      </c>
      <c r="W845" s="84" t="s">
        <v>4</v>
      </c>
    </row>
    <row r="846" spans="1:23" x14ac:dyDescent="0.25">
      <c r="A846" s="90">
        <v>827</v>
      </c>
      <c r="B846" s="83"/>
      <c r="C846" s="100">
        <f ca="1">_xll.meDateFromTenor(C845,"1D","FOLLOWING",D$12)</f>
        <v>43699</v>
      </c>
      <c r="D846" s="13">
        <f ca="1">_xll.meDateFromTenor(C846,D$14,D$11,D$12)</f>
        <v>43700</v>
      </c>
      <c r="E846" s="98">
        <f ca="1"/>
        <v>-2.6118940161490392E-3</v>
      </c>
      <c r="F846" s="94"/>
      <c r="G846" s="100">
        <f ca="1">_xll.meDateFromTenor(G845,"1D","FOLLOWING",H$12)</f>
        <v>43699</v>
      </c>
      <c r="H846" s="13">
        <f ca="1">_xll.meDateFromTenor(G846,H$14,H$11,H$12)</f>
        <v>43731</v>
      </c>
      <c r="I846" s="98">
        <f ca="1"/>
        <v>-1.8826525475669391E-3</v>
      </c>
      <c r="J846" s="94" t="s">
        <v>4</v>
      </c>
      <c r="K846" s="100">
        <f ca="1">_xll.meDateFromTenor(K845,"1D","FOLLOWING",L$12)</f>
        <v>43699</v>
      </c>
      <c r="L846" s="13">
        <f ca="1">_xll.meDateFromTenor(K846,L$14,L$11,L$12)</f>
        <v>43791</v>
      </c>
      <c r="M846" s="98">
        <f ca="1"/>
        <v>-5.4203830019717409E-4</v>
      </c>
      <c r="N846" s="5" t="s">
        <v>4</v>
      </c>
      <c r="O846" s="100">
        <f ca="1">_xll.meDateFromTenor(O845,"1D","FOLLOWING",P$12)</f>
        <v>43699</v>
      </c>
      <c r="P846" s="13">
        <f ca="1">_xll.meDateFromTenor(O846,P$14,P$11,P$12)</f>
        <v>43885</v>
      </c>
      <c r="Q846" s="98">
        <f ca="1"/>
        <v>1.1830356085061251E-3</v>
      </c>
      <c r="R846" s="5" t="s">
        <v>4</v>
      </c>
      <c r="S846" s="100">
        <f ca="1">_xll.meDateFromTenor(S845,"1D","FOLLOWING",T$12)</f>
        <v>43699</v>
      </c>
      <c r="T846" s="13">
        <f ca="1">_xll.meDateFromTenor(S846,T$14,T$11,T$12)</f>
        <v>44067</v>
      </c>
      <c r="U846" s="98">
        <f ca="1"/>
        <v>3.221558794300992E-3</v>
      </c>
      <c r="V846" s="5" t="s">
        <v>4</v>
      </c>
      <c r="W846" s="84" t="s">
        <v>4</v>
      </c>
    </row>
    <row r="847" spans="1:23" x14ac:dyDescent="0.25">
      <c r="A847" s="90">
        <v>828</v>
      </c>
      <c r="B847" s="83"/>
      <c r="C847" s="100">
        <f ca="1">_xll.meDateFromTenor(C846,"1D","FOLLOWING",D$12)</f>
        <v>43700</v>
      </c>
      <c r="D847" s="13">
        <f ca="1">_xll.meDateFromTenor(C847,D$14,D$11,D$12)</f>
        <v>43703</v>
      </c>
      <c r="E847" s="98">
        <f ca="1"/>
        <v>-2.6021842354895333E-3</v>
      </c>
      <c r="F847" s="94"/>
      <c r="G847" s="100">
        <f ca="1">_xll.meDateFromTenor(G846,"1D","FOLLOWING",H$12)</f>
        <v>43700</v>
      </c>
      <c r="H847" s="13">
        <f ca="1">_xll.meDateFromTenor(G847,H$14,H$11,H$12)</f>
        <v>43731</v>
      </c>
      <c r="I847" s="98">
        <f ca="1"/>
        <v>-1.8778105041374409E-3</v>
      </c>
      <c r="J847" s="94" t="s">
        <v>4</v>
      </c>
      <c r="K847" s="100">
        <f ca="1">_xll.meDateFromTenor(K846,"1D","FOLLOWING",L$12)</f>
        <v>43700</v>
      </c>
      <c r="L847" s="13">
        <f ca="1">_xll.meDateFromTenor(K847,L$14,L$11,L$12)</f>
        <v>43794</v>
      </c>
      <c r="M847" s="98">
        <f ca="1"/>
        <v>-5.382323463781688E-4</v>
      </c>
      <c r="N847" s="5" t="s">
        <v>4</v>
      </c>
      <c r="O847" s="100">
        <f ca="1">_xll.meDateFromTenor(O846,"1D","FOLLOWING",P$12)</f>
        <v>43700</v>
      </c>
      <c r="P847" s="13">
        <f ca="1">_xll.meDateFromTenor(O847,P$14,P$11,P$12)</f>
        <v>43885</v>
      </c>
      <c r="Q847" s="98">
        <f ca="1"/>
        <v>1.1889449140047195E-3</v>
      </c>
      <c r="R847" s="5" t="s">
        <v>4</v>
      </c>
      <c r="S847" s="100">
        <f ca="1">_xll.meDateFromTenor(S846,"1D","FOLLOWING",T$12)</f>
        <v>43700</v>
      </c>
      <c r="T847" s="13">
        <f ca="1">_xll.meDateFromTenor(S847,T$14,T$11,T$12)</f>
        <v>44067</v>
      </c>
      <c r="U847" s="98">
        <f ca="1"/>
        <v>3.2270609081560876E-3</v>
      </c>
      <c r="V847" s="5" t="s">
        <v>4</v>
      </c>
      <c r="W847" s="84" t="s">
        <v>4</v>
      </c>
    </row>
    <row r="848" spans="1:23" x14ac:dyDescent="0.25">
      <c r="A848" s="90">
        <v>829</v>
      </c>
      <c r="B848" s="83"/>
      <c r="C848" s="100">
        <f ca="1">_xll.meDateFromTenor(C847,"1D","FOLLOWING",D$12)</f>
        <v>43703</v>
      </c>
      <c r="D848" s="13">
        <f ca="1">_xll.meDateFromTenor(C848,D$14,D$11,D$12)</f>
        <v>43704</v>
      </c>
      <c r="E848" s="98">
        <f ca="1"/>
        <v>-2.5925189519560112E-3</v>
      </c>
      <c r="F848" s="94"/>
      <c r="G848" s="100">
        <f ca="1">_xll.meDateFromTenor(G847,"1D","FOLLOWING",H$12)</f>
        <v>43703</v>
      </c>
      <c r="H848" s="13">
        <f ca="1">_xll.meDateFromTenor(G848,H$14,H$11,H$12)</f>
        <v>43734</v>
      </c>
      <c r="I848" s="98">
        <f ca="1"/>
        <v>-1.8631260887476961E-3</v>
      </c>
      <c r="J848" s="94" t="s">
        <v>4</v>
      </c>
      <c r="K848" s="100">
        <f ca="1">_xll.meDateFromTenor(K847,"1D","FOLLOWING",L$12)</f>
        <v>43703</v>
      </c>
      <c r="L848" s="13">
        <f ca="1">_xll.meDateFromTenor(K848,L$14,L$11,L$12)</f>
        <v>43795</v>
      </c>
      <c r="M848" s="98">
        <f ca="1"/>
        <v>-5.2674908852174166E-4</v>
      </c>
      <c r="N848" s="5" t="s">
        <v>4</v>
      </c>
      <c r="O848" s="100">
        <f ca="1">_xll.meDateFromTenor(O847,"1D","FOLLOWING",P$12)</f>
        <v>43703</v>
      </c>
      <c r="P848" s="13">
        <f ca="1">_xll.meDateFromTenor(O848,P$14,P$11,P$12)</f>
        <v>43887</v>
      </c>
      <c r="Q848" s="98">
        <f ca="1"/>
        <v>1.206671325497576E-3</v>
      </c>
      <c r="R848" s="5" t="s">
        <v>4</v>
      </c>
      <c r="S848" s="100">
        <f ca="1">_xll.meDateFromTenor(S847,"1D","FOLLOWING",T$12)</f>
        <v>43703</v>
      </c>
      <c r="T848" s="13">
        <f ca="1">_xll.meDateFromTenor(S848,T$14,T$11,T$12)</f>
        <v>44069</v>
      </c>
      <c r="U848" s="98">
        <f ca="1"/>
        <v>3.2435638446085447E-3</v>
      </c>
      <c r="V848" s="5" t="s">
        <v>4</v>
      </c>
      <c r="W848" s="84" t="s">
        <v>4</v>
      </c>
    </row>
    <row r="849" spans="1:23" x14ac:dyDescent="0.25">
      <c r="A849" s="90">
        <v>830</v>
      </c>
      <c r="B849" s="83"/>
      <c r="C849" s="100">
        <f ca="1">_xll.meDateFromTenor(C848,"1D","FOLLOWING",D$12)</f>
        <v>43704</v>
      </c>
      <c r="D849" s="13">
        <f ca="1">_xll.meDateFromTenor(C849,D$14,D$11,D$12)</f>
        <v>43705</v>
      </c>
      <c r="E849" s="98">
        <f ca="1"/>
        <v>-2.5876803441216103E-3</v>
      </c>
      <c r="F849" s="94"/>
      <c r="G849" s="100">
        <f ca="1">_xll.meDateFromTenor(G848,"1D","FOLLOWING",H$12)</f>
        <v>43704</v>
      </c>
      <c r="H849" s="13">
        <f ca="1">_xll.meDateFromTenor(G849,H$14,H$11,H$12)</f>
        <v>43735</v>
      </c>
      <c r="I849" s="98">
        <f ca="1"/>
        <v>-1.8581741444198736E-3</v>
      </c>
      <c r="J849" s="94" t="s">
        <v>4</v>
      </c>
      <c r="K849" s="100">
        <f ca="1">_xll.meDateFromTenor(K848,"1D","FOLLOWING",L$12)</f>
        <v>43704</v>
      </c>
      <c r="L849" s="13">
        <f ca="1">_xll.meDateFromTenor(K849,L$14,L$11,L$12)</f>
        <v>43796</v>
      </c>
      <c r="M849" s="98">
        <f ca="1"/>
        <v>-5.2289956467664969E-4</v>
      </c>
      <c r="N849" s="5" t="s">
        <v>4</v>
      </c>
      <c r="O849" s="100">
        <f ca="1">_xll.meDateFromTenor(O848,"1D","FOLLOWING",P$12)</f>
        <v>43704</v>
      </c>
      <c r="P849" s="13">
        <f ca="1">_xll.meDateFromTenor(O849,P$14,P$11,P$12)</f>
        <v>43888</v>
      </c>
      <c r="Q849" s="98">
        <f ca="1"/>
        <v>1.2125796264272795E-3</v>
      </c>
      <c r="R849" s="5" t="s">
        <v>4</v>
      </c>
      <c r="S849" s="100">
        <f ca="1">_xll.meDateFromTenor(S848,"1D","FOLLOWING",T$12)</f>
        <v>43704</v>
      </c>
      <c r="T849" s="13">
        <f ca="1">_xll.meDateFromTenor(S849,T$14,T$11,T$12)</f>
        <v>44070</v>
      </c>
      <c r="U849" s="98">
        <f ca="1"/>
        <v>3.2490637658194781E-3</v>
      </c>
      <c r="V849" s="5" t="s">
        <v>4</v>
      </c>
      <c r="W849" s="84" t="s">
        <v>4</v>
      </c>
    </row>
    <row r="850" spans="1:23" x14ac:dyDescent="0.25">
      <c r="A850" s="90">
        <v>831</v>
      </c>
      <c r="B850" s="83"/>
      <c r="C850" s="100">
        <f ca="1">_xll.meDateFromTenor(C849,"1D","FOLLOWING",D$12)</f>
        <v>43705</v>
      </c>
      <c r="D850" s="13">
        <f ca="1">_xll.meDateFromTenor(C850,D$14,D$11,D$12)</f>
        <v>43706</v>
      </c>
      <c r="E850" s="98">
        <f ca="1"/>
        <v>-2.582843798757404E-3</v>
      </c>
      <c r="F850" s="94"/>
      <c r="G850" s="100">
        <f ca="1">_xll.meDateFromTenor(G849,"1D","FOLLOWING",H$12)</f>
        <v>43705</v>
      </c>
      <c r="H850" s="13">
        <f ca="1">_xll.meDateFromTenor(G850,H$14,H$11,H$12)</f>
        <v>43738</v>
      </c>
      <c r="I850" s="98">
        <f ca="1"/>
        <v>-1.8531914417443522E-3</v>
      </c>
      <c r="J850" s="94" t="s">
        <v>4</v>
      </c>
      <c r="K850" s="100">
        <f ca="1">_xll.meDateFromTenor(K849,"1D","FOLLOWING",L$12)</f>
        <v>43705</v>
      </c>
      <c r="L850" s="13">
        <f ca="1">_xll.meDateFromTenor(K850,L$14,L$11,L$12)</f>
        <v>43797</v>
      </c>
      <c r="M850" s="98">
        <f ca="1"/>
        <v>-5.1903916900517726E-4</v>
      </c>
      <c r="N850" s="5" t="s">
        <v>4</v>
      </c>
      <c r="O850" s="100">
        <f ca="1">_xll.meDateFromTenor(O849,"1D","FOLLOWING",P$12)</f>
        <v>43705</v>
      </c>
      <c r="P850" s="13">
        <f ca="1">_xll.meDateFromTenor(O850,P$14,P$11,P$12)</f>
        <v>43889</v>
      </c>
      <c r="Q850" s="98">
        <f ca="1"/>
        <v>1.2184876752895542E-3</v>
      </c>
      <c r="R850" s="5" t="s">
        <v>4</v>
      </c>
      <c r="S850" s="100">
        <f ca="1">_xll.meDateFromTenor(S849,"1D","FOLLOWING",T$12)</f>
        <v>43705</v>
      </c>
      <c r="T850" s="13">
        <f ca="1">_xll.meDateFromTenor(S850,T$14,T$11,T$12)</f>
        <v>44071</v>
      </c>
      <c r="U850" s="98">
        <f ca="1"/>
        <v>3.254563196942666E-3</v>
      </c>
      <c r="V850" s="5" t="s">
        <v>4</v>
      </c>
      <c r="W850" s="84" t="s">
        <v>4</v>
      </c>
    </row>
    <row r="851" spans="1:23" x14ac:dyDescent="0.25">
      <c r="A851" s="90">
        <v>832</v>
      </c>
      <c r="B851" s="83"/>
      <c r="C851" s="100">
        <f ca="1">_xll.meDateFromTenor(C850,"1D","FOLLOWING",D$12)</f>
        <v>43706</v>
      </c>
      <c r="D851" s="13">
        <f ca="1">_xll.meDateFromTenor(C851,D$14,D$11,D$12)</f>
        <v>43707</v>
      </c>
      <c r="E851" s="98">
        <f ca="1"/>
        <v>-2.5780093159433284E-3</v>
      </c>
      <c r="F851" s="94"/>
      <c r="G851" s="100">
        <f ca="1">_xll.meDateFromTenor(G850,"1D","FOLLOWING",H$12)</f>
        <v>43706</v>
      </c>
      <c r="H851" s="13">
        <f ca="1">_xll.meDateFromTenor(G851,H$14,H$11,H$12)</f>
        <v>43738</v>
      </c>
      <c r="I851" s="98">
        <f ca="1"/>
        <v>-1.8481766674718837E-3</v>
      </c>
      <c r="J851" s="94" t="s">
        <v>4</v>
      </c>
      <c r="K851" s="100">
        <f ca="1">_xll.meDateFromTenor(K850,"1D","FOLLOWING",L$12)</f>
        <v>43706</v>
      </c>
      <c r="L851" s="13">
        <f ca="1">_xll.meDateFromTenor(K851,L$14,L$11,L$12)</f>
        <v>43798</v>
      </c>
      <c r="M851" s="98">
        <f ca="1"/>
        <v>-5.1516790977937919E-4</v>
      </c>
      <c r="N851" s="5" t="s">
        <v>4</v>
      </c>
      <c r="O851" s="100">
        <f ca="1">_xll.meDateFromTenor(O850,"1D","FOLLOWING",P$12)</f>
        <v>43706</v>
      </c>
      <c r="P851" s="13">
        <f ca="1">_xll.meDateFromTenor(O851,P$14,P$11,P$12)</f>
        <v>43889</v>
      </c>
      <c r="Q851" s="98">
        <f ca="1"/>
        <v>1.22439547171432E-3</v>
      </c>
      <c r="R851" s="5" t="s">
        <v>4</v>
      </c>
      <c r="S851" s="100">
        <f ca="1">_xll.meDateFromTenor(S850,"1D","FOLLOWING",T$12)</f>
        <v>43706</v>
      </c>
      <c r="T851" s="13">
        <f ca="1">_xll.meDateFromTenor(S851,T$14,T$11,T$12)</f>
        <v>44074</v>
      </c>
      <c r="U851" s="98">
        <f ca="1"/>
        <v>3.2600621612074248E-3</v>
      </c>
      <c r="V851" s="5" t="s">
        <v>4</v>
      </c>
      <c r="W851" s="84" t="s">
        <v>4</v>
      </c>
    </row>
    <row r="852" spans="1:23" x14ac:dyDescent="0.25">
      <c r="A852" s="90">
        <v>833</v>
      </c>
      <c r="B852" s="83"/>
      <c r="C852" s="100">
        <f ca="1">_xll.meDateFromTenor(C851,"1D","FOLLOWING",D$12)</f>
        <v>43707</v>
      </c>
      <c r="D852" s="13">
        <f ca="1">_xll.meDateFromTenor(C852,D$14,D$11,D$12)</f>
        <v>43710</v>
      </c>
      <c r="E852" s="98">
        <f ca="1"/>
        <v>-2.568328900673942E-3</v>
      </c>
      <c r="F852" s="94"/>
      <c r="G852" s="100">
        <f ca="1">_xll.meDateFromTenor(G851,"1D","FOLLOWING",H$12)</f>
        <v>43707</v>
      </c>
      <c r="H852" s="13">
        <f ca="1">_xll.meDateFromTenor(G852,H$14,H$11,H$12)</f>
        <v>43738</v>
      </c>
      <c r="I852" s="98">
        <f ca="1"/>
        <v>-1.8431285083532224E-3</v>
      </c>
      <c r="J852" s="94" t="s">
        <v>4</v>
      </c>
      <c r="K852" s="100">
        <f ca="1">_xll.meDateFromTenor(K851,"1D","FOLLOWING",L$12)</f>
        <v>43707</v>
      </c>
      <c r="L852" s="13">
        <f ca="1">_xll.meDateFromTenor(K852,L$14,L$11,L$12)</f>
        <v>43798</v>
      </c>
      <c r="M852" s="98">
        <f ca="1"/>
        <v>-5.1128579527131321E-4</v>
      </c>
      <c r="N852" s="5" t="s">
        <v>4</v>
      </c>
      <c r="O852" s="100">
        <f ca="1">_xll.meDateFromTenor(O851,"1D","FOLLOWING",P$12)</f>
        <v>43707</v>
      </c>
      <c r="P852" s="13">
        <f ca="1">_xll.meDateFromTenor(O852,P$14,P$11,P$12)</f>
        <v>43889</v>
      </c>
      <c r="Q852" s="98">
        <f ca="1"/>
        <v>1.2303030153314935E-3</v>
      </c>
      <c r="R852" s="5" t="s">
        <v>4</v>
      </c>
      <c r="S852" s="100">
        <f ca="1">_xll.meDateFromTenor(S851,"1D","FOLLOWING",T$12)</f>
        <v>43707</v>
      </c>
      <c r="T852" s="13">
        <f ca="1">_xll.meDateFromTenor(S852,T$14,T$11,T$12)</f>
        <v>44074</v>
      </c>
      <c r="U852" s="98">
        <f ca="1"/>
        <v>3.2655606818430731E-3</v>
      </c>
      <c r="V852" s="5" t="s">
        <v>4</v>
      </c>
      <c r="W852" s="84" t="s">
        <v>4</v>
      </c>
    </row>
    <row r="853" spans="1:23" x14ac:dyDescent="0.25">
      <c r="A853" s="90">
        <v>834</v>
      </c>
      <c r="B853" s="83"/>
      <c r="C853" s="100">
        <f ca="1">_xll.meDateFromTenor(C852,"1D","FOLLOWING",D$12)</f>
        <v>43710</v>
      </c>
      <c r="D853" s="13">
        <f ca="1">_xll.meDateFromTenor(C853,D$14,D$11,D$12)</f>
        <v>43711</v>
      </c>
      <c r="E853" s="98">
        <f ca="1"/>
        <v>-2.558691517862153E-3</v>
      </c>
      <c r="F853" s="94"/>
      <c r="G853" s="100">
        <f ca="1">_xll.meDateFromTenor(G852,"1D","FOLLOWING",H$12)</f>
        <v>43710</v>
      </c>
      <c r="H853" s="13">
        <f ca="1">_xll.meDateFromTenor(G853,H$14,H$11,H$12)</f>
        <v>43740</v>
      </c>
      <c r="I853" s="98">
        <f ca="1"/>
        <v>-1.8277705894276016E-3</v>
      </c>
      <c r="J853" s="94" t="s">
        <v>4</v>
      </c>
      <c r="K853" s="100">
        <f ca="1">_xll.meDateFromTenor(K852,"1D","FOLLOWING",L$12)</f>
        <v>43710</v>
      </c>
      <c r="L853" s="13">
        <f ca="1">_xll.meDateFromTenor(K853,L$14,L$11,L$12)</f>
        <v>43801</v>
      </c>
      <c r="M853" s="98">
        <f ca="1"/>
        <v>-4.9957440277406293E-4</v>
      </c>
      <c r="N853" s="5" t="s">
        <v>4</v>
      </c>
      <c r="O853" s="100">
        <f ca="1">_xll.meDateFromTenor(O852,"1D","FOLLOWING",P$12)</f>
        <v>43710</v>
      </c>
      <c r="P853" s="13">
        <f ca="1">_xll.meDateFromTenor(O853,P$14,P$11,P$12)</f>
        <v>43892</v>
      </c>
      <c r="Q853" s="98">
        <f ca="1"/>
        <v>1.2480241256366468E-3</v>
      </c>
      <c r="R853" s="5" t="s">
        <v>4</v>
      </c>
      <c r="S853" s="100">
        <f ca="1">_xll.meDateFromTenor(S852,"1D","FOLLOWING",T$12)</f>
        <v>43710</v>
      </c>
      <c r="T853" s="13">
        <f ca="1">_xll.meDateFromTenor(S853,T$14,T$11,T$12)</f>
        <v>44076</v>
      </c>
      <c r="U853" s="98">
        <f ca="1"/>
        <v>3.2820538142685329E-3</v>
      </c>
      <c r="V853" s="5" t="s">
        <v>4</v>
      </c>
      <c r="W853" s="84" t="s">
        <v>4</v>
      </c>
    </row>
    <row r="854" spans="1:23" x14ac:dyDescent="0.25">
      <c r="A854" s="90">
        <v>835</v>
      </c>
      <c r="B854" s="83"/>
      <c r="C854" s="100">
        <f ca="1">_xll.meDateFromTenor(C853,"1D","FOLLOWING",D$12)</f>
        <v>43711</v>
      </c>
      <c r="D854" s="13">
        <f ca="1">_xll.meDateFromTenor(C854,D$14,D$11,D$12)</f>
        <v>43712</v>
      </c>
      <c r="E854" s="98">
        <f ca="1"/>
        <v>-2.5538644245370981E-3</v>
      </c>
      <c r="F854" s="94"/>
      <c r="G854" s="100">
        <f ca="1">_xll.meDateFromTenor(G853,"1D","FOLLOWING",H$12)</f>
        <v>43711</v>
      </c>
      <c r="H854" s="13">
        <f ca="1">_xll.meDateFromTenor(G854,H$14,H$11,H$12)</f>
        <v>43741</v>
      </c>
      <c r="I854" s="98">
        <f ca="1"/>
        <v>-1.822576445387784E-3</v>
      </c>
      <c r="J854" s="94" t="s">
        <v>4</v>
      </c>
      <c r="K854" s="100">
        <f ca="1">_xll.meDateFromTenor(K853,"1D","FOLLOWING",L$12)</f>
        <v>43711</v>
      </c>
      <c r="L854" s="13">
        <f ca="1">_xll.meDateFromTenor(K854,L$14,L$11,L$12)</f>
        <v>43802</v>
      </c>
      <c r="M854" s="98">
        <f ca="1"/>
        <v>-4.9564894704810054E-4</v>
      </c>
      <c r="N854" s="5" t="s">
        <v>4</v>
      </c>
      <c r="O854" s="100">
        <f ca="1">_xll.meDateFromTenor(O853,"1D","FOLLOWING",P$12)</f>
        <v>43711</v>
      </c>
      <c r="P854" s="13">
        <f ca="1">_xll.meDateFromTenor(O854,P$14,P$11,P$12)</f>
        <v>43893</v>
      </c>
      <c r="Q854" s="98">
        <f ca="1"/>
        <v>1.253930654322635E-3</v>
      </c>
      <c r="R854" s="5" t="s">
        <v>4</v>
      </c>
      <c r="S854" s="100">
        <f ca="1">_xll.meDateFromTenor(S853,"1D","FOLLOWING",T$12)</f>
        <v>43711</v>
      </c>
      <c r="T854" s="13">
        <f ca="1">_xll.meDateFromTenor(S854,T$14,T$11,T$12)</f>
        <v>44077</v>
      </c>
      <c r="U854" s="98">
        <f ca="1"/>
        <v>3.2875507926809168E-3</v>
      </c>
      <c r="V854" s="5" t="s">
        <v>4</v>
      </c>
      <c r="W854" s="84" t="s">
        <v>4</v>
      </c>
    </row>
    <row r="855" spans="1:23" x14ac:dyDescent="0.25">
      <c r="A855" s="90">
        <v>836</v>
      </c>
      <c r="B855" s="83"/>
      <c r="C855" s="100">
        <f ca="1">_xll.meDateFromTenor(C854,"1D","FOLLOWING",D$12)</f>
        <v>43712</v>
      </c>
      <c r="D855" s="13">
        <f ca="1">_xll.meDateFromTenor(C855,D$14,D$11,D$12)</f>
        <v>43713</v>
      </c>
      <c r="E855" s="98">
        <f ca="1"/>
        <v>-2.5490364734581752E-3</v>
      </c>
      <c r="F855" s="94"/>
      <c r="G855" s="100">
        <f ca="1">_xll.meDateFromTenor(G854,"1D","FOLLOWING",H$12)</f>
        <v>43712</v>
      </c>
      <c r="H855" s="13">
        <f ca="1">_xll.meDateFromTenor(G855,H$14,H$11,H$12)</f>
        <v>43742</v>
      </c>
      <c r="I855" s="98">
        <f ca="1"/>
        <v>-1.8173464719920857E-3</v>
      </c>
      <c r="J855" s="94" t="s">
        <v>4</v>
      </c>
      <c r="K855" s="100">
        <f ca="1">_xll.meDateFromTenor(K854,"1D","FOLLOWING",L$12)</f>
        <v>43712</v>
      </c>
      <c r="L855" s="13">
        <f ca="1">_xll.meDateFromTenor(K855,L$14,L$11,L$12)</f>
        <v>43803</v>
      </c>
      <c r="M855" s="98">
        <f ca="1"/>
        <v>-4.9171266054385263E-4</v>
      </c>
      <c r="N855" s="5" t="s">
        <v>4</v>
      </c>
      <c r="O855" s="100">
        <f ca="1">_xll.meDateFromTenor(O854,"1D","FOLLOWING",P$12)</f>
        <v>43712</v>
      </c>
      <c r="P855" s="13">
        <f ca="1">_xll.meDateFromTenor(O855,P$14,P$11,P$12)</f>
        <v>43894</v>
      </c>
      <c r="Q855" s="98">
        <f ca="1"/>
        <v>1.2598369283506215E-3</v>
      </c>
      <c r="R855" s="5" t="s">
        <v>4</v>
      </c>
      <c r="S855" s="100">
        <f ca="1">_xll.meDateFromTenor(S854,"1D","FOLLOWING",T$12)</f>
        <v>43712</v>
      </c>
      <c r="T855" s="13">
        <f ca="1">_xll.meDateFromTenor(S855,T$14,T$11,T$12)</f>
        <v>44078</v>
      </c>
      <c r="U855" s="98">
        <f ca="1"/>
        <v>3.2930474436107787E-3</v>
      </c>
      <c r="V855" s="5" t="s">
        <v>4</v>
      </c>
      <c r="W855" s="84" t="s">
        <v>4</v>
      </c>
    </row>
    <row r="856" spans="1:23" x14ac:dyDescent="0.25">
      <c r="A856" s="90">
        <v>837</v>
      </c>
      <c r="B856" s="83"/>
      <c r="C856" s="100">
        <f ca="1">_xll.meDateFromTenor(C855,"1D","FOLLOWING",D$12)</f>
        <v>43713</v>
      </c>
      <c r="D856" s="13">
        <f ca="1">_xll.meDateFromTenor(C856,D$14,D$11,D$12)</f>
        <v>43714</v>
      </c>
      <c r="E856" s="98">
        <f ca="1"/>
        <v>-2.5442076643452014E-3</v>
      </c>
      <c r="F856" s="94"/>
      <c r="G856" s="100">
        <f ca="1">_xll.meDateFromTenor(G855,"1D","FOLLOWING",H$12)</f>
        <v>43713</v>
      </c>
      <c r="H856" s="13">
        <f ca="1">_xll.meDateFromTenor(G856,H$14,H$11,H$12)</f>
        <v>43745</v>
      </c>
      <c r="I856" s="98">
        <f ca="1"/>
        <v>-1.8120834777278082E-3</v>
      </c>
      <c r="J856" s="94" t="s">
        <v>4</v>
      </c>
      <c r="K856" s="100">
        <f ca="1">_xll.meDateFromTenor(K855,"1D","FOLLOWING",L$12)</f>
        <v>43713</v>
      </c>
      <c r="L856" s="13">
        <f ca="1">_xll.meDateFromTenor(K856,L$14,L$11,L$12)</f>
        <v>43804</v>
      </c>
      <c r="M856" s="98">
        <f ca="1"/>
        <v>-4.877655346770776E-4</v>
      </c>
      <c r="N856" s="5" t="s">
        <v>4</v>
      </c>
      <c r="O856" s="100">
        <f ca="1">_xll.meDateFromTenor(O855,"1D","FOLLOWING",P$12)</f>
        <v>43713</v>
      </c>
      <c r="P856" s="13">
        <f ca="1">_xll.meDateFromTenor(O856,P$14,P$11,P$12)</f>
        <v>43895</v>
      </c>
      <c r="Q856" s="98">
        <f ca="1"/>
        <v>1.2657429473505247E-3</v>
      </c>
      <c r="R856" s="5" t="s">
        <v>4</v>
      </c>
      <c r="S856" s="100">
        <f ca="1">_xll.meDateFromTenor(S855,"1D","FOLLOWING",T$12)</f>
        <v>43713</v>
      </c>
      <c r="T856" s="13">
        <f ca="1">_xll.meDateFromTenor(S856,T$14,T$11,T$12)</f>
        <v>44081</v>
      </c>
      <c r="U856" s="98">
        <f ca="1"/>
        <v>3.2985437902874355E-3</v>
      </c>
      <c r="V856" s="5" t="s">
        <v>4</v>
      </c>
      <c r="W856" s="84" t="s">
        <v>4</v>
      </c>
    </row>
    <row r="857" spans="1:23" x14ac:dyDescent="0.25">
      <c r="A857" s="90">
        <v>838</v>
      </c>
      <c r="B857" s="83"/>
      <c r="C857" s="100">
        <f ca="1">_xll.meDateFromTenor(C856,"1D","FOLLOWING",D$12)</f>
        <v>43714</v>
      </c>
      <c r="D857" s="13">
        <f ca="1">_xll.meDateFromTenor(C857,D$14,D$11,D$12)</f>
        <v>43717</v>
      </c>
      <c r="E857" s="98">
        <f ca="1"/>
        <v>-2.5345293406431415E-3</v>
      </c>
      <c r="F857" s="94"/>
      <c r="G857" s="100">
        <f ca="1">_xll.meDateFromTenor(G856,"1D","FOLLOWING",H$12)</f>
        <v>43714</v>
      </c>
      <c r="H857" s="13">
        <f ca="1">_xll.meDateFromTenor(G857,H$14,H$11,H$12)</f>
        <v>43745</v>
      </c>
      <c r="I857" s="98">
        <f ca="1"/>
        <v>-1.806790271082254E-3</v>
      </c>
      <c r="J857" s="94" t="s">
        <v>4</v>
      </c>
      <c r="K857" s="100">
        <f ca="1">_xll.meDateFromTenor(K856,"1D","FOLLOWING",L$12)</f>
        <v>43714</v>
      </c>
      <c r="L857" s="13">
        <f ca="1">_xll.meDateFromTenor(K857,L$14,L$11,L$12)</f>
        <v>43805</v>
      </c>
      <c r="M857" s="98">
        <f ca="1"/>
        <v>-4.8380756086353443E-4</v>
      </c>
      <c r="N857" s="5" t="s">
        <v>4</v>
      </c>
      <c r="O857" s="100">
        <f ca="1">_xll.meDateFromTenor(O856,"1D","FOLLOWING",P$12)</f>
        <v>43714</v>
      </c>
      <c r="P857" s="13">
        <f ca="1">_xll.meDateFromTenor(O857,P$14,P$11,P$12)</f>
        <v>43896</v>
      </c>
      <c r="Q857" s="98">
        <f ca="1"/>
        <v>1.2716487109522617E-3</v>
      </c>
      <c r="R857" s="5" t="s">
        <v>4</v>
      </c>
      <c r="S857" s="100">
        <f ca="1">_xll.meDateFromTenor(S856,"1D","FOLLOWING",T$12)</f>
        <v>43714</v>
      </c>
      <c r="T857" s="13">
        <f ca="1">_xll.meDateFromTenor(S857,T$14,T$11,T$12)</f>
        <v>44081</v>
      </c>
      <c r="U857" s="98">
        <f ca="1"/>
        <v>3.3040398559402049E-3</v>
      </c>
      <c r="V857" s="5" t="s">
        <v>4</v>
      </c>
      <c r="W857" s="84" t="s">
        <v>4</v>
      </c>
    </row>
    <row r="858" spans="1:23" x14ac:dyDescent="0.25">
      <c r="A858" s="90">
        <v>839</v>
      </c>
      <c r="B858" s="83"/>
      <c r="C858" s="100">
        <f ca="1">_xll.meDateFromTenor(C857,"1D","FOLLOWING",D$12)</f>
        <v>43717</v>
      </c>
      <c r="D858" s="13">
        <f ca="1">_xll.meDateFromTenor(C858,D$14,D$11,D$12)</f>
        <v>43718</v>
      </c>
      <c r="E858" s="98">
        <f ca="1"/>
        <v>-2.5248838435620959E-3</v>
      </c>
      <c r="F858" s="94"/>
      <c r="G858" s="100">
        <f ca="1">_xll.meDateFromTenor(G857,"1D","FOLLOWING",H$12)</f>
        <v>43717</v>
      </c>
      <c r="H858" s="13">
        <f ca="1">_xll.meDateFromTenor(G858,H$14,H$11,H$12)</f>
        <v>43747</v>
      </c>
      <c r="I858" s="98">
        <f ca="1"/>
        <v>-1.7907574617309437E-3</v>
      </c>
      <c r="J858" s="94" t="s">
        <v>4</v>
      </c>
      <c r="K858" s="100">
        <f ca="1">_xll.meDateFromTenor(K857,"1D","FOLLOWING",L$12)</f>
        <v>43717</v>
      </c>
      <c r="L858" s="13">
        <f ca="1">_xll.meDateFromTenor(K858,L$14,L$11,L$12)</f>
        <v>43808</v>
      </c>
      <c r="M858" s="98">
        <f ca="1"/>
        <v>-4.7186846589987463E-4</v>
      </c>
      <c r="N858" s="5" t="s">
        <v>4</v>
      </c>
      <c r="O858" s="100">
        <f ca="1">_xll.meDateFromTenor(O857,"1D","FOLLOWING",P$12)</f>
        <v>43717</v>
      </c>
      <c r="P858" s="13">
        <f ca="1">_xll.meDateFromTenor(O858,P$14,P$11,P$12)</f>
        <v>43899</v>
      </c>
      <c r="Q858" s="98">
        <f ca="1"/>
        <v>1.2893644656676614E-3</v>
      </c>
      <c r="R858" s="5" t="s">
        <v>4</v>
      </c>
      <c r="S858" s="100">
        <f ca="1">_xll.meDateFromTenor(S857,"1D","FOLLOWING",T$12)</f>
        <v>43717</v>
      </c>
      <c r="T858" s="13">
        <f ca="1">_xll.meDateFromTenor(S858,T$14,T$11,T$12)</f>
        <v>44083</v>
      </c>
      <c r="U858" s="98">
        <f ca="1"/>
        <v>3.3205265990483728E-3</v>
      </c>
      <c r="V858" s="5" t="s">
        <v>4</v>
      </c>
      <c r="W858" s="84" t="s">
        <v>4</v>
      </c>
    </row>
    <row r="859" spans="1:23" x14ac:dyDescent="0.25">
      <c r="A859" s="90">
        <v>840</v>
      </c>
      <c r="B859" s="83"/>
      <c r="C859" s="100">
        <f ca="1">_xll.meDateFromTenor(C858,"1D","FOLLOWING",D$12)</f>
        <v>43718</v>
      </c>
      <c r="D859" s="13">
        <f ca="1">_xll.meDateFromTenor(C859,D$14,D$11,D$12)</f>
        <v>43719</v>
      </c>
      <c r="E859" s="98">
        <f ca="1"/>
        <v>-2.5200507414835462E-3</v>
      </c>
      <c r="F859" s="94"/>
      <c r="G859" s="100">
        <f ca="1">_xll.meDateFromTenor(G858,"1D","FOLLOWING",H$12)</f>
        <v>43718</v>
      </c>
      <c r="H859" s="13">
        <f ca="1">_xll.meDateFromTenor(G859,H$14,H$11,H$12)</f>
        <v>43748</v>
      </c>
      <c r="I859" s="98">
        <f ca="1"/>
        <v>-1.7853714904332966E-3</v>
      </c>
      <c r="J859" s="94" t="s">
        <v>4</v>
      </c>
      <c r="K859" s="100">
        <f ca="1">_xll.meDateFromTenor(K858,"1D","FOLLOWING",L$12)</f>
        <v>43718</v>
      </c>
      <c r="L859" s="13">
        <f ca="1">_xll.meDateFromTenor(K859,L$14,L$11,L$12)</f>
        <v>43809</v>
      </c>
      <c r="M859" s="98">
        <f ca="1"/>
        <v>-4.6786701445683938E-4</v>
      </c>
      <c r="N859" s="5" t="s">
        <v>4</v>
      </c>
      <c r="O859" s="100">
        <f ca="1">_xll.meDateFromTenor(O858,"1D","FOLLOWING",P$12)</f>
        <v>43718</v>
      </c>
      <c r="P859" s="13">
        <f ca="1">_xll.meDateFromTenor(O859,P$14,P$11,P$12)</f>
        <v>43900</v>
      </c>
      <c r="Q859" s="98">
        <f ca="1"/>
        <v>1.2952692039759173E-3</v>
      </c>
      <c r="R859" s="5" t="s">
        <v>4</v>
      </c>
      <c r="S859" s="100">
        <f ca="1">_xll.meDateFromTenor(S858,"1D","FOLLOWING",T$12)</f>
        <v>43718</v>
      </c>
      <c r="T859" s="13">
        <f ca="1">_xll.meDateFromTenor(S859,T$14,T$11,T$12)</f>
        <v>44084</v>
      </c>
      <c r="U859" s="98">
        <f ca="1"/>
        <v>3.3260217728987747E-3</v>
      </c>
      <c r="V859" s="5" t="s">
        <v>4</v>
      </c>
      <c r="W859" s="84" t="s">
        <v>4</v>
      </c>
    </row>
    <row r="860" spans="1:23" x14ac:dyDescent="0.25">
      <c r="A860" s="90">
        <v>841</v>
      </c>
      <c r="B860" s="83"/>
      <c r="C860" s="100">
        <f ca="1">_xll.meDateFromTenor(C859,"1D","FOLLOWING",D$12)</f>
        <v>43719</v>
      </c>
      <c r="D860" s="13">
        <f ca="1">_xll.meDateFromTenor(C860,D$14,D$11,D$12)</f>
        <v>43720</v>
      </c>
      <c r="E860" s="98">
        <f ca="1"/>
        <v>-2.5152167804520877E-3</v>
      </c>
      <c r="F860" s="94"/>
      <c r="G860" s="100">
        <f ca="1">_xll.meDateFromTenor(G859,"1D","FOLLOWING",H$12)</f>
        <v>43719</v>
      </c>
      <c r="H860" s="13">
        <f ca="1">_xll.meDateFromTenor(G860,H$14,H$11,H$12)</f>
        <v>43749</v>
      </c>
      <c r="I860" s="98">
        <f ca="1"/>
        <v>-1.779969349190881E-3</v>
      </c>
      <c r="J860" s="94" t="s">
        <v>4</v>
      </c>
      <c r="K860" s="100">
        <f ca="1">_xll.meDateFromTenor(K859,"1D","FOLLOWING",L$12)</f>
        <v>43719</v>
      </c>
      <c r="L860" s="13">
        <f ca="1">_xll.meDateFromTenor(K860,L$14,L$11,L$12)</f>
        <v>43810</v>
      </c>
      <c r="M860" s="98">
        <f ca="1"/>
        <v>-4.638546721458272E-4</v>
      </c>
      <c r="N860" s="5" t="s">
        <v>4</v>
      </c>
      <c r="O860" s="100">
        <f ca="1">_xll.meDateFromTenor(O859,"1D","FOLLOWING",P$12)</f>
        <v>43719</v>
      </c>
      <c r="P860" s="13">
        <f ca="1">_xll.meDateFromTenor(O860,P$14,P$11,P$12)</f>
        <v>43901</v>
      </c>
      <c r="Q860" s="98">
        <f ca="1"/>
        <v>1.3011736850355982E-3</v>
      </c>
      <c r="R860" s="5" t="s">
        <v>4</v>
      </c>
      <c r="S860" s="100">
        <f ca="1">_xll.meDateFromTenor(S859,"1D","FOLLOWING",T$12)</f>
        <v>43719</v>
      </c>
      <c r="T860" s="13">
        <f ca="1">_xll.meDateFromTenor(S860,T$14,T$11,T$12)</f>
        <v>44085</v>
      </c>
      <c r="U860" s="98">
        <f ca="1"/>
        <v>3.3315167818718772E-3</v>
      </c>
      <c r="V860" s="5" t="s">
        <v>4</v>
      </c>
      <c r="W860" s="84" t="s">
        <v>4</v>
      </c>
    </row>
    <row r="861" spans="1:23" x14ac:dyDescent="0.25">
      <c r="A861" s="90">
        <v>842</v>
      </c>
      <c r="B861" s="83"/>
      <c r="C861" s="100">
        <f ca="1">_xll.meDateFromTenor(C860,"1D","FOLLOWING",D$12)</f>
        <v>43720</v>
      </c>
      <c r="D861" s="13">
        <f ca="1">_xll.meDateFromTenor(C861,D$14,D$11,D$12)</f>
        <v>43721</v>
      </c>
      <c r="E861" s="98">
        <f ca="1"/>
        <v>-2.510381959908168E-3</v>
      </c>
      <c r="F861" s="94"/>
      <c r="G861" s="100">
        <f ca="1">_xll.meDateFromTenor(G860,"1D","FOLLOWING",H$12)</f>
        <v>43720</v>
      </c>
      <c r="H861" s="13">
        <f ca="1">_xll.meDateFromTenor(G861,H$14,H$11,H$12)</f>
        <v>43752</v>
      </c>
      <c r="I861" s="98">
        <f ca="1"/>
        <v>-1.7745538464909983E-3</v>
      </c>
      <c r="J861" s="94" t="s">
        <v>4</v>
      </c>
      <c r="K861" s="100">
        <f ca="1">_xll.meDateFromTenor(K860,"1D","FOLLOWING",L$12)</f>
        <v>43720</v>
      </c>
      <c r="L861" s="13">
        <f ca="1">_xll.meDateFromTenor(K861,L$14,L$11,L$12)</f>
        <v>43811</v>
      </c>
      <c r="M861" s="98">
        <f ca="1"/>
        <v>-4.5983143038259649E-4</v>
      </c>
      <c r="N861" s="5" t="s">
        <v>4</v>
      </c>
      <c r="O861" s="100">
        <f ca="1">_xll.meDateFromTenor(O860,"1D","FOLLOWING",P$12)</f>
        <v>43720</v>
      </c>
      <c r="P861" s="13">
        <f ca="1">_xll.meDateFromTenor(O861,P$14,P$11,P$12)</f>
        <v>43902</v>
      </c>
      <c r="Q861" s="98">
        <f ca="1"/>
        <v>1.3070779084766221E-3</v>
      </c>
      <c r="R861" s="5" t="s">
        <v>4</v>
      </c>
      <c r="S861" s="100">
        <f ca="1">_xll.meDateFromTenor(S860,"1D","FOLLOWING",T$12)</f>
        <v>43720</v>
      </c>
      <c r="T861" s="13">
        <f ca="1">_xll.meDateFromTenor(S861,T$14,T$11,T$12)</f>
        <v>44088</v>
      </c>
      <c r="U861" s="98">
        <f ca="1"/>
        <v>3.3370116491970008E-3</v>
      </c>
      <c r="V861" s="5" t="s">
        <v>4</v>
      </c>
      <c r="W861" s="84" t="s">
        <v>4</v>
      </c>
    </row>
    <row r="862" spans="1:23" x14ac:dyDescent="0.25">
      <c r="A862" s="90">
        <v>843</v>
      </c>
      <c r="B862" s="83"/>
      <c r="C862" s="100">
        <f ca="1">_xll.meDateFromTenor(C861,"1D","FOLLOWING",D$12)</f>
        <v>43721</v>
      </c>
      <c r="D862" s="13">
        <f ca="1">_xll.meDateFromTenor(C862,D$14,D$11,D$12)</f>
        <v>43724</v>
      </c>
      <c r="E862" s="98">
        <f ca="1"/>
        <v>-2.5006920833670152E-3</v>
      </c>
      <c r="F862" s="94"/>
      <c r="G862" s="100">
        <f ca="1">_xll.meDateFromTenor(G861,"1D","FOLLOWING",H$12)</f>
        <v>43721</v>
      </c>
      <c r="H862" s="13">
        <f ca="1">_xll.meDateFromTenor(G862,H$14,H$11,H$12)</f>
        <v>43752</v>
      </c>
      <c r="I862" s="98">
        <f ca="1"/>
        <v>-1.7691277908209505E-3</v>
      </c>
      <c r="J862" s="94" t="s">
        <v>4</v>
      </c>
      <c r="K862" s="100">
        <f ca="1">_xll.meDateFromTenor(K861,"1D","FOLLOWING",L$12)</f>
        <v>43721</v>
      </c>
      <c r="L862" s="13">
        <f ca="1">_xll.meDateFromTenor(K862,L$14,L$11,L$12)</f>
        <v>43812</v>
      </c>
      <c r="M862" s="98">
        <f ca="1"/>
        <v>-4.5579728058290546E-4</v>
      </c>
      <c r="N862" s="5" t="s">
        <v>4</v>
      </c>
      <c r="O862" s="100">
        <f ca="1">_xll.meDateFromTenor(O861,"1D","FOLLOWING",P$12)</f>
        <v>43721</v>
      </c>
      <c r="P862" s="13">
        <f ca="1">_xll.meDateFromTenor(O862,P$14,P$11,P$12)</f>
        <v>43903</v>
      </c>
      <c r="Q862" s="98">
        <f ca="1"/>
        <v>1.3129818739289066E-3</v>
      </c>
      <c r="R862" s="5" t="s">
        <v>4</v>
      </c>
      <c r="S862" s="100">
        <f ca="1">_xll.meDateFromTenor(S861,"1D","FOLLOWING",T$12)</f>
        <v>43721</v>
      </c>
      <c r="T862" s="13">
        <f ca="1">_xll.meDateFromTenor(S862,T$14,T$11,T$12)</f>
        <v>44088</v>
      </c>
      <c r="U862" s="98">
        <f ca="1"/>
        <v>3.3425063981034611E-3</v>
      </c>
      <c r="V862" s="5" t="s">
        <v>4</v>
      </c>
      <c r="W862" s="84" t="s">
        <v>4</v>
      </c>
    </row>
    <row r="863" spans="1:23" x14ac:dyDescent="0.25">
      <c r="A863" s="90">
        <v>844</v>
      </c>
      <c r="B863" s="83"/>
      <c r="C863" s="100">
        <f ca="1">_xll.meDateFromTenor(C862,"1D","FOLLOWING",D$12)</f>
        <v>43724</v>
      </c>
      <c r="D863" s="13">
        <f ca="1">_xll.meDateFromTenor(C863,D$14,D$11,D$12)</f>
        <v>43725</v>
      </c>
      <c r="E863" s="98">
        <f ca="1"/>
        <v>-2.4910340825279407E-3</v>
      </c>
      <c r="F863" s="94"/>
      <c r="G863" s="100">
        <f ca="1">_xll.meDateFromTenor(G862,"1D","FOLLOWING",H$12)</f>
        <v>43724</v>
      </c>
      <c r="H863" s="13">
        <f ca="1">_xll.meDateFromTenor(G863,H$14,H$11,H$12)</f>
        <v>43754</v>
      </c>
      <c r="I863" s="98">
        <f ca="1"/>
        <v>-1.7528143908628335E-3</v>
      </c>
      <c r="J863" s="94" t="s">
        <v>4</v>
      </c>
      <c r="K863" s="100">
        <f ca="1">_xll.meDateFromTenor(K862,"1D","FOLLOWING",L$12)</f>
        <v>43724</v>
      </c>
      <c r="L863" s="13">
        <f ca="1">_xll.meDateFromTenor(K863,L$14,L$11,L$12)</f>
        <v>43815</v>
      </c>
      <c r="M863" s="98">
        <f ca="1"/>
        <v>-4.4362929712265565E-4</v>
      </c>
      <c r="N863" s="5" t="s">
        <v>4</v>
      </c>
      <c r="O863" s="100">
        <f ca="1">_xll.meDateFromTenor(O862,"1D","FOLLOWING",P$12)</f>
        <v>43724</v>
      </c>
      <c r="P863" s="13">
        <f ca="1">_xll.meDateFromTenor(O863,P$14,P$11,P$12)</f>
        <v>43906</v>
      </c>
      <c r="Q863" s="98">
        <f ca="1"/>
        <v>1.3306922186525044E-3</v>
      </c>
      <c r="R863" s="5" t="s">
        <v>4</v>
      </c>
      <c r="S863" s="100">
        <f ca="1">_xll.meDateFromTenor(S862,"1D","FOLLOWING",T$12)</f>
        <v>43724</v>
      </c>
      <c r="T863" s="13">
        <f ca="1">_xll.meDateFromTenor(S863,T$14,T$11,T$12)</f>
        <v>44090</v>
      </c>
      <c r="U863" s="98">
        <f ca="1"/>
        <v>3.3589901666040436E-3</v>
      </c>
      <c r="V863" s="5" t="s">
        <v>4</v>
      </c>
      <c r="W863" s="84" t="s">
        <v>4</v>
      </c>
    </row>
    <row r="864" spans="1:23" x14ac:dyDescent="0.25">
      <c r="A864" s="90">
        <v>845</v>
      </c>
      <c r="B864" s="83"/>
      <c r="C864" s="100">
        <f ca="1">_xll.meDateFromTenor(C863,"1D","FOLLOWING",D$12)</f>
        <v>43725</v>
      </c>
      <c r="D864" s="13">
        <f ca="1">_xll.meDateFromTenor(C864,D$14,D$11,D$12)</f>
        <v>43726</v>
      </c>
      <c r="E864" s="98">
        <f ca="1"/>
        <v>-2.4861949635424183E-3</v>
      </c>
      <c r="F864" s="94"/>
      <c r="G864" s="100">
        <f ca="1">_xll.meDateFromTenor(G863,"1D","FOLLOWING",H$12)</f>
        <v>43725</v>
      </c>
      <c r="H864" s="13">
        <f ca="1">_xll.meDateFromTenor(G864,H$14,H$11,H$12)</f>
        <v>43755</v>
      </c>
      <c r="I864" s="98">
        <f ca="1"/>
        <v>-1.7473742081851431E-3</v>
      </c>
      <c r="J864" s="94" t="s">
        <v>4</v>
      </c>
      <c r="K864" s="100">
        <f ca="1">_xll.meDateFromTenor(K863,"1D","FOLLOWING",L$12)</f>
        <v>43725</v>
      </c>
      <c r="L864" s="13">
        <f ca="1">_xll.meDateFromTenor(K864,L$14,L$11,L$12)</f>
        <v>43816</v>
      </c>
      <c r="M864" s="98">
        <f ca="1"/>
        <v>-4.3955142933470808E-4</v>
      </c>
      <c r="N864" s="5" t="s">
        <v>4</v>
      </c>
      <c r="O864" s="100">
        <f ca="1">_xll.meDateFromTenor(O863,"1D","FOLLOWING",P$12)</f>
        <v>43725</v>
      </c>
      <c r="P864" s="13">
        <f ca="1">_xll.meDateFromTenor(O864,P$14,P$11,P$12)</f>
        <v>43907</v>
      </c>
      <c r="Q864" s="98">
        <f ca="1"/>
        <v>1.3365951484490114E-3</v>
      </c>
      <c r="R864" s="5" t="s">
        <v>4</v>
      </c>
      <c r="S864" s="100">
        <f ca="1">_xll.meDateFromTenor(S863,"1D","FOLLOWING",T$12)</f>
        <v>43725</v>
      </c>
      <c r="T864" s="13">
        <f ca="1">_xll.meDateFromTenor(S864,T$14,T$11,T$12)</f>
        <v>44091</v>
      </c>
      <c r="U864" s="98">
        <f ca="1"/>
        <v>3.3644846741290296E-3</v>
      </c>
      <c r="V864" s="5" t="s">
        <v>4</v>
      </c>
      <c r="W864" s="84" t="s">
        <v>4</v>
      </c>
    </row>
    <row r="865" spans="1:23" x14ac:dyDescent="0.25">
      <c r="A865" s="90">
        <v>846</v>
      </c>
      <c r="B865" s="83"/>
      <c r="C865" s="100">
        <f ca="1">_xll.meDateFromTenor(C864,"1D","FOLLOWING",D$12)</f>
        <v>43726</v>
      </c>
      <c r="D865" s="13">
        <f ca="1">_xll.meDateFromTenor(C865,D$14,D$11,D$12)</f>
        <v>43727</v>
      </c>
      <c r="E865" s="98">
        <f ca="1"/>
        <v>-2.481354983965298E-3</v>
      </c>
      <c r="F865" s="94"/>
      <c r="G865" s="100">
        <f ca="1">_xll.meDateFromTenor(G864,"1D","FOLLOWING",H$12)</f>
        <v>43726</v>
      </c>
      <c r="H865" s="13">
        <f ca="1">_xll.meDateFromTenor(G865,H$14,H$11,H$12)</f>
        <v>43756</v>
      </c>
      <c r="I865" s="98">
        <f ca="1"/>
        <v>-1.7419375149737948E-3</v>
      </c>
      <c r="J865" s="94" t="s">
        <v>4</v>
      </c>
      <c r="K865" s="100">
        <f ca="1">_xll.meDateFromTenor(K864,"1D","FOLLOWING",L$12)</f>
        <v>43726</v>
      </c>
      <c r="L865" s="13">
        <f ca="1">_xll.meDateFromTenor(K865,L$14,L$11,L$12)</f>
        <v>43817</v>
      </c>
      <c r="M865" s="98">
        <f ca="1"/>
        <v>-4.3546261058909162E-4</v>
      </c>
      <c r="N865" s="5" t="s">
        <v>4</v>
      </c>
      <c r="O865" s="100">
        <f ca="1">_xll.meDateFromTenor(O864,"1D","FOLLOWING",P$12)</f>
        <v>43726</v>
      </c>
      <c r="P865" s="13">
        <f ca="1">_xll.meDateFromTenor(O865,P$14,P$11,P$12)</f>
        <v>43908</v>
      </c>
      <c r="Q865" s="98">
        <f ca="1"/>
        <v>1.3424978184063702E-3</v>
      </c>
      <c r="R865" s="5" t="s">
        <v>4</v>
      </c>
      <c r="S865" s="100">
        <f ca="1">_xll.meDateFromTenor(S864,"1D","FOLLOWING",T$12)</f>
        <v>43726</v>
      </c>
      <c r="T865" s="13">
        <f ca="1">_xll.meDateFromTenor(S865,T$14,T$11,T$12)</f>
        <v>44092</v>
      </c>
      <c r="U865" s="98">
        <f ca="1"/>
        <v>3.3699791793819433E-3</v>
      </c>
      <c r="V865" s="5" t="s">
        <v>4</v>
      </c>
      <c r="W865" s="84" t="s">
        <v>4</v>
      </c>
    </row>
    <row r="866" spans="1:23" x14ac:dyDescent="0.25">
      <c r="A866" s="90">
        <v>847</v>
      </c>
      <c r="B866" s="83"/>
      <c r="C866" s="100">
        <f ca="1">_xll.meDateFromTenor(C865,"1D","FOLLOWING",D$12)</f>
        <v>43727</v>
      </c>
      <c r="D866" s="13">
        <f ca="1">_xll.meDateFromTenor(C866,D$14,D$11,D$12)</f>
        <v>43728</v>
      </c>
      <c r="E866" s="98">
        <f ca="1"/>
        <v>-2.4765141441962599E-3</v>
      </c>
      <c r="F866" s="94"/>
      <c r="G866" s="100">
        <f ca="1">_xll.meDateFromTenor(G865,"1D","FOLLOWING",H$12)</f>
        <v>43727</v>
      </c>
      <c r="H866" s="13">
        <f ca="1">_xll.meDateFromTenor(G866,H$14,H$11,H$12)</f>
        <v>43759</v>
      </c>
      <c r="I866" s="98">
        <f ca="1"/>
        <v>-1.7365071197160916E-3</v>
      </c>
      <c r="J866" s="94" t="s">
        <v>4</v>
      </c>
      <c r="K866" s="100">
        <f ca="1">_xll.meDateFromTenor(K865,"1D","FOLLOWING",L$12)</f>
        <v>43727</v>
      </c>
      <c r="L866" s="13">
        <f ca="1">_xll.meDateFromTenor(K866,L$14,L$11,L$12)</f>
        <v>43818</v>
      </c>
      <c r="M866" s="98">
        <f ca="1"/>
        <v>-4.3136283230156504E-4</v>
      </c>
      <c r="N866" s="5" t="s">
        <v>4</v>
      </c>
      <c r="O866" s="100">
        <f ca="1">_xll.meDateFromTenor(O865,"1D","FOLLOWING",P$12)</f>
        <v>43727</v>
      </c>
      <c r="P866" s="13">
        <f ca="1">_xll.meDateFromTenor(O866,P$14,P$11,P$12)</f>
        <v>43909</v>
      </c>
      <c r="Q866" s="98">
        <f ca="1"/>
        <v>1.3484002281544979E-3</v>
      </c>
      <c r="R866" s="5" t="s">
        <v>4</v>
      </c>
      <c r="S866" s="100">
        <f ca="1">_xll.meDateFromTenor(S865,"1D","FOLLOWING",T$12)</f>
        <v>43727</v>
      </c>
      <c r="T866" s="13">
        <f ca="1">_xll.meDateFromTenor(S866,T$14,T$11,T$12)</f>
        <v>44095</v>
      </c>
      <c r="U866" s="98">
        <f ca="1"/>
        <v>3.3754737055921007E-3</v>
      </c>
      <c r="V866" s="5" t="s">
        <v>4</v>
      </c>
      <c r="W866" s="84" t="s">
        <v>4</v>
      </c>
    </row>
    <row r="867" spans="1:23" x14ac:dyDescent="0.25">
      <c r="A867" s="90">
        <v>848</v>
      </c>
      <c r="B867" s="83"/>
      <c r="C867" s="100">
        <f ca="1">_xll.meDateFromTenor(C866,"1D","FOLLOWING",D$12)</f>
        <v>43728</v>
      </c>
      <c r="D867" s="13">
        <f ca="1">_xll.meDateFromTenor(C867,D$14,D$11,D$12)</f>
        <v>43731</v>
      </c>
      <c r="E867" s="98">
        <f ca="1"/>
        <v>-2.4668126920746134E-3</v>
      </c>
      <c r="F867" s="94"/>
      <c r="G867" s="100">
        <f ca="1">_xll.meDateFromTenor(G866,"1D","FOLLOWING",H$12)</f>
        <v>43728</v>
      </c>
      <c r="H867" s="13">
        <f ca="1">_xll.meDateFromTenor(G867,H$14,H$11,H$12)</f>
        <v>43759</v>
      </c>
      <c r="I867" s="98">
        <f ca="1"/>
        <v>-1.7310858308993357E-3</v>
      </c>
      <c r="J867" s="94" t="s">
        <v>4</v>
      </c>
      <c r="K867" s="100">
        <f ca="1">_xll.meDateFromTenor(K866,"1D","FOLLOWING",L$12)</f>
        <v>43728</v>
      </c>
      <c r="L867" s="13">
        <f ca="1">_xll.meDateFromTenor(K867,L$14,L$11,L$12)</f>
        <v>43819</v>
      </c>
      <c r="M867" s="98">
        <f ca="1"/>
        <v>-4.2725208588788684E-4</v>
      </c>
      <c r="N867" s="5" t="s">
        <v>4</v>
      </c>
      <c r="O867" s="100">
        <f ca="1">_xll.meDateFromTenor(O866,"1D","FOLLOWING",P$12)</f>
        <v>43728</v>
      </c>
      <c r="P867" s="13">
        <f ca="1">_xll.meDateFromTenor(O867,P$14,P$11,P$12)</f>
        <v>43910</v>
      </c>
      <c r="Q867" s="98">
        <f ca="1"/>
        <v>1.3543023773233129E-3</v>
      </c>
      <c r="R867" s="5" t="s">
        <v>4</v>
      </c>
      <c r="S867" s="100">
        <f ca="1">_xll.meDateFromTenor(S866,"1D","FOLLOWING",T$12)</f>
        <v>43728</v>
      </c>
      <c r="T867" s="13">
        <f ca="1">_xll.meDateFromTenor(S867,T$14,T$11,T$12)</f>
        <v>44095</v>
      </c>
      <c r="U867" s="98">
        <f ca="1"/>
        <v>3.3809682759888193E-3</v>
      </c>
      <c r="V867" s="5" t="s">
        <v>4</v>
      </c>
      <c r="W867" s="84" t="s">
        <v>4</v>
      </c>
    </row>
    <row r="868" spans="1:23" x14ac:dyDescent="0.25">
      <c r="A868" s="90">
        <v>849</v>
      </c>
      <c r="B868" s="83"/>
      <c r="C868" s="100">
        <f ca="1">_xll.meDateFromTenor(C867,"1D","FOLLOWING",D$12)</f>
        <v>43731</v>
      </c>
      <c r="D868" s="13">
        <f ca="1">_xll.meDateFromTenor(C868,D$14,D$11,D$12)</f>
        <v>43732</v>
      </c>
      <c r="E868" s="98">
        <f ca="1"/>
        <v>-2.4571421769259503E-3</v>
      </c>
      <c r="F868" s="94"/>
      <c r="G868" s="100">
        <f ca="1">_xll.meDateFromTenor(G867,"1D","FOLLOWING",H$12)</f>
        <v>43731</v>
      </c>
      <c r="H868" s="13">
        <f ca="1">_xll.meDateFromTenor(G868,H$14,H$11,H$12)</f>
        <v>43761</v>
      </c>
      <c r="I868" s="98">
        <f ca="1"/>
        <v>-1.7149046879677658E-3</v>
      </c>
      <c r="J868" s="94" t="s">
        <v>4</v>
      </c>
      <c r="K868" s="100">
        <f ca="1">_xll.meDateFromTenor(K867,"1D","FOLLOWING",L$12)</f>
        <v>43731</v>
      </c>
      <c r="L868" s="13">
        <f ca="1">_xll.meDateFromTenor(K868,L$14,L$11,L$12)</f>
        <v>43822</v>
      </c>
      <c r="M868" s="98">
        <f ca="1"/>
        <v>-4.1485395204752601E-4</v>
      </c>
      <c r="N868" s="5" t="s">
        <v>4</v>
      </c>
      <c r="O868" s="100">
        <f ca="1">_xll.meDateFromTenor(O867,"1D","FOLLOWING",P$12)</f>
        <v>43731</v>
      </c>
      <c r="P868" s="13">
        <f ca="1">_xll.meDateFromTenor(O868,P$14,P$11,P$12)</f>
        <v>43913</v>
      </c>
      <c r="Q868" s="98">
        <f ca="1"/>
        <v>1.3720072576530597E-3</v>
      </c>
      <c r="R868" s="5" t="s">
        <v>4</v>
      </c>
      <c r="S868" s="100">
        <f ca="1">_xll.meDateFromTenor(S867,"1D","FOLLOWING",T$12)</f>
        <v>43731</v>
      </c>
      <c r="T868" s="13">
        <f ca="1">_xll.meDateFromTenor(S868,T$14,T$11,T$12)</f>
        <v>44097</v>
      </c>
      <c r="U868" s="98">
        <f ca="1"/>
        <v>3.3974524845915223E-3</v>
      </c>
      <c r="V868" s="5" t="s">
        <v>4</v>
      </c>
      <c r="W868" s="84" t="s">
        <v>4</v>
      </c>
    </row>
    <row r="869" spans="1:23" x14ac:dyDescent="0.25">
      <c r="A869" s="90">
        <v>850</v>
      </c>
      <c r="B869" s="83"/>
      <c r="C869" s="100">
        <f ca="1">_xll.meDateFromTenor(C868,"1D","FOLLOWING",D$12)</f>
        <v>43732</v>
      </c>
      <c r="D869" s="13">
        <f ca="1">_xll.meDateFromTenor(C869,D$14,D$11,D$12)</f>
        <v>43733</v>
      </c>
      <c r="E869" s="98">
        <f ca="1"/>
        <v>-2.4522970322804569E-3</v>
      </c>
      <c r="F869" s="94"/>
      <c r="G869" s="100">
        <f ca="1">_xll.meDateFromTenor(G868,"1D","FOLLOWING",H$12)</f>
        <v>43732</v>
      </c>
      <c r="H869" s="13">
        <f ca="1">_xll.meDateFromTenor(G869,H$14,H$11,H$12)</f>
        <v>43762</v>
      </c>
      <c r="I869" s="98">
        <f ca="1"/>
        <v>-1.7095479097878152E-3</v>
      </c>
      <c r="J869" s="94" t="s">
        <v>4</v>
      </c>
      <c r="K869" s="100">
        <f ca="1">_xll.meDateFromTenor(K868,"1D","FOLLOWING",L$12)</f>
        <v>43732</v>
      </c>
      <c r="L869" s="13">
        <f ca="1">_xll.meDateFromTenor(K869,L$14,L$11,L$12)</f>
        <v>43823</v>
      </c>
      <c r="M869" s="98">
        <f ca="1"/>
        <v>-4.1069924728682556E-4</v>
      </c>
      <c r="N869" s="5" t="s">
        <v>4</v>
      </c>
      <c r="O869" s="100">
        <f ca="1">_xll.meDateFromTenor(O868,"1D","FOLLOWING",P$12)</f>
        <v>43732</v>
      </c>
      <c r="P869" s="13">
        <f ca="1">_xll.meDateFromTenor(O869,P$14,P$11,P$12)</f>
        <v>43914</v>
      </c>
      <c r="Q869" s="98">
        <f ca="1"/>
        <v>1.3779083608038017E-3</v>
      </c>
      <c r="R869" s="5" t="s">
        <v>4</v>
      </c>
      <c r="S869" s="100">
        <f ca="1">_xll.meDateFromTenor(S868,"1D","FOLLOWING",T$12)</f>
        <v>43732</v>
      </c>
      <c r="T869" s="13">
        <f ca="1">_xll.meDateFromTenor(S869,T$14,T$11,T$12)</f>
        <v>44098</v>
      </c>
      <c r="U869" s="98">
        <f ca="1"/>
        <v>3.4029474640276634E-3</v>
      </c>
      <c r="V869" s="5" t="s">
        <v>4</v>
      </c>
      <c r="W869" s="84" t="s">
        <v>4</v>
      </c>
    </row>
    <row r="870" spans="1:23" x14ac:dyDescent="0.25">
      <c r="A870" s="90">
        <v>851</v>
      </c>
      <c r="B870" s="83"/>
      <c r="C870" s="100">
        <f ca="1">_xll.meDateFromTenor(C869,"1D","FOLLOWING",D$12)</f>
        <v>43733</v>
      </c>
      <c r="D870" s="13">
        <f ca="1">_xll.meDateFromTenor(C870,D$14,D$11,D$12)</f>
        <v>43734</v>
      </c>
      <c r="E870" s="98">
        <f ca="1"/>
        <v>-2.447451026204037E-3</v>
      </c>
      <c r="F870" s="94"/>
      <c r="G870" s="100">
        <f ca="1">_xll.meDateFromTenor(G869,"1D","FOLLOWING",H$12)</f>
        <v>43733</v>
      </c>
      <c r="H870" s="13">
        <f ca="1">_xll.meDateFromTenor(G870,H$14,H$11,H$12)</f>
        <v>43763</v>
      </c>
      <c r="I870" s="98">
        <f ca="1"/>
        <v>-1.7042142804853193E-3</v>
      </c>
      <c r="J870" s="94" t="s">
        <v>4</v>
      </c>
      <c r="K870" s="100">
        <f ca="1">_xll.meDateFromTenor(K869,"1D","FOLLOWING",L$12)</f>
        <v>43733</v>
      </c>
      <c r="L870" s="13">
        <f ca="1">_xll.meDateFromTenor(K870,L$14,L$11,L$12)</f>
        <v>43826</v>
      </c>
      <c r="M870" s="98">
        <f ca="1"/>
        <v>-4.0653353147876458E-4</v>
      </c>
      <c r="N870" s="5" t="s">
        <v>4</v>
      </c>
      <c r="O870" s="100">
        <f ca="1">_xll.meDateFromTenor(O869,"1D","FOLLOWING",P$12)</f>
        <v>43733</v>
      </c>
      <c r="P870" s="13">
        <f ca="1">_xll.meDateFromTenor(O870,P$14,P$11,P$12)</f>
        <v>43915</v>
      </c>
      <c r="Q870" s="98">
        <f ca="1"/>
        <v>1.3838092015248217E-3</v>
      </c>
      <c r="R870" s="5" t="s">
        <v>4</v>
      </c>
      <c r="S870" s="100">
        <f ca="1">_xll.meDateFromTenor(S869,"1D","FOLLOWING",T$12)</f>
        <v>43733</v>
      </c>
      <c r="T870" s="13">
        <f ca="1">_xll.meDateFromTenor(S870,T$14,T$11,T$12)</f>
        <v>44099</v>
      </c>
      <c r="U870" s="98">
        <f ca="1"/>
        <v>3.4084426037969554E-3</v>
      </c>
      <c r="V870" s="5" t="s">
        <v>4</v>
      </c>
      <c r="W870" s="84" t="s">
        <v>4</v>
      </c>
    </row>
    <row r="871" spans="1:23" x14ac:dyDescent="0.25">
      <c r="A871" s="90">
        <v>852</v>
      </c>
      <c r="B871" s="83"/>
      <c r="C871" s="100">
        <f ca="1">_xll.meDateFromTenor(C870,"1D","FOLLOWING",D$12)</f>
        <v>43734</v>
      </c>
      <c r="D871" s="13">
        <f ca="1">_xll.meDateFromTenor(C871,D$14,D$11,D$12)</f>
        <v>43735</v>
      </c>
      <c r="E871" s="98">
        <f ca="1"/>
        <v>-2.4426041584968503E-3</v>
      </c>
      <c r="F871" s="94"/>
      <c r="G871" s="100">
        <f ca="1">_xll.meDateFromTenor(G870,"1D","FOLLOWING",H$12)</f>
        <v>43734</v>
      </c>
      <c r="H871" s="13">
        <f ca="1">_xll.meDateFromTenor(G871,H$14,H$11,H$12)</f>
        <v>43766</v>
      </c>
      <c r="I871" s="98">
        <f ca="1"/>
        <v>-1.6989066085475815E-3</v>
      </c>
      <c r="J871" s="94" t="s">
        <v>4</v>
      </c>
      <c r="K871" s="100">
        <f ca="1">_xll.meDateFromTenor(K870,"1D","FOLLOWING",L$12)</f>
        <v>43734</v>
      </c>
      <c r="L871" s="13">
        <f ca="1">_xll.meDateFromTenor(K871,L$14,L$11,L$12)</f>
        <v>43826</v>
      </c>
      <c r="M871" s="98">
        <f ca="1"/>
        <v>-4.0235679603910283E-4</v>
      </c>
      <c r="N871" s="5" t="s">
        <v>4</v>
      </c>
      <c r="O871" s="100">
        <f ca="1">_xll.meDateFromTenor(O870,"1D","FOLLOWING",P$12)</f>
        <v>43734</v>
      </c>
      <c r="P871" s="13">
        <f ca="1">_xll.meDateFromTenor(O871,P$14,P$11,P$12)</f>
        <v>43916</v>
      </c>
      <c r="Q871" s="98">
        <f ca="1"/>
        <v>1.3897097794460366E-3</v>
      </c>
      <c r="R871" s="5" t="s">
        <v>4</v>
      </c>
      <c r="S871" s="100">
        <f ca="1">_xll.meDateFromTenor(S870,"1D","FOLLOWING",T$12)</f>
        <v>43734</v>
      </c>
      <c r="T871" s="13">
        <f ca="1">_xll.meDateFromTenor(S871,T$14,T$11,T$12)</f>
        <v>44102</v>
      </c>
      <c r="U871" s="98">
        <f ca="1"/>
        <v>3.4139379271287151E-3</v>
      </c>
      <c r="V871" s="5" t="s">
        <v>4</v>
      </c>
      <c r="W871" s="84" t="s">
        <v>4</v>
      </c>
    </row>
    <row r="872" spans="1:23" x14ac:dyDescent="0.25">
      <c r="A872" s="90">
        <v>853</v>
      </c>
      <c r="B872" s="83"/>
      <c r="C872" s="100">
        <f ca="1">_xll.meDateFromTenor(C871,"1D","FOLLOWING",D$12)</f>
        <v>43735</v>
      </c>
      <c r="D872" s="13">
        <f ca="1">_xll.meDateFromTenor(C872,D$14,D$11,D$12)</f>
        <v>43738</v>
      </c>
      <c r="E872" s="98">
        <f ca="1"/>
        <v>-2.4328911084392588E-3</v>
      </c>
      <c r="F872" s="94"/>
      <c r="G872" s="100">
        <f ca="1">_xll.meDateFromTenor(G871,"1D","FOLLOWING",H$12)</f>
        <v>43735</v>
      </c>
      <c r="H872" s="13">
        <f ca="1">_xll.meDateFromTenor(G872,H$14,H$11,H$12)</f>
        <v>43766</v>
      </c>
      <c r="I872" s="98">
        <f ca="1"/>
        <v>-1.6936277024619016E-3</v>
      </c>
      <c r="J872" s="94" t="s">
        <v>4</v>
      </c>
      <c r="K872" s="100">
        <f ca="1">_xll.meDateFromTenor(K871,"1D","FOLLOWING",L$12)</f>
        <v>43735</v>
      </c>
      <c r="L872" s="13">
        <f ca="1">_xll.meDateFromTenor(K872,L$14,L$11,L$12)</f>
        <v>43826</v>
      </c>
      <c r="M872" s="98">
        <f ca="1"/>
        <v>-3.981690323835973E-4</v>
      </c>
      <c r="N872" s="5" t="s">
        <v>4</v>
      </c>
      <c r="O872" s="100">
        <f ca="1">_xll.meDateFromTenor(O871,"1D","FOLLOWING",P$12)</f>
        <v>43735</v>
      </c>
      <c r="P872" s="13">
        <f ca="1">_xll.meDateFromTenor(O872,P$14,P$11,P$12)</f>
        <v>43917</v>
      </c>
      <c r="Q872" s="98">
        <f ca="1"/>
        <v>1.395610094197365E-3</v>
      </c>
      <c r="R872" s="5" t="s">
        <v>4</v>
      </c>
      <c r="S872" s="100">
        <f ca="1">_xll.meDateFromTenor(S871,"1D","FOLLOWING",T$12)</f>
        <v>43735</v>
      </c>
      <c r="T872" s="13">
        <f ca="1">_xll.meDateFromTenor(S872,T$14,T$11,T$12)</f>
        <v>44102</v>
      </c>
      <c r="U872" s="98">
        <f ca="1"/>
        <v>3.4194334572522599E-3</v>
      </c>
      <c r="V872" s="5" t="s">
        <v>4</v>
      </c>
      <c r="W872" s="84" t="s">
        <v>4</v>
      </c>
    </row>
    <row r="873" spans="1:23" x14ac:dyDescent="0.25">
      <c r="A873" s="90">
        <v>854</v>
      </c>
      <c r="B873" s="83"/>
      <c r="C873" s="100">
        <f ca="1">_xll.meDateFromTenor(C872,"1D","FOLLOWING",D$12)</f>
        <v>43738</v>
      </c>
      <c r="D873" s="13">
        <f ca="1">_xll.meDateFromTenor(C873,D$14,D$11,D$12)</f>
        <v>43739</v>
      </c>
      <c r="E873" s="98">
        <f ca="1"/>
        <v>-2.4232080680031218E-3</v>
      </c>
      <c r="F873" s="94"/>
      <c r="G873" s="100">
        <f ca="1">_xll.meDateFromTenor(G872,"1D","FOLLOWING",H$12)</f>
        <v>43738</v>
      </c>
      <c r="H873" s="13">
        <f ca="1">_xll.meDateFromTenor(G873,H$14,H$11,H$12)</f>
        <v>43768</v>
      </c>
      <c r="I873" s="98">
        <f ca="1"/>
        <v>-1.677991664190234E-3</v>
      </c>
      <c r="J873" s="94" t="s">
        <v>4</v>
      </c>
      <c r="K873" s="100">
        <f ca="1">_xll.meDateFromTenor(K872,"1D","FOLLOWING",L$12)</f>
        <v>43738</v>
      </c>
      <c r="L873" s="13">
        <f ca="1">_xll.meDateFromTenor(K873,L$14,L$11,L$12)</f>
        <v>43829</v>
      </c>
      <c r="M873" s="98">
        <f ca="1"/>
        <v>-3.85539486279606E-4</v>
      </c>
      <c r="N873" s="5" t="s">
        <v>4</v>
      </c>
      <c r="O873" s="100">
        <f ca="1">_xll.meDateFromTenor(O872,"1D","FOLLOWING",P$12)</f>
        <v>43738</v>
      </c>
      <c r="P873" s="13">
        <f ca="1">_xll.meDateFromTenor(O873,P$14,P$11,P$12)</f>
        <v>43920</v>
      </c>
      <c r="Q873" s="98">
        <f ca="1"/>
        <v>1.4133094557312108E-3</v>
      </c>
      <c r="R873" s="5" t="s">
        <v>4</v>
      </c>
      <c r="S873" s="100">
        <f ca="1">_xll.meDateFromTenor(S872,"1D","FOLLOWING",T$12)</f>
        <v>43738</v>
      </c>
      <c r="T873" s="13">
        <f ca="1">_xll.meDateFromTenor(S873,T$14,T$11,T$12)</f>
        <v>44104</v>
      </c>
      <c r="U873" s="98">
        <f ca="1"/>
        <v>3.4359215206667872E-3</v>
      </c>
      <c r="V873" s="5" t="s">
        <v>4</v>
      </c>
      <c r="W873" s="84" t="s">
        <v>4</v>
      </c>
    </row>
    <row r="874" spans="1:23" x14ac:dyDescent="0.25">
      <c r="A874" s="90">
        <v>855</v>
      </c>
      <c r="B874" s="83"/>
      <c r="C874" s="100">
        <f ca="1">_xll.meDateFromTenor(C873,"1D","FOLLOWING",D$12)</f>
        <v>43739</v>
      </c>
      <c r="D874" s="13">
        <f ca="1">_xll.meDateFromTenor(C874,D$14,D$11,D$12)</f>
        <v>43740</v>
      </c>
      <c r="E874" s="98">
        <f ca="1"/>
        <v>-2.4183568895042116E-3</v>
      </c>
      <c r="F874" s="94"/>
      <c r="G874" s="100">
        <f ca="1">_xll.meDateFromTenor(G873,"1D","FOLLOWING",H$12)</f>
        <v>43739</v>
      </c>
      <c r="H874" s="13">
        <f ca="1">_xll.meDateFromTenor(G874,H$14,H$11,H$12)</f>
        <v>43770</v>
      </c>
      <c r="I874" s="98">
        <f ca="1"/>
        <v>-1.6728559063858073E-3</v>
      </c>
      <c r="J874" s="94" t="s">
        <v>4</v>
      </c>
      <c r="K874" s="100">
        <f ca="1">_xll.meDateFromTenor(K873,"1D","FOLLOWING",L$12)</f>
        <v>43739</v>
      </c>
      <c r="L874" s="13">
        <f ca="1">_xll.meDateFromTenor(K874,L$14,L$11,L$12)</f>
        <v>43832</v>
      </c>
      <c r="M874" s="98">
        <f ca="1"/>
        <v>-3.8130752391831178E-4</v>
      </c>
      <c r="N874" s="5" t="s">
        <v>4</v>
      </c>
      <c r="O874" s="100">
        <f ca="1">_xll.meDateFromTenor(O873,"1D","FOLLOWING",P$12)</f>
        <v>43739</v>
      </c>
      <c r="P874" s="13">
        <f ca="1">_xll.meDateFromTenor(O874,P$14,P$11,P$12)</f>
        <v>43922</v>
      </c>
      <c r="Q874" s="98">
        <f ca="1"/>
        <v>1.4192087141021725E-3</v>
      </c>
      <c r="R874" s="5" t="s">
        <v>4</v>
      </c>
      <c r="S874" s="100">
        <f ca="1">_xll.meDateFromTenor(S873,"1D","FOLLOWING",T$12)</f>
        <v>43739</v>
      </c>
      <c r="T874" s="13">
        <f ca="1">_xll.meDateFromTenor(S874,T$14,T$11,T$12)</f>
        <v>44105</v>
      </c>
      <c r="U874" s="98">
        <f ca="1"/>
        <v>3.4414181102506518E-3</v>
      </c>
      <c r="V874" s="5" t="s">
        <v>4</v>
      </c>
      <c r="W874" s="84" t="s">
        <v>4</v>
      </c>
    </row>
    <row r="875" spans="1:23" x14ac:dyDescent="0.25">
      <c r="A875" s="90">
        <v>856</v>
      </c>
      <c r="B875" s="83"/>
      <c r="C875" s="100">
        <f ca="1">_xll.meDateFromTenor(C874,"1D","FOLLOWING",D$12)</f>
        <v>43740</v>
      </c>
      <c r="D875" s="13">
        <f ca="1">_xll.meDateFromTenor(C875,D$14,D$11,D$12)</f>
        <v>43741</v>
      </c>
      <c r="E875" s="98">
        <f ca="1"/>
        <v>-2.4135048484552699E-3</v>
      </c>
      <c r="F875" s="94"/>
      <c r="G875" s="100">
        <f ca="1">_xll.meDateFromTenor(G874,"1D","FOLLOWING",H$12)</f>
        <v>43740</v>
      </c>
      <c r="H875" s="13">
        <f ca="1">_xll.meDateFromTenor(G875,H$14,H$11,H$12)</f>
        <v>43773</v>
      </c>
      <c r="I875" s="98">
        <f ca="1"/>
        <v>-1.6677629568699487E-3</v>
      </c>
      <c r="J875" s="94" t="s">
        <v>4</v>
      </c>
      <c r="K875" s="100">
        <f ca="1">_xll.meDateFromTenor(K874,"1D","FOLLOWING",L$12)</f>
        <v>43740</v>
      </c>
      <c r="L875" s="13">
        <f ca="1">_xll.meDateFromTenor(K875,L$14,L$11,L$12)</f>
        <v>43832</v>
      </c>
      <c r="M875" s="98">
        <f ca="1"/>
        <v>-3.7706449041996634E-4</v>
      </c>
      <c r="N875" s="5" t="s">
        <v>4</v>
      </c>
      <c r="O875" s="100">
        <f ca="1">_xll.meDateFromTenor(O874,"1D","FOLLOWING",P$12)</f>
        <v>43740</v>
      </c>
      <c r="P875" s="13">
        <f ca="1">_xll.meDateFromTenor(O875,P$14,P$11,P$12)</f>
        <v>43923</v>
      </c>
      <c r="Q875" s="98">
        <f ca="1"/>
        <v>1.4251077074528375E-3</v>
      </c>
      <c r="R875" s="5" t="s">
        <v>4</v>
      </c>
      <c r="S875" s="100">
        <f ca="1">_xll.meDateFromTenor(S874,"1D","FOLLOWING",T$12)</f>
        <v>43740</v>
      </c>
      <c r="T875" s="13">
        <f ca="1">_xll.meDateFromTenor(S875,T$14,T$11,T$12)</f>
        <v>44106</v>
      </c>
      <c r="U875" s="98">
        <f ca="1"/>
        <v>3.4469150227728913E-3</v>
      </c>
      <c r="V875" s="5" t="s">
        <v>4</v>
      </c>
      <c r="W875" s="84" t="s">
        <v>4</v>
      </c>
    </row>
    <row r="876" spans="1:23" x14ac:dyDescent="0.25">
      <c r="A876" s="90">
        <v>857</v>
      </c>
      <c r="B876" s="83"/>
      <c r="C876" s="100">
        <f ca="1">_xll.meDateFromTenor(C875,"1D","FOLLOWING",D$12)</f>
        <v>43741</v>
      </c>
      <c r="D876" s="13">
        <f ca="1">_xll.meDateFromTenor(C876,D$14,D$11,D$12)</f>
        <v>43742</v>
      </c>
      <c r="E876" s="98">
        <f ca="1"/>
        <v>-2.4086519445365526E-3</v>
      </c>
      <c r="F876" s="94"/>
      <c r="G876" s="100">
        <f ca="1">_xll.meDateFromTenor(G875,"1D","FOLLOWING",H$12)</f>
        <v>43741</v>
      </c>
      <c r="H876" s="13">
        <f ca="1">_xll.meDateFromTenor(G876,H$14,H$11,H$12)</f>
        <v>43773</v>
      </c>
      <c r="I876" s="98">
        <f ca="1"/>
        <v>-1.6627146350935915E-3</v>
      </c>
      <c r="J876" s="94" t="s">
        <v>4</v>
      </c>
      <c r="K876" s="100">
        <f ca="1">_xll.meDateFromTenor(K875,"1D","FOLLOWING",L$12)</f>
        <v>43741</v>
      </c>
      <c r="L876" s="13">
        <f ca="1">_xll.meDateFromTenor(K876,L$14,L$11,L$12)</f>
        <v>43833</v>
      </c>
      <c r="M876" s="98">
        <f ca="1"/>
        <v>-3.7281037720032859E-4</v>
      </c>
      <c r="N876" s="5" t="s">
        <v>4</v>
      </c>
      <c r="O876" s="100">
        <f ca="1">_xll.meDateFromTenor(O875,"1D","FOLLOWING",P$12)</f>
        <v>43741</v>
      </c>
      <c r="P876" s="13">
        <f ca="1">_xll.meDateFromTenor(O876,P$14,P$11,P$12)</f>
        <v>43924</v>
      </c>
      <c r="Q876" s="98">
        <f ca="1"/>
        <v>1.4310064354131232E-3</v>
      </c>
      <c r="R876" s="5" t="s">
        <v>4</v>
      </c>
      <c r="S876" s="100">
        <f ca="1">_xll.meDateFromTenor(S875,"1D","FOLLOWING",T$12)</f>
        <v>43741</v>
      </c>
      <c r="T876" s="13">
        <f ca="1">_xll.meDateFromTenor(S876,T$14,T$11,T$12)</f>
        <v>44109</v>
      </c>
      <c r="U876" s="98">
        <f ca="1"/>
        <v>3.4524122814628211E-3</v>
      </c>
      <c r="V876" s="5" t="s">
        <v>4</v>
      </c>
      <c r="W876" s="84" t="s">
        <v>4</v>
      </c>
    </row>
    <row r="877" spans="1:23" x14ac:dyDescent="0.25">
      <c r="A877" s="90">
        <v>858</v>
      </c>
      <c r="B877" s="83"/>
      <c r="C877" s="100">
        <f ca="1">_xll.meDateFromTenor(C876,"1D","FOLLOWING",D$12)</f>
        <v>43742</v>
      </c>
      <c r="D877" s="13">
        <f ca="1">_xll.meDateFromTenor(C877,D$14,D$11,D$12)</f>
        <v>43745</v>
      </c>
      <c r="E877" s="98">
        <f ca="1"/>
        <v>-2.3989272738278531E-3</v>
      </c>
      <c r="F877" s="94"/>
      <c r="G877" s="100">
        <f ca="1">_xll.meDateFromTenor(G876,"1D","FOLLOWING",H$12)</f>
        <v>43742</v>
      </c>
      <c r="H877" s="13">
        <f ca="1">_xll.meDateFromTenor(G877,H$14,H$11,H$12)</f>
        <v>43773</v>
      </c>
      <c r="I877" s="98">
        <f ca="1"/>
        <v>-1.6577088043621942E-3</v>
      </c>
      <c r="J877" s="94" t="s">
        <v>4</v>
      </c>
      <c r="K877" s="100">
        <f ca="1">_xll.meDateFromTenor(K876,"1D","FOLLOWING",L$12)</f>
        <v>43742</v>
      </c>
      <c r="L877" s="13">
        <f ca="1">_xll.meDateFromTenor(K877,L$14,L$11,L$12)</f>
        <v>43836</v>
      </c>
      <c r="M877" s="98">
        <f ca="1"/>
        <v>-3.6854517567515581E-4</v>
      </c>
      <c r="N877" s="5" t="s">
        <v>4</v>
      </c>
      <c r="O877" s="100">
        <f ca="1">_xll.meDateFromTenor(O876,"1D","FOLLOWING",P$12)</f>
        <v>43742</v>
      </c>
      <c r="P877" s="13">
        <f ca="1">_xll.meDateFromTenor(O877,P$14,P$11,P$12)</f>
        <v>43927</v>
      </c>
      <c r="Q877" s="98">
        <f ca="1"/>
        <v>1.4369048976129494E-3</v>
      </c>
      <c r="R877" s="5" t="s">
        <v>4</v>
      </c>
      <c r="S877" s="100">
        <f ca="1">_xll.meDateFromTenor(S876,"1D","FOLLOWING",T$12)</f>
        <v>43742</v>
      </c>
      <c r="T877" s="13">
        <f ca="1">_xll.meDateFromTenor(S877,T$14,T$11,T$12)</f>
        <v>44109</v>
      </c>
      <c r="U877" s="98">
        <f ca="1"/>
        <v>3.4579099095497618E-3</v>
      </c>
      <c r="V877" s="5" t="s">
        <v>4</v>
      </c>
      <c r="W877" s="84" t="s">
        <v>4</v>
      </c>
    </row>
    <row r="878" spans="1:23" x14ac:dyDescent="0.25">
      <c r="A878" s="90">
        <v>859</v>
      </c>
      <c r="B878" s="83"/>
      <c r="C878" s="100">
        <f ca="1">_xll.meDateFromTenor(C877,"1D","FOLLOWING",D$12)</f>
        <v>43745</v>
      </c>
      <c r="D878" s="13">
        <f ca="1">_xll.meDateFromTenor(C878,D$14,D$11,D$12)</f>
        <v>43746</v>
      </c>
      <c r="E878" s="98">
        <f ca="1"/>
        <v>-2.3892316970464209E-3</v>
      </c>
      <c r="F878" s="94"/>
      <c r="G878" s="100">
        <f ca="1">_xll.meDateFromTenor(G877,"1D","FOLLOWING",H$12)</f>
        <v>43745</v>
      </c>
      <c r="H878" s="13">
        <f ca="1">_xll.meDateFromTenor(G878,H$14,H$11,H$12)</f>
        <v>43776</v>
      </c>
      <c r="I878" s="98">
        <f ca="1"/>
        <v>-1.6429150011286777E-3</v>
      </c>
      <c r="J878" s="94" t="s">
        <v>4</v>
      </c>
      <c r="K878" s="100">
        <f ca="1">_xll.meDateFromTenor(K877,"1D","FOLLOWING",L$12)</f>
        <v>43745</v>
      </c>
      <c r="L878" s="13">
        <f ca="1">_xll.meDateFromTenor(K878,L$14,L$11,L$12)</f>
        <v>43837</v>
      </c>
      <c r="M878" s="98">
        <f ca="1"/>
        <v>-3.5568295542401433E-4</v>
      </c>
      <c r="N878" s="5" t="s">
        <v>4</v>
      </c>
      <c r="O878" s="100">
        <f ca="1">_xll.meDateFromTenor(O877,"1D","FOLLOWING",P$12)</f>
        <v>43745</v>
      </c>
      <c r="P878" s="13">
        <f ca="1">_xll.meDateFromTenor(O878,P$14,P$11,P$12)</f>
        <v>43928</v>
      </c>
      <c r="Q878" s="98">
        <f ca="1"/>
        <v>1.454598685948843E-3</v>
      </c>
      <c r="R878" s="5" t="s">
        <v>4</v>
      </c>
      <c r="S878" s="100">
        <f ca="1">_xll.meDateFromTenor(S877,"1D","FOLLOWING",T$12)</f>
        <v>43745</v>
      </c>
      <c r="T878" s="13">
        <f ca="1">_xll.meDateFromTenor(S878,T$14,T$11,T$12)</f>
        <v>44111</v>
      </c>
      <c r="U878" s="98">
        <f ca="1"/>
        <v>3.4744052424858177E-3</v>
      </c>
      <c r="V878" s="5" t="s">
        <v>4</v>
      </c>
      <c r="W878" s="84" t="s">
        <v>4</v>
      </c>
    </row>
    <row r="879" spans="1:23" x14ac:dyDescent="0.25">
      <c r="A879" s="90">
        <v>860</v>
      </c>
      <c r="B879" s="83"/>
      <c r="C879" s="100">
        <f ca="1">_xll.meDateFromTenor(C878,"1D","FOLLOWING",D$12)</f>
        <v>43746</v>
      </c>
      <c r="D879" s="13">
        <f ca="1">_xll.meDateFromTenor(C879,D$14,D$11,D$12)</f>
        <v>43747</v>
      </c>
      <c r="E879" s="98">
        <f ca="1"/>
        <v>-2.3843744764207118E-3</v>
      </c>
      <c r="F879" s="94"/>
      <c r="G879" s="100">
        <f ca="1">_xll.meDateFromTenor(G878,"1D","FOLLOWING",H$12)</f>
        <v>43746</v>
      </c>
      <c r="H879" s="13">
        <f ca="1">_xll.meDateFromTenor(G879,H$14,H$11,H$12)</f>
        <v>43777</v>
      </c>
      <c r="I879" s="98">
        <f ca="1"/>
        <v>-1.6380478772680339E-3</v>
      </c>
      <c r="J879" s="94" t="s">
        <v>4</v>
      </c>
      <c r="K879" s="100">
        <f ca="1">_xll.meDateFromTenor(K878,"1D","FOLLOWING",L$12)</f>
        <v>43746</v>
      </c>
      <c r="L879" s="13">
        <f ca="1">_xll.meDateFromTenor(K879,L$14,L$11,L$12)</f>
        <v>43838</v>
      </c>
      <c r="M879" s="98">
        <f ca="1"/>
        <v>-3.5137331483428699E-4</v>
      </c>
      <c r="N879" s="5" t="s">
        <v>4</v>
      </c>
      <c r="O879" s="100">
        <f ca="1">_xll.meDateFromTenor(O878,"1D","FOLLOWING",P$12)</f>
        <v>43746</v>
      </c>
      <c r="P879" s="13">
        <f ca="1">_xll.meDateFromTenor(O879,P$14,P$11,P$12)</f>
        <v>43929</v>
      </c>
      <c r="Q879" s="98">
        <f ca="1"/>
        <v>1.4604960814060069E-3</v>
      </c>
      <c r="R879" s="5" t="s">
        <v>4</v>
      </c>
      <c r="S879" s="100">
        <f ca="1">_xll.meDateFromTenor(S878,"1D","FOLLOWING",T$12)</f>
        <v>43746</v>
      </c>
      <c r="T879" s="13">
        <f ca="1">_xll.meDateFromTenor(S879,T$14,T$11,T$12)</f>
        <v>44112</v>
      </c>
      <c r="U879" s="98">
        <f ca="1"/>
        <v>3.4799045804539738E-3</v>
      </c>
      <c r="V879" s="5" t="s">
        <v>4</v>
      </c>
      <c r="W879" s="84" t="s">
        <v>4</v>
      </c>
    </row>
    <row r="880" spans="1:23" x14ac:dyDescent="0.25">
      <c r="A880" s="90">
        <v>861</v>
      </c>
      <c r="B880" s="83"/>
      <c r="C880" s="100">
        <f ca="1">_xll.meDateFromTenor(C879,"1D","FOLLOWING",D$12)</f>
        <v>43747</v>
      </c>
      <c r="D880" s="13">
        <f ca="1">_xll.meDateFromTenor(C880,D$14,D$11,D$12)</f>
        <v>43748</v>
      </c>
      <c r="E880" s="98">
        <f ca="1"/>
        <v>-2.3795163918860578E-3</v>
      </c>
      <c r="F880" s="94"/>
      <c r="G880" s="100">
        <f ca="1">_xll.meDateFromTenor(G879,"1D","FOLLOWING",H$12)</f>
        <v>43747</v>
      </c>
      <c r="H880" s="13">
        <f ca="1">_xll.meDateFromTenor(G880,H$14,H$11,H$12)</f>
        <v>43780</v>
      </c>
      <c r="I880" s="98">
        <f ca="1"/>
        <v>-1.6332076157978069E-3</v>
      </c>
      <c r="J880" s="94" t="s">
        <v>4</v>
      </c>
      <c r="K880" s="100">
        <f ca="1">_xll.meDateFromTenor(K879,"1D","FOLLOWING",L$12)</f>
        <v>43747</v>
      </c>
      <c r="L880" s="13">
        <f ca="1">_xll.meDateFromTenor(K880,L$14,L$11,L$12)</f>
        <v>43839</v>
      </c>
      <c r="M880" s="98">
        <f ca="1"/>
        <v>-3.4705254301781695E-4</v>
      </c>
      <c r="N880" s="5" t="s">
        <v>4</v>
      </c>
      <c r="O880" s="100">
        <f ca="1">_xll.meDateFromTenor(O879,"1D","FOLLOWING",P$12)</f>
        <v>43747</v>
      </c>
      <c r="P880" s="13">
        <f ca="1">_xll.meDateFromTenor(O880,P$14,P$11,P$12)</f>
        <v>43930</v>
      </c>
      <c r="Q880" s="98">
        <f ca="1"/>
        <v>1.4663932092523002E-3</v>
      </c>
      <c r="R880" s="5" t="s">
        <v>4</v>
      </c>
      <c r="S880" s="100">
        <f ca="1">_xll.meDateFromTenor(S879,"1D","FOLLOWING",T$12)</f>
        <v>43747</v>
      </c>
      <c r="T880" s="13">
        <f ca="1">_xll.meDateFromTenor(S880,T$14,T$11,T$12)</f>
        <v>44113</v>
      </c>
      <c r="U880" s="98">
        <f ca="1"/>
        <v>3.4854044039657286E-3</v>
      </c>
      <c r="V880" s="5" t="s">
        <v>4</v>
      </c>
      <c r="W880" s="84" t="s">
        <v>4</v>
      </c>
    </row>
    <row r="881" spans="1:23" x14ac:dyDescent="0.25">
      <c r="A881" s="90">
        <v>862</v>
      </c>
      <c r="B881" s="83"/>
      <c r="C881" s="100">
        <f ca="1">_xll.meDateFromTenor(C880,"1D","FOLLOWING",D$12)</f>
        <v>43748</v>
      </c>
      <c r="D881" s="13">
        <f ca="1">_xll.meDateFromTenor(C881,D$14,D$11,D$12)</f>
        <v>43749</v>
      </c>
      <c r="E881" s="98">
        <f ca="1"/>
        <v>-2.3746574432426198E-3</v>
      </c>
      <c r="F881" s="94"/>
      <c r="G881" s="100">
        <f ca="1">_xll.meDateFromTenor(G880,"1D","FOLLOWING",H$12)</f>
        <v>43748</v>
      </c>
      <c r="H881" s="13">
        <f ca="1">_xll.meDateFromTenor(G881,H$14,H$11,H$12)</f>
        <v>43780</v>
      </c>
      <c r="I881" s="98">
        <f ca="1"/>
        <v>-1.6283910909870871E-3</v>
      </c>
      <c r="J881" s="94" t="s">
        <v>4</v>
      </c>
      <c r="K881" s="100">
        <f ca="1">_xll.meDateFromTenor(K880,"1D","FOLLOWING",L$12)</f>
        <v>43748</v>
      </c>
      <c r="L881" s="13">
        <f ca="1">_xll.meDateFromTenor(K881,L$14,L$11,L$12)</f>
        <v>43840</v>
      </c>
      <c r="M881" s="98">
        <f ca="1"/>
        <v>-3.427206313903626E-4</v>
      </c>
      <c r="N881" s="5" t="s">
        <v>4</v>
      </c>
      <c r="O881" s="100">
        <f ca="1">_xll.meDateFromTenor(O880,"1D","FOLLOWING",P$12)</f>
        <v>43748</v>
      </c>
      <c r="P881" s="13">
        <f ca="1">_xll.meDateFromTenor(O881,P$14,P$11,P$12)</f>
        <v>43935</v>
      </c>
      <c r="Q881" s="98">
        <f ca="1"/>
        <v>1.4722900691176415E-3</v>
      </c>
      <c r="R881" s="5" t="s">
        <v>4</v>
      </c>
      <c r="S881" s="100">
        <f ca="1">_xll.meDateFromTenor(S880,"1D","FOLLOWING",T$12)</f>
        <v>43748</v>
      </c>
      <c r="T881" s="13">
        <f ca="1">_xll.meDateFromTenor(S881,T$14,T$11,T$12)</f>
        <v>44116</v>
      </c>
      <c r="U881" s="98">
        <f ca="1"/>
        <v>3.4909047362503992E-3</v>
      </c>
      <c r="V881" s="5" t="s">
        <v>4</v>
      </c>
      <c r="W881" s="84" t="s">
        <v>4</v>
      </c>
    </row>
    <row r="882" spans="1:23" x14ac:dyDescent="0.25">
      <c r="A882" s="90">
        <v>863</v>
      </c>
      <c r="B882" s="83"/>
      <c r="C882" s="100">
        <f ca="1">_xll.meDateFromTenor(C881,"1D","FOLLOWING",D$12)</f>
        <v>43749</v>
      </c>
      <c r="D882" s="13">
        <f ca="1">_xll.meDateFromTenor(C882,D$14,D$11,D$12)</f>
        <v>43752</v>
      </c>
      <c r="E882" s="98">
        <f ca="1"/>
        <v>-2.3649211293541666E-3</v>
      </c>
      <c r="F882" s="94"/>
      <c r="G882" s="100">
        <f ca="1">_xll.meDateFromTenor(G881,"1D","FOLLOWING",H$12)</f>
        <v>43749</v>
      </c>
      <c r="H882" s="13">
        <f ca="1">_xll.meDateFromTenor(G882,H$14,H$11,H$12)</f>
        <v>43780</v>
      </c>
      <c r="I882" s="98">
        <f ca="1"/>
        <v>-1.6235951771049668E-3</v>
      </c>
      <c r="J882" s="94" t="s">
        <v>4</v>
      </c>
      <c r="K882" s="100">
        <f ca="1">_xll.meDateFromTenor(K881,"1D","FOLLOWING",L$12)</f>
        <v>43749</v>
      </c>
      <c r="L882" s="13">
        <f ca="1">_xll.meDateFromTenor(K882,L$14,L$11,L$12)</f>
        <v>43843</v>
      </c>
      <c r="M882" s="98">
        <f ca="1"/>
        <v>-3.3837757136768299E-4</v>
      </c>
      <c r="N882" s="5" t="s">
        <v>4</v>
      </c>
      <c r="O882" s="100">
        <f ca="1">_xll.meDateFromTenor(O881,"1D","FOLLOWING",P$12)</f>
        <v>43749</v>
      </c>
      <c r="P882" s="13">
        <f ca="1">_xll.meDateFromTenor(O882,P$14,P$11,P$12)</f>
        <v>43935</v>
      </c>
      <c r="Q882" s="98">
        <f ca="1"/>
        <v>1.478186660631947E-3</v>
      </c>
      <c r="R882" s="5" t="s">
        <v>4</v>
      </c>
      <c r="S882" s="100">
        <f ca="1">_xll.meDateFromTenor(S881,"1D","FOLLOWING",T$12)</f>
        <v>43749</v>
      </c>
      <c r="T882" s="13">
        <f ca="1">_xll.meDateFromTenor(S882,T$14,T$11,T$12)</f>
        <v>44116</v>
      </c>
      <c r="U882" s="98">
        <f ca="1"/>
        <v>3.4964056005373024E-3</v>
      </c>
      <c r="V882" s="5" t="s">
        <v>4</v>
      </c>
      <c r="W882" s="84" t="s">
        <v>4</v>
      </c>
    </row>
    <row r="883" spans="1:23" x14ac:dyDescent="0.25">
      <c r="A883" s="90">
        <v>864</v>
      </c>
      <c r="B883" s="83"/>
      <c r="C883" s="100">
        <f ca="1">_xll.meDateFromTenor(C882,"1D","FOLLOWING",D$12)</f>
        <v>43752</v>
      </c>
      <c r="D883" s="13">
        <f ca="1">_xll.meDateFromTenor(C883,D$14,D$11,D$12)</f>
        <v>43753</v>
      </c>
      <c r="E883" s="98">
        <f ca="1"/>
        <v>-2.3552130052229086E-3</v>
      </c>
      <c r="F883" s="94"/>
      <c r="G883" s="100">
        <f ca="1">_xll.meDateFromTenor(G882,"1D","FOLLOWING",H$12)</f>
        <v>43752</v>
      </c>
      <c r="H883" s="13">
        <f ca="1">_xll.meDateFromTenor(G883,H$14,H$11,H$12)</f>
        <v>43783</v>
      </c>
      <c r="I883" s="98">
        <f ca="1"/>
        <v>-1.6092998437211084E-3</v>
      </c>
      <c r="J883" s="94" t="s">
        <v>4</v>
      </c>
      <c r="K883" s="100">
        <f ca="1">_xll.meDateFromTenor(K882,"1D","FOLLOWING",L$12)</f>
        <v>43752</v>
      </c>
      <c r="L883" s="13">
        <f ca="1">_xll.meDateFromTenor(K883,L$14,L$11,L$12)</f>
        <v>43844</v>
      </c>
      <c r="M883" s="98">
        <f ca="1"/>
        <v>-3.2528141508587064E-4</v>
      </c>
      <c r="N883" s="5" t="s">
        <v>4</v>
      </c>
      <c r="O883" s="100">
        <f ca="1">_xll.meDateFromTenor(O882,"1D","FOLLOWING",P$12)</f>
        <v>43752</v>
      </c>
      <c r="P883" s="13">
        <f ca="1">_xll.meDateFromTenor(O883,P$14,P$11,P$12)</f>
        <v>43935</v>
      </c>
      <c r="Q883" s="98">
        <f ca="1"/>
        <v>1.4958748213678406E-3</v>
      </c>
      <c r="R883" s="5" t="s">
        <v>4</v>
      </c>
      <c r="S883" s="100">
        <f ca="1">_xll.meDateFromTenor(S882,"1D","FOLLOWING",T$12)</f>
        <v>43752</v>
      </c>
      <c r="T883" s="13">
        <f ca="1">_xll.meDateFromTenor(S883,T$14,T$11,T$12)</f>
        <v>44118</v>
      </c>
      <c r="U883" s="98">
        <f ca="1"/>
        <v>3.5129116177045928E-3</v>
      </c>
      <c r="V883" s="5" t="s">
        <v>4</v>
      </c>
      <c r="W883" s="84" t="s">
        <v>4</v>
      </c>
    </row>
    <row r="884" spans="1:23" x14ac:dyDescent="0.25">
      <c r="A884" s="90">
        <v>865</v>
      </c>
      <c r="B884" s="83"/>
      <c r="C884" s="100">
        <f ca="1">_xll.meDateFromTenor(C883,"1D","FOLLOWING",D$12)</f>
        <v>43753</v>
      </c>
      <c r="D884" s="13">
        <f ca="1">_xll.meDateFromTenor(C884,D$14,D$11,D$12)</f>
        <v>43754</v>
      </c>
      <c r="E884" s="98">
        <f ca="1"/>
        <v>-2.3503497338373063E-3</v>
      </c>
      <c r="F884" s="94"/>
      <c r="G884" s="100">
        <f ca="1">_xll.meDateFromTenor(G883,"1D","FOLLOWING",H$12)</f>
        <v>43753</v>
      </c>
      <c r="H884" s="13">
        <f ca="1">_xll.meDateFromTenor(G884,H$14,H$11,H$12)</f>
        <v>43784</v>
      </c>
      <c r="I884" s="98">
        <f ca="1"/>
        <v>-1.6045551162442938E-3</v>
      </c>
      <c r="J884" s="94" t="s">
        <v>4</v>
      </c>
      <c r="K884" s="100">
        <f ca="1">_xll.meDateFromTenor(K883,"1D","FOLLOWING",L$12)</f>
        <v>43753</v>
      </c>
      <c r="L884" s="13">
        <f ca="1">_xll.meDateFromTenor(K884,L$14,L$11,L$12)</f>
        <v>43845</v>
      </c>
      <c r="M884" s="98">
        <f ca="1"/>
        <v>-3.2089367563987011E-4</v>
      </c>
      <c r="N884" s="5" t="s">
        <v>4</v>
      </c>
      <c r="O884" s="100">
        <f ca="1">_xll.meDateFromTenor(O883,"1D","FOLLOWING",P$12)</f>
        <v>43753</v>
      </c>
      <c r="P884" s="13">
        <f ca="1">_xll.meDateFromTenor(O884,P$14,P$11,P$12)</f>
        <v>43936</v>
      </c>
      <c r="Q884" s="98">
        <f ca="1"/>
        <v>1.5017703357771901E-3</v>
      </c>
      <c r="R884" s="5" t="s">
        <v>4</v>
      </c>
      <c r="S884" s="100">
        <f ca="1">_xll.meDateFromTenor(S883,"1D","FOLLOWING",T$12)</f>
        <v>43753</v>
      </c>
      <c r="T884" s="13">
        <f ca="1">_xll.meDateFromTenor(S884,T$14,T$11,T$12)</f>
        <v>44119</v>
      </c>
      <c r="U884" s="98">
        <f ca="1"/>
        <v>3.5184148422936091E-3</v>
      </c>
      <c r="V884" s="5" t="s">
        <v>4</v>
      </c>
      <c r="W884" s="84" t="s">
        <v>4</v>
      </c>
    </row>
    <row r="885" spans="1:23" x14ac:dyDescent="0.25">
      <c r="A885" s="90">
        <v>866</v>
      </c>
      <c r="B885" s="83"/>
      <c r="C885" s="100">
        <f ca="1">_xll.meDateFromTenor(C884,"1D","FOLLOWING",D$12)</f>
        <v>43754</v>
      </c>
      <c r="D885" s="13">
        <f ca="1">_xll.meDateFromTenor(C885,D$14,D$11,D$12)</f>
        <v>43755</v>
      </c>
      <c r="E885" s="98">
        <f ca="1"/>
        <v>-2.3454855974236548E-3</v>
      </c>
      <c r="F885" s="94"/>
      <c r="G885" s="100">
        <f ca="1">_xll.meDateFromTenor(G884,"1D","FOLLOWING",H$12)</f>
        <v>43754</v>
      </c>
      <c r="H885" s="13">
        <f ca="1">_xll.meDateFromTenor(G885,H$14,H$11,H$12)</f>
        <v>43787</v>
      </c>
      <c r="I885" s="98">
        <f ca="1"/>
        <v>-1.599815371041534E-3</v>
      </c>
      <c r="J885" s="94" t="s">
        <v>4</v>
      </c>
      <c r="K885" s="100">
        <f ca="1">_xll.meDateFromTenor(K884,"1D","FOLLOWING",L$12)</f>
        <v>43754</v>
      </c>
      <c r="L885" s="13">
        <f ca="1">_xll.meDateFromTenor(K885,L$14,L$11,L$12)</f>
        <v>43846</v>
      </c>
      <c r="M885" s="98">
        <f ca="1"/>
        <v>-3.1649474487743546E-4</v>
      </c>
      <c r="N885" s="5" t="s">
        <v>4</v>
      </c>
      <c r="O885" s="100">
        <f ca="1">_xll.meDateFromTenor(O884,"1D","FOLLOWING",P$12)</f>
        <v>43754</v>
      </c>
      <c r="P885" s="13">
        <f ca="1">_xll.meDateFromTenor(O885,P$14,P$11,P$12)</f>
        <v>43937</v>
      </c>
      <c r="Q885" s="98">
        <f ca="1"/>
        <v>1.5076655799850956E-3</v>
      </c>
      <c r="R885" s="5" t="s">
        <v>4</v>
      </c>
      <c r="S885" s="100">
        <f ca="1">_xll.meDateFromTenor(S884,"1D","FOLLOWING",T$12)</f>
        <v>43754</v>
      </c>
      <c r="T885" s="13">
        <f ca="1">_xll.meDateFromTenor(S885,T$14,T$11,T$12)</f>
        <v>44120</v>
      </c>
      <c r="U885" s="98">
        <f ca="1"/>
        <v>3.5239187150314477E-3</v>
      </c>
      <c r="V885" s="5" t="s">
        <v>4</v>
      </c>
      <c r="W885" s="84" t="s">
        <v>4</v>
      </c>
    </row>
    <row r="886" spans="1:23" x14ac:dyDescent="0.25">
      <c r="A886" s="90">
        <v>867</v>
      </c>
      <c r="B886" s="83"/>
      <c r="C886" s="100">
        <f ca="1">_xll.meDateFromTenor(C885,"1D","FOLLOWING",D$12)</f>
        <v>43755</v>
      </c>
      <c r="D886" s="13">
        <f ca="1">_xll.meDateFromTenor(C886,D$14,D$11,D$12)</f>
        <v>43756</v>
      </c>
      <c r="E886" s="98">
        <f ca="1"/>
        <v>-2.340620595782114E-3</v>
      </c>
      <c r="F886" s="94"/>
      <c r="G886" s="100">
        <f ca="1">_xll.meDateFromTenor(G885,"1D","FOLLOWING",H$12)</f>
        <v>43755</v>
      </c>
      <c r="H886" s="13">
        <f ca="1">_xll.meDateFromTenor(G886,H$14,H$11,H$12)</f>
        <v>43787</v>
      </c>
      <c r="I886" s="98">
        <f ca="1"/>
        <v>-1.5950774823819196E-3</v>
      </c>
      <c r="J886" s="94" t="s">
        <v>4</v>
      </c>
      <c r="K886" s="100">
        <f ca="1">_xll.meDateFromTenor(K885,"1D","FOLLOWING",L$12)</f>
        <v>43755</v>
      </c>
      <c r="L886" s="13">
        <f ca="1">_xll.meDateFromTenor(K886,L$14,L$11,L$12)</f>
        <v>43847</v>
      </c>
      <c r="M886" s="98">
        <f ca="1"/>
        <v>-3.1208461421432503E-4</v>
      </c>
      <c r="N886" s="5" t="s">
        <v>4</v>
      </c>
      <c r="O886" s="100">
        <f ca="1">_xll.meDateFromTenor(O885,"1D","FOLLOWING",P$12)</f>
        <v>43755</v>
      </c>
      <c r="P886" s="13">
        <f ca="1">_xll.meDateFromTenor(O886,P$14,P$11,P$12)</f>
        <v>43938</v>
      </c>
      <c r="Q886" s="98">
        <f ca="1"/>
        <v>1.5135605536214748E-3</v>
      </c>
      <c r="R886" s="5" t="s">
        <v>4</v>
      </c>
      <c r="S886" s="100">
        <f ca="1">_xll.meDateFromTenor(S885,"1D","FOLLOWING",T$12)</f>
        <v>43755</v>
      </c>
      <c r="T886" s="13">
        <f ca="1">_xll.meDateFromTenor(S886,T$14,T$11,T$12)</f>
        <v>44123</v>
      </c>
      <c r="U886" s="98">
        <f ca="1"/>
        <v>3.5294232591474256E-3</v>
      </c>
      <c r="V886" s="5" t="s">
        <v>4</v>
      </c>
      <c r="W886" s="84" t="s">
        <v>4</v>
      </c>
    </row>
    <row r="887" spans="1:23" x14ac:dyDescent="0.25">
      <c r="A887" s="90">
        <v>868</v>
      </c>
      <c r="B887" s="83"/>
      <c r="C887" s="100">
        <f ca="1">_xll.meDateFromTenor(C886,"1D","FOLLOWING",D$12)</f>
        <v>43756</v>
      </c>
      <c r="D887" s="13">
        <f ca="1">_xll.meDateFromTenor(C887,D$14,D$11,D$12)</f>
        <v>43759</v>
      </c>
      <c r="E887" s="98">
        <f ca="1"/>
        <v>-2.3308726157055212E-3</v>
      </c>
      <c r="F887" s="94"/>
      <c r="G887" s="100">
        <f ca="1">_xll.meDateFromTenor(G886,"1D","FOLLOWING",H$12)</f>
        <v>43756</v>
      </c>
      <c r="H887" s="13">
        <f ca="1">_xll.meDateFromTenor(G887,H$14,H$11,H$12)</f>
        <v>43787</v>
      </c>
      <c r="I887" s="98">
        <f ca="1"/>
        <v>-1.5903383245345424E-3</v>
      </c>
      <c r="J887" s="94" t="s">
        <v>4</v>
      </c>
      <c r="K887" s="100">
        <f ca="1">_xll.meDateFromTenor(K886,"1D","FOLLOWING",L$12)</f>
        <v>43756</v>
      </c>
      <c r="L887" s="13">
        <f ca="1">_xll.meDateFromTenor(K887,L$14,L$11,L$12)</f>
        <v>43850</v>
      </c>
      <c r="M887" s="98">
        <f ca="1"/>
        <v>-3.0766327506629712E-4</v>
      </c>
      <c r="N887" s="5" t="s">
        <v>4</v>
      </c>
      <c r="O887" s="100">
        <f ca="1">_xll.meDateFromTenor(O886,"1D","FOLLOWING",P$12)</f>
        <v>43756</v>
      </c>
      <c r="P887" s="13">
        <f ca="1">_xll.meDateFromTenor(O887,P$14,P$11,P$12)</f>
        <v>43941</v>
      </c>
      <c r="Q887" s="98">
        <f ca="1"/>
        <v>1.5194552563162459E-3</v>
      </c>
      <c r="R887" s="5" t="s">
        <v>4</v>
      </c>
      <c r="S887" s="100">
        <f ca="1">_xll.meDateFromTenor(S886,"1D","FOLLOWING",T$12)</f>
        <v>43756</v>
      </c>
      <c r="T887" s="13">
        <f ca="1">_xll.meDateFromTenor(S887,T$14,T$11,T$12)</f>
        <v>44123</v>
      </c>
      <c r="U887" s="98">
        <f ca="1"/>
        <v>3.5349284978708618E-3</v>
      </c>
      <c r="V887" s="5" t="s">
        <v>4</v>
      </c>
      <c r="W887" s="84" t="s">
        <v>4</v>
      </c>
    </row>
    <row r="888" spans="1:23" x14ac:dyDescent="0.25">
      <c r="A888" s="90">
        <v>869</v>
      </c>
      <c r="B888" s="83"/>
      <c r="C888" s="100">
        <f ca="1">_xll.meDateFromTenor(C887,"1D","FOLLOWING",D$12)</f>
        <v>43759</v>
      </c>
      <c r="D888" s="13">
        <f ca="1">_xll.meDateFromTenor(C888,D$14,D$11,D$12)</f>
        <v>43760</v>
      </c>
      <c r="E888" s="98">
        <f ca="1"/>
        <v>-2.3211519331400947E-3</v>
      </c>
      <c r="F888" s="94"/>
      <c r="G888" s="100">
        <f ca="1">_xll.meDateFromTenor(G887,"1D","FOLLOWING",H$12)</f>
        <v>43759</v>
      </c>
      <c r="H888" s="13">
        <f ca="1">_xll.meDateFromTenor(G888,H$14,H$11,H$12)</f>
        <v>43790</v>
      </c>
      <c r="I888" s="98">
        <f ca="1"/>
        <v>-1.5760819785567441E-3</v>
      </c>
      <c r="J888" s="94" t="s">
        <v>4</v>
      </c>
      <c r="K888" s="100">
        <f ca="1">_xll.meDateFromTenor(K887,"1D","FOLLOWING",L$12)</f>
        <v>43759</v>
      </c>
      <c r="L888" s="13">
        <f ca="1">_xll.meDateFromTenor(K888,L$14,L$11,L$12)</f>
        <v>43851</v>
      </c>
      <c r="M888" s="98">
        <f ca="1"/>
        <v>-2.9433192087029359E-4</v>
      </c>
      <c r="N888" s="5" t="s">
        <v>4</v>
      </c>
      <c r="O888" s="100">
        <f ca="1">_xll.meDateFromTenor(O887,"1D","FOLLOWING",P$12)</f>
        <v>43759</v>
      </c>
      <c r="P888" s="13">
        <f ca="1">_xll.meDateFromTenor(O888,P$14,P$11,P$12)</f>
        <v>43942</v>
      </c>
      <c r="Q888" s="98">
        <f ca="1"/>
        <v>1.5371377350500892E-3</v>
      </c>
      <c r="R888" s="5" t="s">
        <v>4</v>
      </c>
      <c r="S888" s="100">
        <f ca="1">_xll.meDateFromTenor(S887,"1D","FOLLOWING",T$12)</f>
        <v>43759</v>
      </c>
      <c r="T888" s="13">
        <f ca="1">_xll.meDateFromTenor(S888,T$14,T$11,T$12)</f>
        <v>44125</v>
      </c>
      <c r="U888" s="98">
        <f ca="1"/>
        <v>3.5514486139790928E-3</v>
      </c>
      <c r="V888" s="5" t="s">
        <v>4</v>
      </c>
      <c r="W888" s="84" t="s">
        <v>4</v>
      </c>
    </row>
    <row r="889" spans="1:23" x14ac:dyDescent="0.25">
      <c r="A889" s="90">
        <v>870</v>
      </c>
      <c r="B889" s="83"/>
      <c r="C889" s="100">
        <f ca="1">_xll.meDateFromTenor(C888,"1D","FOLLOWING",D$12)</f>
        <v>43760</v>
      </c>
      <c r="D889" s="13">
        <f ca="1">_xll.meDateFromTenor(C889,D$14,D$11,D$12)</f>
        <v>43761</v>
      </c>
      <c r="E889" s="98">
        <f ca="1"/>
        <v>-2.3162826026013133E-3</v>
      </c>
      <c r="F889" s="94"/>
      <c r="G889" s="100">
        <f ca="1">_xll.meDateFromTenor(G888,"1D","FOLLOWING",H$12)</f>
        <v>43760</v>
      </c>
      <c r="H889" s="13">
        <f ca="1">_xll.meDateFromTenor(G889,H$14,H$11,H$12)</f>
        <v>43791</v>
      </c>
      <c r="I889" s="98">
        <f ca="1"/>
        <v>-1.5713064866492259E-3</v>
      </c>
      <c r="J889" s="94" t="s">
        <v>4</v>
      </c>
      <c r="K889" s="100">
        <f ca="1">_xll.meDateFromTenor(K888,"1D","FOLLOWING",L$12)</f>
        <v>43760</v>
      </c>
      <c r="L889" s="13">
        <f ca="1">_xll.meDateFromTenor(K889,L$14,L$11,L$12)</f>
        <v>43852</v>
      </c>
      <c r="M889" s="98">
        <f ca="1"/>
        <v>-2.898656619401798E-4</v>
      </c>
      <c r="N889" s="5" t="s">
        <v>4</v>
      </c>
      <c r="O889" s="100">
        <f ca="1">_xll.meDateFromTenor(O888,"1D","FOLLOWING",P$12)</f>
        <v>43760</v>
      </c>
      <c r="P889" s="13">
        <f ca="1">_xll.meDateFromTenor(O889,P$14,P$11,P$12)</f>
        <v>43943</v>
      </c>
      <c r="Q889" s="98">
        <f ca="1"/>
        <v>1.5430313502776082E-3</v>
      </c>
      <c r="R889" s="5" t="s">
        <v>4</v>
      </c>
      <c r="S889" s="100">
        <f ca="1">_xll.meDateFromTenor(S888,"1D","FOLLOWING",T$12)</f>
        <v>43760</v>
      </c>
      <c r="T889" s="13">
        <f ca="1">_xll.meDateFromTenor(S889,T$14,T$11,T$12)</f>
        <v>44126</v>
      </c>
      <c r="U889" s="98">
        <f ca="1"/>
        <v>3.5569568634255368E-3</v>
      </c>
      <c r="V889" s="5" t="s">
        <v>4</v>
      </c>
      <c r="W889" s="84" t="s">
        <v>4</v>
      </c>
    </row>
    <row r="890" spans="1:23" x14ac:dyDescent="0.25">
      <c r="A890" s="90">
        <v>871</v>
      </c>
      <c r="B890" s="83"/>
      <c r="C890" s="100">
        <f ca="1">_xll.meDateFromTenor(C889,"1D","FOLLOWING",D$12)</f>
        <v>43761</v>
      </c>
      <c r="D890" s="13">
        <f ca="1">_xll.meDateFromTenor(C890,D$14,D$11,D$12)</f>
        <v>43762</v>
      </c>
      <c r="E890" s="98">
        <f ca="1"/>
        <v>-2.3114124059153778E-3</v>
      </c>
      <c r="F890" s="94"/>
      <c r="G890" s="100">
        <f ca="1">_xll.meDateFromTenor(G889,"1D","FOLLOWING",H$12)</f>
        <v>43761</v>
      </c>
      <c r="H890" s="13">
        <f ca="1">_xll.meDateFromTenor(G890,H$14,H$11,H$12)</f>
        <v>43794</v>
      </c>
      <c r="I890" s="98">
        <f ca="1"/>
        <v>-1.5665140968994015E-3</v>
      </c>
      <c r="J890" s="94" t="s">
        <v>4</v>
      </c>
      <c r="K890" s="100">
        <f ca="1">_xll.meDateFromTenor(K889,"1D","FOLLOWING",L$12)</f>
        <v>43761</v>
      </c>
      <c r="L890" s="13">
        <f ca="1">_xll.meDateFromTenor(K890,L$14,L$11,L$12)</f>
        <v>43853</v>
      </c>
      <c r="M890" s="98">
        <f ca="1"/>
        <v>-2.8538815160394112E-4</v>
      </c>
      <c r="N890" s="5" t="s">
        <v>4</v>
      </c>
      <c r="O890" s="100">
        <f ca="1">_xll.meDateFromTenor(O889,"1D","FOLLOWING",P$12)</f>
        <v>43761</v>
      </c>
      <c r="P890" s="13">
        <f ca="1">_xll.meDateFromTenor(O890,P$14,P$11,P$12)</f>
        <v>43944</v>
      </c>
      <c r="Q890" s="98">
        <f ca="1"/>
        <v>1.5489246927131079E-3</v>
      </c>
      <c r="R890" s="5" t="s">
        <v>4</v>
      </c>
      <c r="S890" s="100">
        <f ca="1">_xll.meDateFromTenor(S889,"1D","FOLLOWING",T$12)</f>
        <v>43761</v>
      </c>
      <c r="T890" s="13">
        <f ca="1">_xll.meDateFromTenor(S890,T$14,T$11,T$12)</f>
        <v>44127</v>
      </c>
      <c r="U890" s="98">
        <f ca="1"/>
        <v>3.5624659236260263E-3</v>
      </c>
      <c r="V890" s="5" t="s">
        <v>4</v>
      </c>
      <c r="W890" s="84" t="s">
        <v>4</v>
      </c>
    </row>
    <row r="891" spans="1:23" x14ac:dyDescent="0.25">
      <c r="A891" s="90">
        <v>872</v>
      </c>
      <c r="B891" s="83"/>
      <c r="C891" s="100">
        <f ca="1">_xll.meDateFromTenor(C890,"1D","FOLLOWING",D$12)</f>
        <v>43762</v>
      </c>
      <c r="D891" s="13">
        <f ca="1">_xll.meDateFromTenor(C891,D$14,D$11,D$12)</f>
        <v>43763</v>
      </c>
      <c r="E891" s="98">
        <f ca="1"/>
        <v>-2.3065413425227359E-3</v>
      </c>
      <c r="F891" s="94"/>
      <c r="G891" s="100">
        <f ca="1">_xll.meDateFromTenor(G890,"1D","FOLLOWING",H$12)</f>
        <v>43762</v>
      </c>
      <c r="H891" s="13">
        <f ca="1">_xll.meDateFromTenor(G891,H$14,H$11,H$12)</f>
        <v>43794</v>
      </c>
      <c r="I891" s="98">
        <f ca="1"/>
        <v>-1.5617016835763598E-3</v>
      </c>
      <c r="J891" s="94" t="s">
        <v>4</v>
      </c>
      <c r="K891" s="100">
        <f ca="1">_xll.meDateFromTenor(K890,"1D","FOLLOWING",L$12)</f>
        <v>43762</v>
      </c>
      <c r="L891" s="13">
        <f ca="1">_xll.meDateFromTenor(K891,L$14,L$11,L$12)</f>
        <v>43854</v>
      </c>
      <c r="M891" s="98">
        <f ca="1"/>
        <v>-2.8089938127733456E-4</v>
      </c>
      <c r="N891" s="5" t="s">
        <v>4</v>
      </c>
      <c r="O891" s="100">
        <f ca="1">_xll.meDateFromTenor(O890,"1D","FOLLOWING",P$12)</f>
        <v>43762</v>
      </c>
      <c r="P891" s="13">
        <f ca="1">_xll.meDateFromTenor(O891,P$14,P$11,P$12)</f>
        <v>43945</v>
      </c>
      <c r="Q891" s="98">
        <f ca="1"/>
        <v>1.5548177619865086E-3</v>
      </c>
      <c r="R891" s="5" t="s">
        <v>4</v>
      </c>
      <c r="S891" s="100">
        <f ca="1">_xll.meDateFromTenor(S890,"1D","FOLLOWING",T$12)</f>
        <v>43762</v>
      </c>
      <c r="T891" s="13">
        <f ca="1">_xll.meDateFromTenor(S891,T$14,T$11,T$12)</f>
        <v>44130</v>
      </c>
      <c r="U891" s="98">
        <f ca="1"/>
        <v>3.5679758178098812E-3</v>
      </c>
      <c r="V891" s="5" t="s">
        <v>4</v>
      </c>
      <c r="W891" s="84" t="s">
        <v>4</v>
      </c>
    </row>
    <row r="892" spans="1:23" x14ac:dyDescent="0.25">
      <c r="A892" s="90">
        <v>873</v>
      </c>
      <c r="B892" s="83"/>
      <c r="C892" s="100">
        <f ca="1">_xll.meDateFromTenor(C891,"1D","FOLLOWING",D$12)</f>
        <v>43763</v>
      </c>
      <c r="D892" s="13">
        <f ca="1">_xll.meDateFromTenor(C892,D$14,D$11,D$12)</f>
        <v>43766</v>
      </c>
      <c r="E892" s="98">
        <f ca="1"/>
        <v>-2.2967816734231843E-3</v>
      </c>
      <c r="F892" s="94"/>
      <c r="G892" s="100">
        <f ca="1">_xll.meDateFromTenor(G891,"1D","FOLLOWING",H$12)</f>
        <v>43763</v>
      </c>
      <c r="H892" s="13">
        <f ca="1">_xll.meDateFromTenor(G892,H$14,H$11,H$12)</f>
        <v>43794</v>
      </c>
      <c r="I892" s="98">
        <f ca="1"/>
        <v>-1.5568661209491939E-3</v>
      </c>
      <c r="J892" s="94" t="s">
        <v>4</v>
      </c>
      <c r="K892" s="100">
        <f ca="1">_xll.meDateFromTenor(K891,"1D","FOLLOWING",L$12)</f>
        <v>43763</v>
      </c>
      <c r="L892" s="13">
        <f ca="1">_xll.meDateFromTenor(K892,L$14,L$11,L$12)</f>
        <v>43857</v>
      </c>
      <c r="M892" s="98">
        <f ca="1"/>
        <v>-2.7639934237611914E-4</v>
      </c>
      <c r="N892" s="5" t="s">
        <v>4</v>
      </c>
      <c r="O892" s="100">
        <f ca="1">_xll.meDateFromTenor(O891,"1D","FOLLOWING",P$12)</f>
        <v>43763</v>
      </c>
      <c r="P892" s="13">
        <f ca="1">_xll.meDateFromTenor(O892,P$14,P$11,P$12)</f>
        <v>43948</v>
      </c>
      <c r="Q892" s="98">
        <f ca="1"/>
        <v>1.5607105577277274E-3</v>
      </c>
      <c r="R892" s="5" t="s">
        <v>4</v>
      </c>
      <c r="S892" s="100">
        <f ca="1">_xll.meDateFromTenor(S891,"1D","FOLLOWING",T$12)</f>
        <v>43763</v>
      </c>
      <c r="T892" s="13">
        <f ca="1">_xll.meDateFromTenor(S892,T$14,T$11,T$12)</f>
        <v>44130</v>
      </c>
      <c r="U892" s="98">
        <f ca="1"/>
        <v>3.5734865692064171E-3</v>
      </c>
      <c r="V892" s="5" t="s">
        <v>4</v>
      </c>
      <c r="W892" s="84" t="s">
        <v>4</v>
      </c>
    </row>
    <row r="893" spans="1:23" x14ac:dyDescent="0.25">
      <c r="A893" s="90">
        <v>874</v>
      </c>
      <c r="B893" s="83"/>
      <c r="C893" s="100">
        <f ca="1">_xll.meDateFromTenor(C892,"1D","FOLLOWING",D$12)</f>
        <v>43766</v>
      </c>
      <c r="D893" s="13">
        <f ca="1">_xll.meDateFromTenor(C893,D$14,D$11,D$12)</f>
        <v>43767</v>
      </c>
      <c r="E893" s="98">
        <f ca="1"/>
        <v>-2.287048421325552E-3</v>
      </c>
      <c r="F893" s="94"/>
      <c r="G893" s="100">
        <f ca="1">_xll.meDateFromTenor(G892,"1D","FOLLOWING",H$12)</f>
        <v>43766</v>
      </c>
      <c r="H893" s="13">
        <f ca="1">_xll.meDateFromTenor(G893,H$14,H$11,H$12)</f>
        <v>43797</v>
      </c>
      <c r="I893" s="98">
        <f ca="1"/>
        <v>-1.5421892799338567E-3</v>
      </c>
      <c r="J893" s="94" t="s">
        <v>4</v>
      </c>
      <c r="K893" s="100">
        <f ca="1">_xll.meDateFromTenor(K892,"1D","FOLLOWING",L$12)</f>
        <v>43766</v>
      </c>
      <c r="L893" s="13">
        <f ca="1">_xll.meDateFromTenor(K893,L$14,L$11,L$12)</f>
        <v>43858</v>
      </c>
      <c r="M893" s="98">
        <f ca="1"/>
        <v>-2.6283152838240341E-4</v>
      </c>
      <c r="N893" s="5" t="s">
        <v>4</v>
      </c>
      <c r="O893" s="100">
        <f ca="1">_xll.meDateFromTenor(O892,"1D","FOLLOWING",P$12)</f>
        <v>43766</v>
      </c>
      <c r="P893" s="13">
        <f ca="1">_xll.meDateFromTenor(O893,P$14,P$11,P$12)</f>
        <v>43949</v>
      </c>
      <c r="Q893" s="98">
        <f ca="1"/>
        <v>1.5783873000574725E-3</v>
      </c>
      <c r="R893" s="5" t="s">
        <v>4</v>
      </c>
      <c r="S893" s="100">
        <f ca="1">_xll.meDateFromTenor(S892,"1D","FOLLOWING",T$12)</f>
        <v>43766</v>
      </c>
      <c r="T893" s="13">
        <f ca="1">_xll.meDateFromTenor(S893,T$14,T$11,T$12)</f>
        <v>44132</v>
      </c>
      <c r="U893" s="98">
        <f ca="1"/>
        <v>3.5900241989652941E-3</v>
      </c>
      <c r="V893" s="5" t="s">
        <v>4</v>
      </c>
      <c r="W893" s="84" t="s">
        <v>4</v>
      </c>
    </row>
    <row r="894" spans="1:23" x14ac:dyDescent="0.25">
      <c r="A894" s="90">
        <v>875</v>
      </c>
      <c r="B894" s="83"/>
      <c r="C894" s="100">
        <f ca="1">_xll.meDateFromTenor(C893,"1D","FOLLOWING",D$12)</f>
        <v>43767</v>
      </c>
      <c r="D894" s="13">
        <f ca="1">_xll.meDateFromTenor(C894,D$14,D$11,D$12)</f>
        <v>43768</v>
      </c>
      <c r="E894" s="98">
        <f ca="1"/>
        <v>-2.2821730231204012E-3</v>
      </c>
      <c r="F894" s="94"/>
      <c r="G894" s="100">
        <f ca="1">_xll.meDateFromTenor(G893,"1D","FOLLOWING",H$12)</f>
        <v>43767</v>
      </c>
      <c r="H894" s="13">
        <f ca="1">_xll.meDateFromTenor(G894,H$14,H$11,H$12)</f>
        <v>43798</v>
      </c>
      <c r="I894" s="98">
        <f ca="1"/>
        <v>-1.5372298627811028E-3</v>
      </c>
      <c r="J894" s="94" t="s">
        <v>4</v>
      </c>
      <c r="K894" s="100">
        <f ca="1">_xll.meDateFromTenor(K893,"1D","FOLLOWING",L$12)</f>
        <v>43767</v>
      </c>
      <c r="L894" s="13">
        <f ca="1">_xll.meDateFromTenor(K894,L$14,L$11,L$12)</f>
        <v>43859</v>
      </c>
      <c r="M894" s="98">
        <f ca="1"/>
        <v>-2.58286329340337E-4</v>
      </c>
      <c r="N894" s="5" t="s">
        <v>4</v>
      </c>
      <c r="O894" s="100">
        <f ca="1">_xll.meDateFromTenor(O893,"1D","FOLLOWING",P$12)</f>
        <v>43767</v>
      </c>
      <c r="P894" s="13">
        <f ca="1">_xll.meDateFromTenor(O894,P$14,P$11,P$12)</f>
        <v>43950</v>
      </c>
      <c r="Q894" s="98">
        <f ca="1"/>
        <v>1.584278997969143E-3</v>
      </c>
      <c r="R894" s="5" t="s">
        <v>4</v>
      </c>
      <c r="S894" s="100">
        <f ca="1">_xll.meDateFromTenor(S893,"1D","FOLLOWING",T$12)</f>
        <v>43767</v>
      </c>
      <c r="T894" s="13">
        <f ca="1">_xll.meDateFromTenor(S894,T$14,T$11,T$12)</f>
        <v>44133</v>
      </c>
      <c r="U894" s="98">
        <f ca="1"/>
        <v>3.5955386115057333E-3</v>
      </c>
      <c r="V894" s="5" t="s">
        <v>4</v>
      </c>
      <c r="W894" s="84" t="s">
        <v>4</v>
      </c>
    </row>
    <row r="895" spans="1:23" x14ac:dyDescent="0.25">
      <c r="A895" s="90">
        <v>876</v>
      </c>
      <c r="B895" s="83"/>
      <c r="C895" s="100">
        <f ca="1">_xll.meDateFromTenor(C894,"1D","FOLLOWING",D$12)</f>
        <v>43768</v>
      </c>
      <c r="D895" s="13">
        <f ca="1">_xll.meDateFromTenor(C895,D$14,D$11,D$12)</f>
        <v>43769</v>
      </c>
      <c r="E895" s="98">
        <f ca="1"/>
        <v>-2.2772967574091834E-3</v>
      </c>
      <c r="F895" s="94"/>
      <c r="G895" s="100">
        <f ca="1">_xll.meDateFromTenor(G894,"1D","FOLLOWING",H$12)</f>
        <v>43768</v>
      </c>
      <c r="H895" s="13">
        <f ca="1">_xll.meDateFromTenor(G895,H$14,H$11,H$12)</f>
        <v>43798</v>
      </c>
      <c r="I895" s="98">
        <f ca="1"/>
        <v>-1.5322316676696791E-3</v>
      </c>
      <c r="J895" s="94" t="s">
        <v>4</v>
      </c>
      <c r="K895" s="100">
        <f ca="1">_xll.meDateFromTenor(K894,"1D","FOLLOWING",L$12)</f>
        <v>43768</v>
      </c>
      <c r="L895" s="13">
        <f ca="1">_xll.meDateFromTenor(K895,L$14,L$11,L$12)</f>
        <v>43860</v>
      </c>
      <c r="M895" s="98">
        <f ca="1"/>
        <v>-2.5372981880245288E-4</v>
      </c>
      <c r="N895" s="5" t="s">
        <v>4</v>
      </c>
      <c r="O895" s="100">
        <f ca="1">_xll.meDateFromTenor(O894,"1D","FOLLOWING",P$12)</f>
        <v>43768</v>
      </c>
      <c r="P895" s="13">
        <f ca="1">_xll.meDateFromTenor(O895,P$14,P$11,P$12)</f>
        <v>43951</v>
      </c>
      <c r="Q895" s="98">
        <f ca="1"/>
        <v>1.5901704204982225E-3</v>
      </c>
      <c r="R895" s="5" t="s">
        <v>4</v>
      </c>
      <c r="S895" s="100">
        <f ca="1">_xll.meDateFromTenor(S894,"1D","FOLLOWING",T$12)</f>
        <v>43768</v>
      </c>
      <c r="T895" s="13">
        <f ca="1">_xll.meDateFromTenor(S895,T$14,T$11,T$12)</f>
        <v>44134</v>
      </c>
      <c r="U895" s="98">
        <f ca="1"/>
        <v>3.6010539974054446E-3</v>
      </c>
      <c r="V895" s="5" t="s">
        <v>4</v>
      </c>
      <c r="W895" s="84" t="s">
        <v>4</v>
      </c>
    </row>
    <row r="896" spans="1:23" x14ac:dyDescent="0.25">
      <c r="A896" s="90">
        <v>877</v>
      </c>
      <c r="B896" s="83"/>
      <c r="C896" s="100">
        <f ca="1">_xll.meDateFromTenor(C895,"1D","FOLLOWING",D$12)</f>
        <v>43769</v>
      </c>
      <c r="D896" s="13">
        <f ca="1">_xll.meDateFromTenor(C896,D$14,D$11,D$12)</f>
        <v>43770</v>
      </c>
      <c r="E896" s="98">
        <f ca="1"/>
        <v>-2.2724196239121224E-3</v>
      </c>
      <c r="F896" s="94"/>
      <c r="G896" s="100">
        <f ca="1">_xll.meDateFromTenor(G895,"1D","FOLLOWING",H$12)</f>
        <v>43769</v>
      </c>
      <c r="H896" s="13">
        <f ca="1">_xll.meDateFromTenor(G896,H$14,H$11,H$12)</f>
        <v>43798</v>
      </c>
      <c r="I896" s="98">
        <f ca="1"/>
        <v>-1.5271915688686787E-3</v>
      </c>
      <c r="J896" s="94" t="s">
        <v>4</v>
      </c>
      <c r="K896" s="100">
        <f ca="1">_xll.meDateFromTenor(K895,"1D","FOLLOWING",L$12)</f>
        <v>43769</v>
      </c>
      <c r="L896" s="13">
        <f ca="1">_xll.meDateFromTenor(K896,L$14,L$11,L$12)</f>
        <v>43861</v>
      </c>
      <c r="M896" s="98">
        <f ca="1"/>
        <v>-2.4916198818451086E-4</v>
      </c>
      <c r="N896" s="5" t="s">
        <v>4</v>
      </c>
      <c r="O896" s="100">
        <f ca="1">_xll.meDateFromTenor(O895,"1D","FOLLOWING",P$12)</f>
        <v>43769</v>
      </c>
      <c r="P896" s="13">
        <f ca="1">_xll.meDateFromTenor(O896,P$14,P$11,P$12)</f>
        <v>43951</v>
      </c>
      <c r="Q896" s="98">
        <f ca="1"/>
        <v>1.5960615672746272E-3</v>
      </c>
      <c r="R896" s="5" t="s">
        <v>4</v>
      </c>
      <c r="S896" s="100">
        <f ca="1">_xll.meDateFromTenor(S895,"1D","FOLLOWING",T$12)</f>
        <v>43769</v>
      </c>
      <c r="T896" s="13">
        <f ca="1">_xll.meDateFromTenor(S896,T$14,T$11,T$12)</f>
        <v>44134</v>
      </c>
      <c r="U896" s="98">
        <f ca="1"/>
        <v>3.6065703798937422E-3</v>
      </c>
      <c r="V896" s="5" t="s">
        <v>4</v>
      </c>
      <c r="W896" s="84" t="s">
        <v>4</v>
      </c>
    </row>
    <row r="897" spans="1:23" x14ac:dyDescent="0.25">
      <c r="A897" s="90">
        <v>878</v>
      </c>
      <c r="B897" s="83"/>
      <c r="C897" s="100">
        <f ca="1">_xll.meDateFromTenor(C896,"1D","FOLLOWING",D$12)</f>
        <v>43770</v>
      </c>
      <c r="D897" s="13">
        <f ca="1">_xll.meDateFromTenor(C897,D$14,D$11,D$12)</f>
        <v>43773</v>
      </c>
      <c r="E897" s="98">
        <f ca="1"/>
        <v>-2.2626482427545807E-3</v>
      </c>
      <c r="F897" s="94"/>
      <c r="G897" s="100">
        <f ca="1">_xll.meDateFromTenor(G896,"1D","FOLLOWING",H$12)</f>
        <v>43770</v>
      </c>
      <c r="H897" s="13">
        <f ca="1">_xll.meDateFromTenor(G897,H$14,H$11,H$12)</f>
        <v>43801</v>
      </c>
      <c r="I897" s="98">
        <f ca="1"/>
        <v>-1.5221064406471905E-3</v>
      </c>
      <c r="J897" s="94" t="s">
        <v>4</v>
      </c>
      <c r="K897" s="100">
        <f ca="1">_xll.meDateFromTenor(K896,"1D","FOLLOWING",L$12)</f>
        <v>43770</v>
      </c>
      <c r="L897" s="13">
        <f ca="1">_xll.meDateFromTenor(K897,L$14,L$11,L$12)</f>
        <v>43864</v>
      </c>
      <c r="M897" s="98">
        <f ca="1"/>
        <v>-2.4458282890226776E-4</v>
      </c>
      <c r="N897" s="5" t="s">
        <v>4</v>
      </c>
      <c r="O897" s="100">
        <f ca="1">_xll.meDateFromTenor(O896,"1D","FOLLOWING",P$12)</f>
        <v>43770</v>
      </c>
      <c r="P897" s="13">
        <f ca="1">_xll.meDateFromTenor(O897,P$14,P$11,P$12)</f>
        <v>43955</v>
      </c>
      <c r="Q897" s="98">
        <f ca="1"/>
        <v>1.6019524379282774E-3</v>
      </c>
      <c r="R897" s="5" t="s">
        <v>4</v>
      </c>
      <c r="S897" s="100">
        <f ca="1">_xll.meDateFromTenor(S896,"1D","FOLLOWING",T$12)</f>
        <v>43770</v>
      </c>
      <c r="T897" s="13">
        <f ca="1">_xll.meDateFromTenor(S897,T$14,T$11,T$12)</f>
        <v>44137</v>
      </c>
      <c r="U897" s="98">
        <f ca="1"/>
        <v>3.6120877821999475E-3</v>
      </c>
      <c r="V897" s="5" t="s">
        <v>4</v>
      </c>
      <c r="W897" s="84" t="s">
        <v>4</v>
      </c>
    </row>
    <row r="898" spans="1:23" x14ac:dyDescent="0.25">
      <c r="A898" s="90">
        <v>879</v>
      </c>
      <c r="B898" s="83"/>
      <c r="C898" s="100">
        <f ca="1">_xll.meDateFromTenor(C897,"1D","FOLLOWING",D$12)</f>
        <v>43773</v>
      </c>
      <c r="D898" s="13">
        <f ca="1">_xll.meDateFromTenor(C898,D$14,D$11,D$12)</f>
        <v>43774</v>
      </c>
      <c r="E898" s="98">
        <f ca="1"/>
        <v>-2.2529024099471407E-3</v>
      </c>
      <c r="F898" s="94"/>
      <c r="G898" s="100">
        <f ca="1">_xll.meDateFromTenor(G897,"1D","FOLLOWING",H$12)</f>
        <v>43773</v>
      </c>
      <c r="H898" s="13">
        <f ca="1">_xll.meDateFromTenor(G898,H$14,H$11,H$12)</f>
        <v>43803</v>
      </c>
      <c r="I898" s="98">
        <f ca="1"/>
        <v>-1.5065496221507171E-3</v>
      </c>
      <c r="J898" s="94" t="s">
        <v>4</v>
      </c>
      <c r="K898" s="100">
        <f ca="1">_xll.meDateFromTenor(K897,"1D","FOLLOWING",L$12)</f>
        <v>43773</v>
      </c>
      <c r="L898" s="13">
        <f ca="1">_xll.meDateFromTenor(K898,L$14,L$11,L$12)</f>
        <v>43865</v>
      </c>
      <c r="M898" s="98">
        <f ca="1"/>
        <v>-2.3077729322732043E-4</v>
      </c>
      <c r="N898" s="5" t="s">
        <v>4</v>
      </c>
      <c r="O898" s="100">
        <f ca="1">_xll.meDateFromTenor(O897,"1D","FOLLOWING",P$12)</f>
        <v>43773</v>
      </c>
      <c r="P898" s="13">
        <f ca="1">_xll.meDateFromTenor(O898,P$14,P$11,P$12)</f>
        <v>43955</v>
      </c>
      <c r="Q898" s="98">
        <f ca="1"/>
        <v>1.6196233894518739E-3</v>
      </c>
      <c r="R898" s="5" t="s">
        <v>4</v>
      </c>
      <c r="S898" s="100">
        <f ca="1">_xll.meDateFromTenor(S897,"1D","FOLLOWING",T$12)</f>
        <v>43773</v>
      </c>
      <c r="T898" s="13">
        <f ca="1">_xll.meDateFromTenor(S898,T$14,T$11,T$12)</f>
        <v>44139</v>
      </c>
      <c r="U898" s="98">
        <f ca="1"/>
        <v>3.6286463403191744E-3</v>
      </c>
      <c r="V898" s="5" t="s">
        <v>4</v>
      </c>
      <c r="W898" s="84" t="s">
        <v>4</v>
      </c>
    </row>
    <row r="899" spans="1:23" x14ac:dyDescent="0.25">
      <c r="A899" s="90">
        <v>880</v>
      </c>
      <c r="B899" s="83"/>
      <c r="C899" s="100">
        <f ca="1">_xll.meDateFromTenor(C898,"1D","FOLLOWING",D$12)</f>
        <v>43774</v>
      </c>
      <c r="D899" s="13">
        <f ca="1">_xll.meDateFromTenor(C899,D$14,D$11,D$12)</f>
        <v>43775</v>
      </c>
      <c r="E899" s="98">
        <f ca="1"/>
        <v>-2.2480209353226222E-3</v>
      </c>
      <c r="F899" s="94"/>
      <c r="G899" s="100">
        <f ca="1">_xll.meDateFromTenor(G898,"1D","FOLLOWING",H$12)</f>
        <v>43774</v>
      </c>
      <c r="H899" s="13">
        <f ca="1">_xll.meDateFromTenor(G899,H$14,H$11,H$12)</f>
        <v>43804</v>
      </c>
      <c r="I899" s="98">
        <f ca="1"/>
        <v>-1.5012539899614075E-3</v>
      </c>
      <c r="J899" s="94" t="s">
        <v>4</v>
      </c>
      <c r="K899" s="100">
        <f ca="1">_xll.meDateFromTenor(K898,"1D","FOLLOWING",L$12)</f>
        <v>43774</v>
      </c>
      <c r="L899" s="13">
        <f ca="1">_xll.meDateFromTenor(K899,L$14,L$11,L$12)</f>
        <v>43866</v>
      </c>
      <c r="M899" s="98">
        <f ca="1"/>
        <v>-2.2615273344545988E-4</v>
      </c>
      <c r="N899" s="5" t="s">
        <v>4</v>
      </c>
      <c r="O899" s="100">
        <f ca="1">_xll.meDateFromTenor(O898,"1D","FOLLOWING",P$12)</f>
        <v>43774</v>
      </c>
      <c r="P899" s="13">
        <f ca="1">_xll.meDateFromTenor(O899,P$14,P$11,P$12)</f>
        <v>43956</v>
      </c>
      <c r="Q899" s="98">
        <f ca="1"/>
        <v>1.6255131519136812E-3</v>
      </c>
      <c r="R899" s="5" t="s">
        <v>4</v>
      </c>
      <c r="S899" s="100">
        <f ca="1">_xll.meDateFromTenor(S898,"1D","FOLLOWING",T$12)</f>
        <v>43774</v>
      </c>
      <c r="T899" s="13">
        <f ca="1">_xll.meDateFromTenor(S899,T$14,T$11,T$12)</f>
        <v>44140</v>
      </c>
      <c r="U899" s="98">
        <f ca="1"/>
        <v>3.6341680541901798E-3</v>
      </c>
      <c r="V899" s="5" t="s">
        <v>4</v>
      </c>
      <c r="W899" s="84" t="s">
        <v>4</v>
      </c>
    </row>
    <row r="900" spans="1:23" x14ac:dyDescent="0.25">
      <c r="A900" s="90">
        <v>881</v>
      </c>
      <c r="B900" s="83"/>
      <c r="C900" s="100">
        <f ca="1">_xll.meDateFromTenor(C899,"1D","FOLLOWING",D$12)</f>
        <v>43775</v>
      </c>
      <c r="D900" s="13">
        <f ca="1">_xll.meDateFromTenor(C900,D$14,D$11,D$12)</f>
        <v>43776</v>
      </c>
      <c r="E900" s="98">
        <f ca="1"/>
        <v>-2.243138592152868E-3</v>
      </c>
      <c r="F900" s="94"/>
      <c r="G900" s="100">
        <f ca="1">_xll.meDateFromTenor(G899,"1D","FOLLOWING",H$12)</f>
        <v>43775</v>
      </c>
      <c r="H900" s="13">
        <f ca="1">_xll.meDateFromTenor(G900,H$14,H$11,H$12)</f>
        <v>43805</v>
      </c>
      <c r="I900" s="98">
        <f ca="1"/>
        <v>-1.4959029258363509E-3</v>
      </c>
      <c r="J900" s="94" t="s">
        <v>4</v>
      </c>
      <c r="K900" s="100">
        <f ca="1">_xll.meDateFromTenor(K899,"1D","FOLLOWING",L$12)</f>
        <v>43775</v>
      </c>
      <c r="L900" s="13">
        <f ca="1">_xll.meDateFromTenor(K900,L$14,L$11,L$12)</f>
        <v>43867</v>
      </c>
      <c r="M900" s="98">
        <f ca="1"/>
        <v>-2.2151680207809085E-4</v>
      </c>
      <c r="N900" s="5" t="s">
        <v>4</v>
      </c>
      <c r="O900" s="100">
        <f ca="1">_xll.meDateFromTenor(O899,"1D","FOLLOWING",P$12)</f>
        <v>43775</v>
      </c>
      <c r="P900" s="13">
        <f ca="1">_xll.meDateFromTenor(O900,P$14,P$11,P$12)</f>
        <v>43957</v>
      </c>
      <c r="Q900" s="98">
        <f ca="1"/>
        <v>1.6314026364023233E-3</v>
      </c>
      <c r="R900" s="5" t="s">
        <v>4</v>
      </c>
      <c r="S900" s="100">
        <f ca="1">_xll.meDateFromTenor(S899,"1D","FOLLOWING",T$12)</f>
        <v>43775</v>
      </c>
      <c r="T900" s="13">
        <f ca="1">_xll.meDateFromTenor(S900,T$14,T$11,T$12)</f>
        <v>44141</v>
      </c>
      <c r="U900" s="98">
        <f ca="1"/>
        <v>3.6396909040256804E-3</v>
      </c>
      <c r="V900" s="5" t="s">
        <v>4</v>
      </c>
      <c r="W900" s="84" t="s">
        <v>4</v>
      </c>
    </row>
    <row r="901" spans="1:23" x14ac:dyDescent="0.25">
      <c r="A901" s="90">
        <v>882</v>
      </c>
      <c r="B901" s="83"/>
      <c r="C901" s="100">
        <f ca="1">_xll.meDateFromTenor(C900,"1D","FOLLOWING",D$12)</f>
        <v>43776</v>
      </c>
      <c r="D901" s="13">
        <f ca="1">_xll.meDateFromTenor(C901,D$14,D$11,D$12)</f>
        <v>43777</v>
      </c>
      <c r="E901" s="98">
        <f ca="1"/>
        <v>-2.2382553799982297E-3</v>
      </c>
      <c r="F901" s="94"/>
      <c r="G901" s="100">
        <f ca="1">_xll.meDateFromTenor(G900,"1D","FOLLOWING",H$12)</f>
        <v>43776</v>
      </c>
      <c r="H901" s="13">
        <f ca="1">_xll.meDateFromTenor(G901,H$14,H$11,H$12)</f>
        <v>43808</v>
      </c>
      <c r="I901" s="98">
        <f ca="1"/>
        <v>-1.4904985301839233E-3</v>
      </c>
      <c r="J901" s="94" t="s">
        <v>4</v>
      </c>
      <c r="K901" s="100">
        <f ca="1">_xll.meDateFromTenor(K900,"1D","FOLLOWING",L$12)</f>
        <v>43776</v>
      </c>
      <c r="L901" s="13">
        <f ca="1">_xll.meDateFromTenor(K901,L$14,L$11,L$12)</f>
        <v>43868</v>
      </c>
      <c r="M901" s="98">
        <f ca="1"/>
        <v>-2.1686949054097249E-4</v>
      </c>
      <c r="N901" s="5" t="s">
        <v>4</v>
      </c>
      <c r="O901" s="100">
        <f ca="1">_xll.meDateFromTenor(O900,"1D","FOLLOWING",P$12)</f>
        <v>43776</v>
      </c>
      <c r="P901" s="13">
        <f ca="1">_xll.meDateFromTenor(O901,P$14,P$11,P$12)</f>
        <v>43958</v>
      </c>
      <c r="Q901" s="98">
        <f ca="1"/>
        <v>1.6372918425477166E-3</v>
      </c>
      <c r="R901" s="5" t="s">
        <v>4</v>
      </c>
      <c r="S901" s="100">
        <f ca="1">_xll.meDateFromTenor(S900,"1D","FOLLOWING",T$12)</f>
        <v>43776</v>
      </c>
      <c r="T901" s="13">
        <f ca="1">_xll.meDateFromTenor(S901,T$14,T$11,T$12)</f>
        <v>44144</v>
      </c>
      <c r="U901" s="98">
        <f ca="1"/>
        <v>3.6452149130549913E-3</v>
      </c>
      <c r="V901" s="5" t="s">
        <v>4</v>
      </c>
      <c r="W901" s="84" t="s">
        <v>4</v>
      </c>
    </row>
    <row r="902" spans="1:23" x14ac:dyDescent="0.25">
      <c r="A902" s="90">
        <v>883</v>
      </c>
      <c r="B902" s="83"/>
      <c r="C902" s="100">
        <f ca="1">_xll.meDateFromTenor(C901,"1D","FOLLOWING",D$12)</f>
        <v>43777</v>
      </c>
      <c r="D902" s="13">
        <f ca="1">_xll.meDateFromTenor(C902,D$14,D$11,D$12)</f>
        <v>43780</v>
      </c>
      <c r="E902" s="98">
        <f ca="1"/>
        <v>-2.2284722636278865E-3</v>
      </c>
      <c r="F902" s="94"/>
      <c r="G902" s="100">
        <f ca="1">_xll.meDateFromTenor(G901,"1D","FOLLOWING",H$12)</f>
        <v>43777</v>
      </c>
      <c r="H902" s="13">
        <f ca="1">_xll.meDateFromTenor(G902,H$14,H$11,H$12)</f>
        <v>43808</v>
      </c>
      <c r="I902" s="98">
        <f ca="1"/>
        <v>-1.4850429034124978E-3</v>
      </c>
      <c r="J902" s="94" t="s">
        <v>4</v>
      </c>
      <c r="K902" s="100">
        <f ca="1">_xll.meDateFromTenor(K901,"1D","FOLLOWING",L$12)</f>
        <v>43777</v>
      </c>
      <c r="L902" s="13">
        <f ca="1">_xll.meDateFromTenor(K902,L$14,L$11,L$12)</f>
        <v>43871</v>
      </c>
      <c r="M902" s="98">
        <f ca="1"/>
        <v>-2.122107902498617E-4</v>
      </c>
      <c r="N902" s="5" t="s">
        <v>4</v>
      </c>
      <c r="O902" s="100">
        <f ca="1">_xll.meDateFromTenor(O901,"1D","FOLLOWING",P$12)</f>
        <v>43777</v>
      </c>
      <c r="P902" s="13">
        <f ca="1">_xll.meDateFromTenor(O902,P$14,P$11,P$12)</f>
        <v>43959</v>
      </c>
      <c r="Q902" s="98">
        <f ca="1"/>
        <v>1.6431807699797815E-3</v>
      </c>
      <c r="R902" s="5" t="s">
        <v>4</v>
      </c>
      <c r="S902" s="100">
        <f ca="1">_xll.meDateFromTenor(S901,"1D","FOLLOWING",T$12)</f>
        <v>43777</v>
      </c>
      <c r="T902" s="13">
        <f ca="1">_xll.meDateFromTenor(S902,T$14,T$11,T$12)</f>
        <v>44144</v>
      </c>
      <c r="U902" s="98">
        <f ca="1"/>
        <v>3.6507401045074335E-3</v>
      </c>
      <c r="V902" s="5" t="s">
        <v>4</v>
      </c>
      <c r="W902" s="84" t="s">
        <v>4</v>
      </c>
    </row>
    <row r="903" spans="1:23" x14ac:dyDescent="0.25">
      <c r="A903" s="90">
        <v>884</v>
      </c>
      <c r="B903" s="83"/>
      <c r="C903" s="100">
        <f ca="1">_xll.meDateFromTenor(C902,"1D","FOLLOWING",D$12)</f>
        <v>43780</v>
      </c>
      <c r="D903" s="13">
        <f ca="1">_xll.meDateFromTenor(C903,D$14,D$11,D$12)</f>
        <v>43781</v>
      </c>
      <c r="E903" s="98">
        <f ca="1"/>
        <v>-2.2187138387330741E-3</v>
      </c>
      <c r="F903" s="94"/>
      <c r="G903" s="100">
        <f ca="1">_xll.meDateFromTenor(G902,"1D","FOLLOWING",H$12)</f>
        <v>43780</v>
      </c>
      <c r="H903" s="13">
        <f ca="1">_xll.meDateFromTenor(G903,H$14,H$11,H$12)</f>
        <v>43810</v>
      </c>
      <c r="I903" s="98">
        <f ca="1"/>
        <v>-1.4683896404679908E-3</v>
      </c>
      <c r="J903" s="94" t="s">
        <v>4</v>
      </c>
      <c r="K903" s="100">
        <f ca="1">_xll.meDateFromTenor(K902,"1D","FOLLOWING",L$12)</f>
        <v>43780</v>
      </c>
      <c r="L903" s="13">
        <f ca="1">_xll.meDateFromTenor(K903,L$14,L$11,L$12)</f>
        <v>43872</v>
      </c>
      <c r="M903" s="98">
        <f ca="1"/>
        <v>-1.9816627101016329E-4</v>
      </c>
      <c r="N903" s="5" t="s">
        <v>4</v>
      </c>
      <c r="O903" s="100">
        <f ca="1">_xll.meDateFromTenor(O902,"1D","FOLLOWING",P$12)</f>
        <v>43780</v>
      </c>
      <c r="P903" s="13">
        <f ca="1">_xll.meDateFromTenor(O903,P$14,P$11,P$12)</f>
        <v>43962</v>
      </c>
      <c r="Q903" s="98">
        <f ca="1"/>
        <v>1.6608458762951781E-3</v>
      </c>
      <c r="R903" s="5" t="s">
        <v>4</v>
      </c>
      <c r="S903" s="100">
        <f ca="1">_xll.meDateFromTenor(S902,"1D","FOLLOWING",T$12)</f>
        <v>43780</v>
      </c>
      <c r="T903" s="13">
        <f ca="1">_xll.meDateFromTenor(S903,T$14,T$11,T$12)</f>
        <v>44146</v>
      </c>
      <c r="U903" s="98">
        <f ca="1"/>
        <v>3.6673230056967149E-3</v>
      </c>
      <c r="V903" s="5" t="s">
        <v>4</v>
      </c>
      <c r="W903" s="84" t="s">
        <v>4</v>
      </c>
    </row>
    <row r="904" spans="1:23" x14ac:dyDescent="0.25">
      <c r="A904" s="90">
        <v>885</v>
      </c>
      <c r="B904" s="83"/>
      <c r="C904" s="100">
        <f ca="1">_xll.meDateFromTenor(C903,"1D","FOLLOWING",D$12)</f>
        <v>43781</v>
      </c>
      <c r="D904" s="13">
        <f ca="1">_xll.meDateFromTenor(C904,D$14,D$11,D$12)</f>
        <v>43782</v>
      </c>
      <c r="E904" s="98">
        <f ca="1"/>
        <v>-2.2138262792559338E-3</v>
      </c>
      <c r="F904" s="94"/>
      <c r="G904" s="100">
        <f ca="1">_xll.meDateFromTenor(G903,"1D","FOLLOWING",H$12)</f>
        <v>43781</v>
      </c>
      <c r="H904" s="13">
        <f ca="1">_xll.meDateFromTenor(G904,H$14,H$11,H$12)</f>
        <v>43811</v>
      </c>
      <c r="I904" s="98">
        <f ca="1"/>
        <v>-1.4627500933043277E-3</v>
      </c>
      <c r="J904" s="94" t="s">
        <v>4</v>
      </c>
      <c r="K904" s="100">
        <f ca="1">_xll.meDateFromTenor(K903,"1D","FOLLOWING",L$12)</f>
        <v>43781</v>
      </c>
      <c r="L904" s="13">
        <f ca="1">_xll.meDateFromTenor(K904,L$14,L$11,L$12)</f>
        <v>43873</v>
      </c>
      <c r="M904" s="98">
        <f ca="1"/>
        <v>-1.9346192986066925E-4</v>
      </c>
      <c r="N904" s="5" t="s">
        <v>4</v>
      </c>
      <c r="O904" s="100">
        <f ca="1">_xll.meDateFromTenor(O903,"1D","FOLLOWING",P$12)</f>
        <v>43781</v>
      </c>
      <c r="P904" s="13">
        <f ca="1">_xll.meDateFromTenor(O904,P$14,P$11,P$12)</f>
        <v>43963</v>
      </c>
      <c r="Q904" s="98">
        <f ca="1"/>
        <v>1.6667336851731054E-3</v>
      </c>
      <c r="R904" s="5" t="s">
        <v>4</v>
      </c>
      <c r="S904" s="100">
        <f ca="1">_xll.meDateFromTenor(S903,"1D","FOLLOWING",T$12)</f>
        <v>43781</v>
      </c>
      <c r="T904" s="13">
        <f ca="1">_xll.meDateFromTenor(S904,T$14,T$11,T$12)</f>
        <v>44147</v>
      </c>
      <c r="U904" s="98">
        <f ca="1"/>
        <v>3.6728531591348535E-3</v>
      </c>
      <c r="V904" s="5" t="s">
        <v>4</v>
      </c>
      <c r="W904" s="84" t="s">
        <v>4</v>
      </c>
    </row>
    <row r="905" spans="1:23" x14ac:dyDescent="0.25">
      <c r="A905" s="90">
        <v>886</v>
      </c>
      <c r="B905" s="83"/>
      <c r="C905" s="100">
        <f ca="1">_xll.meDateFromTenor(C904,"1D","FOLLOWING",D$12)</f>
        <v>43782</v>
      </c>
      <c r="D905" s="13">
        <f ca="1">_xll.meDateFromTenor(C905,D$14,D$11,D$12)</f>
        <v>43783</v>
      </c>
      <c r="E905" s="98">
        <f ca="1"/>
        <v>-2.2089378499545809E-3</v>
      </c>
      <c r="F905" s="94"/>
      <c r="G905" s="100">
        <f ca="1">_xll.meDateFromTenor(G904,"1D","FOLLOWING",H$12)</f>
        <v>43782</v>
      </c>
      <c r="H905" s="13">
        <f ca="1">_xll.meDateFromTenor(G905,H$14,H$11,H$12)</f>
        <v>43812</v>
      </c>
      <c r="I905" s="98">
        <f ca="1"/>
        <v>-1.4570698170635432E-3</v>
      </c>
      <c r="J905" s="94" t="s">
        <v>4</v>
      </c>
      <c r="K905" s="100">
        <f ca="1">_xll.meDateFromTenor(K904,"1D","FOLLOWING",L$12)</f>
        <v>43782</v>
      </c>
      <c r="L905" s="13">
        <f ca="1">_xll.meDateFromTenor(K905,L$14,L$11,L$12)</f>
        <v>43874</v>
      </c>
      <c r="M905" s="98">
        <f ca="1"/>
        <v>-1.8874615703597531E-4</v>
      </c>
      <c r="N905" s="5" t="s">
        <v>4</v>
      </c>
      <c r="O905" s="100">
        <f ca="1">_xll.meDateFromTenor(O904,"1D","FOLLOWING",P$12)</f>
        <v>43782</v>
      </c>
      <c r="P905" s="13">
        <f ca="1">_xll.meDateFromTenor(O905,P$14,P$11,P$12)</f>
        <v>43964</v>
      </c>
      <c r="Q905" s="98">
        <f ca="1"/>
        <v>1.672621213487293E-3</v>
      </c>
      <c r="R905" s="5" t="s">
        <v>4</v>
      </c>
      <c r="S905" s="100">
        <f ca="1">_xll.meDateFromTenor(S904,"1D","FOLLOWING",T$12)</f>
        <v>43782</v>
      </c>
      <c r="T905" s="13">
        <f ca="1">_xll.meDateFromTenor(S905,T$14,T$11,T$12)</f>
        <v>44148</v>
      </c>
      <c r="U905" s="98">
        <f ca="1"/>
        <v>3.6783846111427113E-3</v>
      </c>
      <c r="V905" s="5" t="s">
        <v>4</v>
      </c>
      <c r="W905" s="84" t="s">
        <v>4</v>
      </c>
    </row>
    <row r="906" spans="1:23" x14ac:dyDescent="0.25">
      <c r="A906" s="90">
        <v>887</v>
      </c>
      <c r="B906" s="83"/>
      <c r="C906" s="100">
        <f ca="1">_xll.meDateFromTenor(C905,"1D","FOLLOWING",D$12)</f>
        <v>43783</v>
      </c>
      <c r="D906" s="13">
        <f ca="1">_xll.meDateFromTenor(C906,D$14,D$11,D$12)</f>
        <v>43784</v>
      </c>
      <c r="E906" s="98">
        <f ca="1"/>
        <v>-2.2040485504693031E-3</v>
      </c>
      <c r="F906" s="94"/>
      <c r="G906" s="100">
        <f ca="1">_xll.meDateFromTenor(G905,"1D","FOLLOWING",H$12)</f>
        <v>43783</v>
      </c>
      <c r="H906" s="13">
        <f ca="1">_xll.meDateFromTenor(G906,H$14,H$11,H$12)</f>
        <v>43815</v>
      </c>
      <c r="I906" s="98">
        <f ca="1"/>
        <v>-1.4513509121540117E-3</v>
      </c>
      <c r="J906" s="94" t="s">
        <v>4</v>
      </c>
      <c r="K906" s="100">
        <f ca="1">_xll.meDateFromTenor(K905,"1D","FOLLOWING",L$12)</f>
        <v>43783</v>
      </c>
      <c r="L906" s="13">
        <f ca="1">_xll.meDateFromTenor(K906,L$14,L$11,L$12)</f>
        <v>43875</v>
      </c>
      <c r="M906" s="98">
        <f ca="1"/>
        <v>-1.8401894395183983E-4</v>
      </c>
      <c r="N906" s="5" t="s">
        <v>4</v>
      </c>
      <c r="O906" s="100">
        <f ca="1">_xll.meDateFromTenor(O905,"1D","FOLLOWING",P$12)</f>
        <v>43783</v>
      </c>
      <c r="P906" s="13">
        <f ca="1">_xll.meDateFromTenor(O906,P$14,P$11,P$12)</f>
        <v>43965</v>
      </c>
      <c r="Q906" s="98">
        <f ca="1"/>
        <v>1.6785084608676594E-3</v>
      </c>
      <c r="R906" s="5" t="s">
        <v>4</v>
      </c>
      <c r="S906" s="100">
        <f ca="1">_xll.meDateFromTenor(S905,"1D","FOLLOWING",T$12)</f>
        <v>43783</v>
      </c>
      <c r="T906" s="13">
        <f ca="1">_xll.meDateFromTenor(S906,T$14,T$11,T$12)</f>
        <v>44151</v>
      </c>
      <c r="U906" s="98">
        <f ca="1"/>
        <v>3.6839173849496044E-3</v>
      </c>
      <c r="V906" s="5" t="s">
        <v>4</v>
      </c>
      <c r="W906" s="84" t="s">
        <v>4</v>
      </c>
    </row>
    <row r="907" spans="1:23" x14ac:dyDescent="0.25">
      <c r="A907" s="90">
        <v>888</v>
      </c>
      <c r="B907" s="83"/>
      <c r="C907" s="100">
        <f ca="1">_xll.meDateFromTenor(C906,"1D","FOLLOWING",D$12)</f>
        <v>43784</v>
      </c>
      <c r="D907" s="13">
        <f ca="1">_xll.meDateFromTenor(C907,D$14,D$11,D$12)</f>
        <v>43787</v>
      </c>
      <c r="E907" s="98">
        <f ca="1"/>
        <v>-2.1942536756913789E-3</v>
      </c>
      <c r="F907" s="94"/>
      <c r="G907" s="100">
        <f ca="1">_xll.meDateFromTenor(G906,"1D","FOLLOWING",H$12)</f>
        <v>43784</v>
      </c>
      <c r="H907" s="13">
        <f ca="1">_xll.meDateFromTenor(G907,H$14,H$11,H$12)</f>
        <v>43815</v>
      </c>
      <c r="I907" s="98">
        <f ca="1"/>
        <v>-1.4455954789841087E-3</v>
      </c>
      <c r="J907" s="94" t="s">
        <v>4</v>
      </c>
      <c r="K907" s="100">
        <f ca="1">_xll.meDateFromTenor(K906,"1D","FOLLOWING",L$12)</f>
        <v>43784</v>
      </c>
      <c r="L907" s="13">
        <f ca="1">_xll.meDateFromTenor(K907,L$14,L$11,L$12)</f>
        <v>43878</v>
      </c>
      <c r="M907" s="98">
        <f ca="1"/>
        <v>-1.7928028202402119E-4</v>
      </c>
      <c r="N907" s="5" t="s">
        <v>4</v>
      </c>
      <c r="O907" s="100">
        <f ca="1">_xll.meDateFromTenor(O906,"1D","FOLLOWING",P$12)</f>
        <v>43784</v>
      </c>
      <c r="P907" s="13">
        <f ca="1">_xll.meDateFromTenor(O907,P$14,P$11,P$12)</f>
        <v>43966</v>
      </c>
      <c r="Q907" s="98">
        <f ca="1"/>
        <v>1.6843954269441224E-3</v>
      </c>
      <c r="R907" s="5" t="s">
        <v>4</v>
      </c>
      <c r="S907" s="100">
        <f ca="1">_xll.meDateFromTenor(S906,"1D","FOLLOWING",T$12)</f>
        <v>43784</v>
      </c>
      <c r="T907" s="13">
        <f ca="1">_xll.meDateFromTenor(S907,T$14,T$11,T$12)</f>
        <v>44151</v>
      </c>
      <c r="U907" s="98">
        <f ca="1"/>
        <v>3.6894515037848522E-3</v>
      </c>
      <c r="V907" s="5" t="s">
        <v>4</v>
      </c>
      <c r="W907" s="84" t="s">
        <v>4</v>
      </c>
    </row>
    <row r="908" spans="1:23" x14ac:dyDescent="0.25">
      <c r="A908" s="90">
        <v>889</v>
      </c>
      <c r="B908" s="83"/>
      <c r="C908" s="100">
        <f ca="1">_xll.meDateFromTenor(C907,"1D","FOLLOWING",D$12)</f>
        <v>43787</v>
      </c>
      <c r="D908" s="13">
        <f ca="1">_xll.meDateFromTenor(C908,D$14,D$11,D$12)</f>
        <v>43788</v>
      </c>
      <c r="E908" s="98">
        <f ca="1"/>
        <v>-2.1844826474115642E-3</v>
      </c>
      <c r="F908" s="94"/>
      <c r="G908" s="100">
        <f ca="1">_xll.meDateFromTenor(G907,"1D","FOLLOWING",H$12)</f>
        <v>43787</v>
      </c>
      <c r="H908" s="13">
        <f ca="1">_xll.meDateFromTenor(G908,H$14,H$11,H$12)</f>
        <v>43817</v>
      </c>
      <c r="I908" s="98">
        <f ca="1"/>
        <v>-1.4281310139959216E-3</v>
      </c>
      <c r="J908" s="94" t="s">
        <v>4</v>
      </c>
      <c r="K908" s="100">
        <f ca="1">_xll.meDateFromTenor(K907,"1D","FOLLOWING",L$12)</f>
        <v>43787</v>
      </c>
      <c r="L908" s="13">
        <f ca="1">_xll.meDateFromTenor(K908,L$14,L$11,L$12)</f>
        <v>43879</v>
      </c>
      <c r="M908" s="98">
        <f ca="1"/>
        <v>-1.6499551733605158E-4</v>
      </c>
      <c r="N908" s="5" t="s">
        <v>4</v>
      </c>
      <c r="O908" s="100">
        <f ca="1">_xll.meDateFromTenor(O907,"1D","FOLLOWING",P$12)</f>
        <v>43787</v>
      </c>
      <c r="P908" s="13">
        <f ca="1">_xll.meDateFromTenor(O908,P$14,P$11,P$12)</f>
        <v>43969</v>
      </c>
      <c r="Q908" s="98">
        <f ca="1"/>
        <v>1.7020546336492706E-3</v>
      </c>
      <c r="R908" s="5" t="s">
        <v>4</v>
      </c>
      <c r="S908" s="100">
        <f ca="1">_xll.meDateFromTenor(S907,"1D","FOLLOWING",T$12)</f>
        <v>43787</v>
      </c>
      <c r="T908" s="13">
        <f ca="1">_xll.meDateFromTenor(S908,T$14,T$11,T$12)</f>
        <v>44153</v>
      </c>
      <c r="U908" s="98">
        <f ca="1"/>
        <v>3.7060621627538928E-3</v>
      </c>
      <c r="V908" s="5" t="s">
        <v>4</v>
      </c>
      <c r="W908" s="84" t="s">
        <v>4</v>
      </c>
    </row>
    <row r="909" spans="1:23" x14ac:dyDescent="0.25">
      <c r="A909" s="90">
        <v>890</v>
      </c>
      <c r="B909" s="83"/>
      <c r="C909" s="100">
        <f ca="1">_xll.meDateFromTenor(C908,"1D","FOLLOWING",D$12)</f>
        <v>43788</v>
      </c>
      <c r="D909" s="13">
        <f ca="1">_xll.meDateFromTenor(C909,D$14,D$11,D$12)</f>
        <v>43789</v>
      </c>
      <c r="E909" s="98">
        <f ca="1"/>
        <v>-2.1795889944087399E-3</v>
      </c>
      <c r="F909" s="94"/>
      <c r="G909" s="100">
        <f ca="1">_xll.meDateFromTenor(G908,"1D","FOLLOWING",H$12)</f>
        <v>43788</v>
      </c>
      <c r="H909" s="13">
        <f ca="1">_xll.meDateFromTenor(G909,H$14,H$11,H$12)</f>
        <v>43818</v>
      </c>
      <c r="I909" s="98">
        <f ca="1"/>
        <v>-1.4222504718682824E-3</v>
      </c>
      <c r="J909" s="94" t="s">
        <v>4</v>
      </c>
      <c r="K909" s="100">
        <f ca="1">_xll.meDateFromTenor(K908,"1D","FOLLOWING",L$12)</f>
        <v>43788</v>
      </c>
      <c r="L909" s="13">
        <f ca="1">_xll.meDateFromTenor(K909,L$14,L$11,L$12)</f>
        <v>43880</v>
      </c>
      <c r="M909" s="98">
        <f ca="1"/>
        <v>-1.6021097419108393E-4</v>
      </c>
      <c r="N909" s="5" t="s">
        <v>4</v>
      </c>
      <c r="O909" s="100">
        <f ca="1">_xll.meDateFromTenor(O908,"1D","FOLLOWING",P$12)</f>
        <v>43788</v>
      </c>
      <c r="P909" s="13">
        <f ca="1">_xll.meDateFromTenor(O909,P$14,P$11,P$12)</f>
        <v>43970</v>
      </c>
      <c r="Q909" s="98">
        <f ca="1"/>
        <v>1.7079404708093006E-3</v>
      </c>
      <c r="R909" s="5" t="s">
        <v>4</v>
      </c>
      <c r="S909" s="100">
        <f ca="1">_xll.meDateFromTenor(S908,"1D","FOLLOWING",T$12)</f>
        <v>43788</v>
      </c>
      <c r="T909" s="13">
        <f ca="1">_xll.meDateFromTenor(S909,T$14,T$11,T$12)</f>
        <v>44154</v>
      </c>
      <c r="U909" s="98">
        <f ca="1"/>
        <v>3.7116018939957339E-3</v>
      </c>
      <c r="V909" s="5" t="s">
        <v>4</v>
      </c>
      <c r="W909" s="84" t="s">
        <v>4</v>
      </c>
    </row>
    <row r="910" spans="1:23" x14ac:dyDescent="0.25">
      <c r="A910" s="90">
        <v>891</v>
      </c>
      <c r="B910" s="83"/>
      <c r="C910" s="100">
        <f ca="1">_xll.meDateFromTenor(C909,"1D","FOLLOWING",D$12)</f>
        <v>43789</v>
      </c>
      <c r="D910" s="13">
        <f ca="1">_xll.meDateFromTenor(C910,D$14,D$11,D$12)</f>
        <v>43790</v>
      </c>
      <c r="E910" s="98">
        <f ca="1"/>
        <v>-2.1746944703826621E-3</v>
      </c>
      <c r="F910" s="94"/>
      <c r="G910" s="100">
        <f ca="1">_xll.meDateFromTenor(G909,"1D","FOLLOWING",H$12)</f>
        <v>43789</v>
      </c>
      <c r="H910" s="13">
        <f ca="1">_xll.meDateFromTenor(G910,H$14,H$11,H$12)</f>
        <v>43819</v>
      </c>
      <c r="I910" s="98">
        <f ca="1"/>
        <v>-1.4163439035221462E-3</v>
      </c>
      <c r="J910" s="94" t="s">
        <v>4</v>
      </c>
      <c r="K910" s="100">
        <f ca="1">_xll.meDateFromTenor(K909,"1D","FOLLOWING",L$12)</f>
        <v>43789</v>
      </c>
      <c r="L910" s="13">
        <f ca="1">_xll.meDateFromTenor(K910,L$14,L$11,L$12)</f>
        <v>43881</v>
      </c>
      <c r="M910" s="98">
        <f ca="1"/>
        <v>-1.55414939281225E-4</v>
      </c>
      <c r="N910" s="5" t="s">
        <v>4</v>
      </c>
      <c r="O910" s="100">
        <f ca="1">_xll.meDateFromTenor(O909,"1D","FOLLOWING",P$12)</f>
        <v>43789</v>
      </c>
      <c r="P910" s="13">
        <f ca="1">_xll.meDateFromTenor(O910,P$14,P$11,P$12)</f>
        <v>43971</v>
      </c>
      <c r="Q910" s="98">
        <f ca="1"/>
        <v>1.713826024815018E-3</v>
      </c>
      <c r="R910" s="5" t="s">
        <v>4</v>
      </c>
      <c r="S910" s="100">
        <f ca="1">_xll.meDateFromTenor(S909,"1D","FOLLOWING",T$12)</f>
        <v>43789</v>
      </c>
      <c r="T910" s="13">
        <f ca="1">_xll.meDateFromTenor(S910,T$14,T$11,T$12)</f>
        <v>44155</v>
      </c>
      <c r="U910" s="98">
        <f ca="1"/>
        <v>3.7171430864125169E-3</v>
      </c>
      <c r="V910" s="5" t="s">
        <v>4</v>
      </c>
      <c r="W910" s="84" t="s">
        <v>4</v>
      </c>
    </row>
    <row r="911" spans="1:23" x14ac:dyDescent="0.25">
      <c r="A911" s="90">
        <v>892</v>
      </c>
      <c r="B911" s="83"/>
      <c r="C911" s="100">
        <f ca="1">_xll.meDateFromTenor(C910,"1D","FOLLOWING",D$12)</f>
        <v>43790</v>
      </c>
      <c r="D911" s="13">
        <f ca="1">_xll.meDateFromTenor(C911,D$14,D$11,D$12)</f>
        <v>43791</v>
      </c>
      <c r="E911" s="98">
        <f ca="1"/>
        <v>-2.1697990748137464E-3</v>
      </c>
      <c r="F911" s="94"/>
      <c r="G911" s="100">
        <f ca="1">_xll.meDateFromTenor(G910,"1D","FOLLOWING",H$12)</f>
        <v>43790</v>
      </c>
      <c r="H911" s="13">
        <f ca="1">_xll.meDateFromTenor(G911,H$14,H$11,H$12)</f>
        <v>43822</v>
      </c>
      <c r="I911" s="98">
        <f ca="1"/>
        <v>-1.4104134093658892E-3</v>
      </c>
      <c r="J911" s="94" t="s">
        <v>4</v>
      </c>
      <c r="K911" s="100">
        <f ca="1">_xll.meDateFromTenor(K910,"1D","FOLLOWING",L$12)</f>
        <v>43790</v>
      </c>
      <c r="L911" s="13">
        <f ca="1">_xll.meDateFromTenor(K911,L$14,L$11,L$12)</f>
        <v>43882</v>
      </c>
      <c r="M911" s="98">
        <f ca="1"/>
        <v>-1.506074040222331E-4</v>
      </c>
      <c r="N911" s="5" t="s">
        <v>4</v>
      </c>
      <c r="O911" s="100">
        <f ca="1">_xll.meDateFromTenor(O910,"1D","FOLLOWING",P$12)</f>
        <v>43790</v>
      </c>
      <c r="P911" s="13">
        <f ca="1">_xll.meDateFromTenor(O911,P$14,P$11,P$12)</f>
        <v>43972</v>
      </c>
      <c r="Q911" s="98">
        <f ca="1"/>
        <v>1.7197112952963395E-3</v>
      </c>
      <c r="R911" s="5" t="s">
        <v>4</v>
      </c>
      <c r="S911" s="100">
        <f ca="1">_xll.meDateFromTenor(S910,"1D","FOLLOWING",T$12)</f>
        <v>43790</v>
      </c>
      <c r="T911" s="13">
        <f ca="1">_xll.meDateFromTenor(S911,T$14,T$11,T$12)</f>
        <v>44158</v>
      </c>
      <c r="U911" s="98">
        <f ca="1"/>
        <v>3.72268576323356E-3</v>
      </c>
      <c r="V911" s="5" t="s">
        <v>4</v>
      </c>
      <c r="W911" s="84" t="s">
        <v>4</v>
      </c>
    </row>
    <row r="912" spans="1:23" x14ac:dyDescent="0.25">
      <c r="A912" s="90">
        <v>893</v>
      </c>
      <c r="B912" s="83"/>
      <c r="C912" s="100">
        <f ca="1">_xll.meDateFromTenor(C911,"1D","FOLLOWING",D$12)</f>
        <v>43791</v>
      </c>
      <c r="D912" s="13">
        <f ca="1">_xll.meDateFromTenor(C912,D$14,D$11,D$12)</f>
        <v>43794</v>
      </c>
      <c r="E912" s="98">
        <f ca="1"/>
        <v>-2.1599924182735897E-3</v>
      </c>
      <c r="F912" s="94"/>
      <c r="G912" s="100">
        <f ca="1">_xll.meDateFromTenor(G911,"1D","FOLLOWING",H$12)</f>
        <v>43791</v>
      </c>
      <c r="H912" s="13">
        <f ca="1">_xll.meDateFromTenor(G912,H$14,H$11,H$12)</f>
        <v>43822</v>
      </c>
      <c r="I912" s="98">
        <f ca="1"/>
        <v>-1.4044610898078852E-3</v>
      </c>
      <c r="J912" s="94" t="s">
        <v>4</v>
      </c>
      <c r="K912" s="100">
        <f ca="1">_xll.meDateFromTenor(K911,"1D","FOLLOWING",L$12)</f>
        <v>43791</v>
      </c>
      <c r="L912" s="13">
        <f ca="1">_xll.meDateFromTenor(K912,L$14,L$11,L$12)</f>
        <v>43885</v>
      </c>
      <c r="M912" s="98">
        <f ca="1"/>
        <v>-1.4578835982986661E-4</v>
      </c>
      <c r="N912" s="5" t="s">
        <v>4</v>
      </c>
      <c r="O912" s="100">
        <f ca="1">_xll.meDateFromTenor(O911,"1D","FOLLOWING",P$12)</f>
        <v>43791</v>
      </c>
      <c r="P912" s="13">
        <f ca="1">_xll.meDateFromTenor(O912,P$14,P$11,P$12)</f>
        <v>43973</v>
      </c>
      <c r="Q912" s="98">
        <f ca="1"/>
        <v>1.7255962818831846E-3</v>
      </c>
      <c r="R912" s="5" t="s">
        <v>4</v>
      </c>
      <c r="S912" s="100">
        <f ca="1">_xll.meDateFromTenor(S911,"1D","FOLLOWING",T$12)</f>
        <v>43791</v>
      </c>
      <c r="T912" s="13">
        <f ca="1">_xll.meDateFromTenor(S912,T$14,T$11,T$12)</f>
        <v>44158</v>
      </c>
      <c r="U912" s="98">
        <f ca="1"/>
        <v>3.7282299476881814E-3</v>
      </c>
      <c r="V912" s="5" t="s">
        <v>4</v>
      </c>
      <c r="W912" s="84" t="s">
        <v>4</v>
      </c>
    </row>
    <row r="913" spans="1:23" x14ac:dyDescent="0.25">
      <c r="A913" s="90">
        <v>894</v>
      </c>
      <c r="B913" s="83"/>
      <c r="C913" s="100">
        <f ca="1">_xll.meDateFromTenor(C912,"1D","FOLLOWING",D$12)</f>
        <v>43794</v>
      </c>
      <c r="D913" s="13">
        <f ca="1">_xll.meDateFromTenor(C913,D$14,D$11,D$12)</f>
        <v>43795</v>
      </c>
      <c r="E913" s="98">
        <f ca="1"/>
        <v>-2.1502087753511112E-3</v>
      </c>
      <c r="F913" s="94"/>
      <c r="G913" s="100">
        <f ca="1">_xll.meDateFromTenor(G912,"1D","FOLLOWING",H$12)</f>
        <v>43794</v>
      </c>
      <c r="H913" s="13">
        <f ca="1">_xll.meDateFromTenor(G913,H$14,H$11,H$12)</f>
        <v>43826</v>
      </c>
      <c r="I913" s="98">
        <f ca="1"/>
        <v>-1.3864941828071471E-3</v>
      </c>
      <c r="J913" s="94" t="s">
        <v>4</v>
      </c>
      <c r="K913" s="100">
        <f ca="1">_xll.meDateFromTenor(K912,"1D","FOLLOWING",L$12)</f>
        <v>43794</v>
      </c>
      <c r="L913" s="13">
        <f ca="1">_xll.meDateFromTenor(K913,L$14,L$11,L$12)</f>
        <v>43886</v>
      </c>
      <c r="M913" s="98">
        <f ca="1"/>
        <v>-1.3126208781010396E-4</v>
      </c>
      <c r="N913" s="5" t="s">
        <v>4</v>
      </c>
      <c r="O913" s="100">
        <f ca="1">_xll.meDateFromTenor(O912,"1D","FOLLOWING",P$12)</f>
        <v>43794</v>
      </c>
      <c r="P913" s="13">
        <f ca="1">_xll.meDateFromTenor(O913,P$14,P$11,P$12)</f>
        <v>43976</v>
      </c>
      <c r="Q913" s="98">
        <f ca="1"/>
        <v>1.7432495345760357E-3</v>
      </c>
      <c r="R913" s="5" t="s">
        <v>4</v>
      </c>
      <c r="S913" s="100">
        <f ca="1">_xll.meDateFromTenor(S912,"1D","FOLLOWING",T$12)</f>
        <v>43794</v>
      </c>
      <c r="T913" s="13">
        <f ca="1">_xll.meDateFromTenor(S913,T$14,T$11,T$12)</f>
        <v>44160</v>
      </c>
      <c r="U913" s="98">
        <f ca="1"/>
        <v>3.7448717791466893E-3</v>
      </c>
      <c r="V913" s="5" t="s">
        <v>4</v>
      </c>
      <c r="W913" s="84" t="s">
        <v>4</v>
      </c>
    </row>
    <row r="914" spans="1:23" x14ac:dyDescent="0.25">
      <c r="A914" s="90">
        <v>895</v>
      </c>
      <c r="B914" s="83"/>
      <c r="C914" s="100">
        <f ca="1">_xll.meDateFromTenor(C913,"1D","FOLLOWING",D$12)</f>
        <v>43795</v>
      </c>
      <c r="D914" s="13">
        <f ca="1">_xll.meDateFromTenor(C914,D$14,D$11,D$12)</f>
        <v>43796</v>
      </c>
      <c r="E914" s="98">
        <f ca="1"/>
        <v>-2.1453090200696046E-3</v>
      </c>
      <c r="F914" s="94"/>
      <c r="G914" s="100">
        <f ca="1">_xll.meDateFromTenor(G913,"1D","FOLLOWING",H$12)</f>
        <v>43795</v>
      </c>
      <c r="H914" s="13">
        <f ca="1">_xll.meDateFromTenor(G914,H$14,H$11,H$12)</f>
        <v>43826</v>
      </c>
      <c r="I914" s="98">
        <f ca="1"/>
        <v>-1.3804755657259083E-3</v>
      </c>
      <c r="J914" s="94" t="s">
        <v>4</v>
      </c>
      <c r="K914" s="100">
        <f ca="1">_xll.meDateFromTenor(K913,"1D","FOLLOWING",L$12)</f>
        <v>43795</v>
      </c>
      <c r="L914" s="13">
        <f ca="1">_xll.meDateFromTenor(K914,L$14,L$11,L$12)</f>
        <v>43887</v>
      </c>
      <c r="M914" s="98">
        <f ca="1"/>
        <v>-1.2639692204182272E-4</v>
      </c>
      <c r="N914" s="5" t="s">
        <v>4</v>
      </c>
      <c r="O914" s="100">
        <f ca="1">_xll.meDateFromTenor(O913,"1D","FOLLOWING",P$12)</f>
        <v>43795</v>
      </c>
      <c r="P914" s="13">
        <f ca="1">_xll.meDateFromTenor(O914,P$14,P$11,P$12)</f>
        <v>43977</v>
      </c>
      <c r="Q914" s="98">
        <f ca="1"/>
        <v>1.7491333818841525E-3</v>
      </c>
      <c r="R914" s="5" t="s">
        <v>4</v>
      </c>
      <c r="S914" s="100">
        <f ca="1">_xll.meDateFromTenor(S913,"1D","FOLLOWING",T$12)</f>
        <v>43795</v>
      </c>
      <c r="T914" s="13">
        <f ca="1">_xll.meDateFromTenor(S914,T$14,T$11,T$12)</f>
        <v>44161</v>
      </c>
      <c r="U914" s="98">
        <f ca="1"/>
        <v>3.7504222264288E-3</v>
      </c>
      <c r="V914" s="5" t="s">
        <v>4</v>
      </c>
      <c r="W914" s="84" t="s">
        <v>4</v>
      </c>
    </row>
    <row r="915" spans="1:23" x14ac:dyDescent="0.25">
      <c r="A915" s="90">
        <v>896</v>
      </c>
      <c r="B915" s="83"/>
      <c r="C915" s="100">
        <f ca="1">_xll.meDateFromTenor(C914,"1D","FOLLOWING",D$12)</f>
        <v>43796</v>
      </c>
      <c r="D915" s="13">
        <f ca="1">_xll.meDateFromTenor(C915,D$14,D$11,D$12)</f>
        <v>43797</v>
      </c>
      <c r="E915" s="98">
        <f ca="1"/>
        <v>-2.1404083926457396E-3</v>
      </c>
      <c r="F915" s="94"/>
      <c r="G915" s="100">
        <f ca="1">_xll.meDateFromTenor(G914,"1D","FOLLOWING",H$12)</f>
        <v>43796</v>
      </c>
      <c r="H915" s="13">
        <f ca="1">_xll.meDateFromTenor(G915,H$14,H$11,H$12)</f>
        <v>43826</v>
      </c>
      <c r="I915" s="98">
        <f ca="1"/>
        <v>-1.3744456252847992E-3</v>
      </c>
      <c r="J915" s="94" t="s">
        <v>4</v>
      </c>
      <c r="K915" s="100">
        <f ca="1">_xll.meDateFromTenor(K914,"1D","FOLLOWING",L$12)</f>
        <v>43796</v>
      </c>
      <c r="L915" s="13">
        <f ca="1">_xll.meDateFromTenor(K915,L$14,L$11,L$12)</f>
        <v>43888</v>
      </c>
      <c r="M915" s="98">
        <f ca="1"/>
        <v>-1.2152020441895949E-4</v>
      </c>
      <c r="N915" s="5" t="s">
        <v>4</v>
      </c>
      <c r="O915" s="100">
        <f ca="1">_xll.meDateFromTenor(O914,"1D","FOLLOWING",P$12)</f>
        <v>43796</v>
      </c>
      <c r="P915" s="13">
        <f ca="1">_xll.meDateFromTenor(O915,P$14,P$11,P$12)</f>
        <v>43978</v>
      </c>
      <c r="Q915" s="98">
        <f ca="1"/>
        <v>1.7550169434473813E-3</v>
      </c>
      <c r="R915" s="5" t="s">
        <v>4</v>
      </c>
      <c r="S915" s="100">
        <f ca="1">_xll.meDateFromTenor(S914,"1D","FOLLOWING",T$12)</f>
        <v>43796</v>
      </c>
      <c r="T915" s="13">
        <f ca="1">_xll.meDateFromTenor(S915,T$14,T$11,T$12)</f>
        <v>44162</v>
      </c>
      <c r="U915" s="98">
        <f ca="1"/>
        <v>3.7559742974910761E-3</v>
      </c>
      <c r="V915" s="5" t="s">
        <v>4</v>
      </c>
      <c r="W915" s="84" t="s">
        <v>4</v>
      </c>
    </row>
    <row r="916" spans="1:23" x14ac:dyDescent="0.25">
      <c r="A916" s="90">
        <v>897</v>
      </c>
      <c r="B916" s="83"/>
      <c r="C916" s="100">
        <f ca="1">_xll.meDateFromTenor(C915,"1D","FOLLOWING",D$12)</f>
        <v>43797</v>
      </c>
      <c r="D916" s="13">
        <f ca="1">_xll.meDateFromTenor(C916,D$14,D$11,D$12)</f>
        <v>43798</v>
      </c>
      <c r="E916" s="98">
        <f ca="1"/>
        <v>-2.1355068922002192E-3</v>
      </c>
      <c r="F916" s="94"/>
      <c r="G916" s="100">
        <f ca="1">_xll.meDateFromTenor(G915,"1D","FOLLOWING",H$12)</f>
        <v>43797</v>
      </c>
      <c r="H916" s="13">
        <f ca="1">_xll.meDateFromTenor(G916,H$14,H$11,H$12)</f>
        <v>43829</v>
      </c>
      <c r="I916" s="98">
        <f ca="1"/>
        <v>-1.3684064618921931E-3</v>
      </c>
      <c r="J916" s="94" t="s">
        <v>4</v>
      </c>
      <c r="K916" s="100">
        <f ca="1">_xll.meDateFromTenor(K915,"1D","FOLLOWING",L$12)</f>
        <v>43797</v>
      </c>
      <c r="L916" s="13">
        <f ca="1">_xll.meDateFromTenor(K916,L$14,L$11,L$12)</f>
        <v>43889</v>
      </c>
      <c r="M916" s="98">
        <f ca="1"/>
        <v>-1.1663192635727107E-4</v>
      </c>
      <c r="N916" s="5" t="s">
        <v>4</v>
      </c>
      <c r="O916" s="100">
        <f ca="1">_xll.meDateFromTenor(O915,"1D","FOLLOWING",P$12)</f>
        <v>43797</v>
      </c>
      <c r="P916" s="13">
        <f ca="1">_xll.meDateFromTenor(O916,P$14,P$11,P$12)</f>
        <v>43979</v>
      </c>
      <c r="Q916" s="98">
        <f ca="1"/>
        <v>1.7609002188956424E-3</v>
      </c>
      <c r="R916" s="5" t="s">
        <v>4</v>
      </c>
      <c r="S916" s="100">
        <f ca="1">_xll.meDateFromTenor(S915,"1D","FOLLOWING",T$12)</f>
        <v>43797</v>
      </c>
      <c r="T916" s="13">
        <f ca="1">_xll.meDateFromTenor(S916,T$14,T$11,T$12)</f>
        <v>44165</v>
      </c>
      <c r="U916" s="98">
        <f ca="1"/>
        <v>3.7615280155628376E-3</v>
      </c>
      <c r="V916" s="5" t="s">
        <v>4</v>
      </c>
      <c r="W916" s="84" t="s">
        <v>4</v>
      </c>
    </row>
    <row r="917" spans="1:23" x14ac:dyDescent="0.25">
      <c r="A917" s="90">
        <v>898</v>
      </c>
      <c r="B917" s="83"/>
      <c r="C917" s="100">
        <f ca="1">_xll.meDateFromTenor(C916,"1D","FOLLOWING",D$12)</f>
        <v>43798</v>
      </c>
      <c r="D917" s="13">
        <f ca="1">_xll.meDateFromTenor(C917,D$14,D$11,D$12)</f>
        <v>43801</v>
      </c>
      <c r="E917" s="98">
        <f ca="1"/>
        <v>-2.1256884305298558E-3</v>
      </c>
      <c r="F917" s="94"/>
      <c r="G917" s="100">
        <f ca="1">_xll.meDateFromTenor(G916,"1D","FOLLOWING",H$12)</f>
        <v>43798</v>
      </c>
      <c r="H917" s="13">
        <f ca="1">_xll.meDateFromTenor(G917,H$14,H$11,H$12)</f>
        <v>43829</v>
      </c>
      <c r="I917" s="98">
        <f ca="1"/>
        <v>-1.3623601759564655E-3</v>
      </c>
      <c r="J917" s="94" t="s">
        <v>4</v>
      </c>
      <c r="K917" s="100">
        <f ca="1">_xll.meDateFromTenor(K916,"1D","FOLLOWING",L$12)</f>
        <v>43798</v>
      </c>
      <c r="L917" s="13">
        <f ca="1">_xll.meDateFromTenor(K917,L$14,L$11,L$12)</f>
        <v>43889</v>
      </c>
      <c r="M917" s="98">
        <f ca="1"/>
        <v>-1.1173207927251662E-4</v>
      </c>
      <c r="N917" s="5" t="s">
        <v>4</v>
      </c>
      <c r="O917" s="100">
        <f ca="1">_xll.meDateFromTenor(O916,"1D","FOLLOWING",P$12)</f>
        <v>43798</v>
      </c>
      <c r="P917" s="13">
        <f ca="1">_xll.meDateFromTenor(O917,P$14,P$11,P$12)</f>
        <v>43980</v>
      </c>
      <c r="Q917" s="98">
        <f ca="1"/>
        <v>1.7667832078588524E-3</v>
      </c>
      <c r="R917" s="5" t="s">
        <v>4</v>
      </c>
      <c r="S917" s="100">
        <f ca="1">_xll.meDateFromTenor(S916,"1D","FOLLOWING",T$12)</f>
        <v>43798</v>
      </c>
      <c r="T917" s="13">
        <f ca="1">_xll.meDateFromTenor(S917,T$14,T$11,T$12)</f>
        <v>44165</v>
      </c>
      <c r="U917" s="98">
        <f ca="1"/>
        <v>3.7670834038734009E-3</v>
      </c>
      <c r="V917" s="5" t="s">
        <v>4</v>
      </c>
      <c r="W917" s="84" t="s">
        <v>4</v>
      </c>
    </row>
    <row r="918" spans="1:23" x14ac:dyDescent="0.25">
      <c r="A918" s="90">
        <v>899</v>
      </c>
      <c r="B918" s="83"/>
      <c r="C918" s="100">
        <f ca="1">_xll.meDateFromTenor(C917,"1D","FOLLOWING",D$12)</f>
        <v>43801</v>
      </c>
      <c r="D918" s="13">
        <f ca="1">_xll.meDateFromTenor(C918,D$14,D$11,D$12)</f>
        <v>43802</v>
      </c>
      <c r="E918" s="98">
        <f ca="1"/>
        <v>-2.1158973382595721E-3</v>
      </c>
      <c r="F918" s="94"/>
      <c r="G918" s="100">
        <f ca="1">_xll.meDateFromTenor(G917,"1D","FOLLOWING",H$12)</f>
        <v>43801</v>
      </c>
      <c r="H918" s="13">
        <f ca="1">_xll.meDateFromTenor(G918,H$14,H$11,H$12)</f>
        <v>43832</v>
      </c>
      <c r="I918" s="98">
        <f ca="1"/>
        <v>-1.344199586974307E-3</v>
      </c>
      <c r="J918" s="94" t="s">
        <v>4</v>
      </c>
      <c r="K918" s="100">
        <f ca="1">_xll.meDateFromTenor(K917,"1D","FOLLOWING",L$12)</f>
        <v>43801</v>
      </c>
      <c r="L918" s="13">
        <f ca="1">_xll.meDateFromTenor(K918,L$14,L$11,L$12)</f>
        <v>43892</v>
      </c>
      <c r="M918" s="98">
        <f ca="1"/>
        <v>-9.6963038037440696E-5</v>
      </c>
      <c r="N918" s="5" t="s">
        <v>4</v>
      </c>
      <c r="O918" s="100">
        <f ca="1">_xll.meDateFromTenor(O917,"1D","FOLLOWING",P$12)</f>
        <v>43801</v>
      </c>
      <c r="P918" s="13">
        <f ca="1">_xll.meDateFromTenor(O918,P$14,P$11,P$12)</f>
        <v>43984</v>
      </c>
      <c r="Q918" s="98">
        <f ca="1"/>
        <v>1.7844304521373578E-3</v>
      </c>
      <c r="R918" s="5" t="s">
        <v>4</v>
      </c>
      <c r="S918" s="100">
        <f ca="1">_xll.meDateFromTenor(S917,"1D","FOLLOWING",T$12)</f>
        <v>43801</v>
      </c>
      <c r="T918" s="13">
        <f ca="1">_xll.meDateFromTenor(S918,T$14,T$11,T$12)</f>
        <v>44167</v>
      </c>
      <c r="U918" s="98">
        <f ca="1"/>
        <v>3.7837598225310808E-3</v>
      </c>
      <c r="V918" s="5" t="s">
        <v>4</v>
      </c>
      <c r="W918" s="84" t="s">
        <v>4</v>
      </c>
    </row>
    <row r="919" spans="1:23" x14ac:dyDescent="0.25">
      <c r="A919" s="90">
        <v>900</v>
      </c>
      <c r="B919" s="83"/>
      <c r="C919" s="100">
        <f ca="1">_xll.meDateFromTenor(C918,"1D","FOLLOWING",D$12)</f>
        <v>43802</v>
      </c>
      <c r="D919" s="13">
        <f ca="1">_xll.meDateFromTenor(C919,D$14,D$11,D$12)</f>
        <v>43803</v>
      </c>
      <c r="E919" s="98">
        <f ca="1"/>
        <v>-2.111022533259906E-3</v>
      </c>
      <c r="F919" s="94"/>
      <c r="G919" s="100">
        <f ca="1">_xll.meDateFromTenor(G918,"1D","FOLLOWING",H$12)</f>
        <v>43802</v>
      </c>
      <c r="H919" s="13">
        <f ca="1">_xll.meDateFromTenor(G919,H$14,H$11,H$12)</f>
        <v>43833</v>
      </c>
      <c r="I919" s="98">
        <f ca="1"/>
        <v>-1.3381456241388858E-3</v>
      </c>
      <c r="J919" s="94" t="s">
        <v>4</v>
      </c>
      <c r="K919" s="100">
        <f ca="1">_xll.meDateFromTenor(K918,"1D","FOLLOWING",L$12)</f>
        <v>43802</v>
      </c>
      <c r="L919" s="13">
        <f ca="1">_xll.meDateFromTenor(K919,L$14,L$11,L$12)</f>
        <v>43893</v>
      </c>
      <c r="M919" s="98">
        <f ca="1"/>
        <v>-9.2016832164932457E-5</v>
      </c>
      <c r="N919" s="5" t="s">
        <v>4</v>
      </c>
      <c r="O919" s="100">
        <f ca="1">_xll.meDateFromTenor(O918,"1D","FOLLOWING",P$12)</f>
        <v>43802</v>
      </c>
      <c r="P919" s="13">
        <f ca="1">_xll.meDateFromTenor(O919,P$14,P$11,P$12)</f>
        <v>43985</v>
      </c>
      <c r="Q919" s="98">
        <f ca="1"/>
        <v>1.7903122952133725E-3</v>
      </c>
      <c r="R919" s="5" t="s">
        <v>4</v>
      </c>
      <c r="S919" s="100">
        <f ca="1">_xll.meDateFromTenor(S918,"1D","FOLLOWING",T$12)</f>
        <v>43802</v>
      </c>
      <c r="T919" s="13">
        <f ca="1">_xll.meDateFromTenor(S919,T$14,T$11,T$12)</f>
        <v>44168</v>
      </c>
      <c r="U919" s="98">
        <f ca="1"/>
        <v>3.7893221240900303E-3</v>
      </c>
      <c r="V919" s="5" t="s">
        <v>4</v>
      </c>
      <c r="W919" s="84" t="s">
        <v>4</v>
      </c>
    </row>
    <row r="920" spans="1:23" x14ac:dyDescent="0.25">
      <c r="A920" s="90">
        <v>901</v>
      </c>
      <c r="B920" s="83"/>
      <c r="C920" s="100">
        <f ca="1">_xll.meDateFromTenor(C919,"1D","FOLLOWING",D$12)</f>
        <v>43803</v>
      </c>
      <c r="D920" s="13">
        <f ca="1">_xll.meDateFromTenor(C920,D$14,D$11,D$12)</f>
        <v>43804</v>
      </c>
      <c r="E920" s="98">
        <f ca="1"/>
        <v>-2.1061779147931764E-3</v>
      </c>
      <c r="F920" s="94"/>
      <c r="G920" s="100">
        <f ca="1">_xll.meDateFromTenor(G919,"1D","FOLLOWING",H$12)</f>
        <v>43803</v>
      </c>
      <c r="H920" s="13">
        <f ca="1">_xll.meDateFromTenor(G920,H$14,H$11,H$12)</f>
        <v>43836</v>
      </c>
      <c r="I920" s="98">
        <f ca="1"/>
        <v>-1.332093895936459E-3</v>
      </c>
      <c r="J920" s="94" t="s">
        <v>4</v>
      </c>
      <c r="K920" s="100">
        <f ca="1">_xll.meDateFromTenor(K919,"1D","FOLLOWING",L$12)</f>
        <v>43803</v>
      </c>
      <c r="L920" s="13">
        <f ca="1">_xll.meDateFromTenor(K920,L$14,L$11,L$12)</f>
        <v>43894</v>
      </c>
      <c r="M920" s="98">
        <f ca="1"/>
        <v>-8.7059033229711078E-5</v>
      </c>
      <c r="N920" s="5" t="s">
        <v>4</v>
      </c>
      <c r="O920" s="100">
        <f ca="1">_xll.meDateFromTenor(O919,"1D","FOLLOWING",P$12)</f>
        <v>43803</v>
      </c>
      <c r="P920" s="13">
        <f ca="1">_xll.meDateFromTenor(O920,P$14,P$11,P$12)</f>
        <v>43986</v>
      </c>
      <c r="Q920" s="98">
        <f ca="1"/>
        <v>1.7961938724768932E-3</v>
      </c>
      <c r="R920" s="5" t="s">
        <v>4</v>
      </c>
      <c r="S920" s="100">
        <f ca="1">_xll.meDateFromTenor(S919,"1D","FOLLOWING",T$12)</f>
        <v>43803</v>
      </c>
      <c r="T920" s="13">
        <f ca="1">_xll.meDateFromTenor(S920,T$14,T$11,T$12)</f>
        <v>44169</v>
      </c>
      <c r="U920" s="98">
        <f ca="1"/>
        <v>3.7948862120343683E-3</v>
      </c>
      <c r="V920" s="5" t="s">
        <v>4</v>
      </c>
      <c r="W920" s="84" t="s">
        <v>4</v>
      </c>
    </row>
    <row r="921" spans="1:23" x14ac:dyDescent="0.25">
      <c r="A921" s="90">
        <v>902</v>
      </c>
      <c r="B921" s="83"/>
      <c r="C921" s="100">
        <f ca="1">_xll.meDateFromTenor(C920,"1D","FOLLOWING",D$12)</f>
        <v>43804</v>
      </c>
      <c r="D921" s="13">
        <f ca="1">_xll.meDateFromTenor(C921,D$14,D$11,D$12)</f>
        <v>43805</v>
      </c>
      <c r="E921" s="98">
        <f ca="1"/>
        <v>-2.1013634821809364E-3</v>
      </c>
      <c r="F921" s="94"/>
      <c r="G921" s="100">
        <f ca="1">_xll.meDateFromTenor(G920,"1D","FOLLOWING",H$12)</f>
        <v>43804</v>
      </c>
      <c r="H921" s="13">
        <f ca="1">_xll.meDateFromTenor(G921,H$14,H$11,H$12)</f>
        <v>43836</v>
      </c>
      <c r="I921" s="98">
        <f ca="1"/>
        <v>-1.3260453579096408E-3</v>
      </c>
      <c r="J921" s="94" t="s">
        <v>4</v>
      </c>
      <c r="K921" s="100">
        <f ca="1">_xll.meDateFromTenor(K920,"1D","FOLLOWING",L$12)</f>
        <v>43804</v>
      </c>
      <c r="L921" s="13">
        <f ca="1">_xll.meDateFromTenor(K921,L$14,L$11,L$12)</f>
        <v>43895</v>
      </c>
      <c r="M921" s="98">
        <f ca="1"/>
        <v>-8.2089651529093568E-5</v>
      </c>
      <c r="N921" s="5" t="s">
        <v>4</v>
      </c>
      <c r="O921" s="100">
        <f ca="1">_xll.meDateFromTenor(O920,"1D","FOLLOWING",P$12)</f>
        <v>43804</v>
      </c>
      <c r="P921" s="13">
        <f ca="1">_xll.meDateFromTenor(O921,P$14,P$11,P$12)</f>
        <v>43987</v>
      </c>
      <c r="Q921" s="98">
        <f ca="1"/>
        <v>1.8020752060808069E-3</v>
      </c>
      <c r="R921" s="5" t="s">
        <v>4</v>
      </c>
      <c r="S921" s="100">
        <f ca="1">_xll.meDateFromTenor(S920,"1D","FOLLOWING",T$12)</f>
        <v>43804</v>
      </c>
      <c r="T921" s="13">
        <f ca="1">_xll.meDateFromTenor(S921,T$14,T$11,T$12)</f>
        <v>44172</v>
      </c>
      <c r="U921" s="98">
        <f ca="1"/>
        <v>3.8004521095934165E-3</v>
      </c>
      <c r="V921" s="5" t="s">
        <v>4</v>
      </c>
      <c r="W921" s="84" t="s">
        <v>4</v>
      </c>
    </row>
    <row r="922" spans="1:23" x14ac:dyDescent="0.25">
      <c r="A922" s="90">
        <v>903</v>
      </c>
      <c r="B922" s="83"/>
      <c r="C922" s="100">
        <f ca="1">_xll.meDateFromTenor(C921,"1D","FOLLOWING",D$12)</f>
        <v>43805</v>
      </c>
      <c r="D922" s="13">
        <f ca="1">_xll.meDateFromTenor(C922,D$14,D$11,D$12)</f>
        <v>43808</v>
      </c>
      <c r="E922" s="98">
        <f ca="1"/>
        <v>-2.0918230766886555E-3</v>
      </c>
      <c r="F922" s="94"/>
      <c r="G922" s="100">
        <f ca="1">_xll.meDateFromTenor(G921,"1D","FOLLOWING",H$12)</f>
        <v>43805</v>
      </c>
      <c r="H922" s="13">
        <f ca="1">_xll.meDateFromTenor(G922,H$14,H$11,H$12)</f>
        <v>43836</v>
      </c>
      <c r="I922" s="98">
        <f ca="1"/>
        <v>-1.3200009656010481E-3</v>
      </c>
      <c r="J922" s="94" t="s">
        <v>4</v>
      </c>
      <c r="K922" s="100">
        <f ca="1">_xll.meDateFromTenor(K921,"1D","FOLLOWING",L$12)</f>
        <v>43805</v>
      </c>
      <c r="L922" s="13">
        <f ca="1">_xll.meDateFromTenor(K922,L$14,L$11,L$12)</f>
        <v>43896</v>
      </c>
      <c r="M922" s="98">
        <f ca="1"/>
        <v>-7.7108697360400174E-5</v>
      </c>
      <c r="N922" s="5" t="s">
        <v>4</v>
      </c>
      <c r="O922" s="100">
        <f ca="1">_xll.meDateFromTenor(O921,"1D","FOLLOWING",P$12)</f>
        <v>43805</v>
      </c>
      <c r="P922" s="13">
        <f ca="1">_xll.meDateFromTenor(O922,P$14,P$11,P$12)</f>
        <v>43990</v>
      </c>
      <c r="Q922" s="98">
        <f ca="1"/>
        <v>1.8079563181779977E-3</v>
      </c>
      <c r="R922" s="5" t="s">
        <v>4</v>
      </c>
      <c r="S922" s="100">
        <f ca="1">_xll.meDateFromTenor(S921,"1D","FOLLOWING",T$12)</f>
        <v>43805</v>
      </c>
      <c r="T922" s="13">
        <f ca="1">_xll.meDateFromTenor(S922,T$14,T$11,T$12)</f>
        <v>44172</v>
      </c>
      <c r="U922" s="98">
        <f ca="1"/>
        <v>3.8060198399964898E-3</v>
      </c>
      <c r="V922" s="5" t="s">
        <v>4</v>
      </c>
      <c r="W922" s="84" t="s">
        <v>4</v>
      </c>
    </row>
    <row r="923" spans="1:23" x14ac:dyDescent="0.25">
      <c r="A923" s="90">
        <v>904</v>
      </c>
      <c r="B923" s="83"/>
      <c r="C923" s="100">
        <f ca="1">_xll.meDateFromTenor(C922,"1D","FOLLOWING",D$12)</f>
        <v>43808</v>
      </c>
      <c r="D923" s="13">
        <f ca="1">_xll.meDateFromTenor(C923,D$14,D$11,D$12)</f>
        <v>43809</v>
      </c>
      <c r="E923" s="98">
        <f ca="1"/>
        <v>-2.082407591363918E-3</v>
      </c>
      <c r="F923" s="94"/>
      <c r="G923" s="100">
        <f ca="1">_xll.meDateFromTenor(G922,"1D","FOLLOWING",H$12)</f>
        <v>43808</v>
      </c>
      <c r="H923" s="13">
        <f ca="1">_xll.meDateFromTenor(G923,H$14,H$11,H$12)</f>
        <v>43839</v>
      </c>
      <c r="I923" s="98">
        <f ca="1"/>
        <v>-1.3019022184107625E-3</v>
      </c>
      <c r="J923" s="94" t="s">
        <v>4</v>
      </c>
      <c r="K923" s="100">
        <f ca="1">_xll.meDateFromTenor(K922,"1D","FOLLOWING",L$12)</f>
        <v>43808</v>
      </c>
      <c r="L923" s="13">
        <f ca="1">_xll.meDateFromTenor(K923,L$14,L$11,L$12)</f>
        <v>43899</v>
      </c>
      <c r="M923" s="98">
        <f ca="1"/>
        <v>-6.2096503019043597E-5</v>
      </c>
      <c r="N923" s="5" t="s">
        <v>4</v>
      </c>
      <c r="O923" s="100">
        <f ca="1">_xll.meDateFromTenor(O922,"1D","FOLLOWING",P$12)</f>
        <v>43808</v>
      </c>
      <c r="P923" s="13">
        <f ca="1">_xll.meDateFromTenor(O923,P$14,P$11,P$12)</f>
        <v>43991</v>
      </c>
      <c r="Q923" s="98">
        <f ca="1"/>
        <v>1.8255985469580944E-3</v>
      </c>
      <c r="R923" s="5" t="s">
        <v>4</v>
      </c>
      <c r="S923" s="100">
        <f ca="1">_xll.meDateFromTenor(S922,"1D","FOLLOWING",T$12)</f>
        <v>43808</v>
      </c>
      <c r="T923" s="13">
        <f ca="1">_xll.meDateFromTenor(S923,T$14,T$11,T$12)</f>
        <v>44174</v>
      </c>
      <c r="U923" s="98">
        <f ca="1"/>
        <v>3.8227342605630459E-3</v>
      </c>
      <c r="V923" s="5" t="s">
        <v>4</v>
      </c>
      <c r="W923" s="84" t="s">
        <v>4</v>
      </c>
    </row>
    <row r="924" spans="1:23" x14ac:dyDescent="0.25">
      <c r="A924" s="90">
        <v>905</v>
      </c>
      <c r="B924" s="83"/>
      <c r="C924" s="100">
        <f ca="1">_xll.meDateFromTenor(C923,"1D","FOLLOWING",D$12)</f>
        <v>43809</v>
      </c>
      <c r="D924" s="13">
        <f ca="1">_xll.meDateFromTenor(C924,D$14,D$11,D$12)</f>
        <v>43810</v>
      </c>
      <c r="E924" s="98">
        <f ca="1"/>
        <v>-2.0777440741914861E-3</v>
      </c>
      <c r="F924" s="94"/>
      <c r="G924" s="100">
        <f ca="1">_xll.meDateFromTenor(G923,"1D","FOLLOWING",H$12)</f>
        <v>43809</v>
      </c>
      <c r="H924" s="13">
        <f ca="1">_xll.meDateFromTenor(G924,H$14,H$11,H$12)</f>
        <v>43840</v>
      </c>
      <c r="I924" s="98">
        <f ca="1"/>
        <v>-1.2958839644012167E-3</v>
      </c>
      <c r="J924" s="94" t="s">
        <v>4</v>
      </c>
      <c r="K924" s="100">
        <f ca="1">_xll.meDateFromTenor(K923,"1D","FOLLOWING",L$12)</f>
        <v>43809</v>
      </c>
      <c r="L924" s="13">
        <f ca="1">_xll.meDateFromTenor(K924,L$14,L$11,L$12)</f>
        <v>43900</v>
      </c>
      <c r="M924" s="98">
        <f ca="1"/>
        <v>-5.7069361951228821E-5</v>
      </c>
      <c r="N924" s="5" t="s">
        <v>4</v>
      </c>
      <c r="O924" s="100">
        <f ca="1">_xll.meDateFromTenor(O923,"1D","FOLLOWING",P$12)</f>
        <v>43809</v>
      </c>
      <c r="P924" s="13">
        <f ca="1">_xll.meDateFromTenor(O924,P$14,P$11,P$12)</f>
        <v>43992</v>
      </c>
      <c r="Q924" s="98">
        <f ca="1"/>
        <v>1.8314789945572522E-3</v>
      </c>
      <c r="R924" s="5" t="s">
        <v>4</v>
      </c>
      <c r="S924" s="100">
        <f ca="1">_xll.meDateFromTenor(S923,"1D","FOLLOWING",T$12)</f>
        <v>43809</v>
      </c>
      <c r="T924" s="13">
        <f ca="1">_xll.meDateFromTenor(S924,T$14,T$11,T$12)</f>
        <v>44175</v>
      </c>
      <c r="U924" s="98">
        <f ca="1"/>
        <v>3.8283095546354016E-3</v>
      </c>
      <c r="V924" s="5" t="s">
        <v>4</v>
      </c>
      <c r="W924" s="84" t="s">
        <v>4</v>
      </c>
    </row>
    <row r="925" spans="1:23" x14ac:dyDescent="0.25">
      <c r="A925" s="90">
        <v>906</v>
      </c>
      <c r="B925" s="83"/>
      <c r="C925" s="100">
        <f ca="1">_xll.meDateFromTenor(C924,"1D","FOLLOWING",D$12)</f>
        <v>43810</v>
      </c>
      <c r="D925" s="13">
        <f ca="1">_xll.meDateFromTenor(C925,D$14,D$11,D$12)</f>
        <v>43811</v>
      </c>
      <c r="E925" s="98">
        <f ca="1"/>
        <v>-2.0731107372373788E-3</v>
      </c>
      <c r="F925" s="94"/>
      <c r="G925" s="100">
        <f ca="1">_xll.meDateFromTenor(G924,"1D","FOLLOWING",H$12)</f>
        <v>43810</v>
      </c>
      <c r="H925" s="13">
        <f ca="1">_xll.meDateFromTenor(G925,H$14,H$11,H$12)</f>
        <v>43843</v>
      </c>
      <c r="I925" s="98">
        <f ca="1"/>
        <v>-1.2898746338229703E-3</v>
      </c>
      <c r="J925" s="94" t="s">
        <v>4</v>
      </c>
      <c r="K925" s="100">
        <f ca="1">_xll.meDateFromTenor(K924,"1D","FOLLOWING",L$12)</f>
        <v>43810</v>
      </c>
      <c r="L925" s="13">
        <f ca="1">_xll.meDateFromTenor(K925,L$14,L$11,L$12)</f>
        <v>43901</v>
      </c>
      <c r="M925" s="98">
        <f ca="1"/>
        <v>-5.2030699901930481E-5</v>
      </c>
      <c r="N925" s="5" t="s">
        <v>4</v>
      </c>
      <c r="O925" s="100">
        <f ca="1">_xll.meDateFromTenor(O924,"1D","FOLLOWING",P$12)</f>
        <v>43810</v>
      </c>
      <c r="P925" s="13">
        <f ca="1">_xll.meDateFromTenor(O925,P$14,P$11,P$12)</f>
        <v>43993</v>
      </c>
      <c r="Q925" s="98">
        <f ca="1"/>
        <v>1.8373593314141153E-3</v>
      </c>
      <c r="R925" s="5" t="s">
        <v>4</v>
      </c>
      <c r="S925" s="100">
        <f ca="1">_xll.meDateFromTenor(S924,"1D","FOLLOWING",T$12)</f>
        <v>43810</v>
      </c>
      <c r="T925" s="13">
        <f ca="1">_xll.meDateFromTenor(S925,T$14,T$11,T$12)</f>
        <v>44176</v>
      </c>
      <c r="U925" s="98">
        <f ca="1"/>
        <v>3.833886797698373E-3</v>
      </c>
      <c r="V925" s="5" t="s">
        <v>4</v>
      </c>
      <c r="W925" s="84" t="s">
        <v>4</v>
      </c>
    </row>
    <row r="926" spans="1:23" x14ac:dyDescent="0.25">
      <c r="A926" s="90">
        <v>907</v>
      </c>
      <c r="B926" s="83"/>
      <c r="C926" s="100">
        <f ca="1">_xll.meDateFromTenor(C925,"1D","FOLLOWING",D$12)</f>
        <v>43811</v>
      </c>
      <c r="D926" s="13">
        <f ca="1">_xll.meDateFromTenor(C926,D$14,D$11,D$12)</f>
        <v>43812</v>
      </c>
      <c r="E926" s="98">
        <f ca="1"/>
        <v>-2.0685075801818516E-3</v>
      </c>
      <c r="F926" s="94"/>
      <c r="G926" s="100">
        <f ca="1">_xll.meDateFromTenor(G925,"1D","FOLLOWING",H$12)</f>
        <v>43811</v>
      </c>
      <c r="H926" s="13">
        <f ca="1">_xll.meDateFromTenor(G926,H$14,H$11,H$12)</f>
        <v>43843</v>
      </c>
      <c r="I926" s="98">
        <f ca="1"/>
        <v>-1.2838751822186387E-3</v>
      </c>
      <c r="J926" s="94" t="s">
        <v>4</v>
      </c>
      <c r="K926" s="100">
        <f ca="1">_xll.meDateFromTenor(K925,"1D","FOLLOWING",L$12)</f>
        <v>43811</v>
      </c>
      <c r="L926" s="13">
        <f ca="1">_xll.meDateFromTenor(K926,L$14,L$11,L$12)</f>
        <v>43902</v>
      </c>
      <c r="M926" s="98">
        <f ca="1"/>
        <v>-4.6980527168467198E-5</v>
      </c>
      <c r="N926" s="5" t="s">
        <v>4</v>
      </c>
      <c r="O926" s="100">
        <f ca="1">_xll.meDateFromTenor(O925,"1D","FOLLOWING",P$12)</f>
        <v>43811</v>
      </c>
      <c r="P926" s="13">
        <f ca="1">_xll.meDateFromTenor(O926,P$14,P$11,P$12)</f>
        <v>43994</v>
      </c>
      <c r="Q926" s="98">
        <f ca="1"/>
        <v>1.8432395796815694E-3</v>
      </c>
      <c r="R926" s="5" t="s">
        <v>4</v>
      </c>
      <c r="S926" s="100">
        <f ca="1">_xll.meDateFromTenor(S925,"1D","FOLLOWING",T$12)</f>
        <v>43811</v>
      </c>
      <c r="T926" s="13">
        <f ca="1">_xll.meDateFromTenor(S926,T$14,T$11,T$12)</f>
        <v>44179</v>
      </c>
      <c r="U926" s="98">
        <f ca="1"/>
        <v>3.8394660129812751E-3</v>
      </c>
      <c r="V926" s="5" t="s">
        <v>4</v>
      </c>
      <c r="W926" s="84" t="s">
        <v>4</v>
      </c>
    </row>
    <row r="927" spans="1:23" x14ac:dyDescent="0.25">
      <c r="A927" s="90">
        <v>908</v>
      </c>
      <c r="B927" s="83"/>
      <c r="C927" s="100">
        <f ca="1">_xll.meDateFromTenor(C926,"1D","FOLLOWING",D$12)</f>
        <v>43812</v>
      </c>
      <c r="D927" s="13">
        <f ca="1">_xll.meDateFromTenor(C927,D$14,D$11,D$12)</f>
        <v>43815</v>
      </c>
      <c r="E927" s="98">
        <f ca="1"/>
        <v>-2.0593900791343674E-3</v>
      </c>
      <c r="F927" s="94"/>
      <c r="G927" s="100">
        <f ca="1">_xll.meDateFromTenor(G926,"1D","FOLLOWING",H$12)</f>
        <v>43812</v>
      </c>
      <c r="H927" s="13">
        <f ca="1">_xll.meDateFromTenor(G927,H$14,H$11,H$12)</f>
        <v>43843</v>
      </c>
      <c r="I927" s="98">
        <f ca="1"/>
        <v>-1.2778865651308377E-3</v>
      </c>
      <c r="J927" s="94" t="s">
        <v>4</v>
      </c>
      <c r="K927" s="100">
        <f ca="1">_xll.meDateFromTenor(K926,"1D","FOLLOWING",L$12)</f>
        <v>43812</v>
      </c>
      <c r="L927" s="13">
        <f ca="1">_xll.meDateFromTenor(K927,L$14,L$11,L$12)</f>
        <v>43903</v>
      </c>
      <c r="M927" s="98">
        <f ca="1"/>
        <v>-4.1918854048158401E-5</v>
      </c>
      <c r="N927" s="5" t="s">
        <v>4</v>
      </c>
      <c r="O927" s="100">
        <f ca="1">_xll.meDateFromTenor(O926,"1D","FOLLOWING",P$12)</f>
        <v>43812</v>
      </c>
      <c r="P927" s="13">
        <f ca="1">_xll.meDateFromTenor(O927,P$14,P$11,P$12)</f>
        <v>43997</v>
      </c>
      <c r="Q927" s="98">
        <f ca="1"/>
        <v>1.8491197615124991E-3</v>
      </c>
      <c r="R927" s="5" t="s">
        <v>4</v>
      </c>
      <c r="S927" s="100">
        <f ca="1">_xll.meDateFromTenor(S926,"1D","FOLLOWING",T$12)</f>
        <v>43812</v>
      </c>
      <c r="T927" s="13">
        <f ca="1">_xll.meDateFromTenor(S927,T$14,T$11,T$12)</f>
        <v>44179</v>
      </c>
      <c r="U927" s="98">
        <f ca="1"/>
        <v>3.845047223713427E-3</v>
      </c>
      <c r="V927" s="5" t="s">
        <v>4</v>
      </c>
      <c r="W927" s="84" t="s">
        <v>4</v>
      </c>
    </row>
    <row r="928" spans="1:23" x14ac:dyDescent="0.25">
      <c r="A928" s="90">
        <v>909</v>
      </c>
      <c r="B928" s="83"/>
      <c r="C928" s="100">
        <f ca="1">_xll.meDateFromTenor(C927,"1D","FOLLOWING",D$12)</f>
        <v>43815</v>
      </c>
      <c r="D928" s="13">
        <f ca="1">_xll.meDateFromTenor(C928,D$14,D$11,D$12)</f>
        <v>43816</v>
      </c>
      <c r="E928" s="98">
        <f ca="1"/>
        <v>-2.0503967296825539E-3</v>
      </c>
      <c r="F928" s="94"/>
      <c r="G928" s="100">
        <f ca="1">_xll.meDateFromTenor(G927,"1D","FOLLOWING",H$12)</f>
        <v>43815</v>
      </c>
      <c r="H928" s="13">
        <f ca="1">_xll.meDateFromTenor(G928,H$14,H$11,H$12)</f>
        <v>43846</v>
      </c>
      <c r="I928" s="98">
        <f ca="1"/>
        <v>-1.2599952763927634E-3</v>
      </c>
      <c r="J928" s="94" t="s">
        <v>4</v>
      </c>
      <c r="K928" s="100">
        <f ca="1">_xll.meDateFromTenor(K927,"1D","FOLLOWING",L$12)</f>
        <v>43815</v>
      </c>
      <c r="L928" s="13">
        <f ca="1">_xll.meDateFromTenor(K928,L$14,L$11,L$12)</f>
        <v>43906</v>
      </c>
      <c r="M928" s="98">
        <f ca="1"/>
        <v>-2.666493533933865E-5</v>
      </c>
      <c r="N928" s="5" t="s">
        <v>4</v>
      </c>
      <c r="O928" s="100">
        <f ca="1">_xll.meDateFromTenor(O927,"1D","FOLLOWING",P$12)</f>
        <v>43815</v>
      </c>
      <c r="P928" s="13">
        <f ca="1">_xll.meDateFromTenor(O928,P$14,P$11,P$12)</f>
        <v>43998</v>
      </c>
      <c r="Q928" s="98">
        <f ca="1"/>
        <v>1.8667601299150027E-3</v>
      </c>
      <c r="R928" s="5" t="s">
        <v>4</v>
      </c>
      <c r="S928" s="100">
        <f ca="1">_xll.meDateFromTenor(S927,"1D","FOLLOWING",T$12)</f>
        <v>43815</v>
      </c>
      <c r="T928" s="13">
        <f ca="1">_xll.meDateFromTenor(S928,T$14,T$11,T$12)</f>
        <v>44181</v>
      </c>
      <c r="U928" s="98">
        <f ca="1"/>
        <v>3.861803060898564E-3</v>
      </c>
      <c r="V928" s="5" t="s">
        <v>4</v>
      </c>
      <c r="W928" s="84" t="s">
        <v>4</v>
      </c>
    </row>
    <row r="929" spans="1:23" x14ac:dyDescent="0.25">
      <c r="A929" s="90">
        <v>910</v>
      </c>
      <c r="B929" s="83"/>
      <c r="C929" s="100">
        <f ca="1">_xll.meDateFromTenor(C928,"1D","FOLLOWING",D$12)</f>
        <v>43816</v>
      </c>
      <c r="D929" s="13">
        <f ca="1">_xll.meDateFromTenor(C929,D$14,D$11,D$12)</f>
        <v>43817</v>
      </c>
      <c r="E929" s="98">
        <f ca="1"/>
        <v>-2.0459444574916293E-3</v>
      </c>
      <c r="F929" s="94"/>
      <c r="G929" s="100">
        <f ca="1">_xll.meDateFromTenor(G928,"1D","FOLLOWING",H$12)</f>
        <v>43816</v>
      </c>
      <c r="H929" s="13">
        <f ca="1">_xll.meDateFromTenor(G929,H$14,H$11,H$12)</f>
        <v>43847</v>
      </c>
      <c r="I929" s="98">
        <f ca="1"/>
        <v>-1.2540595527972319E-3</v>
      </c>
      <c r="J929" s="94" t="s">
        <v>4</v>
      </c>
      <c r="K929" s="100">
        <f ca="1">_xll.meDateFromTenor(K928,"1D","FOLLOWING",L$12)</f>
        <v>43816</v>
      </c>
      <c r="L929" s="13">
        <f ca="1">_xll.meDateFromTenor(K929,L$14,L$11,L$12)</f>
        <v>43907</v>
      </c>
      <c r="M929" s="98">
        <f ca="1"/>
        <v>-2.1557363644829981E-5</v>
      </c>
      <c r="N929" s="5" t="s">
        <v>4</v>
      </c>
      <c r="O929" s="100">
        <f ca="1">_xll.meDateFromTenor(O928,"1D","FOLLOWING",P$12)</f>
        <v>43816</v>
      </c>
      <c r="P929" s="13">
        <f ca="1">_xll.meDateFromTenor(O929,P$14,P$11,P$12)</f>
        <v>43999</v>
      </c>
      <c r="Q929" s="98">
        <f ca="1"/>
        <v>1.8726402675286939E-3</v>
      </c>
      <c r="R929" s="5" t="s">
        <v>4</v>
      </c>
      <c r="S929" s="100">
        <f ca="1">_xll.meDateFromTenor(S928,"1D","FOLLOWING",T$12)</f>
        <v>43816</v>
      </c>
      <c r="T929" s="13">
        <f ca="1">_xll.meDateFromTenor(S929,T$14,T$11,T$12)</f>
        <v>44182</v>
      </c>
      <c r="U929" s="98">
        <f ca="1"/>
        <v>3.8673924857208952E-3</v>
      </c>
      <c r="V929" s="5" t="s">
        <v>4</v>
      </c>
      <c r="W929" s="84" t="s">
        <v>4</v>
      </c>
    </row>
    <row r="930" spans="1:23" x14ac:dyDescent="0.25">
      <c r="A930" s="90">
        <v>911</v>
      </c>
      <c r="B930" s="83"/>
      <c r="C930" s="100">
        <f ca="1">_xll.meDateFromTenor(C929,"1D","FOLLOWING",D$12)</f>
        <v>43817</v>
      </c>
      <c r="D930" s="13">
        <f ca="1">_xll.meDateFromTenor(C930,D$14,D$11,D$12)</f>
        <v>43818</v>
      </c>
      <c r="E930" s="98">
        <f ca="1"/>
        <v>-2.0415223595238248E-3</v>
      </c>
      <c r="F930" s="94"/>
      <c r="G930" s="100">
        <f ca="1">_xll.meDateFromTenor(G929,"1D","FOLLOWING",H$12)</f>
        <v>43817</v>
      </c>
      <c r="H930" s="13">
        <f ca="1">_xll.meDateFromTenor(G930,H$14,H$11,H$12)</f>
        <v>43850</v>
      </c>
      <c r="I930" s="98">
        <f ca="1"/>
        <v>-1.2481394414313052E-3</v>
      </c>
      <c r="J930" s="94" t="s">
        <v>4</v>
      </c>
      <c r="K930" s="100">
        <f ca="1">_xll.meDateFromTenor(K929,"1D","FOLLOWING",L$12)</f>
        <v>43817</v>
      </c>
      <c r="L930" s="13">
        <f ca="1">_xll.meDateFromTenor(K930,L$14,L$11,L$12)</f>
        <v>43908</v>
      </c>
      <c r="M930" s="98">
        <f ca="1"/>
        <v>-1.6438343050068086E-5</v>
      </c>
      <c r="N930" s="5" t="s">
        <v>4</v>
      </c>
      <c r="O930" s="100">
        <f ca="1">_xll.meDateFromTenor(O929,"1D","FOLLOWING",P$12)</f>
        <v>43817</v>
      </c>
      <c r="P930" s="13">
        <f ca="1">_xll.meDateFromTenor(O930,P$14,P$11,P$12)</f>
        <v>44000</v>
      </c>
      <c r="Q930" s="98">
        <f ca="1"/>
        <v>1.878520449470289E-3</v>
      </c>
      <c r="R930" s="5" t="s">
        <v>4</v>
      </c>
      <c r="S930" s="100">
        <f ca="1">_xll.meDateFromTenor(S929,"1D","FOLLOWING",T$12)</f>
        <v>43817</v>
      </c>
      <c r="T930" s="13">
        <f ca="1">_xll.meDateFromTenor(S930,T$14,T$11,T$12)</f>
        <v>44183</v>
      </c>
      <c r="U930" s="98">
        <f ca="1"/>
        <v>3.8729840221390643E-3</v>
      </c>
      <c r="V930" s="5" t="s">
        <v>4</v>
      </c>
      <c r="W930" s="84" t="s">
        <v>4</v>
      </c>
    </row>
    <row r="931" spans="1:23" x14ac:dyDescent="0.25">
      <c r="A931" s="90">
        <v>912</v>
      </c>
      <c r="B931" s="83"/>
      <c r="C931" s="100">
        <f ca="1">_xll.meDateFromTenor(C930,"1D","FOLLOWING",D$12)</f>
        <v>43818</v>
      </c>
      <c r="D931" s="13">
        <f ca="1">_xll.meDateFromTenor(C931,D$14,D$11,D$12)</f>
        <v>43819</v>
      </c>
      <c r="E931" s="98">
        <f ca="1"/>
        <v>-2.0371304353394922E-3</v>
      </c>
      <c r="F931" s="94"/>
      <c r="G931" s="100">
        <f ca="1">_xll.meDateFromTenor(G930,"1D","FOLLOWING",H$12)</f>
        <v>43818</v>
      </c>
      <c r="H931" s="13">
        <f ca="1">_xll.meDateFromTenor(G931,H$14,H$11,H$12)</f>
        <v>43850</v>
      </c>
      <c r="I931" s="98">
        <f ca="1"/>
        <v>-1.2422358978375989E-3</v>
      </c>
      <c r="J931" s="94" t="s">
        <v>4</v>
      </c>
      <c r="K931" s="100">
        <f ca="1">_xll.meDateFromTenor(K930,"1D","FOLLOWING",L$12)</f>
        <v>43818</v>
      </c>
      <c r="L931" s="13">
        <f ca="1">_xll.meDateFromTenor(K931,L$14,L$11,L$12)</f>
        <v>43909</v>
      </c>
      <c r="M931" s="98">
        <f ca="1"/>
        <v>-1.1307883852371621E-5</v>
      </c>
      <c r="N931" s="5" t="s">
        <v>4</v>
      </c>
      <c r="O931" s="100">
        <f ca="1">_xll.meDateFromTenor(O930,"1D","FOLLOWING",P$12)</f>
        <v>43818</v>
      </c>
      <c r="P931" s="13">
        <f ca="1">_xll.meDateFromTenor(O931,P$14,P$11,P$12)</f>
        <v>44001</v>
      </c>
      <c r="Q931" s="98">
        <f ca="1"/>
        <v>1.8844006978926732E-3</v>
      </c>
      <c r="R931" s="5" t="s">
        <v>4</v>
      </c>
      <c r="S931" s="100">
        <f ca="1">_xll.meDateFromTenor(S930,"1D","FOLLOWING",T$12)</f>
        <v>43818</v>
      </c>
      <c r="T931" s="13">
        <f ca="1">_xll.meDateFromTenor(S931,T$14,T$11,T$12)</f>
        <v>44186</v>
      </c>
      <c r="U931" s="98">
        <f ca="1"/>
        <v>3.8785776933823908E-3</v>
      </c>
      <c r="V931" s="5" t="s">
        <v>4</v>
      </c>
      <c r="W931" s="84" t="s">
        <v>4</v>
      </c>
    </row>
    <row r="932" spans="1:23" x14ac:dyDescent="0.25">
      <c r="A932" s="90">
        <v>913</v>
      </c>
      <c r="B932" s="83"/>
      <c r="C932" s="100">
        <f ca="1">_xll.meDateFromTenor(C931,"1D","FOLLOWING",D$12)</f>
        <v>43819</v>
      </c>
      <c r="D932" s="13">
        <f ca="1">_xll.meDateFromTenor(C932,D$14,D$11,D$12)</f>
        <v>43822</v>
      </c>
      <c r="E932" s="98">
        <f ca="1"/>
        <v>-2.0284357315691966E-3</v>
      </c>
      <c r="F932" s="94"/>
      <c r="G932" s="100">
        <f ca="1">_xll.meDateFromTenor(G931,"1D","FOLLOWING",H$12)</f>
        <v>43819</v>
      </c>
      <c r="H932" s="13">
        <f ca="1">_xll.meDateFromTenor(G932,H$14,H$11,H$12)</f>
        <v>43850</v>
      </c>
      <c r="I932" s="98">
        <f ca="1"/>
        <v>-1.236349877558728E-3</v>
      </c>
      <c r="J932" s="94" t="s">
        <v>4</v>
      </c>
      <c r="K932" s="100">
        <f ca="1">_xll.meDateFromTenor(K931,"1D","FOLLOWING",L$12)</f>
        <v>43819</v>
      </c>
      <c r="L932" s="13">
        <f ca="1">_xll.meDateFromTenor(K932,L$14,L$11,L$12)</f>
        <v>43910</v>
      </c>
      <c r="M932" s="98">
        <f ca="1"/>
        <v>-6.1659963490592179E-6</v>
      </c>
      <c r="N932" s="5" t="s">
        <v>4</v>
      </c>
      <c r="O932" s="100">
        <f ca="1">_xll.meDateFromTenor(O931,"1D","FOLLOWING",P$12)</f>
        <v>43819</v>
      </c>
      <c r="P932" s="13">
        <f ca="1">_xll.meDateFromTenor(O932,P$14,P$11,P$12)</f>
        <v>44004</v>
      </c>
      <c r="Q932" s="98">
        <f ca="1"/>
        <v>1.8902810349487329E-3</v>
      </c>
      <c r="R932" s="5" t="s">
        <v>4</v>
      </c>
      <c r="S932" s="100">
        <f ca="1">_xll.meDateFromTenor(S931,"1D","FOLLOWING",T$12)</f>
        <v>43819</v>
      </c>
      <c r="T932" s="13">
        <f ca="1">_xll.meDateFromTenor(S932,T$14,T$11,T$12)</f>
        <v>44186</v>
      </c>
      <c r="U932" s="98">
        <f ca="1"/>
        <v>3.8841735226801911E-3</v>
      </c>
      <c r="V932" s="5" t="s">
        <v>4</v>
      </c>
      <c r="W932" s="84" t="s">
        <v>4</v>
      </c>
    </row>
    <row r="933" spans="1:23" x14ac:dyDescent="0.25">
      <c r="A933" s="90">
        <v>914</v>
      </c>
      <c r="B933" s="83"/>
      <c r="C933" s="100">
        <f ca="1">_xll.meDateFromTenor(C932,"1D","FOLLOWING",D$12)</f>
        <v>43822</v>
      </c>
      <c r="D933" s="13">
        <f ca="1">_xll.meDateFromTenor(C933,D$14,D$11,D$12)</f>
        <v>43823</v>
      </c>
      <c r="E933" s="98">
        <f ca="1"/>
        <v>-2.0198644566926734E-3</v>
      </c>
      <c r="F933" s="94"/>
      <c r="G933" s="100">
        <f ca="1">_xll.meDateFromTenor(G932,"1D","FOLLOWING",H$12)</f>
        <v>43822</v>
      </c>
      <c r="H933" s="13">
        <f ca="1">_xll.meDateFromTenor(G933,H$14,H$11,H$12)</f>
        <v>43853</v>
      </c>
      <c r="I933" s="98">
        <f ca="1"/>
        <v>-1.21880651203728E-3</v>
      </c>
      <c r="J933" s="94" t="s">
        <v>4</v>
      </c>
      <c r="K933" s="100">
        <f ca="1">_xll.meDateFromTenor(K932,"1D","FOLLOWING",L$12)</f>
        <v>43822</v>
      </c>
      <c r="L933" s="13">
        <f ca="1">_xll.meDateFromTenor(K933,L$14,L$11,L$12)</f>
        <v>43913</v>
      </c>
      <c r="M933" s="98">
        <f ca="1"/>
        <v>9.328133021386662E-6</v>
      </c>
      <c r="N933" s="5" t="s">
        <v>4</v>
      </c>
      <c r="O933" s="100">
        <f ca="1">_xll.meDateFromTenor(O932,"1D","FOLLOWING",P$12)</f>
        <v>43822</v>
      </c>
      <c r="P933" s="13">
        <f ca="1">_xll.meDateFromTenor(O933,P$14,P$11,P$12)</f>
        <v>44005</v>
      </c>
      <c r="Q933" s="98">
        <f ca="1"/>
        <v>1.9079227994478151E-3</v>
      </c>
      <c r="R933" s="5" t="s">
        <v>4</v>
      </c>
      <c r="S933" s="100">
        <f ca="1">_xll.meDateFromTenor(S932,"1D","FOLLOWING",T$12)</f>
        <v>43822</v>
      </c>
      <c r="T933" s="13">
        <f ca="1">_xll.meDateFromTenor(S933,T$14,T$11,T$12)</f>
        <v>44188</v>
      </c>
      <c r="U933" s="98">
        <f ca="1"/>
        <v>3.9009741911936145E-3</v>
      </c>
      <c r="V933" s="5" t="s">
        <v>4</v>
      </c>
      <c r="W933" s="84" t="s">
        <v>4</v>
      </c>
    </row>
    <row r="934" spans="1:23" x14ac:dyDescent="0.25">
      <c r="A934" s="90">
        <v>915</v>
      </c>
      <c r="B934" s="83"/>
      <c r="C934" s="100">
        <f ca="1">_xll.meDateFromTenor(C933,"1D","FOLLOWING",D$12)</f>
        <v>43823</v>
      </c>
      <c r="D934" s="13">
        <f ca="1">_xll.meDateFromTenor(C934,D$14,D$11,D$12)</f>
        <v>43826</v>
      </c>
      <c r="E934" s="98">
        <f ca="1"/>
        <v>-2.0114113049141194E-3</v>
      </c>
      <c r="F934" s="94"/>
      <c r="G934" s="100">
        <f ca="1">_xll.meDateFromTenor(G933,"1D","FOLLOWING",H$12)</f>
        <v>43823</v>
      </c>
      <c r="H934" s="13">
        <f ca="1">_xll.meDateFromTenor(G934,H$14,H$11,H$12)</f>
        <v>43854</v>
      </c>
      <c r="I934" s="98">
        <f ca="1"/>
        <v>-1.2130001404439023E-3</v>
      </c>
      <c r="J934" s="94" t="s">
        <v>4</v>
      </c>
      <c r="K934" s="100">
        <f ca="1">_xll.meDateFromTenor(K933,"1D","FOLLOWING",L$12)</f>
        <v>43823</v>
      </c>
      <c r="L934" s="13">
        <f ca="1">_xll.meDateFromTenor(K934,L$14,L$11,L$12)</f>
        <v>43914</v>
      </c>
      <c r="M934" s="98">
        <f ca="1"/>
        <v>1.4515630773975806E-5</v>
      </c>
      <c r="N934" s="5" t="s">
        <v>4</v>
      </c>
      <c r="O934" s="100">
        <f ca="1">_xll.meDateFromTenor(O933,"1D","FOLLOWING",P$12)</f>
        <v>43823</v>
      </c>
      <c r="P934" s="13">
        <f ca="1">_xll.meDateFromTenor(O934,P$14,P$11,P$12)</f>
        <v>44006</v>
      </c>
      <c r="Q934" s="98">
        <f ca="1"/>
        <v>1.9138037125674284E-3</v>
      </c>
      <c r="R934" s="5" t="s">
        <v>4</v>
      </c>
      <c r="S934" s="100">
        <f ca="1">_xll.meDateFromTenor(S933,"1D","FOLLOWING",T$12)</f>
        <v>43823</v>
      </c>
      <c r="T934" s="13">
        <f ca="1">_xll.meDateFromTenor(S934,T$14,T$11,T$12)</f>
        <v>44189</v>
      </c>
      <c r="U934" s="98">
        <f ca="1"/>
        <v>3.9065788850024879E-3</v>
      </c>
      <c r="V934" s="5" t="s">
        <v>4</v>
      </c>
      <c r="W934" s="84" t="s">
        <v>4</v>
      </c>
    </row>
    <row r="935" spans="1:23" x14ac:dyDescent="0.25">
      <c r="A935" s="90">
        <v>916</v>
      </c>
      <c r="B935" s="83"/>
      <c r="C935" s="100">
        <f ca="1">_xll.meDateFromTenor(C934,"1D","FOLLOWING",D$12)</f>
        <v>43826</v>
      </c>
      <c r="D935" s="13">
        <f ca="1">_xll.meDateFromTenor(C935,D$14,D$11,D$12)</f>
        <v>43829</v>
      </c>
      <c r="E935" s="98">
        <f ca="1"/>
        <v>-1.9989597445313548E-3</v>
      </c>
      <c r="F935" s="94"/>
      <c r="G935" s="100">
        <f ca="1">_xll.meDateFromTenor(G934,"1D","FOLLOWING",H$12)</f>
        <v>43826</v>
      </c>
      <c r="H935" s="13">
        <f ca="1">_xll.meDateFromTenor(G935,H$14,H$11,H$12)</f>
        <v>43857</v>
      </c>
      <c r="I935" s="98">
        <f ca="1"/>
        <v>-1.1957186540016919E-3</v>
      </c>
      <c r="J935" s="94" t="s">
        <v>4</v>
      </c>
      <c r="K935" s="100">
        <f ca="1">_xll.meDateFromTenor(K934,"1D","FOLLOWING",L$12)</f>
        <v>43826</v>
      </c>
      <c r="L935" s="13">
        <f ca="1">_xll.meDateFromTenor(K935,L$14,L$11,L$12)</f>
        <v>43917</v>
      </c>
      <c r="M935" s="98">
        <f ca="1"/>
        <v>3.014634375660824E-5</v>
      </c>
      <c r="N935" s="5" t="s">
        <v>4</v>
      </c>
      <c r="O935" s="100">
        <f ca="1">_xll.meDateFromTenor(O934,"1D","FOLLOWING",P$12)</f>
        <v>43826</v>
      </c>
      <c r="P935" s="13">
        <f ca="1">_xll.meDateFromTenor(O935,P$14,P$11,P$12)</f>
        <v>44011</v>
      </c>
      <c r="Q935" s="98">
        <f ca="1"/>
        <v>1.9314477369264291E-3</v>
      </c>
      <c r="R935" s="5" t="s">
        <v>4</v>
      </c>
      <c r="S935" s="100">
        <f ca="1">_xll.meDateFromTenor(S934,"1D","FOLLOWING",T$12)</f>
        <v>43826</v>
      </c>
      <c r="T935" s="13">
        <f ca="1">_xll.meDateFromTenor(S935,T$14,T$11,T$12)</f>
        <v>44193</v>
      </c>
      <c r="U935" s="98">
        <f ca="1"/>
        <v>3.923406704552759E-3</v>
      </c>
      <c r="V935" s="5" t="s">
        <v>4</v>
      </c>
      <c r="W935" s="84" t="s">
        <v>4</v>
      </c>
    </row>
    <row r="936" spans="1:23" x14ac:dyDescent="0.25">
      <c r="A936" s="90">
        <v>917</v>
      </c>
      <c r="B936" s="83"/>
      <c r="C936" s="100">
        <f ca="1">_xll.meDateFromTenor(C935,"1D","FOLLOWING",D$12)</f>
        <v>43829</v>
      </c>
      <c r="D936" s="13">
        <f ca="1">_xll.meDateFromTenor(C936,D$14,D$11,D$12)</f>
        <v>43830</v>
      </c>
      <c r="E936" s="98">
        <f ca="1"/>
        <v>-1.9908104847843403E-3</v>
      </c>
      <c r="F936" s="94"/>
      <c r="G936" s="100">
        <f ca="1">_xll.meDateFromTenor(G935,"1D","FOLLOWING",H$12)</f>
        <v>43829</v>
      </c>
      <c r="H936" s="13">
        <f ca="1">_xll.meDateFromTenor(G936,H$14,H$11,H$12)</f>
        <v>43860</v>
      </c>
      <c r="I936" s="98">
        <f ca="1"/>
        <v>-1.1786636764612856E-3</v>
      </c>
      <c r="J936" s="94" t="s">
        <v>4</v>
      </c>
      <c r="K936" s="100">
        <f ca="1">_xll.meDateFromTenor(K935,"1D","FOLLOWING",L$12)</f>
        <v>43829</v>
      </c>
      <c r="L936" s="13">
        <f ca="1">_xll.meDateFromTenor(K936,L$14,L$11,L$12)</f>
        <v>43920</v>
      </c>
      <c r="M936" s="98">
        <f ca="1"/>
        <v>4.5879170082843262E-5</v>
      </c>
      <c r="N936" s="5" t="s">
        <v>4</v>
      </c>
      <c r="O936" s="100">
        <f ca="1">_xll.meDateFromTenor(O935,"1D","FOLLOWING",P$12)</f>
        <v>43829</v>
      </c>
      <c r="P936" s="13">
        <f ca="1">_xll.meDateFromTenor(O936,P$14,P$11,P$12)</f>
        <v>44012</v>
      </c>
      <c r="Q936" s="98">
        <f ca="1"/>
        <v>1.949094153996261E-3</v>
      </c>
      <c r="R936" s="5" t="s">
        <v>4</v>
      </c>
      <c r="S936" s="100">
        <f ca="1">_xll.meDateFromTenor(S935,"1D","FOLLOWING",T$12)</f>
        <v>43829</v>
      </c>
      <c r="T936" s="13">
        <f ca="1">_xll.meDateFromTenor(S936,T$14,T$11,T$12)</f>
        <v>44195</v>
      </c>
      <c r="U936" s="98">
        <f ca="1"/>
        <v>3.9402556191041752E-3</v>
      </c>
      <c r="V936" s="5" t="s">
        <v>4</v>
      </c>
      <c r="W936" s="84" t="s">
        <v>4</v>
      </c>
    </row>
    <row r="937" spans="1:23" x14ac:dyDescent="0.25">
      <c r="A937" s="90">
        <v>918</v>
      </c>
      <c r="B937" s="83"/>
      <c r="C937" s="100">
        <f ca="1">_xll.meDateFromTenor(C936,"1D","FOLLOWING",D$12)</f>
        <v>43830</v>
      </c>
      <c r="D937" s="13">
        <f ca="1">_xll.meDateFromTenor(C937,D$14,D$11,D$12)</f>
        <v>43832</v>
      </c>
      <c r="E937" s="98">
        <f ca="1"/>
        <v>-1.9793632533615726E-3</v>
      </c>
      <c r="F937" s="94"/>
      <c r="G937" s="100">
        <f ca="1">_xll.meDateFromTenor(G936,"1D","FOLLOWING",H$12)</f>
        <v>43830</v>
      </c>
      <c r="H937" s="13">
        <f ca="1">_xll.meDateFromTenor(G937,H$14,H$11,H$12)</f>
        <v>43861</v>
      </c>
      <c r="I937" s="98">
        <f ca="1"/>
        <v>-1.1730334784581999E-3</v>
      </c>
      <c r="J937" s="94" t="s">
        <v>4</v>
      </c>
      <c r="K937" s="100">
        <f ca="1">_xll.meDateFromTenor(K936,"1D","FOLLOWING",L$12)</f>
        <v>43830</v>
      </c>
      <c r="L937" s="13">
        <f ca="1">_xll.meDateFromTenor(K937,L$14,L$11,L$12)</f>
        <v>43921</v>
      </c>
      <c r="M937" s="98">
        <f ca="1"/>
        <v>5.1146089324901074E-5</v>
      </c>
      <c r="N937" s="5" t="s">
        <v>4</v>
      </c>
      <c r="O937" s="100">
        <f ca="1">_xll.meDateFromTenor(O936,"1D","FOLLOWING",P$12)</f>
        <v>43830</v>
      </c>
      <c r="P937" s="13">
        <f ca="1">_xll.meDateFromTenor(O937,P$14,P$11,P$12)</f>
        <v>44012</v>
      </c>
      <c r="Q937" s="98">
        <f ca="1"/>
        <v>1.9549769281131881E-3</v>
      </c>
      <c r="R937" s="5" t="s">
        <v>4</v>
      </c>
      <c r="S937" s="100">
        <f ca="1">_xll.meDateFromTenor(S936,"1D","FOLLOWING",T$12)</f>
        <v>43830</v>
      </c>
      <c r="T937" s="13">
        <f ca="1">_xll.meDateFromTenor(S937,T$14,T$11,T$12)</f>
        <v>44196</v>
      </c>
      <c r="U937" s="98">
        <f ca="1"/>
        <v>3.9458767201361617E-3</v>
      </c>
      <c r="V937" s="5" t="s">
        <v>4</v>
      </c>
      <c r="W937" s="84" t="s">
        <v>4</v>
      </c>
    </row>
    <row r="938" spans="1:23" x14ac:dyDescent="0.25">
      <c r="A938" s="90">
        <v>919</v>
      </c>
      <c r="B938" s="83"/>
      <c r="C938" s="100">
        <f ca="1">_xll.meDateFromTenor(C937,"1D","FOLLOWING",D$12)</f>
        <v>43832</v>
      </c>
      <c r="D938" s="13">
        <f ca="1">_xll.meDateFromTenor(C938,D$14,D$11,D$12)</f>
        <v>43833</v>
      </c>
      <c r="E938" s="98">
        <f ca="1"/>
        <v>-1.9734316125230647E-3</v>
      </c>
      <c r="F938" s="94"/>
      <c r="G938" s="100">
        <f ca="1">_xll.meDateFromTenor(G937,"1D","FOLLOWING",H$12)</f>
        <v>43832</v>
      </c>
      <c r="H938" s="13">
        <f ca="1">_xll.meDateFromTenor(G938,H$14,H$11,H$12)</f>
        <v>43864</v>
      </c>
      <c r="I938" s="98">
        <f ca="1"/>
        <v>-1.1618913684352231E-3</v>
      </c>
      <c r="J938" s="94" t="s">
        <v>4</v>
      </c>
      <c r="K938" s="100">
        <f ca="1">_xll.meDateFromTenor(K937,"1D","FOLLOWING",L$12)</f>
        <v>43832</v>
      </c>
      <c r="L938" s="13">
        <f ca="1">_xll.meDateFromTenor(K938,L$14,L$11,L$12)</f>
        <v>43923</v>
      </c>
      <c r="M938" s="98">
        <f ca="1"/>
        <v>6.1684896580939334E-5</v>
      </c>
      <c r="N938" s="5" t="s">
        <v>4</v>
      </c>
      <c r="O938" s="100">
        <f ca="1">_xll.meDateFromTenor(O937,"1D","FOLLOWING",P$12)</f>
        <v>43832</v>
      </c>
      <c r="P938" s="13">
        <f ca="1">_xll.meDateFromTenor(O938,P$14,P$11,P$12)</f>
        <v>44014</v>
      </c>
      <c r="Q938" s="98">
        <f ca="1"/>
        <v>1.9667114105397397E-3</v>
      </c>
      <c r="R938" s="5" t="s">
        <v>4</v>
      </c>
      <c r="S938" s="100">
        <f ca="1">_xll.meDateFromTenor(S937,"1D","FOLLOWING",T$12)</f>
        <v>43832</v>
      </c>
      <c r="T938" s="13">
        <f ca="1">_xll.meDateFromTenor(S938,T$14,T$11,T$12)</f>
        <v>44200</v>
      </c>
      <c r="U938" s="98">
        <f ca="1"/>
        <v>3.9570955059638853E-3</v>
      </c>
      <c r="V938" s="5" t="s">
        <v>4</v>
      </c>
      <c r="W938" s="84" t="s">
        <v>4</v>
      </c>
    </row>
    <row r="939" spans="1:23" x14ac:dyDescent="0.25">
      <c r="A939" s="90">
        <v>920</v>
      </c>
      <c r="B939" s="83"/>
      <c r="C939" s="100">
        <f ca="1">_xll.meDateFromTenor(C938,"1D","FOLLOWING",D$12)</f>
        <v>43833</v>
      </c>
      <c r="D939" s="13">
        <f ca="1">_xll.meDateFromTenor(C939,D$14,D$11,D$12)</f>
        <v>43836</v>
      </c>
      <c r="E939" s="98">
        <f ca="1"/>
        <v>-1.9656244282773086E-3</v>
      </c>
      <c r="F939" s="94"/>
      <c r="G939" s="100">
        <f ca="1">_xll.meDateFromTenor(G938,"1D","FOLLOWING",H$12)</f>
        <v>43833</v>
      </c>
      <c r="H939" s="13">
        <f ca="1">_xll.meDateFromTenor(G939,H$14,H$11,H$12)</f>
        <v>43864</v>
      </c>
      <c r="I939" s="98">
        <f ca="1"/>
        <v>-1.1563653230216909E-3</v>
      </c>
      <c r="J939" s="94" t="s">
        <v>4</v>
      </c>
      <c r="K939" s="100">
        <f ca="1">_xll.meDateFromTenor(K938,"1D","FOLLOWING",L$12)</f>
        <v>43833</v>
      </c>
      <c r="L939" s="13">
        <f ca="1">_xll.meDateFromTenor(K939,L$14,L$11,L$12)</f>
        <v>43924</v>
      </c>
      <c r="M939" s="98">
        <f ca="1"/>
        <v>6.6971139247587588E-5</v>
      </c>
      <c r="N939" s="5" t="s">
        <v>4</v>
      </c>
      <c r="O939" s="100">
        <f ca="1">_xll.meDateFromTenor(O938,"1D","FOLLOWING",P$12)</f>
        <v>43833</v>
      </c>
      <c r="P939" s="13">
        <f ca="1">_xll.meDateFromTenor(O939,P$14,P$11,P$12)</f>
        <v>44015</v>
      </c>
      <c r="Q939" s="98">
        <f ca="1"/>
        <v>1.9725792354834595E-3</v>
      </c>
      <c r="R939" s="5" t="s">
        <v>4</v>
      </c>
      <c r="S939" s="100">
        <f ca="1">_xll.meDateFromTenor(S938,"1D","FOLLOWING",T$12)</f>
        <v>43833</v>
      </c>
      <c r="T939" s="13">
        <f ca="1">_xll.meDateFromTenor(S939,T$14,T$11,T$12)</f>
        <v>44200</v>
      </c>
      <c r="U939" s="98">
        <f ca="1"/>
        <v>3.9627085917392259E-3</v>
      </c>
      <c r="V939" s="5" t="s">
        <v>4</v>
      </c>
      <c r="W939" s="84" t="s">
        <v>4</v>
      </c>
    </row>
    <row r="940" spans="1:23" x14ac:dyDescent="0.25">
      <c r="A940" s="90">
        <v>921</v>
      </c>
      <c r="B940" s="83"/>
      <c r="C940" s="100">
        <f ca="1">_xll.meDateFromTenor(C939,"1D","FOLLOWING",D$12)</f>
        <v>43836</v>
      </c>
      <c r="D940" s="13">
        <f ca="1">_xll.meDateFromTenor(C940,D$14,D$11,D$12)</f>
        <v>43837</v>
      </c>
      <c r="E940" s="98">
        <f ca="1"/>
        <v>-1.9579384197543417E-3</v>
      </c>
      <c r="F940" s="94"/>
      <c r="G940" s="100">
        <f ca="1">_xll.meDateFromTenor(G939,"1D","FOLLOWING",H$12)</f>
        <v>43836</v>
      </c>
      <c r="H940" s="13">
        <f ca="1">_xll.meDateFromTenor(G940,H$14,H$11,H$12)</f>
        <v>43867</v>
      </c>
      <c r="I940" s="98">
        <f ca="1"/>
        <v>-1.1399445962282041E-3</v>
      </c>
      <c r="J940" s="94" t="s">
        <v>4</v>
      </c>
      <c r="K940" s="100">
        <f ca="1">_xll.meDateFromTenor(K939,"1D","FOLLOWING",L$12)</f>
        <v>43836</v>
      </c>
      <c r="L940" s="13">
        <f ca="1">_xll.meDateFromTenor(K940,L$14,L$11,L$12)</f>
        <v>43927</v>
      </c>
      <c r="M940" s="98">
        <f ca="1"/>
        <v>8.2897100844309821E-5</v>
      </c>
      <c r="N940" s="5" t="s">
        <v>4</v>
      </c>
      <c r="O940" s="100">
        <f ca="1">_xll.meDateFromTenor(O939,"1D","FOLLOWING",P$12)</f>
        <v>43836</v>
      </c>
      <c r="P940" s="13">
        <f ca="1">_xll.meDateFromTenor(O940,P$14,P$11,P$12)</f>
        <v>44018</v>
      </c>
      <c r="Q940" s="98">
        <f ca="1"/>
        <v>1.9901853088979942E-3</v>
      </c>
      <c r="R940" s="5" t="s">
        <v>4</v>
      </c>
      <c r="S940" s="100">
        <f ca="1">_xll.meDateFromTenor(S939,"1D","FOLLOWING",T$12)</f>
        <v>43836</v>
      </c>
      <c r="T940" s="13">
        <f ca="1">_xll.meDateFromTenor(S940,T$14,T$11,T$12)</f>
        <v>44202</v>
      </c>
      <c r="U940" s="98">
        <f ca="1"/>
        <v>3.9795628969843582E-3</v>
      </c>
      <c r="V940" s="5" t="s">
        <v>4</v>
      </c>
      <c r="W940" s="84" t="s">
        <v>4</v>
      </c>
    </row>
    <row r="941" spans="1:23" x14ac:dyDescent="0.25">
      <c r="A941" s="90">
        <v>922</v>
      </c>
      <c r="B941" s="83"/>
      <c r="C941" s="100">
        <f ca="1">_xll.meDateFromTenor(C940,"1D","FOLLOWING",D$12)</f>
        <v>43837</v>
      </c>
      <c r="D941" s="13">
        <f ca="1">_xll.meDateFromTenor(C941,D$14,D$11,D$12)</f>
        <v>43838</v>
      </c>
      <c r="E941" s="98">
        <f ca="1"/>
        <v>-1.9541399027334164E-3</v>
      </c>
      <c r="F941" s="94"/>
      <c r="G941" s="100">
        <f ca="1">_xll.meDateFromTenor(G940,"1D","FOLLOWING",H$12)</f>
        <v>43837</v>
      </c>
      <c r="H941" s="13">
        <f ca="1">_xll.meDateFromTenor(G941,H$14,H$11,H$12)</f>
        <v>43868</v>
      </c>
      <c r="I941" s="98">
        <f ca="1"/>
        <v>-1.1345145060785108E-3</v>
      </c>
      <c r="J941" s="94" t="s">
        <v>4</v>
      </c>
      <c r="K941" s="100">
        <f ca="1">_xll.meDateFromTenor(K940,"1D","FOLLOWING",L$12)</f>
        <v>43837</v>
      </c>
      <c r="L941" s="13">
        <f ca="1">_xll.meDateFromTenor(K941,L$14,L$11,L$12)</f>
        <v>43928</v>
      </c>
      <c r="M941" s="98">
        <f ca="1"/>
        <v>8.8228131864992934E-5</v>
      </c>
      <c r="N941" s="5" t="s">
        <v>4</v>
      </c>
      <c r="O941" s="100">
        <f ca="1">_xll.meDateFromTenor(O940,"1D","FOLLOWING",P$12)</f>
        <v>43837</v>
      </c>
      <c r="P941" s="13">
        <f ca="1">_xll.meDateFromTenor(O941,P$14,P$11,P$12)</f>
        <v>44019</v>
      </c>
      <c r="Q941" s="98">
        <f ca="1"/>
        <v>1.9960549394699633E-3</v>
      </c>
      <c r="R941" s="5" t="s">
        <v>4</v>
      </c>
      <c r="S941" s="100">
        <f ca="1">_xll.meDateFromTenor(S940,"1D","FOLLOWING",T$12)</f>
        <v>43837</v>
      </c>
      <c r="T941" s="13">
        <f ca="1">_xll.meDateFromTenor(S941,T$14,T$11,T$12)</f>
        <v>44203</v>
      </c>
      <c r="U941" s="98">
        <f ca="1"/>
        <v>3.9851860915038834E-3</v>
      </c>
      <c r="V941" s="5" t="s">
        <v>4</v>
      </c>
      <c r="W941" s="84" t="s">
        <v>4</v>
      </c>
    </row>
    <row r="942" spans="1:23" x14ac:dyDescent="0.25">
      <c r="A942" s="90">
        <v>923</v>
      </c>
      <c r="B942" s="83"/>
      <c r="C942" s="100">
        <f ca="1">_xll.meDateFromTenor(C941,"1D","FOLLOWING",D$12)</f>
        <v>43838</v>
      </c>
      <c r="D942" s="13">
        <f ca="1">_xll.meDateFromTenor(C942,D$14,D$11,D$12)</f>
        <v>43839</v>
      </c>
      <c r="E942" s="98">
        <f ca="1"/>
        <v>-1.9503712965463008E-3</v>
      </c>
      <c r="F942" s="94"/>
      <c r="G942" s="100">
        <f ca="1">_xll.meDateFromTenor(G941,"1D","FOLLOWING",H$12)</f>
        <v>43838</v>
      </c>
      <c r="H942" s="13">
        <f ca="1">_xll.meDateFromTenor(G942,H$14,H$11,H$12)</f>
        <v>43871</v>
      </c>
      <c r="I942" s="98">
        <f ca="1"/>
        <v>-1.1291016664690993E-3</v>
      </c>
      <c r="J942" s="94" t="s">
        <v>4</v>
      </c>
      <c r="K942" s="100">
        <f ca="1">_xll.meDateFromTenor(K941,"1D","FOLLOWING",L$12)</f>
        <v>43838</v>
      </c>
      <c r="L942" s="13">
        <f ca="1">_xll.meDateFromTenor(K942,L$14,L$11,L$12)</f>
        <v>43929</v>
      </c>
      <c r="M942" s="98">
        <f ca="1"/>
        <v>9.3570334441323892E-5</v>
      </c>
      <c r="N942" s="5" t="s">
        <v>4</v>
      </c>
      <c r="O942" s="100">
        <f ca="1">_xll.meDateFromTenor(O941,"1D","FOLLOWING",P$12)</f>
        <v>43838</v>
      </c>
      <c r="P942" s="13">
        <f ca="1">_xll.meDateFromTenor(O942,P$14,P$11,P$12)</f>
        <v>44020</v>
      </c>
      <c r="Q942" s="98">
        <f ca="1"/>
        <v>2.0019250763784972E-3</v>
      </c>
      <c r="R942" s="5" t="s">
        <v>4</v>
      </c>
      <c r="S942" s="100">
        <f ca="1">_xll.meDateFromTenor(S941,"1D","FOLLOWING",T$12)</f>
        <v>43838</v>
      </c>
      <c r="T942" s="13">
        <f ca="1">_xll.meDateFromTenor(S942,T$14,T$11,T$12)</f>
        <v>44204</v>
      </c>
      <c r="U942" s="98">
        <f ca="1"/>
        <v>3.9908118708080371E-3</v>
      </c>
      <c r="V942" s="5" t="s">
        <v>4</v>
      </c>
      <c r="W942" s="84" t="s">
        <v>4</v>
      </c>
    </row>
    <row r="943" spans="1:23" x14ac:dyDescent="0.25">
      <c r="A943" s="90">
        <v>924</v>
      </c>
      <c r="B943" s="83"/>
      <c r="C943" s="100">
        <f ca="1">_xll.meDateFromTenor(C942,"1D","FOLLOWING",D$12)</f>
        <v>43839</v>
      </c>
      <c r="D943" s="13">
        <f ca="1">_xll.meDateFromTenor(C943,D$14,D$11,D$12)</f>
        <v>43840</v>
      </c>
      <c r="E943" s="98">
        <f ca="1"/>
        <v>-1.9466326003136983E-3</v>
      </c>
      <c r="F943" s="94"/>
      <c r="G943" s="100">
        <f ca="1">_xll.meDateFromTenor(G942,"1D","FOLLOWING",H$12)</f>
        <v>43839</v>
      </c>
      <c r="H943" s="13">
        <f ca="1">_xll.meDateFromTenor(G943,H$14,H$11,H$12)</f>
        <v>43871</v>
      </c>
      <c r="I943" s="98">
        <f ca="1"/>
        <v>-1.1237033820896999E-3</v>
      </c>
      <c r="J943" s="94" t="s">
        <v>4</v>
      </c>
      <c r="K943" s="100">
        <f ca="1">_xll.meDateFromTenor(K942,"1D","FOLLOWING",L$12)</f>
        <v>43839</v>
      </c>
      <c r="L943" s="13">
        <f ca="1">_xll.meDateFromTenor(K943,L$14,L$11,L$12)</f>
        <v>43930</v>
      </c>
      <c r="M943" s="98">
        <f ca="1"/>
        <v>9.8923698360157099E-5</v>
      </c>
      <c r="N943" s="5" t="s">
        <v>4</v>
      </c>
      <c r="O943" s="100">
        <f ca="1">_xll.meDateFromTenor(O942,"1D","FOLLOWING",P$12)</f>
        <v>43839</v>
      </c>
      <c r="P943" s="13">
        <f ca="1">_xll.meDateFromTenor(O943,P$14,P$11,P$12)</f>
        <v>44021</v>
      </c>
      <c r="Q943" s="98">
        <f ca="1"/>
        <v>2.0077957415953946E-3</v>
      </c>
      <c r="R943" s="5" t="s">
        <v>4</v>
      </c>
      <c r="S943" s="100">
        <f ca="1">_xll.meDateFromTenor(S942,"1D","FOLLOWING",T$12)</f>
        <v>43839</v>
      </c>
      <c r="T943" s="13">
        <f ca="1">_xll.meDateFromTenor(S943,T$14,T$11,T$12)</f>
        <v>44207</v>
      </c>
      <c r="U943" s="98">
        <f ca="1"/>
        <v>3.9964402579362552E-3</v>
      </c>
      <c r="V943" s="5" t="s">
        <v>4</v>
      </c>
      <c r="W943" s="84" t="s">
        <v>4</v>
      </c>
    </row>
    <row r="944" spans="1:23" x14ac:dyDescent="0.25">
      <c r="A944" s="90">
        <v>925</v>
      </c>
      <c r="B944" s="83"/>
      <c r="C944" s="100">
        <f ca="1">_xll.meDateFromTenor(C943,"1D","FOLLOWING",D$12)</f>
        <v>43840</v>
      </c>
      <c r="D944" s="13">
        <f ca="1">_xll.meDateFromTenor(C944,D$14,D$11,D$12)</f>
        <v>43843</v>
      </c>
      <c r="E944" s="98">
        <f ca="1"/>
        <v>-1.9392444584420757E-3</v>
      </c>
      <c r="F944" s="94"/>
      <c r="G944" s="100">
        <f ca="1">_xll.meDateFromTenor(G943,"1D","FOLLOWING",H$12)</f>
        <v>43840</v>
      </c>
      <c r="H944" s="13">
        <f ca="1">_xll.meDateFromTenor(G944,H$14,H$11,H$12)</f>
        <v>43871</v>
      </c>
      <c r="I944" s="98">
        <f ca="1"/>
        <v>-1.1183169576300432E-3</v>
      </c>
      <c r="J944" s="94" t="s">
        <v>4</v>
      </c>
      <c r="K944" s="100">
        <f ca="1">_xll.meDateFromTenor(K943,"1D","FOLLOWING",L$12)</f>
        <v>43840</v>
      </c>
      <c r="L944" s="13">
        <f ca="1">_xll.meDateFromTenor(K944,L$14,L$11,L$12)</f>
        <v>43935</v>
      </c>
      <c r="M944" s="98">
        <f ca="1"/>
        <v>1.0428821340834685E-4</v>
      </c>
      <c r="N944" s="5" t="s">
        <v>4</v>
      </c>
      <c r="O944" s="100">
        <f ca="1">_xll.meDateFromTenor(O943,"1D","FOLLOWING",P$12)</f>
        <v>43840</v>
      </c>
      <c r="P944" s="13">
        <f ca="1">_xll.meDateFromTenor(O944,P$14,P$11,P$12)</f>
        <v>44022</v>
      </c>
      <c r="Q944" s="98">
        <f ca="1"/>
        <v>2.0136669570924538E-3</v>
      </c>
      <c r="R944" s="5" t="s">
        <v>4</v>
      </c>
      <c r="S944" s="100">
        <f ca="1">_xll.meDateFromTenor(S943,"1D","FOLLOWING",T$12)</f>
        <v>43840</v>
      </c>
      <c r="T944" s="13">
        <f ca="1">_xll.meDateFromTenor(S944,T$14,T$11,T$12)</f>
        <v>44207</v>
      </c>
      <c r="U944" s="98">
        <f ca="1"/>
        <v>4.0020712759279674E-3</v>
      </c>
      <c r="V944" s="5" t="s">
        <v>4</v>
      </c>
      <c r="W944" s="84" t="s">
        <v>4</v>
      </c>
    </row>
    <row r="945" spans="1:23" x14ac:dyDescent="0.25">
      <c r="A945" s="90">
        <v>926</v>
      </c>
      <c r="B945" s="83"/>
      <c r="C945" s="100">
        <f ca="1">_xll.meDateFromTenor(C944,"1D","FOLLOWING",D$12)</f>
        <v>43843</v>
      </c>
      <c r="D945" s="13">
        <f ca="1">_xll.meDateFromTenor(C945,D$14,D$11,D$12)</f>
        <v>43844</v>
      </c>
      <c r="E945" s="98">
        <f ca="1"/>
        <v>-1.9319769020187463E-3</v>
      </c>
      <c r="F945" s="94"/>
      <c r="G945" s="100">
        <f ca="1">_xll.meDateFromTenor(G944,"1D","FOLLOWING",H$12)</f>
        <v>43843</v>
      </c>
      <c r="H945" s="13">
        <f ca="1">_xll.meDateFromTenor(G945,H$14,H$11,H$12)</f>
        <v>43874</v>
      </c>
      <c r="I945" s="98">
        <f ca="1"/>
        <v>-1.1022018906668132E-3</v>
      </c>
      <c r="J945" s="94" t="s">
        <v>4</v>
      </c>
      <c r="K945" s="100">
        <f ca="1">_xll.meDateFromTenor(K944,"1D","FOLLOWING",L$12)</f>
        <v>43843</v>
      </c>
      <c r="L945" s="13">
        <f ca="1">_xll.meDateFromTenor(K945,L$14,L$11,L$12)</f>
        <v>43935</v>
      </c>
      <c r="M945" s="98">
        <f ca="1"/>
        <v>1.2044856319761562E-4</v>
      </c>
      <c r="N945" s="5" t="s">
        <v>4</v>
      </c>
      <c r="O945" s="100">
        <f ca="1">_xll.meDateFromTenor(O944,"1D","FOLLOWING",P$12)</f>
        <v>43843</v>
      </c>
      <c r="P945" s="13">
        <f ca="1">_xll.meDateFromTenor(O945,P$14,P$11,P$12)</f>
        <v>44025</v>
      </c>
      <c r="Q945" s="98">
        <f ca="1"/>
        <v>2.0312841249826167E-3</v>
      </c>
      <c r="R945" s="5" t="s">
        <v>4</v>
      </c>
      <c r="S945" s="100">
        <f ca="1">_xll.meDateFromTenor(S944,"1D","FOLLOWING",T$12)</f>
        <v>43843</v>
      </c>
      <c r="T945" s="13">
        <f ca="1">_xll.meDateFromTenor(S945,T$14,T$11,T$12)</f>
        <v>44209</v>
      </c>
      <c r="U945" s="98">
        <f ca="1"/>
        <v>4.0189803454784125E-3</v>
      </c>
      <c r="V945" s="5" t="s">
        <v>4</v>
      </c>
      <c r="W945" s="84" t="s">
        <v>4</v>
      </c>
    </row>
    <row r="946" spans="1:23" x14ac:dyDescent="0.25">
      <c r="A946" s="90">
        <v>927</v>
      </c>
      <c r="B946" s="83"/>
      <c r="C946" s="100">
        <f ca="1">_xll.meDateFromTenor(C945,"1D","FOLLOWING",D$12)</f>
        <v>43844</v>
      </c>
      <c r="D946" s="13">
        <f ca="1">_xll.meDateFromTenor(C946,D$14,D$11,D$12)</f>
        <v>43845</v>
      </c>
      <c r="E946" s="98">
        <f ca="1"/>
        <v>-1.9283877450870859E-3</v>
      </c>
      <c r="F946" s="94"/>
      <c r="G946" s="100">
        <f ca="1">_xll.meDateFromTenor(G945,"1D","FOLLOWING",H$12)</f>
        <v>43844</v>
      </c>
      <c r="H946" s="13">
        <f ca="1">_xll.meDateFromTenor(G946,H$14,H$11,H$12)</f>
        <v>43875</v>
      </c>
      <c r="I946" s="98">
        <f ca="1"/>
        <v>-1.0968359527834151E-3</v>
      </c>
      <c r="J946" s="94" t="s">
        <v>4</v>
      </c>
      <c r="K946" s="100">
        <f ca="1">_xll.meDateFromTenor(K945,"1D","FOLLOWING",L$12)</f>
        <v>43844</v>
      </c>
      <c r="L946" s="13">
        <f ca="1">_xll.meDateFromTenor(K946,L$14,L$11,L$12)</f>
        <v>43935</v>
      </c>
      <c r="M946" s="98">
        <f ca="1"/>
        <v>1.258575806317882E-4</v>
      </c>
      <c r="N946" s="5" t="s">
        <v>4</v>
      </c>
      <c r="O946" s="100">
        <f ca="1">_xll.meDateFromTenor(O945,"1D","FOLLOWING",P$12)</f>
        <v>43844</v>
      </c>
      <c r="P946" s="13">
        <f ca="1">_xll.meDateFromTenor(O946,P$14,P$11,P$12)</f>
        <v>44026</v>
      </c>
      <c r="Q946" s="98">
        <f ca="1"/>
        <v>2.037157761318333E-3</v>
      </c>
      <c r="R946" s="5" t="s">
        <v>4</v>
      </c>
      <c r="S946" s="100">
        <f ca="1">_xll.meDateFromTenor(S945,"1D","FOLLOWING",T$12)</f>
        <v>43844</v>
      </c>
      <c r="T946" s="13">
        <f ca="1">_xll.meDateFromTenor(S946,T$14,T$11,T$12)</f>
        <v>44210</v>
      </c>
      <c r="U946" s="98">
        <f ca="1"/>
        <v>4.0246221173184417E-3</v>
      </c>
      <c r="V946" s="5" t="s">
        <v>4</v>
      </c>
      <c r="W946" s="84" t="s">
        <v>4</v>
      </c>
    </row>
    <row r="947" spans="1:23" x14ac:dyDescent="0.25">
      <c r="A947" s="90">
        <v>928</v>
      </c>
      <c r="B947" s="83"/>
      <c r="C947" s="100">
        <f ca="1">_xll.meDateFromTenor(C946,"1D","FOLLOWING",D$12)</f>
        <v>43845</v>
      </c>
      <c r="D947" s="13">
        <f ca="1">_xll.meDateFromTenor(C947,D$14,D$11,D$12)</f>
        <v>43846</v>
      </c>
      <c r="E947" s="98">
        <f ca="1"/>
        <v>-1.9248284939132956E-3</v>
      </c>
      <c r="F947" s="94"/>
      <c r="G947" s="100">
        <f ca="1">_xll.meDateFromTenor(G946,"1D","FOLLOWING",H$12)</f>
        <v>43845</v>
      </c>
      <c r="H947" s="13">
        <f ca="1">_xll.meDateFromTenor(G947,H$14,H$11,H$12)</f>
        <v>43878</v>
      </c>
      <c r="I947" s="98">
        <f ca="1"/>
        <v>-1.0914683982684065E-3</v>
      </c>
      <c r="J947" s="94" t="s">
        <v>4</v>
      </c>
      <c r="K947" s="100">
        <f ca="1">_xll.meDateFromTenor(K946,"1D","FOLLOWING",L$12)</f>
        <v>43845</v>
      </c>
      <c r="L947" s="13">
        <f ca="1">_xll.meDateFromTenor(K947,L$14,L$11,L$12)</f>
        <v>43936</v>
      </c>
      <c r="M947" s="98">
        <f ca="1"/>
        <v>1.3127769812959351E-4</v>
      </c>
      <c r="N947" s="5" t="s">
        <v>4</v>
      </c>
      <c r="O947" s="100">
        <f ca="1">_xll.meDateFromTenor(O946,"1D","FOLLOWING",P$12)</f>
        <v>43845</v>
      </c>
      <c r="P947" s="13">
        <f ca="1">_xll.meDateFromTenor(O947,P$14,P$11,P$12)</f>
        <v>44027</v>
      </c>
      <c r="Q947" s="98">
        <f ca="1"/>
        <v>2.0430320577932114E-3</v>
      </c>
      <c r="R947" s="5" t="s">
        <v>4</v>
      </c>
      <c r="S947" s="100">
        <f ca="1">_xll.meDateFromTenor(S946,"1D","FOLLOWING",T$12)</f>
        <v>43845</v>
      </c>
      <c r="T947" s="13">
        <f ca="1">_xll.meDateFromTenor(S947,T$14,T$11,T$12)</f>
        <v>44211</v>
      </c>
      <c r="U947" s="98">
        <f ca="1"/>
        <v>4.0302666352191301E-3</v>
      </c>
      <c r="V947" s="5" t="s">
        <v>4</v>
      </c>
      <c r="W947" s="84" t="s">
        <v>4</v>
      </c>
    </row>
    <row r="948" spans="1:23" x14ac:dyDescent="0.25">
      <c r="A948" s="90">
        <v>929</v>
      </c>
      <c r="B948" s="83"/>
      <c r="C948" s="100">
        <f ca="1">_xll.meDateFromTenor(C947,"1D","FOLLOWING",D$12)</f>
        <v>43846</v>
      </c>
      <c r="D948" s="13">
        <f ca="1">_xll.meDateFromTenor(C948,D$14,D$11,D$12)</f>
        <v>43847</v>
      </c>
      <c r="E948" s="98">
        <f ca="1"/>
        <v>-1.9212991473782704E-3</v>
      </c>
      <c r="F948" s="94"/>
      <c r="G948" s="100">
        <f ca="1">_xll.meDateFromTenor(G947,"1D","FOLLOWING",H$12)</f>
        <v>43846</v>
      </c>
      <c r="H948" s="13">
        <f ca="1">_xll.meDateFromTenor(G948,H$14,H$11,H$12)</f>
        <v>43878</v>
      </c>
      <c r="I948" s="98">
        <f ca="1"/>
        <v>-1.0860965318115145E-3</v>
      </c>
      <c r="J948" s="94" t="s">
        <v>4</v>
      </c>
      <c r="K948" s="100">
        <f ca="1">_xll.meDateFromTenor(K947,"1D","FOLLOWING",L$12)</f>
        <v>43846</v>
      </c>
      <c r="L948" s="13">
        <f ca="1">_xll.meDateFromTenor(K948,L$14,L$11,L$12)</f>
        <v>43937</v>
      </c>
      <c r="M948" s="98">
        <f ca="1"/>
        <v>1.3670890547788845E-4</v>
      </c>
      <c r="N948" s="5" t="s">
        <v>4</v>
      </c>
      <c r="O948" s="100">
        <f ca="1">_xll.meDateFromTenor(O947,"1D","FOLLOWING",P$12)</f>
        <v>43846</v>
      </c>
      <c r="P948" s="13">
        <f ca="1">_xll.meDateFromTenor(O948,P$14,P$11,P$12)</f>
        <v>44028</v>
      </c>
      <c r="Q948" s="98">
        <f ca="1"/>
        <v>2.0489070363790551E-3</v>
      </c>
      <c r="R948" s="5" t="s">
        <v>4</v>
      </c>
      <c r="S948" s="100">
        <f ca="1">_xll.meDateFromTenor(S947,"1D","FOLLOWING",T$12)</f>
        <v>43846</v>
      </c>
      <c r="T948" s="13">
        <f ca="1">_xll.meDateFromTenor(S948,T$14,T$11,T$12)</f>
        <v>44214</v>
      </c>
      <c r="U948" s="98">
        <f ca="1"/>
        <v>4.0359139222199154E-3</v>
      </c>
      <c r="V948" s="5" t="s">
        <v>4</v>
      </c>
      <c r="W948" s="84" t="s">
        <v>4</v>
      </c>
    </row>
    <row r="949" spans="1:23" x14ac:dyDescent="0.25">
      <c r="A949" s="90">
        <v>930</v>
      </c>
      <c r="B949" s="83"/>
      <c r="C949" s="100">
        <f ca="1">_xll.meDateFromTenor(C948,"1D","FOLLOWING",D$12)</f>
        <v>43847</v>
      </c>
      <c r="D949" s="13">
        <f ca="1">_xll.meDateFromTenor(C949,D$14,D$11,D$12)</f>
        <v>43850</v>
      </c>
      <c r="E949" s="98">
        <f ca="1"/>
        <v>-1.9143299540224248E-3</v>
      </c>
      <c r="F949" s="94"/>
      <c r="G949" s="100">
        <f ca="1">_xll.meDateFromTenor(G948,"1D","FOLLOWING",H$12)</f>
        <v>43847</v>
      </c>
      <c r="H949" s="13">
        <f ca="1">_xll.meDateFromTenor(G949,H$14,H$11,H$12)</f>
        <v>43878</v>
      </c>
      <c r="I949" s="98">
        <f ca="1"/>
        <v>-1.0807176581024694E-3</v>
      </c>
      <c r="J949" s="94" t="s">
        <v>4</v>
      </c>
      <c r="K949" s="100">
        <f ca="1">_xll.meDateFromTenor(K948,"1D","FOLLOWING",L$12)</f>
        <v>43847</v>
      </c>
      <c r="L949" s="13">
        <f ca="1">_xll.meDateFromTenor(K949,L$14,L$11,L$12)</f>
        <v>43938</v>
      </c>
      <c r="M949" s="98">
        <f ca="1"/>
        <v>1.421511924635274E-4</v>
      </c>
      <c r="N949" s="5" t="s">
        <v>4</v>
      </c>
      <c r="O949" s="100">
        <f ca="1">_xll.meDateFromTenor(O948,"1D","FOLLOWING",P$12)</f>
        <v>43847</v>
      </c>
      <c r="P949" s="13">
        <f ca="1">_xll.meDateFromTenor(O949,P$14,P$11,P$12)</f>
        <v>44029</v>
      </c>
      <c r="Q949" s="98">
        <f ca="1"/>
        <v>2.0547827190476636E-3</v>
      </c>
      <c r="R949" s="5" t="s">
        <v>4</v>
      </c>
      <c r="S949" s="100">
        <f ca="1">_xll.meDateFromTenor(S948,"1D","FOLLOWING",T$12)</f>
        <v>43847</v>
      </c>
      <c r="T949" s="13">
        <f ca="1">_xll.meDateFromTenor(S949,T$14,T$11,T$12)</f>
        <v>44214</v>
      </c>
      <c r="U949" s="98">
        <f ca="1"/>
        <v>4.0415640013602289E-3</v>
      </c>
      <c r="V949" s="5" t="s">
        <v>4</v>
      </c>
      <c r="W949" s="84" t="s">
        <v>4</v>
      </c>
    </row>
    <row r="950" spans="1:23" x14ac:dyDescent="0.25">
      <c r="A950" s="90">
        <v>931</v>
      </c>
      <c r="B950" s="83"/>
      <c r="C950" s="100">
        <f ca="1">_xll.meDateFromTenor(C949,"1D","FOLLOWING",D$12)</f>
        <v>43850</v>
      </c>
      <c r="D950" s="13">
        <f ca="1">_xll.meDateFromTenor(C950,D$14,D$11,D$12)</f>
        <v>43851</v>
      </c>
      <c r="E950" s="98">
        <f ca="1"/>
        <v>-1.9074807955155105E-3</v>
      </c>
      <c r="F950" s="94"/>
      <c r="G950" s="100">
        <f ca="1">_xll.meDateFromTenor(G949,"1D","FOLLOWING",H$12)</f>
        <v>43850</v>
      </c>
      <c r="H950" s="13">
        <f ca="1">_xll.meDateFromTenor(G950,H$14,H$11,H$12)</f>
        <v>43881</v>
      </c>
      <c r="I950" s="98">
        <f ca="1"/>
        <v>-1.0645120403597102E-3</v>
      </c>
      <c r="J950" s="94" t="s">
        <v>4</v>
      </c>
      <c r="K950" s="100">
        <f ca="1">_xll.meDateFromTenor(K949,"1D","FOLLOWING",L$12)</f>
        <v>43850</v>
      </c>
      <c r="L950" s="13">
        <f ca="1">_xll.meDateFromTenor(K950,L$14,L$11,L$12)</f>
        <v>43941</v>
      </c>
      <c r="M950" s="98">
        <f ca="1"/>
        <v>1.5854442911305972E-4</v>
      </c>
      <c r="N950" s="5" t="s">
        <v>4</v>
      </c>
      <c r="O950" s="100">
        <f ca="1">_xll.meDateFromTenor(O949,"1D","FOLLOWING",P$12)</f>
        <v>43850</v>
      </c>
      <c r="P950" s="13">
        <f ca="1">_xll.meDateFromTenor(O950,P$14,P$11,P$12)</f>
        <v>44032</v>
      </c>
      <c r="Q950" s="98">
        <f ca="1"/>
        <v>2.0724142112680775E-3</v>
      </c>
      <c r="R950" s="5" t="s">
        <v>4</v>
      </c>
      <c r="S950" s="100">
        <f ca="1">_xll.meDateFromTenor(S949,"1D","FOLLOWING",T$12)</f>
        <v>43850</v>
      </c>
      <c r="T950" s="13">
        <f ca="1">_xll.meDateFromTenor(S950,T$14,T$11,T$12)</f>
        <v>44216</v>
      </c>
      <c r="U950" s="98">
        <f ca="1"/>
        <v>4.0585312220126719E-3</v>
      </c>
      <c r="V950" s="5" t="s">
        <v>4</v>
      </c>
      <c r="W950" s="84" t="s">
        <v>4</v>
      </c>
    </row>
    <row r="951" spans="1:23" x14ac:dyDescent="0.25">
      <c r="A951" s="90">
        <v>932</v>
      </c>
      <c r="B951" s="83"/>
      <c r="C951" s="100">
        <f ca="1">_xll.meDateFromTenor(C950,"1D","FOLLOWING",D$12)</f>
        <v>43851</v>
      </c>
      <c r="D951" s="13">
        <f ca="1">_xll.meDateFromTenor(C951,D$14,D$11,D$12)</f>
        <v>43852</v>
      </c>
      <c r="E951" s="98">
        <f ca="1"/>
        <v>-1.9041009620624006E-3</v>
      </c>
      <c r="F951" s="94"/>
      <c r="G951" s="100">
        <f ca="1">_xll.meDateFromTenor(G950,"1D","FOLLOWING",H$12)</f>
        <v>43851</v>
      </c>
      <c r="H951" s="13">
        <f ca="1">_xll.meDateFromTenor(G951,H$14,H$11,H$12)</f>
        <v>43882</v>
      </c>
      <c r="I951" s="98">
        <f ca="1"/>
        <v>-1.0590781845393465E-3</v>
      </c>
      <c r="J951" s="94" t="s">
        <v>4</v>
      </c>
      <c r="K951" s="100">
        <f ca="1">_xll.meDateFromTenor(K950,"1D","FOLLOWING",L$12)</f>
        <v>43851</v>
      </c>
      <c r="L951" s="13">
        <f ca="1">_xll.meDateFromTenor(K951,L$14,L$11,L$12)</f>
        <v>43942</v>
      </c>
      <c r="M951" s="98">
        <f ca="1"/>
        <v>1.6403093251662692E-4</v>
      </c>
      <c r="N951" s="5" t="s">
        <v>4</v>
      </c>
      <c r="O951" s="100">
        <f ca="1">_xll.meDateFromTenor(O950,"1D","FOLLOWING",P$12)</f>
        <v>43851</v>
      </c>
      <c r="P951" s="13">
        <f ca="1">_xll.meDateFromTenor(O951,P$14,P$11,P$12)</f>
        <v>44033</v>
      </c>
      <c r="Q951" s="98">
        <f ca="1"/>
        <v>2.0782929299857462E-3</v>
      </c>
      <c r="R951" s="5" t="s">
        <v>4</v>
      </c>
      <c r="S951" s="100">
        <f ca="1">_xll.meDateFromTenor(S950,"1D","FOLLOWING",T$12)</f>
        <v>43851</v>
      </c>
      <c r="T951" s="13">
        <f ca="1">_xll.meDateFromTenor(S951,T$14,T$11,T$12)</f>
        <v>44217</v>
      </c>
      <c r="U951" s="98">
        <f ca="1"/>
        <v>4.0641927001054323E-3</v>
      </c>
      <c r="V951" s="5" t="s">
        <v>4</v>
      </c>
      <c r="W951" s="84" t="s">
        <v>4</v>
      </c>
    </row>
    <row r="952" spans="1:23" x14ac:dyDescent="0.25">
      <c r="A952" s="90">
        <v>933</v>
      </c>
      <c r="B952" s="83"/>
      <c r="C952" s="100">
        <f ca="1">_xll.meDateFromTenor(C951,"1D","FOLLOWING",D$12)</f>
        <v>43852</v>
      </c>
      <c r="D952" s="13">
        <f ca="1">_xll.meDateFromTenor(C952,D$14,D$11,D$12)</f>
        <v>43853</v>
      </c>
      <c r="E952" s="98">
        <f ca="1"/>
        <v>-1.9007510292912211E-3</v>
      </c>
      <c r="F952" s="94"/>
      <c r="G952" s="100">
        <f ca="1">_xll.meDateFromTenor(G951,"1D","FOLLOWING",H$12)</f>
        <v>43852</v>
      </c>
      <c r="H952" s="13">
        <f ca="1">_xll.meDateFromTenor(G952,H$14,H$11,H$12)</f>
        <v>43885</v>
      </c>
      <c r="I952" s="98">
        <f ca="1"/>
        <v>-1.0536238449154764E-3</v>
      </c>
      <c r="J952" s="94" t="s">
        <v>4</v>
      </c>
      <c r="K952" s="100">
        <f ca="1">_xll.meDateFromTenor(K951,"1D","FOLLOWING",L$12)</f>
        <v>43852</v>
      </c>
      <c r="L952" s="13">
        <f ca="1">_xll.meDateFromTenor(K952,L$14,L$11,L$12)</f>
        <v>43943</v>
      </c>
      <c r="M952" s="98">
        <f ca="1"/>
        <v>1.6952846449181424E-4</v>
      </c>
      <c r="N952" s="5" t="s">
        <v>4</v>
      </c>
      <c r="O952" s="100">
        <f ca="1">_xll.meDateFromTenor(O951,"1D","FOLLOWING",P$12)</f>
        <v>43852</v>
      </c>
      <c r="P952" s="13">
        <f ca="1">_xll.meDateFromTenor(O952,P$14,P$11,P$12)</f>
        <v>44034</v>
      </c>
      <c r="Q952" s="98">
        <f ca="1"/>
        <v>2.0841724626451791E-3</v>
      </c>
      <c r="R952" s="5" t="s">
        <v>4</v>
      </c>
      <c r="S952" s="100">
        <f ca="1">_xll.meDateFromTenor(S951,"1D","FOLLOWING",T$12)</f>
        <v>43852</v>
      </c>
      <c r="T952" s="13">
        <f ca="1">_xll.meDateFromTenor(S952,T$14,T$11,T$12)</f>
        <v>44218</v>
      </c>
      <c r="U952" s="98">
        <f ca="1"/>
        <v>4.0698570855348861E-3</v>
      </c>
      <c r="V952" s="5" t="s">
        <v>4</v>
      </c>
      <c r="W952" s="84" t="s">
        <v>4</v>
      </c>
    </row>
    <row r="953" spans="1:23" x14ac:dyDescent="0.25">
      <c r="A953" s="90">
        <v>934</v>
      </c>
      <c r="B953" s="83"/>
      <c r="C953" s="100">
        <f ca="1">_xll.meDateFromTenor(C952,"1D","FOLLOWING",D$12)</f>
        <v>43853</v>
      </c>
      <c r="D953" s="13">
        <f ca="1">_xll.meDateFromTenor(C953,D$14,D$11,D$12)</f>
        <v>43854</v>
      </c>
      <c r="E953" s="98">
        <f ca="1"/>
        <v>-1.8974309962827075E-3</v>
      </c>
      <c r="F953" s="94"/>
      <c r="G953" s="100">
        <f ca="1">_xll.meDateFromTenor(G952,"1D","FOLLOWING",H$12)</f>
        <v>43853</v>
      </c>
      <c r="H953" s="13">
        <f ca="1">_xll.meDateFromTenor(G953,H$14,H$11,H$12)</f>
        <v>43885</v>
      </c>
      <c r="I953" s="98">
        <f ca="1"/>
        <v>-1.0481463261778304E-3</v>
      </c>
      <c r="J953" s="94" t="s">
        <v>4</v>
      </c>
      <c r="K953" s="100">
        <f ca="1">_xll.meDateFromTenor(K952,"1D","FOLLOWING",L$12)</f>
        <v>43853</v>
      </c>
      <c r="L953" s="13">
        <f ca="1">_xll.meDateFromTenor(K953,L$14,L$11,L$12)</f>
        <v>43944</v>
      </c>
      <c r="M953" s="98">
        <f ca="1"/>
        <v>1.7503701482547604E-4</v>
      </c>
      <c r="N953" s="5" t="s">
        <v>4</v>
      </c>
      <c r="O953" s="100">
        <f ca="1">_xll.meDateFromTenor(O952,"1D","FOLLOWING",P$12)</f>
        <v>43853</v>
      </c>
      <c r="P953" s="13">
        <f ca="1">_xll.meDateFromTenor(O953,P$14,P$11,P$12)</f>
        <v>44035</v>
      </c>
      <c r="Q953" s="98">
        <f ca="1"/>
        <v>2.0900528312181779E-3</v>
      </c>
      <c r="R953" s="5" t="s">
        <v>4</v>
      </c>
      <c r="S953" s="100">
        <f ca="1">_xll.meDateFromTenor(S952,"1D","FOLLOWING",T$12)</f>
        <v>43853</v>
      </c>
      <c r="T953" s="13">
        <f ca="1">_xll.meDateFromTenor(S953,T$14,T$11,T$12)</f>
        <v>44221</v>
      </c>
      <c r="U953" s="98">
        <f ca="1"/>
        <v>4.0755244013404674E-3</v>
      </c>
      <c r="V953" s="5" t="s">
        <v>4</v>
      </c>
      <c r="W953" s="84" t="s">
        <v>4</v>
      </c>
    </row>
    <row r="954" spans="1:23" x14ac:dyDescent="0.25">
      <c r="A954" s="90">
        <v>935</v>
      </c>
      <c r="B954" s="83"/>
      <c r="C954" s="100">
        <f ca="1">_xll.meDateFromTenor(C953,"1D","FOLLOWING",D$12)</f>
        <v>43854</v>
      </c>
      <c r="D954" s="13">
        <f ca="1">_xll.meDateFromTenor(C954,D$14,D$11,D$12)</f>
        <v>43857</v>
      </c>
      <c r="E954" s="98">
        <f ca="1"/>
        <v>-1.8908806603024143E-3</v>
      </c>
      <c r="F954" s="94"/>
      <c r="G954" s="100">
        <f ca="1">_xll.meDateFromTenor(G953,"1D","FOLLOWING",H$12)</f>
        <v>43854</v>
      </c>
      <c r="H954" s="13">
        <f ca="1">_xll.meDateFromTenor(G954,H$14,H$11,H$12)</f>
        <v>43885</v>
      </c>
      <c r="I954" s="98">
        <f ca="1"/>
        <v>-1.0426429330161356E-3</v>
      </c>
      <c r="J954" s="94" t="s">
        <v>4</v>
      </c>
      <c r="K954" s="100">
        <f ca="1">_xll.meDateFromTenor(K953,"1D","FOLLOWING",L$12)</f>
        <v>43854</v>
      </c>
      <c r="L954" s="13">
        <f ca="1">_xll.meDateFromTenor(K954,L$14,L$11,L$12)</f>
        <v>43945</v>
      </c>
      <c r="M954" s="98">
        <f ca="1"/>
        <v>1.8055657330446928E-4</v>
      </c>
      <c r="N954" s="5" t="s">
        <v>4</v>
      </c>
      <c r="O954" s="100">
        <f ca="1">_xll.meDateFromTenor(O953,"1D","FOLLOWING",P$12)</f>
        <v>43854</v>
      </c>
      <c r="P954" s="13">
        <f ca="1">_xll.meDateFromTenor(O954,P$14,P$11,P$12)</f>
        <v>44036</v>
      </c>
      <c r="Q954" s="98">
        <f ca="1"/>
        <v>2.0959340576765422E-3</v>
      </c>
      <c r="R954" s="5" t="s">
        <v>4</v>
      </c>
      <c r="S954" s="100">
        <f ca="1">_xll.meDateFromTenor(S953,"1D","FOLLOWING",T$12)</f>
        <v>43854</v>
      </c>
      <c r="T954" s="13">
        <f ca="1">_xll.meDateFromTenor(S954,T$14,T$11,T$12)</f>
        <v>44221</v>
      </c>
      <c r="U954" s="98">
        <f ca="1"/>
        <v>4.0811946705616104E-3</v>
      </c>
      <c r="V954" s="5" t="s">
        <v>4</v>
      </c>
      <c r="W954" s="84" t="s">
        <v>4</v>
      </c>
    </row>
    <row r="955" spans="1:23" x14ac:dyDescent="0.25">
      <c r="A955" s="90">
        <v>936</v>
      </c>
      <c r="B955" s="83"/>
      <c r="C955" s="100">
        <f ca="1">_xll.meDateFromTenor(C954,"1D","FOLLOWING",D$12)</f>
        <v>43857</v>
      </c>
      <c r="D955" s="13">
        <f ca="1">_xll.meDateFromTenor(C955,D$14,D$11,D$12)</f>
        <v>43858</v>
      </c>
      <c r="E955" s="98">
        <f ca="1"/>
        <v>-1.8844498466075233E-3</v>
      </c>
      <c r="F955" s="94"/>
      <c r="G955" s="100">
        <f ca="1">_xll.meDateFromTenor(G954,"1D","FOLLOWING",H$12)</f>
        <v>43857</v>
      </c>
      <c r="H955" s="13">
        <f ca="1">_xll.meDateFromTenor(G955,H$14,H$11,H$12)</f>
        <v>43888</v>
      </c>
      <c r="I955" s="98">
        <f ca="1"/>
        <v>-1.0259505538840602E-3</v>
      </c>
      <c r="J955" s="94" t="s">
        <v>4</v>
      </c>
      <c r="K955" s="100">
        <f ca="1">_xll.meDateFromTenor(K954,"1D","FOLLOWING",L$12)</f>
        <v>43857</v>
      </c>
      <c r="L955" s="13">
        <f ca="1">_xll.meDateFromTenor(K955,L$14,L$11,L$12)</f>
        <v>43948</v>
      </c>
      <c r="M955" s="98">
        <f ca="1"/>
        <v>1.9718119548198378E-4</v>
      </c>
      <c r="N955" s="5" t="s">
        <v>4</v>
      </c>
      <c r="O955" s="100">
        <f ca="1">_xll.meDateFromTenor(O954,"1D","FOLLOWING",P$12)</f>
        <v>43857</v>
      </c>
      <c r="P955" s="13">
        <f ca="1">_xll.meDateFromTenor(O955,P$14,P$11,P$12)</f>
        <v>44039</v>
      </c>
      <c r="Q955" s="98">
        <f ca="1"/>
        <v>2.1135831040818296E-3</v>
      </c>
      <c r="R955" s="5" t="s">
        <v>4</v>
      </c>
      <c r="S955" s="100">
        <f ca="1">_xll.meDateFromTenor(S954,"1D","FOLLOWING",T$12)</f>
        <v>43857</v>
      </c>
      <c r="T955" s="13">
        <f ca="1">_xll.meDateFromTenor(S955,T$14,T$11,T$12)</f>
        <v>44223</v>
      </c>
      <c r="U955" s="98">
        <f ca="1"/>
        <v>4.0982234291127382E-3</v>
      </c>
      <c r="V955" s="5" t="s">
        <v>4</v>
      </c>
      <c r="W955" s="84" t="s">
        <v>4</v>
      </c>
    </row>
    <row r="956" spans="1:23" x14ac:dyDescent="0.25">
      <c r="A956" s="90">
        <v>937</v>
      </c>
      <c r="B956" s="83"/>
      <c r="C956" s="100">
        <f ca="1">_xll.meDateFromTenor(C955,"1D","FOLLOWING",D$12)</f>
        <v>43858</v>
      </c>
      <c r="D956" s="13">
        <f ca="1">_xll.meDateFromTenor(C956,D$14,D$11,D$12)</f>
        <v>43859</v>
      </c>
      <c r="E956" s="98">
        <f ca="1"/>
        <v>-1.8812793013012264E-3</v>
      </c>
      <c r="F956" s="94"/>
      <c r="G956" s="100">
        <f ca="1">_xll.meDateFromTenor(G955,"1D","FOLLOWING",H$12)</f>
        <v>43858</v>
      </c>
      <c r="H956" s="13">
        <f ca="1">_xll.meDateFromTenor(G956,H$14,H$11,H$12)</f>
        <v>43889</v>
      </c>
      <c r="I956" s="98">
        <f ca="1"/>
        <v>-1.0203167099234686E-3</v>
      </c>
      <c r="J956" s="94" t="s">
        <v>4</v>
      </c>
      <c r="K956" s="100">
        <f ca="1">_xll.meDateFromTenor(K955,"1D","FOLLOWING",L$12)</f>
        <v>43858</v>
      </c>
      <c r="L956" s="13">
        <f ca="1">_xll.meDateFromTenor(K956,L$14,L$11,L$12)</f>
        <v>43949</v>
      </c>
      <c r="M956" s="98">
        <f ca="1"/>
        <v>2.0274468441085157E-4</v>
      </c>
      <c r="N956" s="5" t="s">
        <v>4</v>
      </c>
      <c r="O956" s="100">
        <f ca="1">_xll.meDateFromTenor(O955,"1D","FOLLOWING",P$12)</f>
        <v>43858</v>
      </c>
      <c r="P956" s="13">
        <f ca="1">_xll.meDateFromTenor(O956,P$14,P$11,P$12)</f>
        <v>44040</v>
      </c>
      <c r="Q956" s="98">
        <f ca="1"/>
        <v>2.1194679817996579E-3</v>
      </c>
      <c r="R956" s="5" t="s">
        <v>4</v>
      </c>
      <c r="S956" s="100">
        <f ca="1">_xll.meDateFromTenor(S955,"1D","FOLLOWING",T$12)</f>
        <v>43858</v>
      </c>
      <c r="T956" s="13">
        <f ca="1">_xll.meDateFromTenor(S956,T$14,T$11,T$12)</f>
        <v>44224</v>
      </c>
      <c r="U956" s="98">
        <f ca="1"/>
        <v>4.1039057423904561E-3</v>
      </c>
      <c r="V956" s="5" t="s">
        <v>4</v>
      </c>
      <c r="W956" s="84" t="s">
        <v>4</v>
      </c>
    </row>
    <row r="957" spans="1:23" x14ac:dyDescent="0.25">
      <c r="A957" s="90">
        <v>938</v>
      </c>
      <c r="B957" s="83"/>
      <c r="C957" s="100">
        <f ca="1">_xll.meDateFromTenor(C956,"1D","FOLLOWING",D$12)</f>
        <v>43859</v>
      </c>
      <c r="D957" s="13">
        <f ca="1">_xll.meDateFromTenor(C957,D$14,D$11,D$12)</f>
        <v>43860</v>
      </c>
      <c r="E957" s="98">
        <f ca="1"/>
        <v>-1.8781386514410481E-3</v>
      </c>
      <c r="F957" s="94"/>
      <c r="G957" s="100">
        <f ca="1">_xll.meDateFromTenor(G956,"1D","FOLLOWING",H$12)</f>
        <v>43859</v>
      </c>
      <c r="H957" s="13">
        <f ca="1">_xll.meDateFromTenor(G957,H$14,H$11,H$12)</f>
        <v>43889</v>
      </c>
      <c r="I957" s="98">
        <f ca="1"/>
        <v>-1.0146435149874769E-3</v>
      </c>
      <c r="J957" s="94" t="s">
        <v>4</v>
      </c>
      <c r="K957" s="100">
        <f ca="1">_xll.meDateFromTenor(K956,"1D","FOLLOWING",L$12)</f>
        <v>43859</v>
      </c>
      <c r="L957" s="13">
        <f ca="1">_xll.meDateFromTenor(K957,L$14,L$11,L$12)</f>
        <v>43950</v>
      </c>
      <c r="M957" s="98">
        <f ca="1"/>
        <v>2.0831913041932507E-4</v>
      </c>
      <c r="N957" s="5" t="s">
        <v>4</v>
      </c>
      <c r="O957" s="100">
        <f ca="1">_xll.meDateFromTenor(O956,"1D","FOLLOWING",P$12)</f>
        <v>43859</v>
      </c>
      <c r="P957" s="13">
        <f ca="1">_xll.meDateFromTenor(O957,P$14,P$11,P$12)</f>
        <v>44041</v>
      </c>
      <c r="Q957" s="98">
        <f ca="1"/>
        <v>2.1253538272618519E-3</v>
      </c>
      <c r="R957" s="5" t="s">
        <v>4</v>
      </c>
      <c r="S957" s="100">
        <f ca="1">_xll.meDateFromTenor(S956,"1D","FOLLOWING",T$12)</f>
        <v>43859</v>
      </c>
      <c r="T957" s="13">
        <f ca="1">_xll.meDateFromTenor(S957,T$14,T$11,T$12)</f>
        <v>44225</v>
      </c>
      <c r="U957" s="98">
        <f ca="1"/>
        <v>4.1095911242809034E-3</v>
      </c>
      <c r="V957" s="5" t="s">
        <v>4</v>
      </c>
      <c r="W957" s="84" t="s">
        <v>4</v>
      </c>
    </row>
    <row r="958" spans="1:23" x14ac:dyDescent="0.25">
      <c r="A958" s="90">
        <v>939</v>
      </c>
      <c r="B958" s="83"/>
      <c r="C958" s="100">
        <f ca="1">_xll.meDateFromTenor(C957,"1D","FOLLOWING",D$12)</f>
        <v>43860</v>
      </c>
      <c r="D958" s="13">
        <f ca="1">_xll.meDateFromTenor(C958,D$14,D$11,D$12)</f>
        <v>43861</v>
      </c>
      <c r="E958" s="98">
        <f ca="1"/>
        <v>-1.875027896347532E-3</v>
      </c>
      <c r="F958" s="94"/>
      <c r="G958" s="100">
        <f ca="1">_xll.meDateFromTenor(G957,"1D","FOLLOWING",H$12)</f>
        <v>43860</v>
      </c>
      <c r="H958" s="13">
        <f ca="1">_xll.meDateFromTenor(G958,H$14,H$11,H$12)</f>
        <v>43889</v>
      </c>
      <c r="I958" s="98">
        <f ca="1"/>
        <v>-1.0089282737658128E-3</v>
      </c>
      <c r="J958" s="94" t="s">
        <v>4</v>
      </c>
      <c r="K958" s="100">
        <f ca="1">_xll.meDateFromTenor(K957,"1D","FOLLOWING",L$12)</f>
        <v>43860</v>
      </c>
      <c r="L958" s="13">
        <f ca="1">_xll.meDateFromTenor(K958,L$14,L$11,L$12)</f>
        <v>43951</v>
      </c>
      <c r="M958" s="98">
        <f ca="1"/>
        <v>2.1390452329426147E-4</v>
      </c>
      <c r="N958" s="5" t="s">
        <v>4</v>
      </c>
      <c r="O958" s="100">
        <f ca="1">_xll.meDateFromTenor(O957,"1D","FOLLOWING",P$12)</f>
        <v>43860</v>
      </c>
      <c r="P958" s="13">
        <f ca="1">_xll.meDateFromTenor(O958,P$14,P$11,P$12)</f>
        <v>44042</v>
      </c>
      <c r="Q958" s="98">
        <f ca="1"/>
        <v>2.1312406624402133E-3</v>
      </c>
      <c r="R958" s="5" t="s">
        <v>4</v>
      </c>
      <c r="S958" s="100">
        <f ca="1">_xll.meDateFromTenor(S957,"1D","FOLLOWING",T$12)</f>
        <v>43860</v>
      </c>
      <c r="T958" s="13">
        <f ca="1">_xll.meDateFromTenor(S958,T$14,T$11,T$12)</f>
        <v>44225</v>
      </c>
      <c r="U958" s="98">
        <f ca="1"/>
        <v>4.1152795978235098E-3</v>
      </c>
      <c r="V958" s="5" t="s">
        <v>4</v>
      </c>
      <c r="W958" s="84" t="s">
        <v>4</v>
      </c>
    </row>
    <row r="959" spans="1:23" x14ac:dyDescent="0.25">
      <c r="A959" s="90">
        <v>940</v>
      </c>
      <c r="B959" s="83"/>
      <c r="C959" s="100">
        <f ca="1">_xll.meDateFromTenor(C958,"1D","FOLLOWING",D$12)</f>
        <v>43861</v>
      </c>
      <c r="D959" s="13">
        <f ca="1">_xll.meDateFromTenor(C959,D$14,D$11,D$12)</f>
        <v>43864</v>
      </c>
      <c r="E959" s="98">
        <f ca="1"/>
        <v>-1.8688963294799588E-3</v>
      </c>
      <c r="F959" s="94"/>
      <c r="G959" s="100">
        <f ca="1">_xll.meDateFromTenor(G958,"1D","FOLLOWING",H$12)</f>
        <v>43861</v>
      </c>
      <c r="H959" s="13">
        <f ca="1">_xll.meDateFromTenor(G959,H$14,H$11,H$12)</f>
        <v>43889</v>
      </c>
      <c r="I959" s="98">
        <f ca="1"/>
        <v>-1.0031682909482065E-3</v>
      </c>
      <c r="J959" s="94" t="s">
        <v>4</v>
      </c>
      <c r="K959" s="100">
        <f ca="1">_xll.meDateFromTenor(K958,"1D","FOLLOWING",L$12)</f>
        <v>43861</v>
      </c>
      <c r="L959" s="13">
        <f ca="1">_xll.meDateFromTenor(K959,L$14,L$11,L$12)</f>
        <v>43951</v>
      </c>
      <c r="M959" s="98">
        <f ca="1"/>
        <v>2.1950085282251494E-4</v>
      </c>
      <c r="N959" s="5" t="s">
        <v>4</v>
      </c>
      <c r="O959" s="100">
        <f ca="1">_xll.meDateFromTenor(O958,"1D","FOLLOWING",P$12)</f>
        <v>43861</v>
      </c>
      <c r="P959" s="13">
        <f ca="1">_xll.meDateFromTenor(O959,P$14,P$11,P$12)</f>
        <v>44043</v>
      </c>
      <c r="Q959" s="98">
        <f ca="1"/>
        <v>2.1371285093065412E-3</v>
      </c>
      <c r="R959" s="5" t="s">
        <v>4</v>
      </c>
      <c r="S959" s="100">
        <f ca="1">_xll.meDateFromTenor(S958,"1D","FOLLOWING",T$12)</f>
        <v>43861</v>
      </c>
      <c r="T959" s="13">
        <f ca="1">_xll.meDateFromTenor(S959,T$14,T$11,T$12)</f>
        <v>44225</v>
      </c>
      <c r="U959" s="98">
        <f ca="1"/>
        <v>4.1209711860577111E-3</v>
      </c>
      <c r="V959" s="5" t="s">
        <v>4</v>
      </c>
      <c r="W959" s="84" t="s">
        <v>4</v>
      </c>
    </row>
    <row r="960" spans="1:23" x14ac:dyDescent="0.25">
      <c r="A960" s="90">
        <v>941</v>
      </c>
      <c r="B960" s="83"/>
      <c r="C960" s="100">
        <f ca="1">_xll.meDateFromTenor(C959,"1D","FOLLOWING",D$12)</f>
        <v>43864</v>
      </c>
      <c r="D960" s="13">
        <f ca="1">_xll.meDateFromTenor(C960,D$14,D$11,D$12)</f>
        <v>43865</v>
      </c>
      <c r="E960" s="98">
        <f ca="1"/>
        <v>-1.8628838090917266E-3</v>
      </c>
      <c r="F960" s="94"/>
      <c r="G960" s="100">
        <f ca="1">_xll.meDateFromTenor(G959,"1D","FOLLOWING",H$12)</f>
        <v>43864</v>
      </c>
      <c r="H960" s="13">
        <f ca="1">_xll.meDateFromTenor(G960,H$14,H$11,H$12)</f>
        <v>43893</v>
      </c>
      <c r="I960" s="98">
        <f ca="1"/>
        <v>-9.8559293981702843E-4</v>
      </c>
      <c r="J960" s="94" t="s">
        <v>4</v>
      </c>
      <c r="K960" s="100">
        <f ca="1">_xll.meDateFromTenor(K959,"1D","FOLLOWING",L$12)</f>
        <v>43864</v>
      </c>
      <c r="L960" s="13">
        <f ca="1">_xll.meDateFromTenor(K960,L$14,L$11,L$12)</f>
        <v>43955</v>
      </c>
      <c r="M960" s="98">
        <f ca="1"/>
        <v>2.3635535919572955E-4</v>
      </c>
      <c r="N960" s="5" t="s">
        <v>4</v>
      </c>
      <c r="O960" s="100">
        <f ca="1">_xll.meDateFromTenor(O959,"1D","FOLLOWING",P$12)</f>
        <v>43864</v>
      </c>
      <c r="P960" s="13">
        <f ca="1">_xll.meDateFromTenor(O960,P$14,P$11,P$12)</f>
        <v>44046</v>
      </c>
      <c r="Q960" s="98">
        <f ca="1"/>
        <v>2.1547983397513259E-3</v>
      </c>
      <c r="R960" s="5" t="s">
        <v>4</v>
      </c>
      <c r="S960" s="100">
        <f ca="1">_xll.meDateFromTenor(S959,"1D","FOLLOWING",T$12)</f>
        <v>43864</v>
      </c>
      <c r="T960" s="13">
        <f ca="1">_xll.meDateFromTenor(S960,T$14,T$11,T$12)</f>
        <v>44230</v>
      </c>
      <c r="U960" s="98">
        <f ca="1"/>
        <v>4.1380648693042071E-3</v>
      </c>
      <c r="V960" s="5" t="s">
        <v>4</v>
      </c>
      <c r="W960" s="84" t="s">
        <v>4</v>
      </c>
    </row>
    <row r="961" spans="1:23" x14ac:dyDescent="0.25">
      <c r="A961" s="90">
        <v>942</v>
      </c>
      <c r="B961" s="83"/>
      <c r="C961" s="100">
        <f ca="1">_xll.meDateFromTenor(C960,"1D","FOLLOWING",D$12)</f>
        <v>43865</v>
      </c>
      <c r="D961" s="13">
        <f ca="1">_xll.meDateFromTenor(C961,D$14,D$11,D$12)</f>
        <v>43866</v>
      </c>
      <c r="E961" s="98">
        <f ca="1"/>
        <v>-1.8599225170801213E-3</v>
      </c>
      <c r="F961" s="94"/>
      <c r="G961" s="100">
        <f ca="1">_xll.meDateFromTenor(G960,"1D","FOLLOWING",H$12)</f>
        <v>43865</v>
      </c>
      <c r="H961" s="13">
        <f ca="1">_xll.meDateFromTenor(G961,H$14,H$11,H$12)</f>
        <v>43894</v>
      </c>
      <c r="I961" s="98">
        <f ca="1"/>
        <v>-9.796278781240824E-4</v>
      </c>
      <c r="J961" s="94" t="s">
        <v>4</v>
      </c>
      <c r="K961" s="100">
        <f ca="1">_xll.meDateFromTenor(K960,"1D","FOLLOWING",L$12)</f>
        <v>43865</v>
      </c>
      <c r="L961" s="13">
        <f ca="1">_xll.meDateFromTenor(K961,L$14,L$11,L$12)</f>
        <v>43955</v>
      </c>
      <c r="M961" s="98">
        <f ca="1"/>
        <v>2.4199533320580383E-4</v>
      </c>
      <c r="N961" s="5" t="s">
        <v>4</v>
      </c>
      <c r="O961" s="100">
        <f ca="1">_xll.meDateFromTenor(O960,"1D","FOLLOWING",P$12)</f>
        <v>43865</v>
      </c>
      <c r="P961" s="13">
        <f ca="1">_xll.meDateFromTenor(O961,P$14,P$11,P$12)</f>
        <v>44047</v>
      </c>
      <c r="Q961" s="98">
        <f ca="1"/>
        <v>2.1606904530875222E-3</v>
      </c>
      <c r="R961" s="5" t="s">
        <v>4</v>
      </c>
      <c r="S961" s="100">
        <f ca="1">_xll.meDateFromTenor(S960,"1D","FOLLOWING",T$12)</f>
        <v>43865</v>
      </c>
      <c r="T961" s="13">
        <f ca="1">_xll.meDateFromTenor(S961,T$14,T$11,T$12)</f>
        <v>44231</v>
      </c>
      <c r="U961" s="98">
        <f ca="1"/>
        <v>4.1437691466991149E-3</v>
      </c>
      <c r="V961" s="5" t="s">
        <v>4</v>
      </c>
      <c r="W961" s="84" t="s">
        <v>4</v>
      </c>
    </row>
    <row r="962" spans="1:23" x14ac:dyDescent="0.25">
      <c r="A962" s="90">
        <v>943</v>
      </c>
      <c r="B962" s="83"/>
      <c r="C962" s="100">
        <f ca="1">_xll.meDateFromTenor(C961,"1D","FOLLOWING",D$12)</f>
        <v>43866</v>
      </c>
      <c r="D962" s="13">
        <f ca="1">_xll.meDateFromTenor(C962,D$14,D$11,D$12)</f>
        <v>43867</v>
      </c>
      <c r="E962" s="98">
        <f ca="1"/>
        <v>-1.8569911157584394E-3</v>
      </c>
      <c r="F962" s="94"/>
      <c r="G962" s="100">
        <f ca="1">_xll.meDateFromTenor(G961,"1D","FOLLOWING",H$12)</f>
        <v>43866</v>
      </c>
      <c r="H962" s="13">
        <f ca="1">_xll.meDateFromTenor(G962,H$14,H$11,H$12)</f>
        <v>43895</v>
      </c>
      <c r="I962" s="98">
        <f ca="1"/>
        <v>-9.7360964195065383E-4</v>
      </c>
      <c r="J962" s="94" t="s">
        <v>4</v>
      </c>
      <c r="K962" s="100">
        <f ca="1">_xll.meDateFromTenor(K961,"1D","FOLLOWING",L$12)</f>
        <v>43866</v>
      </c>
      <c r="L962" s="13">
        <f ca="1">_xll.meDateFromTenor(K962,L$14,L$11,L$12)</f>
        <v>43956</v>
      </c>
      <c r="M962" s="98">
        <f ca="1"/>
        <v>2.4764619280347145E-4</v>
      </c>
      <c r="N962" s="5" t="s">
        <v>4</v>
      </c>
      <c r="O962" s="100">
        <f ca="1">_xll.meDateFromTenor(O961,"1D","FOLLOWING",P$12)</f>
        <v>43866</v>
      </c>
      <c r="P962" s="13">
        <f ca="1">_xll.meDateFromTenor(O962,P$14,P$11,P$12)</f>
        <v>44048</v>
      </c>
      <c r="Q962" s="98">
        <f ca="1"/>
        <v>2.1665836879706862E-3</v>
      </c>
      <c r="R962" s="5" t="s">
        <v>4</v>
      </c>
      <c r="S962" s="100">
        <f ca="1">_xll.meDateFromTenor(S961,"1D","FOLLOWING",T$12)</f>
        <v>43866</v>
      </c>
      <c r="T962" s="13">
        <f ca="1">_xll.meDateFromTenor(S962,T$14,T$11,T$12)</f>
        <v>44232</v>
      </c>
      <c r="U962" s="98">
        <f ca="1"/>
        <v>4.1494766539827829E-3</v>
      </c>
      <c r="V962" s="5" t="s">
        <v>4</v>
      </c>
      <c r="W962" s="84" t="s">
        <v>4</v>
      </c>
    </row>
    <row r="963" spans="1:23" x14ac:dyDescent="0.25">
      <c r="A963" s="90">
        <v>944</v>
      </c>
      <c r="B963" s="83"/>
      <c r="C963" s="100">
        <f ca="1">_xll.meDateFromTenor(C962,"1D","FOLLOWING",D$12)</f>
        <v>43867</v>
      </c>
      <c r="D963" s="13">
        <f ca="1">_xll.meDateFromTenor(C963,D$14,D$11,D$12)</f>
        <v>43868</v>
      </c>
      <c r="E963" s="98">
        <f ca="1"/>
        <v>-1.8540896040475439E-3</v>
      </c>
      <c r="F963" s="94"/>
      <c r="G963" s="100">
        <f ca="1">_xll.meDateFromTenor(G962,"1D","FOLLOWING",H$12)</f>
        <v>43867</v>
      </c>
      <c r="H963" s="13">
        <f ca="1">_xll.meDateFromTenor(G963,H$14,H$11,H$12)</f>
        <v>43896</v>
      </c>
      <c r="I963" s="98">
        <f ca="1"/>
        <v>-9.6754057965328666E-4</v>
      </c>
      <c r="J963" s="94" t="s">
        <v>4</v>
      </c>
      <c r="K963" s="100">
        <f ca="1">_xll.meDateFromTenor(K962,"1D","FOLLOWING",L$12)</f>
        <v>43867</v>
      </c>
      <c r="L963" s="13">
        <f ca="1">_xll.meDateFromTenor(K963,L$14,L$11,L$12)</f>
        <v>43957</v>
      </c>
      <c r="M963" s="98">
        <f ca="1"/>
        <v>2.5330792777558648E-4</v>
      </c>
      <c r="N963" s="5" t="s">
        <v>4</v>
      </c>
      <c r="O963" s="100">
        <f ca="1">_xll.meDateFromTenor(O962,"1D","FOLLOWING",P$12)</f>
        <v>43867</v>
      </c>
      <c r="P963" s="13">
        <f ca="1">_xll.meDateFromTenor(O963,P$14,P$11,P$12)</f>
        <v>44049</v>
      </c>
      <c r="Q963" s="98">
        <f ca="1"/>
        <v>2.1724780663726169E-3</v>
      </c>
      <c r="R963" s="5" t="s">
        <v>4</v>
      </c>
      <c r="S963" s="100">
        <f ca="1">_xll.meDateFromTenor(S962,"1D","FOLLOWING",T$12)</f>
        <v>43867</v>
      </c>
      <c r="T963" s="13">
        <f ca="1">_xll.meDateFromTenor(S963,T$14,T$11,T$12)</f>
        <v>44235</v>
      </c>
      <c r="U963" s="98">
        <f ca="1"/>
        <v>4.1551874141946433E-3</v>
      </c>
      <c r="V963" s="5" t="s">
        <v>4</v>
      </c>
      <c r="W963" s="84" t="s">
        <v>4</v>
      </c>
    </row>
    <row r="964" spans="1:23" x14ac:dyDescent="0.25">
      <c r="A964" s="90">
        <v>945</v>
      </c>
      <c r="B964" s="83"/>
      <c r="C964" s="100">
        <f ca="1">_xll.meDateFromTenor(C963,"1D","FOLLOWING",D$12)</f>
        <v>43868</v>
      </c>
      <c r="D964" s="13">
        <f ca="1">_xll.meDateFromTenor(C964,D$14,D$11,D$12)</f>
        <v>43871</v>
      </c>
      <c r="E964" s="98">
        <f ca="1"/>
        <v>-1.8483767200017163E-3</v>
      </c>
      <c r="F964" s="94"/>
      <c r="G964" s="100">
        <f ca="1">_xll.meDateFromTenor(G963,"1D","FOLLOWING",H$12)</f>
        <v>43868</v>
      </c>
      <c r="H964" s="13">
        <f ca="1">_xll.meDateFromTenor(G964,H$14,H$11,H$12)</f>
        <v>43899</v>
      </c>
      <c r="I964" s="98">
        <f ca="1"/>
        <v>-9.6142303958852158E-4</v>
      </c>
      <c r="J964" s="94" t="s">
        <v>4</v>
      </c>
      <c r="K964" s="100">
        <f ca="1">_xll.meDateFromTenor(K963,"1D","FOLLOWING",L$12)</f>
        <v>43868</v>
      </c>
      <c r="L964" s="13">
        <f ca="1">_xll.meDateFromTenor(K964,L$14,L$11,L$12)</f>
        <v>43958</v>
      </c>
      <c r="M964" s="98">
        <f ca="1"/>
        <v>2.5898052790900613E-4</v>
      </c>
      <c r="N964" s="5" t="s">
        <v>4</v>
      </c>
      <c r="O964" s="100">
        <f ca="1">_xll.meDateFromTenor(O963,"1D","FOLLOWING",P$12)</f>
        <v>43868</v>
      </c>
      <c r="P964" s="13">
        <f ca="1">_xll.meDateFromTenor(O964,P$14,P$11,P$12)</f>
        <v>44050</v>
      </c>
      <c r="Q964" s="98">
        <f ca="1"/>
        <v>2.1783736102651153E-3</v>
      </c>
      <c r="R964" s="5" t="s">
        <v>4</v>
      </c>
      <c r="S964" s="100">
        <f ca="1">_xll.meDateFromTenor(S963,"1D","FOLLOWING",T$12)</f>
        <v>43868</v>
      </c>
      <c r="T964" s="13">
        <f ca="1">_xll.meDateFromTenor(S964,T$14,T$11,T$12)</f>
        <v>44235</v>
      </c>
      <c r="U964" s="98">
        <f ca="1"/>
        <v>4.1609014503741311E-3</v>
      </c>
      <c r="V964" s="5" t="s">
        <v>4</v>
      </c>
      <c r="W964" s="84" t="s">
        <v>4</v>
      </c>
    </row>
    <row r="965" spans="1:23" x14ac:dyDescent="0.25">
      <c r="A965" s="90">
        <v>946</v>
      </c>
      <c r="B965" s="83"/>
      <c r="C965" s="100">
        <f ca="1">_xll.meDateFromTenor(C964,"1D","FOLLOWING",D$12)</f>
        <v>43871</v>
      </c>
      <c r="D965" s="13">
        <f ca="1">_xll.meDateFromTenor(C965,D$14,D$11,D$12)</f>
        <v>43872</v>
      </c>
      <c r="E965" s="98">
        <f ca="1"/>
        <v>-1.8427824427202986E-3</v>
      </c>
      <c r="F965" s="94"/>
      <c r="G965" s="100">
        <f ca="1">_xll.meDateFromTenor(G964,"1D","FOLLOWING",H$12)</f>
        <v>43871</v>
      </c>
      <c r="H965" s="13">
        <f ca="1">_xll.meDateFromTenor(G965,H$14,H$11,H$12)</f>
        <v>43900</v>
      </c>
      <c r="I965" s="98">
        <f ca="1"/>
        <v>-9.4280303635527012E-4</v>
      </c>
      <c r="J965" s="94" t="s">
        <v>4</v>
      </c>
      <c r="K965" s="100">
        <f ca="1">_xll.meDateFromTenor(K964,"1D","FOLLOWING",L$12)</f>
        <v>43871</v>
      </c>
      <c r="L965" s="13">
        <f ca="1">_xll.meDateFromTenor(K965,L$14,L$11,L$12)</f>
        <v>43962</v>
      </c>
      <c r="M965" s="98">
        <f ca="1"/>
        <v>2.7606341714563976E-4</v>
      </c>
      <c r="N965" s="5" t="s">
        <v>4</v>
      </c>
      <c r="O965" s="100">
        <f ca="1">_xll.meDateFromTenor(O964,"1D","FOLLOWING",P$12)</f>
        <v>43871</v>
      </c>
      <c r="P965" s="13">
        <f ca="1">_xll.meDateFromTenor(O965,P$14,P$11,P$12)</f>
        <v>44053</v>
      </c>
      <c r="Q965" s="98">
        <f ca="1"/>
        <v>2.196067454604021E-3</v>
      </c>
      <c r="R965" s="5" t="s">
        <v>4</v>
      </c>
      <c r="S965" s="100">
        <f ca="1">_xll.meDateFromTenor(S964,"1D","FOLLOWING",T$12)</f>
        <v>43871</v>
      </c>
      <c r="T965" s="13">
        <f ca="1">_xll.meDateFromTenor(S965,T$14,T$11,T$12)</f>
        <v>44237</v>
      </c>
      <c r="U965" s="98">
        <f ca="1"/>
        <v>4.1780634451126829E-3</v>
      </c>
      <c r="V965" s="5" t="s">
        <v>4</v>
      </c>
      <c r="W965" s="84" t="s">
        <v>4</v>
      </c>
    </row>
    <row r="966" spans="1:23" x14ac:dyDescent="0.25">
      <c r="A966" s="90">
        <v>947</v>
      </c>
      <c r="B966" s="83"/>
      <c r="C966" s="100">
        <f ca="1">_xll.meDateFromTenor(C965,"1D","FOLLOWING",D$12)</f>
        <v>43872</v>
      </c>
      <c r="D966" s="13">
        <f ca="1">_xll.meDateFromTenor(C966,D$14,D$11,D$12)</f>
        <v>43873</v>
      </c>
      <c r="E966" s="98">
        <f ca="1"/>
        <v>-1.8400303701504648E-3</v>
      </c>
      <c r="F966" s="94"/>
      <c r="G966" s="100">
        <f ca="1">_xll.meDateFromTenor(G965,"1D","FOLLOWING",H$12)</f>
        <v>43872</v>
      </c>
      <c r="H966" s="13">
        <f ca="1">_xll.meDateFromTenor(G966,H$14,H$11,H$12)</f>
        <v>43901</v>
      </c>
      <c r="I966" s="98">
        <f ca="1"/>
        <v>-9.3651506878634399E-4</v>
      </c>
      <c r="J966" s="94" t="s">
        <v>4</v>
      </c>
      <c r="K966" s="100">
        <f ca="1">_xll.meDateFromTenor(K965,"1D","FOLLOWING",L$12)</f>
        <v>43872</v>
      </c>
      <c r="L966" s="13">
        <f ca="1">_xll.meDateFromTenor(K966,L$14,L$11,L$12)</f>
        <v>43962</v>
      </c>
      <c r="M966" s="98">
        <f ca="1"/>
        <v>2.8177937579282547E-4</v>
      </c>
      <c r="N966" s="5" t="s">
        <v>4</v>
      </c>
      <c r="O966" s="100">
        <f ca="1">_xll.meDateFromTenor(O965,"1D","FOLLOWING",P$12)</f>
        <v>43872</v>
      </c>
      <c r="P966" s="13">
        <f ca="1">_xll.meDateFromTenor(O966,P$14,P$11,P$12)</f>
        <v>44054</v>
      </c>
      <c r="Q966" s="98">
        <f ca="1"/>
        <v>2.2019678801767917E-3</v>
      </c>
      <c r="R966" s="5" t="s">
        <v>4</v>
      </c>
      <c r="S966" s="100">
        <f ca="1">_xll.meDateFromTenor(S965,"1D","FOLLOWING",T$12)</f>
        <v>43872</v>
      </c>
      <c r="T966" s="13">
        <f ca="1">_xll.meDateFromTenor(S966,T$14,T$11,T$12)</f>
        <v>44238</v>
      </c>
      <c r="U966" s="98">
        <f ca="1"/>
        <v>4.1837908155570062E-3</v>
      </c>
      <c r="V966" s="5" t="s">
        <v>4</v>
      </c>
      <c r="W966" s="84" t="s">
        <v>4</v>
      </c>
    </row>
    <row r="967" spans="1:23" x14ac:dyDescent="0.25">
      <c r="A967" s="90">
        <v>948</v>
      </c>
      <c r="B967" s="83"/>
      <c r="C967" s="100">
        <f ca="1">_xll.meDateFromTenor(C966,"1D","FOLLOWING",D$12)</f>
        <v>43873</v>
      </c>
      <c r="D967" s="13">
        <f ca="1">_xll.meDateFromTenor(C967,D$14,D$11,D$12)</f>
        <v>43874</v>
      </c>
      <c r="E967" s="98">
        <f ca="1"/>
        <v>-1.8373081833944547E-3</v>
      </c>
      <c r="F967" s="94"/>
      <c r="G967" s="100">
        <f ca="1">_xll.meDateFromTenor(G966,"1D","FOLLOWING",H$12)</f>
        <v>43873</v>
      </c>
      <c r="H967" s="13">
        <f ca="1">_xll.meDateFromTenor(G967,H$14,H$11,H$12)</f>
        <v>43902</v>
      </c>
      <c r="I967" s="98">
        <f ca="1"/>
        <v>-9.3019036523273274E-4</v>
      </c>
      <c r="J967" s="94" t="s">
        <v>4</v>
      </c>
      <c r="K967" s="100">
        <f ca="1">_xll.meDateFromTenor(K966,"1D","FOLLOWING",L$12)</f>
        <v>43873</v>
      </c>
      <c r="L967" s="13">
        <f ca="1">_xll.meDateFromTenor(K967,L$14,L$11,L$12)</f>
        <v>43963</v>
      </c>
      <c r="M967" s="98">
        <f ca="1"/>
        <v>2.8750614853559201E-4</v>
      </c>
      <c r="N967" s="5" t="s">
        <v>4</v>
      </c>
      <c r="O967" s="100">
        <f ca="1">_xll.meDateFromTenor(O966,"1D","FOLLOWING",P$12)</f>
        <v>43873</v>
      </c>
      <c r="P967" s="13">
        <f ca="1">_xll.meDateFromTenor(O967,P$14,P$11,P$12)</f>
        <v>44055</v>
      </c>
      <c r="Q967" s="98">
        <f ca="1"/>
        <v>2.2078695810991322E-3</v>
      </c>
      <c r="R967" s="5" t="s">
        <v>4</v>
      </c>
      <c r="S967" s="100">
        <f ca="1">_xll.meDateFromTenor(S966,"1D","FOLLOWING",T$12)</f>
        <v>43873</v>
      </c>
      <c r="T967" s="13">
        <f ca="1">_xll.meDateFromTenor(S967,T$14,T$11,T$12)</f>
        <v>44239</v>
      </c>
      <c r="U967" s="98">
        <f ca="1"/>
        <v>4.1895215771661247E-3</v>
      </c>
      <c r="V967" s="5" t="s">
        <v>4</v>
      </c>
      <c r="W967" s="84" t="s">
        <v>4</v>
      </c>
    </row>
    <row r="968" spans="1:23" x14ac:dyDescent="0.25">
      <c r="A968" s="90">
        <v>949</v>
      </c>
      <c r="B968" s="83"/>
      <c r="C968" s="100">
        <f ca="1">_xll.meDateFromTenor(C967,"1D","FOLLOWING",D$12)</f>
        <v>43874</v>
      </c>
      <c r="D968" s="13">
        <f ca="1">_xll.meDateFromTenor(C968,D$14,D$11,D$12)</f>
        <v>43875</v>
      </c>
      <c r="E968" s="98">
        <f ca="1"/>
        <v>-1.8346158819326839E-3</v>
      </c>
      <c r="F968" s="94"/>
      <c r="G968" s="100">
        <f ca="1">_xll.meDateFromTenor(G967,"1D","FOLLOWING",H$12)</f>
        <v>43874</v>
      </c>
      <c r="H968" s="13">
        <f ca="1">_xll.meDateFromTenor(G968,H$14,H$11,H$12)</f>
        <v>43903</v>
      </c>
      <c r="I968" s="98">
        <f ca="1"/>
        <v>-9.2383127405098022E-4</v>
      </c>
      <c r="J968" s="94" t="s">
        <v>4</v>
      </c>
      <c r="K968" s="100">
        <f ca="1">_xll.meDateFromTenor(K967,"1D","FOLLOWING",L$12)</f>
        <v>43874</v>
      </c>
      <c r="L968" s="13">
        <f ca="1">_xll.meDateFromTenor(K968,L$14,L$11,L$12)</f>
        <v>43964</v>
      </c>
      <c r="M968" s="98">
        <f ca="1"/>
        <v>2.9324372516079366E-4</v>
      </c>
      <c r="N968" s="5" t="s">
        <v>4</v>
      </c>
      <c r="O968" s="100">
        <f ca="1">_xll.meDateFromTenor(O967,"1D","FOLLOWING",P$12)</f>
        <v>43874</v>
      </c>
      <c r="P968" s="13">
        <f ca="1">_xll.meDateFromTenor(O968,P$14,P$11,P$12)</f>
        <v>44056</v>
      </c>
      <c r="Q968" s="98">
        <f ca="1"/>
        <v>2.2137725793428412E-3</v>
      </c>
      <c r="R968" s="5" t="s">
        <v>4</v>
      </c>
      <c r="S968" s="100">
        <f ca="1">_xll.meDateFromTenor(S967,"1D","FOLLOWING",T$12)</f>
        <v>43874</v>
      </c>
      <c r="T968" s="13">
        <f ca="1">_xll.meDateFromTenor(S968,T$14,T$11,T$12)</f>
        <v>44242</v>
      </c>
      <c r="U968" s="98">
        <f ca="1"/>
        <v>4.195255752979468E-3</v>
      </c>
      <c r="V968" s="5" t="s">
        <v>4</v>
      </c>
      <c r="W968" s="84" t="s">
        <v>4</v>
      </c>
    </row>
    <row r="969" spans="1:23" x14ac:dyDescent="0.25">
      <c r="A969" s="90">
        <v>950</v>
      </c>
      <c r="B969" s="83"/>
      <c r="C969" s="100">
        <f ca="1">_xll.meDateFromTenor(C968,"1D","FOLLOWING",D$12)</f>
        <v>43875</v>
      </c>
      <c r="D969" s="13">
        <f ca="1">_xll.meDateFromTenor(C969,D$14,D$11,D$12)</f>
        <v>43878</v>
      </c>
      <c r="E969" s="98">
        <f ca="1"/>
        <v>-1.8293215965759012E-3</v>
      </c>
      <c r="F969" s="94"/>
      <c r="G969" s="100">
        <f ca="1">_xll.meDateFromTenor(G968,"1D","FOLLOWING",H$12)</f>
        <v>43875</v>
      </c>
      <c r="H969" s="13">
        <f ca="1">_xll.meDateFromTenor(G969,H$14,H$11,H$12)</f>
        <v>43906</v>
      </c>
      <c r="I969" s="98">
        <f ca="1"/>
        <v>-9.1744014359762982E-4</v>
      </c>
      <c r="J969" s="94" t="s">
        <v>4</v>
      </c>
      <c r="K969" s="100">
        <f ca="1">_xll.meDateFromTenor(K968,"1D","FOLLOWING",L$12)</f>
        <v>43875</v>
      </c>
      <c r="L969" s="13">
        <f ca="1">_xll.meDateFromTenor(K969,L$14,L$11,L$12)</f>
        <v>43965</v>
      </c>
      <c r="M969" s="98">
        <f ca="1"/>
        <v>2.989920954552845E-4</v>
      </c>
      <c r="N969" s="5" t="s">
        <v>4</v>
      </c>
      <c r="O969" s="100">
        <f ca="1">_xll.meDateFromTenor(O968,"1D","FOLLOWING",P$12)</f>
        <v>43875</v>
      </c>
      <c r="P969" s="13">
        <f ca="1">_xll.meDateFromTenor(O969,P$14,P$11,P$12)</f>
        <v>44057</v>
      </c>
      <c r="Q969" s="98">
        <f ca="1"/>
        <v>2.2196768968797184E-3</v>
      </c>
      <c r="R969" s="5" t="s">
        <v>4</v>
      </c>
      <c r="S969" s="100">
        <f ca="1">_xll.meDateFromTenor(S968,"1D","FOLLOWING",T$12)</f>
        <v>43875</v>
      </c>
      <c r="T969" s="13">
        <f ca="1">_xll.meDateFromTenor(S969,T$14,T$11,T$12)</f>
        <v>44242</v>
      </c>
      <c r="U969" s="98">
        <f ca="1"/>
        <v>4.2009933660364695E-3</v>
      </c>
      <c r="V969" s="5" t="s">
        <v>4</v>
      </c>
      <c r="W969" s="84" t="s">
        <v>4</v>
      </c>
    </row>
    <row r="970" spans="1:23" x14ac:dyDescent="0.25">
      <c r="A970" s="90">
        <v>951</v>
      </c>
      <c r="B970" s="83"/>
      <c r="C970" s="100">
        <f ca="1">_xll.meDateFromTenor(C969,"1D","FOLLOWING",D$12)</f>
        <v>43878</v>
      </c>
      <c r="D970" s="13">
        <f ca="1">_xll.meDateFromTenor(C970,D$14,D$11,D$12)</f>
        <v>43879</v>
      </c>
      <c r="E970" s="98">
        <f ca="1"/>
        <v>-1.8241455131606864E-3</v>
      </c>
      <c r="F970" s="94"/>
      <c r="G970" s="100">
        <f ca="1">_xll.meDateFromTenor(G969,"1D","FOLLOWING",H$12)</f>
        <v>43878</v>
      </c>
      <c r="H970" s="13">
        <f ca="1">_xll.meDateFromTenor(G970,H$14,H$11,H$12)</f>
        <v>43907</v>
      </c>
      <c r="I970" s="98">
        <f ca="1"/>
        <v>-8.9809800017340898E-4</v>
      </c>
      <c r="J970" s="94" t="s">
        <v>4</v>
      </c>
      <c r="K970" s="100">
        <f ca="1">_xll.meDateFromTenor(K969,"1D","FOLLOWING",L$12)</f>
        <v>43878</v>
      </c>
      <c r="L970" s="13">
        <f ca="1">_xll.meDateFromTenor(K970,L$14,L$11,L$12)</f>
        <v>43969</v>
      </c>
      <c r="M970" s="98">
        <f ca="1"/>
        <v>3.1630186622305401E-4</v>
      </c>
      <c r="N970" s="5" t="s">
        <v>4</v>
      </c>
      <c r="O970" s="100">
        <f ca="1">_xll.meDateFromTenor(O969,"1D","FOLLOWING",P$12)</f>
        <v>43878</v>
      </c>
      <c r="P970" s="13">
        <f ca="1">_xll.meDateFromTenor(O970,P$14,P$11,P$12)</f>
        <v>44060</v>
      </c>
      <c r="Q970" s="98">
        <f ca="1"/>
        <v>2.2373979849673663E-3</v>
      </c>
      <c r="R970" s="5" t="s">
        <v>4</v>
      </c>
      <c r="S970" s="100">
        <f ca="1">_xll.meDateFromTenor(S969,"1D","FOLLOWING",T$12)</f>
        <v>43878</v>
      </c>
      <c r="T970" s="13">
        <f ca="1">_xll.meDateFromTenor(S970,T$14,T$11,T$12)</f>
        <v>44244</v>
      </c>
      <c r="U970" s="98">
        <f ca="1"/>
        <v>4.2182270590637614E-3</v>
      </c>
      <c r="V970" s="5" t="s">
        <v>4</v>
      </c>
      <c r="W970" s="84" t="s">
        <v>4</v>
      </c>
    </row>
    <row r="971" spans="1:23" x14ac:dyDescent="0.25">
      <c r="A971" s="90">
        <v>952</v>
      </c>
      <c r="B971" s="83"/>
      <c r="C971" s="100">
        <f ca="1">_xll.meDateFromTenor(C970,"1D","FOLLOWING",D$12)</f>
        <v>43879</v>
      </c>
      <c r="D971" s="13">
        <f ca="1">_xll.meDateFromTenor(C971,D$14,D$11,D$12)</f>
        <v>43880</v>
      </c>
      <c r="E971" s="98">
        <f ca="1"/>
        <v>-1.8216026271389361E-3</v>
      </c>
      <c r="F971" s="94"/>
      <c r="G971" s="100">
        <f ca="1">_xll.meDateFromTenor(G970,"1D","FOLLOWING",H$12)</f>
        <v>43879</v>
      </c>
      <c r="H971" s="13">
        <f ca="1">_xll.meDateFromTenor(G971,H$14,H$11,H$12)</f>
        <v>43908</v>
      </c>
      <c r="I971" s="98">
        <f ca="1"/>
        <v>-8.9160219619908846E-4</v>
      </c>
      <c r="J971" s="94" t="s">
        <v>4</v>
      </c>
      <c r="K971" s="100">
        <f ca="1">_xll.meDateFromTenor(K970,"1D","FOLLOWING",L$12)</f>
        <v>43879</v>
      </c>
      <c r="L971" s="13">
        <f ca="1">_xll.meDateFromTenor(K971,L$14,L$11,L$12)</f>
        <v>43969</v>
      </c>
      <c r="M971" s="98">
        <f ca="1"/>
        <v>3.2209330906325916E-4</v>
      </c>
      <c r="N971" s="5" t="s">
        <v>4</v>
      </c>
      <c r="O971" s="100">
        <f ca="1">_xll.meDateFromTenor(O970,"1D","FOLLOWING",P$12)</f>
        <v>43879</v>
      </c>
      <c r="P971" s="13">
        <f ca="1">_xll.meDateFromTenor(O971,P$14,P$11,P$12)</f>
        <v>44061</v>
      </c>
      <c r="Q971" s="98">
        <f ca="1"/>
        <v>2.2433077993949209E-3</v>
      </c>
      <c r="R971" s="5" t="s">
        <v>4</v>
      </c>
      <c r="S971" s="100">
        <f ca="1">_xll.meDateFromTenor(S970,"1D","FOLLOWING",T$12)</f>
        <v>43879</v>
      </c>
      <c r="T971" s="13">
        <f ca="1">_xll.meDateFromTenor(S971,T$14,T$11,T$12)</f>
        <v>44245</v>
      </c>
      <c r="U971" s="98">
        <f ca="1"/>
        <v>4.2239786514897317E-3</v>
      </c>
      <c r="V971" s="5" t="s">
        <v>4</v>
      </c>
      <c r="W971" s="84" t="s">
        <v>4</v>
      </c>
    </row>
    <row r="972" spans="1:23" x14ac:dyDescent="0.25">
      <c r="A972" s="90">
        <v>953</v>
      </c>
      <c r="B972" s="83"/>
      <c r="C972" s="100">
        <f ca="1">_xll.meDateFromTenor(C971,"1D","FOLLOWING",D$12)</f>
        <v>43880</v>
      </c>
      <c r="D972" s="13">
        <f ca="1">_xll.meDateFromTenor(C972,D$14,D$11,D$12)</f>
        <v>43881</v>
      </c>
      <c r="E972" s="98">
        <f ca="1"/>
        <v>-1.8190896221348461E-3</v>
      </c>
      <c r="F972" s="94"/>
      <c r="G972" s="100">
        <f ca="1">_xll.meDateFromTenor(G971,"1D","FOLLOWING",H$12)</f>
        <v>43880</v>
      </c>
      <c r="H972" s="13">
        <f ca="1">_xll.meDateFromTenor(G972,H$14,H$11,H$12)</f>
        <v>43909</v>
      </c>
      <c r="I972" s="98">
        <f ca="1"/>
        <v>-8.8508609473588308E-4</v>
      </c>
      <c r="J972" s="94" t="s">
        <v>4</v>
      </c>
      <c r="K972" s="100">
        <f ca="1">_xll.meDateFromTenor(K971,"1D","FOLLOWING",L$12)</f>
        <v>43880</v>
      </c>
      <c r="L972" s="13">
        <f ca="1">_xll.meDateFromTenor(K972,L$14,L$11,L$12)</f>
        <v>43970</v>
      </c>
      <c r="M972" s="98">
        <f ca="1"/>
        <v>3.2789549450702981E-4</v>
      </c>
      <c r="N972" s="5" t="s">
        <v>4</v>
      </c>
      <c r="O972" s="100">
        <f ca="1">_xll.meDateFromTenor(O971,"1D","FOLLOWING",P$12)</f>
        <v>43880</v>
      </c>
      <c r="P972" s="13">
        <f ca="1">_xll.meDateFromTenor(O972,P$14,P$11,P$12)</f>
        <v>44062</v>
      </c>
      <c r="Q972" s="98">
        <f ca="1"/>
        <v>2.2492190429746445E-3</v>
      </c>
      <c r="R972" s="5" t="s">
        <v>4</v>
      </c>
      <c r="S972" s="100">
        <f ca="1">_xll.meDateFromTenor(S971,"1D","FOLLOWING",T$12)</f>
        <v>43880</v>
      </c>
      <c r="T972" s="13">
        <f ca="1">_xll.meDateFromTenor(S972,T$14,T$11,T$12)</f>
        <v>44246</v>
      </c>
      <c r="U972" s="98">
        <f ca="1"/>
        <v>4.2297337963565261E-3</v>
      </c>
      <c r="V972" s="5" t="s">
        <v>4</v>
      </c>
      <c r="W972" s="84" t="s">
        <v>4</v>
      </c>
    </row>
    <row r="973" spans="1:23" x14ac:dyDescent="0.25">
      <c r="A973" s="90">
        <v>954</v>
      </c>
      <c r="B973" s="83"/>
      <c r="C973" s="100">
        <f ca="1">_xll.meDateFromTenor(C972,"1D","FOLLOWING",D$12)</f>
        <v>43881</v>
      </c>
      <c r="D973" s="13">
        <f ca="1">_xll.meDateFromTenor(C973,D$14,D$11,D$12)</f>
        <v>43882</v>
      </c>
      <c r="E973" s="98">
        <f ca="1"/>
        <v>-1.8166064976288319E-3</v>
      </c>
      <c r="F973" s="94"/>
      <c r="G973" s="100">
        <f ca="1">_xll.meDateFromTenor(G972,"1D","FOLLOWING",H$12)</f>
        <v>43881</v>
      </c>
      <c r="H973" s="13">
        <f ca="1">_xll.meDateFromTenor(G973,H$14,H$11,H$12)</f>
        <v>43910</v>
      </c>
      <c r="I973" s="98">
        <f ca="1"/>
        <v>-8.7855204414033353E-4</v>
      </c>
      <c r="J973" s="94" t="s">
        <v>4</v>
      </c>
      <c r="K973" s="100">
        <f ca="1">_xll.meDateFromTenor(K972,"1D","FOLLOWING",L$12)</f>
        <v>43881</v>
      </c>
      <c r="L973" s="13">
        <f ca="1">_xll.meDateFromTenor(K973,L$14,L$11,L$12)</f>
        <v>43971</v>
      </c>
      <c r="M973" s="98">
        <f ca="1"/>
        <v>3.337084123412229E-4</v>
      </c>
      <c r="N973" s="5" t="s">
        <v>4</v>
      </c>
      <c r="O973" s="100">
        <f ca="1">_xll.meDateFromTenor(O972,"1D","FOLLOWING",P$12)</f>
        <v>43881</v>
      </c>
      <c r="P973" s="13">
        <f ca="1">_xll.meDateFromTenor(O973,P$14,P$11,P$12)</f>
        <v>44063</v>
      </c>
      <c r="Q973" s="98">
        <f ca="1"/>
        <v>2.2551317376783386E-3</v>
      </c>
      <c r="R973" s="5" t="s">
        <v>4</v>
      </c>
      <c r="S973" s="100">
        <f ca="1">_xll.meDateFromTenor(S972,"1D","FOLLOWING",T$12)</f>
        <v>43881</v>
      </c>
      <c r="T973" s="13">
        <f ca="1">_xll.meDateFromTenor(S973,T$14,T$11,T$12)</f>
        <v>44249</v>
      </c>
      <c r="U973" s="98">
        <f ca="1"/>
        <v>4.2354925167035805E-3</v>
      </c>
      <c r="V973" s="5" t="s">
        <v>4</v>
      </c>
      <c r="W973" s="84" t="s">
        <v>4</v>
      </c>
    </row>
    <row r="974" spans="1:23" x14ac:dyDescent="0.25">
      <c r="A974" s="90">
        <v>955</v>
      </c>
      <c r="B974" s="83"/>
      <c r="C974" s="100">
        <f ca="1">_xll.meDateFromTenor(C973,"1D","FOLLOWING",D$12)</f>
        <v>43882</v>
      </c>
      <c r="D974" s="13">
        <f ca="1">_xll.meDateFromTenor(C974,D$14,D$11,D$12)</f>
        <v>43885</v>
      </c>
      <c r="E974" s="98">
        <f ca="1"/>
        <v>-1.8117307293730243E-3</v>
      </c>
      <c r="F974" s="94"/>
      <c r="G974" s="100">
        <f ca="1">_xll.meDateFromTenor(G973,"1D","FOLLOWING",H$12)</f>
        <v>43882</v>
      </c>
      <c r="H974" s="13">
        <f ca="1">_xll.meDateFromTenor(G974,H$14,H$11,H$12)</f>
        <v>43913</v>
      </c>
      <c r="I974" s="98">
        <f ca="1"/>
        <v>-8.7200239276898355E-4</v>
      </c>
      <c r="J974" s="94" t="s">
        <v>4</v>
      </c>
      <c r="K974" s="100">
        <f ca="1">_xll.meDateFromTenor(K973,"1D","FOLLOWING",L$12)</f>
        <v>43882</v>
      </c>
      <c r="L974" s="13">
        <f ca="1">_xll.meDateFromTenor(K974,L$14,L$11,L$12)</f>
        <v>43972</v>
      </c>
      <c r="M974" s="98">
        <f ca="1"/>
        <v>3.395320523526929E-4</v>
      </c>
      <c r="N974" s="5" t="s">
        <v>4</v>
      </c>
      <c r="O974" s="100">
        <f ca="1">_xll.meDateFromTenor(O973,"1D","FOLLOWING",P$12)</f>
        <v>43882</v>
      </c>
      <c r="P974" s="13">
        <f ca="1">_xll.meDateFromTenor(O974,P$14,P$11,P$12)</f>
        <v>44064</v>
      </c>
      <c r="Q974" s="98">
        <f ca="1"/>
        <v>2.2610459054778027E-3</v>
      </c>
      <c r="R974" s="5" t="s">
        <v>4</v>
      </c>
      <c r="S974" s="100">
        <f ca="1">_xll.meDateFromTenor(S973,"1D","FOLLOWING",T$12)</f>
        <v>43882</v>
      </c>
      <c r="T974" s="13">
        <f ca="1">_xll.meDateFromTenor(S974,T$14,T$11,T$12)</f>
        <v>44249</v>
      </c>
      <c r="U974" s="98">
        <f ca="1"/>
        <v>4.2412548355703263E-3</v>
      </c>
      <c r="V974" s="5" t="s">
        <v>4</v>
      </c>
      <c r="W974" s="84" t="s">
        <v>4</v>
      </c>
    </row>
    <row r="975" spans="1:23" x14ac:dyDescent="0.25">
      <c r="A975" s="90">
        <v>956</v>
      </c>
      <c r="B975" s="83"/>
      <c r="C975" s="100">
        <f ca="1">_xll.meDateFromTenor(C974,"1D","FOLLOWING",D$12)</f>
        <v>43885</v>
      </c>
      <c r="D975" s="13">
        <f ca="1">_xll.meDateFromTenor(C975,D$14,D$11,D$12)</f>
        <v>43886</v>
      </c>
      <c r="E975" s="98">
        <f ca="1"/>
        <v>-1.8069727916758603E-3</v>
      </c>
      <c r="F975" s="94"/>
      <c r="G975" s="100">
        <f ca="1">_xll.meDateFromTenor(G974,"1D","FOLLOWING",H$12)</f>
        <v>43885</v>
      </c>
      <c r="H975" s="13">
        <f ca="1">_xll.meDateFromTenor(G975,H$14,H$11,H$12)</f>
        <v>43914</v>
      </c>
      <c r="I975" s="98">
        <f ca="1"/>
        <v>-8.5228331756555698E-4</v>
      </c>
      <c r="J975" s="94" t="s">
        <v>4</v>
      </c>
      <c r="K975" s="100">
        <f ca="1">_xll.meDateFromTenor(K974,"1D","FOLLOWING",L$12)</f>
        <v>43885</v>
      </c>
      <c r="L975" s="13">
        <f ca="1">_xll.meDateFromTenor(K975,L$14,L$11,L$12)</f>
        <v>43976</v>
      </c>
      <c r="M975" s="98">
        <f ca="1"/>
        <v>3.5706720331931508E-4</v>
      </c>
      <c r="N975" s="5" t="s">
        <v>4</v>
      </c>
      <c r="O975" s="100">
        <f ca="1">_xll.meDateFromTenor(O974,"1D","FOLLOWING",P$12)</f>
        <v>43885</v>
      </c>
      <c r="P975" s="13">
        <f ca="1">_xll.meDateFromTenor(O975,P$14,P$11,P$12)</f>
        <v>44067</v>
      </c>
      <c r="Q975" s="98">
        <f ca="1"/>
        <v>2.2787974671688153E-3</v>
      </c>
      <c r="R975" s="5" t="s">
        <v>4</v>
      </c>
      <c r="S975" s="100">
        <f ca="1">_xll.meDateFromTenor(S974,"1D","FOLLOWING",T$12)</f>
        <v>43885</v>
      </c>
      <c r="T975" s="13">
        <f ca="1">_xll.meDateFromTenor(S975,T$14,T$11,T$12)</f>
        <v>44251</v>
      </c>
      <c r="U975" s="98">
        <f ca="1"/>
        <v>4.2585636136830435E-3</v>
      </c>
      <c r="V975" s="5" t="s">
        <v>4</v>
      </c>
      <c r="W975" s="84" t="s">
        <v>4</v>
      </c>
    </row>
    <row r="976" spans="1:23" x14ac:dyDescent="0.25">
      <c r="A976" s="90">
        <v>957</v>
      </c>
      <c r="B976" s="83"/>
      <c r="C976" s="100">
        <f ca="1">_xll.meDateFromTenor(C975,"1D","FOLLOWING",D$12)</f>
        <v>43886</v>
      </c>
      <c r="D976" s="13">
        <f ca="1">_xll.meDateFromTenor(C976,D$14,D$11,D$12)</f>
        <v>43887</v>
      </c>
      <c r="E976" s="98">
        <f ca="1"/>
        <v>-1.8046390597481541E-3</v>
      </c>
      <c r="F976" s="94"/>
      <c r="G976" s="100">
        <f ca="1">_xll.meDateFromTenor(G975,"1D","FOLLOWING",H$12)</f>
        <v>43886</v>
      </c>
      <c r="H976" s="13">
        <f ca="1">_xll.meDateFromTenor(G976,H$14,H$11,H$12)</f>
        <v>43915</v>
      </c>
      <c r="I976" s="98">
        <f ca="1"/>
        <v>-8.4569474665643072E-4</v>
      </c>
      <c r="J976" s="94" t="s">
        <v>4</v>
      </c>
      <c r="K976" s="100">
        <f ca="1">_xll.meDateFromTenor(K975,"1D","FOLLOWING",L$12)</f>
        <v>43886</v>
      </c>
      <c r="L976" s="13">
        <f ca="1">_xll.meDateFromTenor(K976,L$14,L$11,L$12)</f>
        <v>43976</v>
      </c>
      <c r="M976" s="98">
        <f ca="1"/>
        <v>3.6293362990844454E-4</v>
      </c>
      <c r="N976" s="5" t="s">
        <v>4</v>
      </c>
      <c r="O976" s="100">
        <f ca="1">_xll.meDateFromTenor(O975,"1D","FOLLOWING",P$12)</f>
        <v>43886</v>
      </c>
      <c r="P976" s="13">
        <f ca="1">_xll.meDateFromTenor(O976,P$14,P$11,P$12)</f>
        <v>44068</v>
      </c>
      <c r="Q976" s="98">
        <f ca="1"/>
        <v>2.2847177470693611E-3</v>
      </c>
      <c r="R976" s="5" t="s">
        <v>4</v>
      </c>
      <c r="S976" s="100">
        <f ca="1">_xll.meDateFromTenor(S975,"1D","FOLLOWING",T$12)</f>
        <v>43886</v>
      </c>
      <c r="T976" s="13">
        <f ca="1">_xll.meDateFromTenor(S976,T$14,T$11,T$12)</f>
        <v>44252</v>
      </c>
      <c r="U976" s="98">
        <f ca="1"/>
        <v>4.264340557022888E-3</v>
      </c>
      <c r="V976" s="5" t="s">
        <v>4</v>
      </c>
      <c r="W976" s="84" t="s">
        <v>4</v>
      </c>
    </row>
    <row r="977" spans="1:23" x14ac:dyDescent="0.25">
      <c r="A977" s="90">
        <v>958</v>
      </c>
      <c r="B977" s="83"/>
      <c r="C977" s="100">
        <f ca="1">_xll.meDateFromTenor(C976,"1D","FOLLOWING",D$12)</f>
        <v>43887</v>
      </c>
      <c r="D977" s="13">
        <f ca="1">_xll.meDateFromTenor(C977,D$14,D$11,D$12)</f>
        <v>43888</v>
      </c>
      <c r="E977" s="98">
        <f ca="1"/>
        <v>-1.8023352046814332E-3</v>
      </c>
      <c r="F977" s="94"/>
      <c r="G977" s="100">
        <f ca="1">_xll.meDateFromTenor(G976,"1D","FOLLOWING",H$12)</f>
        <v>43887</v>
      </c>
      <c r="H977" s="13">
        <f ca="1">_xll.meDateFromTenor(G977,H$14,H$11,H$12)</f>
        <v>43916</v>
      </c>
      <c r="I977" s="98">
        <f ca="1"/>
        <v>-8.3910231675421681E-4</v>
      </c>
      <c r="J977" s="94" t="s">
        <v>4</v>
      </c>
      <c r="K977" s="100">
        <f ca="1">_xll.meDateFromTenor(K976,"1D","FOLLOWING",L$12)</f>
        <v>43887</v>
      </c>
      <c r="L977" s="13">
        <f ca="1">_xll.meDateFromTenor(K977,L$14,L$11,L$12)</f>
        <v>43977</v>
      </c>
      <c r="M977" s="98">
        <f ca="1"/>
        <v>3.688107276091271E-4</v>
      </c>
      <c r="N977" s="5" t="s">
        <v>4</v>
      </c>
      <c r="O977" s="100">
        <f ca="1">_xll.meDateFromTenor(O976,"1D","FOLLOWING",P$12)</f>
        <v>43887</v>
      </c>
      <c r="P977" s="13">
        <f ca="1">_xll.meDateFromTenor(O977,P$14,P$11,P$12)</f>
        <v>44069</v>
      </c>
      <c r="Q977" s="98">
        <f ca="1"/>
        <v>2.2906396099246769E-3</v>
      </c>
      <c r="R977" s="5" t="s">
        <v>4</v>
      </c>
      <c r="S977" s="100">
        <f ca="1">_xll.meDateFromTenor(S976,"1D","FOLLOWING",T$12)</f>
        <v>43887</v>
      </c>
      <c r="T977" s="13">
        <f ca="1">_xll.meDateFromTenor(S977,T$14,T$11,T$12)</f>
        <v>44253</v>
      </c>
      <c r="U977" s="98">
        <f ca="1"/>
        <v>4.27012121407959E-3</v>
      </c>
      <c r="V977" s="5" t="s">
        <v>4</v>
      </c>
      <c r="W977" s="84" t="s">
        <v>4</v>
      </c>
    </row>
    <row r="978" spans="1:23" x14ac:dyDescent="0.25">
      <c r="A978" s="90">
        <v>959</v>
      </c>
      <c r="B978" s="83"/>
      <c r="C978" s="100">
        <f ca="1">_xll.meDateFromTenor(C977,"1D","FOLLOWING",D$12)</f>
        <v>43888</v>
      </c>
      <c r="D978" s="13">
        <f ca="1">_xll.meDateFromTenor(C978,D$14,D$11,D$12)</f>
        <v>43889</v>
      </c>
      <c r="E978" s="98">
        <f ca="1"/>
        <v>-1.8000612252366884E-3</v>
      </c>
      <c r="F978" s="94"/>
      <c r="G978" s="100">
        <f ca="1">_xll.meDateFromTenor(G977,"1D","FOLLOWING",H$12)</f>
        <v>43888</v>
      </c>
      <c r="H978" s="13">
        <f ca="1">_xll.meDateFromTenor(G978,H$14,H$11,H$12)</f>
        <v>43917</v>
      </c>
      <c r="I978" s="98">
        <f ca="1"/>
        <v>-8.3250837621545899E-4</v>
      </c>
      <c r="J978" s="94" t="s">
        <v>4</v>
      </c>
      <c r="K978" s="100">
        <f ca="1">_xll.meDateFromTenor(K977,"1D","FOLLOWING",L$12)</f>
        <v>43888</v>
      </c>
      <c r="L978" s="13">
        <f ca="1">_xll.meDateFromTenor(K978,L$14,L$11,L$12)</f>
        <v>43978</v>
      </c>
      <c r="M978" s="98">
        <f ca="1"/>
        <v>3.7469848620821678E-4</v>
      </c>
      <c r="N978" s="5" t="s">
        <v>4</v>
      </c>
      <c r="O978" s="100">
        <f ca="1">_xll.meDateFromTenor(O977,"1D","FOLLOWING",P$12)</f>
        <v>43888</v>
      </c>
      <c r="P978" s="13">
        <f ca="1">_xll.meDateFromTenor(O978,P$14,P$11,P$12)</f>
        <v>44070</v>
      </c>
      <c r="Q978" s="98">
        <f ca="1"/>
        <v>2.2965630777065631E-3</v>
      </c>
      <c r="R978" s="5" t="s">
        <v>4</v>
      </c>
      <c r="S978" s="100">
        <f ca="1">_xll.meDateFromTenor(S977,"1D","FOLLOWING",T$12)</f>
        <v>43888</v>
      </c>
      <c r="T978" s="13">
        <f ca="1">_xll.meDateFromTenor(S978,T$14,T$11,T$12)</f>
        <v>44253</v>
      </c>
      <c r="U978" s="98">
        <f ca="1"/>
        <v>4.2759056078925826E-3</v>
      </c>
      <c r="V978" s="5" t="s">
        <v>4</v>
      </c>
      <c r="W978" s="84" t="s">
        <v>4</v>
      </c>
    </row>
    <row r="979" spans="1:23" x14ac:dyDescent="0.25">
      <c r="A979" s="90">
        <v>960</v>
      </c>
      <c r="B979" s="83"/>
      <c r="C979" s="100">
        <f ca="1">_xll.meDateFromTenor(C978,"1D","FOLLOWING",D$12)</f>
        <v>43889</v>
      </c>
      <c r="D979" s="13">
        <f ca="1">_xll.meDateFromTenor(C979,D$14,D$11,D$12)</f>
        <v>43892</v>
      </c>
      <c r="E979" s="98">
        <f ca="1"/>
        <v>-1.7956038937061499E-3</v>
      </c>
      <c r="F979" s="94"/>
      <c r="G979" s="100">
        <f ca="1">_xll.meDateFromTenor(G978,"1D","FOLLOWING",H$12)</f>
        <v>43889</v>
      </c>
      <c r="H979" s="13">
        <f ca="1">_xll.meDateFromTenor(G979,H$14,H$11,H$12)</f>
        <v>43920</v>
      </c>
      <c r="I979" s="98">
        <f ca="1"/>
        <v>-8.2591527339669795E-4</v>
      </c>
      <c r="J979" s="94" t="s">
        <v>4</v>
      </c>
      <c r="K979" s="100">
        <f ca="1">_xll.meDateFromTenor(K978,"1D","FOLLOWING",L$12)</f>
        <v>43889</v>
      </c>
      <c r="L979" s="13">
        <f ca="1">_xll.meDateFromTenor(K979,L$14,L$11,L$12)</f>
        <v>43979</v>
      </c>
      <c r="M979" s="98">
        <f ca="1"/>
        <v>3.8059689549257086E-4</v>
      </c>
      <c r="N979" s="5" t="s">
        <v>4</v>
      </c>
      <c r="O979" s="100">
        <f ca="1">_xll.meDateFromTenor(O978,"1D","FOLLOWING",P$12)</f>
        <v>43889</v>
      </c>
      <c r="P979" s="13">
        <f ca="1">_xll.meDateFromTenor(O979,P$14,P$11,P$12)</f>
        <v>44071</v>
      </c>
      <c r="Q979" s="98">
        <f ca="1"/>
        <v>2.3024881723868215E-3</v>
      </c>
      <c r="R979" s="5" t="s">
        <v>4</v>
      </c>
      <c r="S979" s="100">
        <f ca="1">_xll.meDateFromTenor(S978,"1D","FOLLOWING",T$12)</f>
        <v>43889</v>
      </c>
      <c r="T979" s="13">
        <f ca="1">_xll.meDateFromTenor(S979,T$14,T$11,T$12)</f>
        <v>44253</v>
      </c>
      <c r="U979" s="98">
        <f ca="1"/>
        <v>4.2816937615013E-3</v>
      </c>
      <c r="V979" s="5" t="s">
        <v>4</v>
      </c>
      <c r="W979" s="84" t="s">
        <v>4</v>
      </c>
    </row>
    <row r="980" spans="1:23" x14ac:dyDescent="0.25">
      <c r="A980" s="90">
        <v>961</v>
      </c>
      <c r="B980" s="83"/>
      <c r="C980" s="100">
        <f ca="1">_xll.meDateFromTenor(C979,"1D","FOLLOWING",D$12)</f>
        <v>43892</v>
      </c>
      <c r="D980" s="13">
        <f ca="1">_xll.meDateFromTenor(C980,D$14,D$11,D$12)</f>
        <v>43893</v>
      </c>
      <c r="E980" s="98">
        <f ca="1"/>
        <v>-1.7912473639158995E-3</v>
      </c>
      <c r="F980" s="94"/>
      <c r="G980" s="100">
        <f ca="1">_xll.meDateFromTenor(G979,"1D","FOLLOWING",H$12)</f>
        <v>43892</v>
      </c>
      <c r="H980" s="13">
        <f ca="1">_xll.meDateFromTenor(G980,H$14,H$11,H$12)</f>
        <v>43923</v>
      </c>
      <c r="I980" s="98">
        <f ca="1"/>
        <v>-8.0616447482582737E-4</v>
      </c>
      <c r="J980" s="94" t="s">
        <v>4</v>
      </c>
      <c r="K980" s="100">
        <f ca="1">_xll.meDateFromTenor(K979,"1D","FOLLOWING",L$12)</f>
        <v>43892</v>
      </c>
      <c r="L980" s="13">
        <f ca="1">_xll.meDateFromTenor(K980,L$14,L$11,L$12)</f>
        <v>43984</v>
      </c>
      <c r="M980" s="98">
        <f ca="1"/>
        <v>3.9835592532576466E-4</v>
      </c>
      <c r="N980" s="5" t="s">
        <v>4</v>
      </c>
      <c r="O980" s="100">
        <f ca="1">_xll.meDateFromTenor(O979,"1D","FOLLOWING",P$12)</f>
        <v>43892</v>
      </c>
      <c r="P980" s="13">
        <f ca="1">_xll.meDateFromTenor(O980,P$14,P$11,P$12)</f>
        <v>44076</v>
      </c>
      <c r="Q980" s="98">
        <f ca="1"/>
        <v>2.3202734375358221E-3</v>
      </c>
      <c r="R980" s="5" t="s">
        <v>4</v>
      </c>
      <c r="S980" s="100">
        <f ca="1">_xll.meDateFromTenor(S979,"1D","FOLLOWING",T$12)</f>
        <v>43892</v>
      </c>
      <c r="T980" s="13">
        <f ca="1">_xll.meDateFromTenor(S980,T$14,T$11,T$12)</f>
        <v>44257</v>
      </c>
      <c r="U980" s="98">
        <f ca="1"/>
        <v>4.2990810114961284E-3</v>
      </c>
      <c r="V980" s="5" t="s">
        <v>4</v>
      </c>
      <c r="W980" s="84" t="s">
        <v>4</v>
      </c>
    </row>
    <row r="981" spans="1:23" x14ac:dyDescent="0.25">
      <c r="A981" s="90">
        <v>962</v>
      </c>
      <c r="B981" s="83"/>
      <c r="C981" s="100">
        <f ca="1">_xll.meDateFromTenor(C980,"1D","FOLLOWING",D$12)</f>
        <v>43893</v>
      </c>
      <c r="D981" s="13">
        <f ca="1">_xll.meDateFromTenor(C981,D$14,D$11,D$12)</f>
        <v>43894</v>
      </c>
      <c r="E981" s="98">
        <f ca="1"/>
        <v>-1.7890226112934871E-3</v>
      </c>
      <c r="F981" s="94"/>
      <c r="G981" s="100">
        <f ca="1">_xll.meDateFromTenor(G980,"1D","FOLLOWING",H$12)</f>
        <v>43893</v>
      </c>
      <c r="H981" s="13">
        <f ca="1">_xll.meDateFromTenor(G981,H$14,H$11,H$12)</f>
        <v>43924</v>
      </c>
      <c r="I981" s="98">
        <f ca="1"/>
        <v>-7.9959784023752862E-4</v>
      </c>
      <c r="J981" s="94" t="s">
        <v>4</v>
      </c>
      <c r="K981" s="100">
        <f ca="1">_xll.meDateFromTenor(K980,"1D","FOLLOWING",L$12)</f>
        <v>43893</v>
      </c>
      <c r="L981" s="13">
        <f ca="1">_xll.meDateFromTenor(K981,L$14,L$11,L$12)</f>
        <v>43985</v>
      </c>
      <c r="M981" s="98">
        <f ca="1"/>
        <v>4.0429682214327534E-4</v>
      </c>
      <c r="N981" s="5" t="s">
        <v>4</v>
      </c>
      <c r="O981" s="100">
        <f ca="1">_xll.meDateFromTenor(O980,"1D","FOLLOWING",P$12)</f>
        <v>43893</v>
      </c>
      <c r="P981" s="13">
        <f ca="1">_xll.meDateFromTenor(O981,P$14,P$11,P$12)</f>
        <v>44077</v>
      </c>
      <c r="Q981" s="98">
        <f ca="1"/>
        <v>2.3262052595275661E-3</v>
      </c>
      <c r="R981" s="5" t="s">
        <v>4</v>
      </c>
      <c r="S981" s="100">
        <f ca="1">_xll.meDateFromTenor(S980,"1D","FOLLOWING",T$12)</f>
        <v>43893</v>
      </c>
      <c r="T981" s="13">
        <f ca="1">_xll.meDateFromTenor(S981,T$14,T$11,T$12)</f>
        <v>44258</v>
      </c>
      <c r="U981" s="98">
        <f ca="1"/>
        <v>4.3048844346820761E-3</v>
      </c>
      <c r="V981" s="5" t="s">
        <v>4</v>
      </c>
      <c r="W981" s="84" t="s">
        <v>4</v>
      </c>
    </row>
    <row r="982" spans="1:23" x14ac:dyDescent="0.25">
      <c r="A982" s="90">
        <v>963</v>
      </c>
      <c r="B982" s="83"/>
      <c r="C982" s="100">
        <f ca="1">_xll.meDateFromTenor(C981,"1D","FOLLOWING",D$12)</f>
        <v>43894</v>
      </c>
      <c r="D982" s="13">
        <f ca="1">_xll.meDateFromTenor(C982,D$14,D$11,D$12)</f>
        <v>43895</v>
      </c>
      <c r="E982" s="98">
        <f ca="1"/>
        <v>-1.7867275891214681E-3</v>
      </c>
      <c r="F982" s="94"/>
      <c r="G982" s="100">
        <f ca="1">_xll.meDateFromTenor(G981,"1D","FOLLOWING",H$12)</f>
        <v>43894</v>
      </c>
      <c r="H982" s="13">
        <f ca="1">_xll.meDateFromTenor(G982,H$14,H$11,H$12)</f>
        <v>43927</v>
      </c>
      <c r="I982" s="98">
        <f ca="1"/>
        <v>-7.9304158786221591E-4</v>
      </c>
      <c r="J982" s="94" t="s">
        <v>4</v>
      </c>
      <c r="K982" s="100">
        <f ca="1">_xll.meDateFromTenor(K981,"1D","FOLLOWING",L$12)</f>
        <v>43894</v>
      </c>
      <c r="L982" s="13">
        <f ca="1">_xll.meDateFromTenor(K982,L$14,L$11,L$12)</f>
        <v>43986</v>
      </c>
      <c r="M982" s="98">
        <f ca="1"/>
        <v>4.1024824012162982E-4</v>
      </c>
      <c r="N982" s="5" t="s">
        <v>4</v>
      </c>
      <c r="O982" s="100">
        <f ca="1">_xll.meDateFromTenor(O981,"1D","FOLLOWING",P$12)</f>
        <v>43894</v>
      </c>
      <c r="P982" s="13">
        <f ca="1">_xll.meDateFromTenor(O982,P$14,P$11,P$12)</f>
        <v>44078</v>
      </c>
      <c r="Q982" s="98">
        <f ca="1"/>
        <v>2.3321388182766809E-3</v>
      </c>
      <c r="R982" s="5" t="s">
        <v>4</v>
      </c>
      <c r="S982" s="100">
        <f ca="1">_xll.meDateFromTenor(S981,"1D","FOLLOWING",T$12)</f>
        <v>43894</v>
      </c>
      <c r="T982" s="13">
        <f ca="1">_xll.meDateFromTenor(S982,T$14,T$11,T$12)</f>
        <v>44259</v>
      </c>
      <c r="U982" s="98">
        <f ca="1"/>
        <v>4.3106917328609128E-3</v>
      </c>
      <c r="V982" s="5" t="s">
        <v>4</v>
      </c>
      <c r="W982" s="84" t="s">
        <v>4</v>
      </c>
    </row>
    <row r="983" spans="1:23" x14ac:dyDescent="0.25">
      <c r="A983" s="90">
        <v>964</v>
      </c>
      <c r="B983" s="83"/>
      <c r="C983" s="100">
        <f ca="1">_xll.meDateFromTenor(C982,"1D","FOLLOWING",D$12)</f>
        <v>43895</v>
      </c>
      <c r="D983" s="13">
        <f ca="1">_xll.meDateFromTenor(C983,D$14,D$11,D$12)</f>
        <v>43896</v>
      </c>
      <c r="E983" s="98">
        <f ca="1"/>
        <v>-1.7843622988778015E-3</v>
      </c>
      <c r="F983" s="94"/>
      <c r="G983" s="100">
        <f ca="1">_xll.meDateFromTenor(G982,"1D","FOLLOWING",H$12)</f>
        <v>43895</v>
      </c>
      <c r="H983" s="13">
        <f ca="1">_xll.meDateFromTenor(G983,H$14,H$11,H$12)</f>
        <v>43927</v>
      </c>
      <c r="I983" s="98">
        <f ca="1"/>
        <v>-7.8649586876670442E-4</v>
      </c>
      <c r="J983" s="94" t="s">
        <v>4</v>
      </c>
      <c r="K983" s="100">
        <f ca="1">_xll.meDateFromTenor(K982,"1D","FOLLOWING",L$12)</f>
        <v>43895</v>
      </c>
      <c r="L983" s="13">
        <f ca="1">_xll.meDateFromTenor(K983,L$14,L$11,L$12)</f>
        <v>43987</v>
      </c>
      <c r="M983" s="98">
        <f ca="1"/>
        <v>4.1621009058899049E-4</v>
      </c>
      <c r="N983" s="5" t="s">
        <v>4</v>
      </c>
      <c r="O983" s="100">
        <f ca="1">_xll.meDateFromTenor(O982,"1D","FOLLOWING",P$12)</f>
        <v>43895</v>
      </c>
      <c r="P983" s="13">
        <f ca="1">_xll.meDateFromTenor(O983,P$14,P$11,P$12)</f>
        <v>44081</v>
      </c>
      <c r="Q983" s="98">
        <f ca="1"/>
        <v>2.3380741357549679E-3</v>
      </c>
      <c r="R983" s="5" t="s">
        <v>4</v>
      </c>
      <c r="S983" s="100">
        <f ca="1">_xll.meDateFromTenor(S982,"1D","FOLLOWING",T$12)</f>
        <v>43895</v>
      </c>
      <c r="T983" s="13">
        <f ca="1">_xll.meDateFromTenor(S983,T$14,T$11,T$12)</f>
        <v>44260</v>
      </c>
      <c r="U983" s="98">
        <f ca="1"/>
        <v>4.3165029290720726E-3</v>
      </c>
      <c r="V983" s="5" t="s">
        <v>4</v>
      </c>
      <c r="W983" s="84" t="s">
        <v>4</v>
      </c>
    </row>
    <row r="984" spans="1:23" x14ac:dyDescent="0.25">
      <c r="A984" s="90">
        <v>965</v>
      </c>
      <c r="B984" s="83"/>
      <c r="C984" s="100">
        <f ca="1">_xll.meDateFromTenor(C983,"1D","FOLLOWING",D$12)</f>
        <v>43896</v>
      </c>
      <c r="D984" s="13">
        <f ca="1">_xll.meDateFromTenor(C984,D$14,D$11,D$12)</f>
        <v>43899</v>
      </c>
      <c r="E984" s="98">
        <f ca="1"/>
        <v>-1.7793887025163776E-3</v>
      </c>
      <c r="F984" s="94"/>
      <c r="G984" s="100">
        <f ca="1">_xll.meDateFromTenor(G983,"1D","FOLLOWING",H$12)</f>
        <v>43896</v>
      </c>
      <c r="H984" s="13">
        <f ca="1">_xll.meDateFromTenor(G984,H$14,H$11,H$12)</f>
        <v>43927</v>
      </c>
      <c r="I984" s="98">
        <f ca="1"/>
        <v>-7.7996083401781207E-4</v>
      </c>
      <c r="J984" s="94" t="s">
        <v>4</v>
      </c>
      <c r="K984" s="100">
        <f ca="1">_xll.meDateFromTenor(K983,"1D","FOLLOWING",L$12)</f>
        <v>43896</v>
      </c>
      <c r="L984" s="13">
        <f ca="1">_xll.meDateFromTenor(K984,L$14,L$11,L$12)</f>
        <v>43990</v>
      </c>
      <c r="M984" s="98">
        <f ca="1"/>
        <v>4.2218228487351671E-4</v>
      </c>
      <c r="N984" s="5" t="s">
        <v>4</v>
      </c>
      <c r="O984" s="100">
        <f ca="1">_xll.meDateFromTenor(O983,"1D","FOLLOWING",P$12)</f>
        <v>43896</v>
      </c>
      <c r="P984" s="13">
        <f ca="1">_xll.meDateFromTenor(O984,P$14,P$11,P$12)</f>
        <v>44081</v>
      </c>
      <c r="Q984" s="98">
        <f ca="1"/>
        <v>2.3440112339342275E-3</v>
      </c>
      <c r="R984" s="5" t="s">
        <v>4</v>
      </c>
      <c r="S984" s="100">
        <f ca="1">_xll.meDateFromTenor(S983,"1D","FOLLOWING",T$12)</f>
        <v>43896</v>
      </c>
      <c r="T984" s="13">
        <f ca="1">_xll.meDateFromTenor(S984,T$14,T$11,T$12)</f>
        <v>44263</v>
      </c>
      <c r="U984" s="98">
        <f ca="1"/>
        <v>4.3223180463549905E-3</v>
      </c>
      <c r="V984" s="5" t="s">
        <v>4</v>
      </c>
      <c r="W984" s="84" t="s">
        <v>4</v>
      </c>
    </row>
    <row r="985" spans="1:23" x14ac:dyDescent="0.25">
      <c r="A985" s="90">
        <v>966</v>
      </c>
      <c r="B985" s="83"/>
      <c r="C985" s="100">
        <f ca="1">_xll.meDateFromTenor(C984,"1D","FOLLOWING",D$12)</f>
        <v>43899</v>
      </c>
      <c r="D985" s="13">
        <f ca="1">_xll.meDateFromTenor(C985,D$14,D$11,D$12)</f>
        <v>43900</v>
      </c>
      <c r="E985" s="98">
        <f ca="1"/>
        <v>-1.7741984827290898E-3</v>
      </c>
      <c r="F985" s="94"/>
      <c r="G985" s="100">
        <f ca="1">_xll.meDateFromTenor(G984,"1D","FOLLOWING",H$12)</f>
        <v>43899</v>
      </c>
      <c r="H985" s="13">
        <f ca="1">_xll.meDateFromTenor(G985,H$14,H$11,H$12)</f>
        <v>43930</v>
      </c>
      <c r="I985" s="98">
        <f ca="1"/>
        <v>-7.6042134651902165E-4</v>
      </c>
      <c r="J985" s="94" t="s">
        <v>4</v>
      </c>
      <c r="K985" s="100">
        <f ca="1">_xll.meDateFromTenor(K984,"1D","FOLLOWING",L$12)</f>
        <v>43899</v>
      </c>
      <c r="L985" s="13">
        <f ca="1">_xll.meDateFromTenor(K985,L$14,L$11,L$12)</f>
        <v>43991</v>
      </c>
      <c r="M985" s="98">
        <f ca="1"/>
        <v>4.4016004391169236E-4</v>
      </c>
      <c r="N985" s="5" t="s">
        <v>4</v>
      </c>
      <c r="O985" s="100">
        <f ca="1">_xll.meDateFromTenor(O984,"1D","FOLLOWING",P$12)</f>
        <v>43899</v>
      </c>
      <c r="P985" s="13">
        <f ca="1">_xll.meDateFromTenor(O985,P$14,P$11,P$12)</f>
        <v>44083</v>
      </c>
      <c r="Q985" s="98">
        <f ca="1"/>
        <v>2.3618334323958394E-3</v>
      </c>
      <c r="R985" s="5" t="s">
        <v>4</v>
      </c>
      <c r="S985" s="100">
        <f ca="1">_xll.meDateFromTenor(S984,"1D","FOLLOWING",T$12)</f>
        <v>43899</v>
      </c>
      <c r="T985" s="13">
        <f ca="1">_xll.meDateFromTenor(S985,T$14,T$11,T$12)</f>
        <v>44264</v>
      </c>
      <c r="U985" s="98">
        <f ca="1"/>
        <v>4.339787155028617E-3</v>
      </c>
      <c r="V985" s="5" t="s">
        <v>4</v>
      </c>
      <c r="W985" s="84" t="s">
        <v>4</v>
      </c>
    </row>
    <row r="986" spans="1:23" x14ac:dyDescent="0.25">
      <c r="A986" s="90">
        <v>967</v>
      </c>
      <c r="B986" s="83"/>
      <c r="C986" s="100">
        <f ca="1">_xll.meDateFromTenor(C985,"1D","FOLLOWING",D$12)</f>
        <v>43900</v>
      </c>
      <c r="D986" s="13">
        <f ca="1">_xll.meDateFromTenor(C986,D$14,D$11,D$12)</f>
        <v>43901</v>
      </c>
      <c r="E986" s="98">
        <f ca="1"/>
        <v>-1.7714818715930454E-3</v>
      </c>
      <c r="F986" s="94"/>
      <c r="G986" s="100">
        <f ca="1">_xll.meDateFromTenor(G985,"1D","FOLLOWING",H$12)</f>
        <v>43900</v>
      </c>
      <c r="H986" s="13">
        <f ca="1">_xll.meDateFromTenor(G986,H$14,H$11,H$12)</f>
        <v>43935</v>
      </c>
      <c r="I986" s="98">
        <f ca="1"/>
        <v>-7.5393055982477647E-4</v>
      </c>
      <c r="J986" s="94" t="s">
        <v>4</v>
      </c>
      <c r="K986" s="100">
        <f ca="1">_xll.meDateFromTenor(K985,"1D","FOLLOWING",L$12)</f>
        <v>43900</v>
      </c>
      <c r="L986" s="13">
        <f ca="1">_xll.meDateFromTenor(K986,L$14,L$11,L$12)</f>
        <v>43992</v>
      </c>
      <c r="M986" s="98">
        <f ca="1"/>
        <v>4.4617272674648536E-4</v>
      </c>
      <c r="N986" s="5" t="s">
        <v>4</v>
      </c>
      <c r="O986" s="100">
        <f ca="1">_xll.meDateFromTenor(O985,"1D","FOLLOWING",P$12)</f>
        <v>43900</v>
      </c>
      <c r="P986" s="13">
        <f ca="1">_xll.meDateFromTenor(O986,P$14,P$11,P$12)</f>
        <v>44084</v>
      </c>
      <c r="Q986" s="98">
        <f ca="1"/>
        <v>2.367777873096989E-3</v>
      </c>
      <c r="R986" s="5" t="s">
        <v>4</v>
      </c>
      <c r="S986" s="100">
        <f ca="1">_xll.meDateFromTenor(S985,"1D","FOLLOWING",T$12)</f>
        <v>43900</v>
      </c>
      <c r="T986" s="13">
        <f ca="1">_xll.meDateFromTenor(S986,T$14,T$11,T$12)</f>
        <v>44265</v>
      </c>
      <c r="U986" s="98">
        <f ca="1"/>
        <v>4.345618186992895E-3</v>
      </c>
      <c r="V986" s="5" t="s">
        <v>4</v>
      </c>
      <c r="W986" s="84" t="s">
        <v>4</v>
      </c>
    </row>
    <row r="987" spans="1:23" x14ac:dyDescent="0.25">
      <c r="A987" s="90">
        <v>968</v>
      </c>
      <c r="B987" s="83"/>
      <c r="C987" s="100">
        <f ca="1">_xll.meDateFromTenor(C986,"1D","FOLLOWING",D$12)</f>
        <v>43901</v>
      </c>
      <c r="D987" s="13">
        <f ca="1">_xll.meDateFromTenor(C987,D$14,D$11,D$12)</f>
        <v>43902</v>
      </c>
      <c r="E987" s="98">
        <f ca="1"/>
        <v>-1.7686950003792453E-3</v>
      </c>
      <c r="F987" s="94"/>
      <c r="G987" s="100">
        <f ca="1">_xll.meDateFromTenor(G986,"1D","FOLLOWING",H$12)</f>
        <v>43901</v>
      </c>
      <c r="H987" s="13">
        <f ca="1">_xll.meDateFromTenor(G987,H$14,H$11,H$12)</f>
        <v>43935</v>
      </c>
      <c r="I987" s="98">
        <f ca="1"/>
        <v>-7.4745121281123564E-4</v>
      </c>
      <c r="J987" s="94" t="s">
        <v>4</v>
      </c>
      <c r="K987" s="100">
        <f ca="1">_xll.meDateFromTenor(K986,"1D","FOLLOWING",L$12)</f>
        <v>43901</v>
      </c>
      <c r="L987" s="13">
        <f ca="1">_xll.meDateFromTenor(K987,L$14,L$11,L$12)</f>
        <v>43993</v>
      </c>
      <c r="M987" s="98">
        <f ca="1"/>
        <v>4.5219531003924608E-4</v>
      </c>
      <c r="N987" s="5" t="s">
        <v>4</v>
      </c>
      <c r="O987" s="100">
        <f ca="1">_xll.meDateFromTenor(O986,"1D","FOLLOWING",P$12)</f>
        <v>43901</v>
      </c>
      <c r="P987" s="13">
        <f ca="1">_xll.meDateFromTenor(O987,P$14,P$11,P$12)</f>
        <v>44085</v>
      </c>
      <c r="Q987" s="98">
        <f ca="1"/>
        <v>2.3737242043581114E-3</v>
      </c>
      <c r="R987" s="5" t="s">
        <v>4</v>
      </c>
      <c r="S987" s="100">
        <f ca="1">_xll.meDateFromTenor(S986,"1D","FOLLOWING",T$12)</f>
        <v>43901</v>
      </c>
      <c r="T987" s="13">
        <f ca="1">_xll.meDateFromTenor(S987,T$14,T$11,T$12)</f>
        <v>44266</v>
      </c>
      <c r="U987" s="98">
        <f ca="1"/>
        <v>4.3514532552260954E-3</v>
      </c>
      <c r="V987" s="5" t="s">
        <v>4</v>
      </c>
      <c r="W987" s="84" t="s">
        <v>4</v>
      </c>
    </row>
    <row r="988" spans="1:23" x14ac:dyDescent="0.25">
      <c r="A988" s="90">
        <v>969</v>
      </c>
      <c r="B988" s="83"/>
      <c r="C988" s="100">
        <f ca="1">_xll.meDateFromTenor(C987,"1D","FOLLOWING",D$12)</f>
        <v>43902</v>
      </c>
      <c r="D988" s="13">
        <f ca="1">_xll.meDateFromTenor(C988,D$14,D$11,D$12)</f>
        <v>43903</v>
      </c>
      <c r="E988" s="98">
        <f ca="1"/>
        <v>-1.7658378704466023E-3</v>
      </c>
      <c r="F988" s="94"/>
      <c r="G988" s="100">
        <f ca="1">_xll.meDateFromTenor(G987,"1D","FOLLOWING",H$12)</f>
        <v>43902</v>
      </c>
      <c r="H988" s="13">
        <f ca="1">_xll.meDateFromTenor(G988,H$14,H$11,H$12)</f>
        <v>43935</v>
      </c>
      <c r="I988" s="98">
        <f ca="1"/>
        <v>-7.4098345654521728E-4</v>
      </c>
      <c r="J988" s="94" t="s">
        <v>4</v>
      </c>
      <c r="K988" s="100">
        <f ca="1">_xll.meDateFromTenor(K987,"1D","FOLLOWING",L$12)</f>
        <v>43902</v>
      </c>
      <c r="L988" s="13">
        <f ca="1">_xll.meDateFromTenor(K988,L$14,L$11,L$12)</f>
        <v>43994</v>
      </c>
      <c r="M988" s="98">
        <f ca="1"/>
        <v>4.5822770511813409E-4</v>
      </c>
      <c r="N988" s="5" t="s">
        <v>4</v>
      </c>
      <c r="O988" s="100">
        <f ca="1">_xll.meDateFromTenor(O987,"1D","FOLLOWING",P$12)</f>
        <v>43902</v>
      </c>
      <c r="P988" s="13">
        <f ca="1">_xll.meDateFromTenor(O988,P$14,P$11,P$12)</f>
        <v>44088</v>
      </c>
      <c r="Q988" s="98">
        <f ca="1"/>
        <v>2.3796724481510057E-3</v>
      </c>
      <c r="R988" s="5" t="s">
        <v>4</v>
      </c>
      <c r="S988" s="100">
        <f ca="1">_xll.meDateFromTenor(S987,"1D","FOLLOWING",T$12)</f>
        <v>43902</v>
      </c>
      <c r="T988" s="13">
        <f ca="1">_xll.meDateFromTenor(S988,T$14,T$11,T$12)</f>
        <v>44267</v>
      </c>
      <c r="U988" s="98">
        <f ca="1"/>
        <v>4.3572923827676522E-3</v>
      </c>
      <c r="V988" s="5" t="s">
        <v>4</v>
      </c>
      <c r="W988" s="84" t="s">
        <v>4</v>
      </c>
    </row>
    <row r="989" spans="1:23" x14ac:dyDescent="0.25">
      <c r="A989" s="90">
        <v>970</v>
      </c>
      <c r="B989" s="83"/>
      <c r="C989" s="100">
        <f ca="1">_xll.meDateFromTenor(C988,"1D","FOLLOWING",D$12)</f>
        <v>43903</v>
      </c>
      <c r="D989" s="13">
        <f ca="1">_xll.meDateFromTenor(C989,D$14,D$11,D$12)</f>
        <v>43906</v>
      </c>
      <c r="E989" s="98">
        <f ca="1"/>
        <v>-1.7598808172225651E-3</v>
      </c>
      <c r="F989" s="94"/>
      <c r="G989" s="100">
        <f ca="1">_xll.meDateFromTenor(G988,"1D","FOLLOWING",H$12)</f>
        <v>43903</v>
      </c>
      <c r="H989" s="13">
        <f ca="1">_xll.meDateFromTenor(G989,H$14,H$11,H$12)</f>
        <v>43935</v>
      </c>
      <c r="I989" s="98">
        <f ca="1"/>
        <v>-7.3452744209353627E-4</v>
      </c>
      <c r="J989" s="94" t="s">
        <v>4</v>
      </c>
      <c r="K989" s="100">
        <f ca="1">_xll.meDateFromTenor(K988,"1D","FOLLOWING",L$12)</f>
        <v>43903</v>
      </c>
      <c r="L989" s="13">
        <f ca="1">_xll.meDateFromTenor(K989,L$14,L$11,L$12)</f>
        <v>43997</v>
      </c>
      <c r="M989" s="98">
        <f ca="1"/>
        <v>4.6426982331131177E-4</v>
      </c>
      <c r="N989" s="5" t="s">
        <v>4</v>
      </c>
      <c r="O989" s="100">
        <f ca="1">_xll.meDateFromTenor(O988,"1D","FOLLOWING",P$12)</f>
        <v>43903</v>
      </c>
      <c r="P989" s="13">
        <f ca="1">_xll.meDateFromTenor(O989,P$14,P$11,P$12)</f>
        <v>44088</v>
      </c>
      <c r="Q989" s="98">
        <f ca="1"/>
        <v>2.3856226264474751E-3</v>
      </c>
      <c r="R989" s="5" t="s">
        <v>4</v>
      </c>
      <c r="S989" s="100">
        <f ca="1">_xll.meDateFromTenor(S988,"1D","FOLLOWING",T$12)</f>
        <v>43903</v>
      </c>
      <c r="T989" s="13">
        <f ca="1">_xll.meDateFromTenor(S989,T$14,T$11,T$12)</f>
        <v>44270</v>
      </c>
      <c r="U989" s="98">
        <f ca="1"/>
        <v>4.3631355926569996E-3</v>
      </c>
      <c r="V989" s="5" t="s">
        <v>4</v>
      </c>
      <c r="W989" s="84" t="s">
        <v>4</v>
      </c>
    </row>
    <row r="990" spans="1:23" x14ac:dyDescent="0.25">
      <c r="A990" s="90">
        <v>971</v>
      </c>
      <c r="B990" s="83"/>
      <c r="C990" s="100">
        <f ca="1">_xll.meDateFromTenor(C989,"1D","FOLLOWING",D$12)</f>
        <v>43906</v>
      </c>
      <c r="D990" s="13">
        <f ca="1">_xll.meDateFromTenor(C990,D$14,D$11,D$12)</f>
        <v>43907</v>
      </c>
      <c r="E990" s="98">
        <f ca="1"/>
        <v>-1.7537067877482278E-3</v>
      </c>
      <c r="F990" s="94"/>
      <c r="G990" s="100">
        <f ca="1">_xll.meDateFromTenor(G989,"1D","FOLLOWING",H$12)</f>
        <v>43906</v>
      </c>
      <c r="H990" s="13">
        <f ca="1">_xll.meDateFromTenor(G990,H$14,H$11,H$12)</f>
        <v>43937</v>
      </c>
      <c r="I990" s="98">
        <f ca="1"/>
        <v>-7.1523136029269497E-4</v>
      </c>
      <c r="J990" s="94" t="s">
        <v>4</v>
      </c>
      <c r="K990" s="100">
        <f ca="1">_xll.meDateFromTenor(K989,"1D","FOLLOWING",L$12)</f>
        <v>43906</v>
      </c>
      <c r="L990" s="13">
        <f ca="1">_xll.meDateFromTenor(K990,L$14,L$11,L$12)</f>
        <v>43998</v>
      </c>
      <c r="M990" s="98">
        <f ca="1"/>
        <v>4.8245362985818089E-4</v>
      </c>
      <c r="N990" s="5" t="s">
        <v>4</v>
      </c>
      <c r="O990" s="100">
        <f ca="1">_xll.meDateFromTenor(O989,"1D","FOLLOWING",P$12)</f>
        <v>43906</v>
      </c>
      <c r="P990" s="13">
        <f ca="1">_xll.meDateFromTenor(O990,P$14,P$11,P$12)</f>
        <v>44090</v>
      </c>
      <c r="Q990" s="98">
        <f ca="1"/>
        <v>2.4034849880763213E-3</v>
      </c>
      <c r="R990" s="5" t="s">
        <v>4</v>
      </c>
      <c r="S990" s="100">
        <f ca="1">_xll.meDateFromTenor(S989,"1D","FOLLOWING",T$12)</f>
        <v>43906</v>
      </c>
      <c r="T990" s="13">
        <f ca="1">_xll.meDateFromTenor(S990,T$14,T$11,T$12)</f>
        <v>44271</v>
      </c>
      <c r="U990" s="98">
        <f ca="1"/>
        <v>4.3806899468061093E-3</v>
      </c>
      <c r="V990" s="5" t="s">
        <v>4</v>
      </c>
      <c r="W990" s="84" t="s">
        <v>4</v>
      </c>
    </row>
    <row r="991" spans="1:23" x14ac:dyDescent="0.25">
      <c r="A991" s="90">
        <v>972</v>
      </c>
      <c r="B991" s="83"/>
      <c r="C991" s="100">
        <f ca="1">_xll.meDateFromTenor(C990,"1D","FOLLOWING",D$12)</f>
        <v>43907</v>
      </c>
      <c r="D991" s="13">
        <f ca="1">_xll.meDateFromTenor(C991,D$14,D$11,D$12)</f>
        <v>43908</v>
      </c>
      <c r="E991" s="98">
        <f ca="1"/>
        <v>-1.7504983828864403E-3</v>
      </c>
      <c r="F991" s="94"/>
      <c r="G991" s="100">
        <f ca="1">_xll.meDateFromTenor(G990,"1D","FOLLOWING",H$12)</f>
        <v>43907</v>
      </c>
      <c r="H991" s="13">
        <f ca="1">_xll.meDateFromTenor(G991,H$14,H$11,H$12)</f>
        <v>43938</v>
      </c>
      <c r="I991" s="98">
        <f ca="1"/>
        <v>-7.0882382376653949E-4</v>
      </c>
      <c r="J991" s="94" t="s">
        <v>4</v>
      </c>
      <c r="K991" s="100">
        <f ca="1">_xll.meDateFromTenor(K990,"1D","FOLLOWING",L$12)</f>
        <v>43907</v>
      </c>
      <c r="L991" s="13">
        <f ca="1">_xll.meDateFromTenor(K991,L$14,L$11,L$12)</f>
        <v>43999</v>
      </c>
      <c r="M991" s="98">
        <f ca="1"/>
        <v>4.8853375379011657E-4</v>
      </c>
      <c r="N991" s="5" t="s">
        <v>4</v>
      </c>
      <c r="O991" s="100">
        <f ca="1">_xll.meDateFromTenor(O990,"1D","FOLLOWING",P$12)</f>
        <v>43907</v>
      </c>
      <c r="P991" s="13">
        <f ca="1">_xll.meDateFromTenor(O991,P$14,P$11,P$12)</f>
        <v>44091</v>
      </c>
      <c r="Q991" s="98">
        <f ca="1"/>
        <v>2.4094431241050837E-3</v>
      </c>
      <c r="R991" s="5" t="s">
        <v>4</v>
      </c>
      <c r="S991" s="100">
        <f ca="1">_xll.meDateFromTenor(S990,"1D","FOLLOWING",T$12)</f>
        <v>43907</v>
      </c>
      <c r="T991" s="13">
        <f ca="1">_xll.meDateFromTenor(S991,T$14,T$11,T$12)</f>
        <v>44272</v>
      </c>
      <c r="U991" s="98">
        <f ca="1"/>
        <v>4.3865497164809449E-3</v>
      </c>
      <c r="V991" s="5" t="s">
        <v>4</v>
      </c>
      <c r="W991" s="84" t="s">
        <v>4</v>
      </c>
    </row>
    <row r="992" spans="1:23" x14ac:dyDescent="0.25">
      <c r="A992" s="90">
        <v>973</v>
      </c>
      <c r="B992" s="83"/>
      <c r="C992" s="100">
        <f ca="1">_xll.meDateFromTenor(C991,"1D","FOLLOWING",D$12)</f>
        <v>43908</v>
      </c>
      <c r="D992" s="13">
        <f ca="1">_xll.meDateFromTenor(C992,D$14,D$11,D$12)</f>
        <v>43909</v>
      </c>
      <c r="E992" s="98">
        <f ca="1"/>
        <v>-1.7472197271795116E-3</v>
      </c>
      <c r="F992" s="94"/>
      <c r="G992" s="100">
        <f ca="1">_xll.meDateFromTenor(G991,"1D","FOLLOWING",H$12)</f>
        <v>43908</v>
      </c>
      <c r="H992" s="13">
        <f ca="1">_xll.meDateFromTenor(G992,H$14,H$11,H$12)</f>
        <v>43941</v>
      </c>
      <c r="I992" s="98">
        <f ca="1"/>
        <v>-7.0242878438880657E-4</v>
      </c>
      <c r="J992" s="94" t="s">
        <v>4</v>
      </c>
      <c r="K992" s="100">
        <f ca="1">_xll.meDateFromTenor(K991,"1D","FOLLOWING",L$12)</f>
        <v>43908</v>
      </c>
      <c r="L992" s="13">
        <f ca="1">_xll.meDateFromTenor(K992,L$14,L$11,L$12)</f>
        <v>44000</v>
      </c>
      <c r="M992" s="98">
        <f ca="1"/>
        <v>4.9462315747714398E-4</v>
      </c>
      <c r="N992" s="5" t="s">
        <v>4</v>
      </c>
      <c r="O992" s="100">
        <f ca="1">_xll.meDateFromTenor(O991,"1D","FOLLOWING",P$12)</f>
        <v>43908</v>
      </c>
      <c r="P992" s="13">
        <f ca="1">_xll.meDateFromTenor(O992,P$14,P$11,P$12)</f>
        <v>44092</v>
      </c>
      <c r="Q992" s="98">
        <f ca="1"/>
        <v>2.4154033044964207E-3</v>
      </c>
      <c r="R992" s="5" t="s">
        <v>4</v>
      </c>
      <c r="S992" s="100">
        <f ca="1">_xll.meDateFromTenor(S991,"1D","FOLLOWING",T$12)</f>
        <v>43908</v>
      </c>
      <c r="T992" s="13">
        <f ca="1">_xll.meDateFromTenor(S992,T$14,T$11,T$12)</f>
        <v>44273</v>
      </c>
      <c r="U992" s="98">
        <f ca="1"/>
        <v>4.3924136837007379E-3</v>
      </c>
      <c r="V992" s="5" t="s">
        <v>4</v>
      </c>
      <c r="W992" s="84" t="s">
        <v>4</v>
      </c>
    </row>
    <row r="993" spans="1:23" x14ac:dyDescent="0.25">
      <c r="A993" s="90">
        <v>974</v>
      </c>
      <c r="B993" s="83"/>
      <c r="C993" s="100">
        <f ca="1">_xll.meDateFromTenor(C992,"1D","FOLLOWING",D$12)</f>
        <v>43909</v>
      </c>
      <c r="D993" s="13">
        <f ca="1">_xll.meDateFromTenor(C993,D$14,D$11,D$12)</f>
        <v>43910</v>
      </c>
      <c r="E993" s="98">
        <f ca="1"/>
        <v>-1.7438708214268025E-3</v>
      </c>
      <c r="F993" s="94"/>
      <c r="G993" s="100">
        <f ca="1">_xll.meDateFromTenor(G992,"1D","FOLLOWING",H$12)</f>
        <v>43909</v>
      </c>
      <c r="H993" s="13">
        <f ca="1">_xll.meDateFromTenor(G993,H$14,H$11,H$12)</f>
        <v>43941</v>
      </c>
      <c r="I993" s="98">
        <f ca="1"/>
        <v>-6.9604639322631433E-4</v>
      </c>
      <c r="J993" s="94" t="s">
        <v>4</v>
      </c>
      <c r="K993" s="100">
        <f ca="1">_xll.meDateFromTenor(K992,"1D","FOLLOWING",L$12)</f>
        <v>43909</v>
      </c>
      <c r="L993" s="13">
        <f ca="1">_xll.meDateFromTenor(K993,L$14,L$11,L$12)</f>
        <v>44001</v>
      </c>
      <c r="M993" s="98">
        <f ca="1"/>
        <v>5.0072175224742264E-4</v>
      </c>
      <c r="N993" s="5" t="s">
        <v>4</v>
      </c>
      <c r="O993" s="100">
        <f ca="1">_xll.meDateFromTenor(O992,"1D","FOLLOWING",P$12)</f>
        <v>43909</v>
      </c>
      <c r="P993" s="13">
        <f ca="1">_xll.meDateFromTenor(O993,P$14,P$11,P$12)</f>
        <v>44095</v>
      </c>
      <c r="Q993" s="98">
        <f ca="1"/>
        <v>2.4213655512221322E-3</v>
      </c>
      <c r="R993" s="5" t="s">
        <v>4</v>
      </c>
      <c r="S993" s="100">
        <f ca="1">_xll.meDateFromTenor(S992,"1D","FOLLOWING",T$12)</f>
        <v>43909</v>
      </c>
      <c r="T993" s="13">
        <f ca="1">_xll.meDateFromTenor(S993,T$14,T$11,T$12)</f>
        <v>44274</v>
      </c>
      <c r="U993" s="98">
        <f ca="1"/>
        <v>4.3982818715049199E-3</v>
      </c>
      <c r="V993" s="5" t="s">
        <v>4</v>
      </c>
      <c r="W993" s="84" t="s">
        <v>4</v>
      </c>
    </row>
    <row r="994" spans="1:23" x14ac:dyDescent="0.25">
      <c r="A994" s="90">
        <v>975</v>
      </c>
      <c r="B994" s="83"/>
      <c r="C994" s="100">
        <f ca="1">_xll.meDateFromTenor(C993,"1D","FOLLOWING",D$12)</f>
        <v>43910</v>
      </c>
      <c r="D994" s="13">
        <f ca="1">_xll.meDateFromTenor(C994,D$14,D$11,D$12)</f>
        <v>43913</v>
      </c>
      <c r="E994" s="98">
        <f ca="1"/>
        <v>-1.7369304701064852E-3</v>
      </c>
      <c r="F994" s="94"/>
      <c r="G994" s="100">
        <f ca="1">_xll.meDateFromTenor(G993,"1D","FOLLOWING",H$12)</f>
        <v>43910</v>
      </c>
      <c r="H994" s="13">
        <f ca="1">_xll.meDateFromTenor(G994,H$14,H$11,H$12)</f>
        <v>43941</v>
      </c>
      <c r="I994" s="98">
        <f ca="1"/>
        <v>-6.8967680134588111E-4</v>
      </c>
      <c r="J994" s="94" t="s">
        <v>4</v>
      </c>
      <c r="K994" s="100">
        <f ca="1">_xll.meDateFromTenor(K993,"1D","FOLLOWING",L$12)</f>
        <v>43910</v>
      </c>
      <c r="L994" s="13">
        <f ca="1">_xll.meDateFromTenor(K994,L$14,L$11,L$12)</f>
        <v>44004</v>
      </c>
      <c r="M994" s="98">
        <f ca="1"/>
        <v>5.0682944942911218E-4</v>
      </c>
      <c r="N994" s="5" t="s">
        <v>4</v>
      </c>
      <c r="O994" s="100">
        <f ca="1">_xll.meDateFromTenor(O993,"1D","FOLLOWING",P$12)</f>
        <v>43910</v>
      </c>
      <c r="P994" s="13">
        <f ca="1">_xll.meDateFromTenor(O994,P$14,P$11,P$12)</f>
        <v>44095</v>
      </c>
      <c r="Q994" s="98">
        <f ca="1"/>
        <v>2.4273298862540161E-3</v>
      </c>
      <c r="R994" s="5" t="s">
        <v>4</v>
      </c>
      <c r="S994" s="100">
        <f ca="1">_xll.meDateFromTenor(S993,"1D","FOLLOWING",T$12)</f>
        <v>43910</v>
      </c>
      <c r="T994" s="13">
        <f ca="1">_xll.meDateFromTenor(S994,T$14,T$11,T$12)</f>
        <v>44277</v>
      </c>
      <c r="U994" s="98">
        <f ca="1"/>
        <v>4.4041543029329239E-3</v>
      </c>
      <c r="V994" s="5" t="s">
        <v>4</v>
      </c>
      <c r="W994" s="84" t="s">
        <v>4</v>
      </c>
    </row>
    <row r="995" spans="1:23" x14ac:dyDescent="0.25">
      <c r="A995" s="90">
        <v>976</v>
      </c>
      <c r="B995" s="83"/>
      <c r="C995" s="100">
        <f ca="1">_xll.meDateFromTenor(C994,"1D","FOLLOWING",D$12)</f>
        <v>43913</v>
      </c>
      <c r="D995" s="13">
        <f ca="1">_xll.meDateFromTenor(C995,D$14,D$11,D$12)</f>
        <v>43914</v>
      </c>
      <c r="E995" s="98">
        <f ca="1"/>
        <v>-1.7297727262155565E-3</v>
      </c>
      <c r="F995" s="94"/>
      <c r="G995" s="100">
        <f ca="1">_xll.meDateFromTenor(G994,"1D","FOLLOWING",H$12)</f>
        <v>43913</v>
      </c>
      <c r="H995" s="13">
        <f ca="1">_xll.meDateFromTenor(G995,H$14,H$11,H$12)</f>
        <v>43944</v>
      </c>
      <c r="I995" s="98">
        <f ca="1"/>
        <v>-6.7064633206509482E-4</v>
      </c>
      <c r="J995" s="94" t="s">
        <v>4</v>
      </c>
      <c r="K995" s="100">
        <f ca="1">_xll.meDateFromTenor(K994,"1D","FOLLOWING",L$12)</f>
        <v>43913</v>
      </c>
      <c r="L995" s="13">
        <f ca="1">_xll.meDateFromTenor(K995,L$14,L$11,L$12)</f>
        <v>44005</v>
      </c>
      <c r="M995" s="98">
        <f ca="1"/>
        <v>5.2520626872425787E-4</v>
      </c>
      <c r="N995" s="5" t="s">
        <v>4</v>
      </c>
      <c r="O995" s="100">
        <f ca="1">_xll.meDateFromTenor(O994,"1D","FOLLOWING",P$12)</f>
        <v>43913</v>
      </c>
      <c r="P995" s="13">
        <f ca="1">_xll.meDateFromTenor(O995,P$14,P$11,P$12)</f>
        <v>44097</v>
      </c>
      <c r="Q995" s="98">
        <f ca="1"/>
        <v>2.44523564090472E-3</v>
      </c>
      <c r="R995" s="5" t="s">
        <v>4</v>
      </c>
      <c r="S995" s="100">
        <f ca="1">_xll.meDateFromTenor(S994,"1D","FOLLOWING",T$12)</f>
        <v>43913</v>
      </c>
      <c r="T995" s="13">
        <f ca="1">_xll.meDateFromTenor(S995,T$14,T$11,T$12)</f>
        <v>44278</v>
      </c>
      <c r="U995" s="98">
        <f ca="1"/>
        <v>4.4217972893542028E-3</v>
      </c>
      <c r="V995" s="5" t="s">
        <v>4</v>
      </c>
      <c r="W995" s="84" t="s">
        <v>4</v>
      </c>
    </row>
    <row r="996" spans="1:23" x14ac:dyDescent="0.25">
      <c r="A996" s="90">
        <v>977</v>
      </c>
      <c r="B996" s="83"/>
      <c r="C996" s="100">
        <f ca="1">_xll.meDateFromTenor(C995,"1D","FOLLOWING",D$12)</f>
        <v>43914</v>
      </c>
      <c r="D996" s="13">
        <f ca="1">_xll.meDateFromTenor(C996,D$14,D$11,D$12)</f>
        <v>43915</v>
      </c>
      <c r="E996" s="98">
        <f ca="1"/>
        <v>-1.7260725904577673E-3</v>
      </c>
      <c r="F996" s="94"/>
      <c r="G996" s="100">
        <f ca="1">_xll.meDateFromTenor(G995,"1D","FOLLOWING",H$12)</f>
        <v>43914</v>
      </c>
      <c r="H996" s="13">
        <f ca="1">_xll.meDateFromTenor(G996,H$14,H$11,H$12)</f>
        <v>43945</v>
      </c>
      <c r="I996" s="98">
        <f ca="1"/>
        <v>-6.6432944798106193E-4</v>
      </c>
      <c r="J996" s="94" t="s">
        <v>4</v>
      </c>
      <c r="K996" s="100">
        <f ca="1">_xll.meDateFromTenor(K995,"1D","FOLLOWING",L$12)</f>
        <v>43914</v>
      </c>
      <c r="L996" s="13">
        <f ca="1">_xll.meDateFromTenor(K996,L$14,L$11,L$12)</f>
        <v>44006</v>
      </c>
      <c r="M996" s="98">
        <f ca="1"/>
        <v>5.3134948883319958E-4</v>
      </c>
      <c r="N996" s="5" t="s">
        <v>4</v>
      </c>
      <c r="O996" s="100">
        <f ca="1">_xll.meDateFromTenor(O995,"1D","FOLLOWING",P$12)</f>
        <v>43914</v>
      </c>
      <c r="P996" s="13">
        <f ca="1">_xll.meDateFromTenor(O996,P$14,P$11,P$12)</f>
        <v>44098</v>
      </c>
      <c r="Q996" s="98">
        <f ca="1"/>
        <v>2.4512085488793043E-3</v>
      </c>
      <c r="R996" s="5" t="s">
        <v>4</v>
      </c>
      <c r="S996" s="100">
        <f ca="1">_xll.meDateFromTenor(S995,"1D","FOLLOWING",T$12)</f>
        <v>43914</v>
      </c>
      <c r="T996" s="13">
        <f ca="1">_xll.meDateFromTenor(S996,T$14,T$11,T$12)</f>
        <v>44279</v>
      </c>
      <c r="U996" s="98">
        <f ca="1"/>
        <v>4.4276869256718266E-3</v>
      </c>
      <c r="V996" s="5" t="s">
        <v>4</v>
      </c>
      <c r="W996" s="84" t="s">
        <v>4</v>
      </c>
    </row>
    <row r="997" spans="1:23" x14ac:dyDescent="0.25">
      <c r="A997" s="90">
        <v>978</v>
      </c>
      <c r="B997" s="83"/>
      <c r="C997" s="100">
        <f ca="1">_xll.meDateFromTenor(C996,"1D","FOLLOWING",D$12)</f>
        <v>43915</v>
      </c>
      <c r="D997" s="13">
        <f ca="1">_xll.meDateFromTenor(C997,D$14,D$11,D$12)</f>
        <v>43916</v>
      </c>
      <c r="E997" s="98">
        <f ca="1"/>
        <v>-1.722302212288091E-3</v>
      </c>
      <c r="F997" s="94"/>
      <c r="G997" s="100">
        <f ca="1">_xll.meDateFromTenor(G996,"1D","FOLLOWING",H$12)</f>
        <v>43915</v>
      </c>
      <c r="H997" s="13">
        <f ca="1">_xll.meDateFromTenor(G997,H$14,H$11,H$12)</f>
        <v>43948</v>
      </c>
      <c r="I997" s="98">
        <f ca="1"/>
        <v>-6.5802611851317294E-4</v>
      </c>
      <c r="J997" s="94" t="s">
        <v>4</v>
      </c>
      <c r="K997" s="100">
        <f ca="1">_xll.meDateFromTenor(K996,"1D","FOLLOWING",L$12)</f>
        <v>43915</v>
      </c>
      <c r="L997" s="13">
        <f ca="1">_xll.meDateFromTenor(K997,L$14,L$11,L$12)</f>
        <v>44007</v>
      </c>
      <c r="M997" s="98">
        <f ca="1"/>
        <v>5.3750136799435408E-4</v>
      </c>
      <c r="N997" s="5" t="s">
        <v>4</v>
      </c>
      <c r="O997" s="100">
        <f ca="1">_xll.meDateFromTenor(O996,"1D","FOLLOWING",P$12)</f>
        <v>43915</v>
      </c>
      <c r="P997" s="13">
        <f ca="1">_xll.meDateFromTenor(O997,P$14,P$11,P$12)</f>
        <v>44099</v>
      </c>
      <c r="Q997" s="98">
        <f ca="1"/>
        <v>2.4571836550190624E-3</v>
      </c>
      <c r="R997" s="5" t="s">
        <v>4</v>
      </c>
      <c r="S997" s="100">
        <f ca="1">_xll.meDateFromTenor(S996,"1D","FOLLOWING",T$12)</f>
        <v>43915</v>
      </c>
      <c r="T997" s="13">
        <f ca="1">_xll.meDateFromTenor(S997,T$14,T$11,T$12)</f>
        <v>44280</v>
      </c>
      <c r="U997" s="98">
        <f ca="1"/>
        <v>4.4335809208104395E-3</v>
      </c>
      <c r="V997" s="5" t="s">
        <v>4</v>
      </c>
      <c r="W997" s="84" t="s">
        <v>4</v>
      </c>
    </row>
    <row r="998" spans="1:23" x14ac:dyDescent="0.25">
      <c r="A998" s="90">
        <v>979</v>
      </c>
      <c r="B998" s="83"/>
      <c r="C998" s="100">
        <f ca="1">_xll.meDateFromTenor(C997,"1D","FOLLOWING",D$12)</f>
        <v>43916</v>
      </c>
      <c r="D998" s="13">
        <f ca="1">_xll.meDateFromTenor(C998,D$14,D$11,D$12)</f>
        <v>43917</v>
      </c>
      <c r="E998" s="98">
        <f ca="1"/>
        <v>-1.7184615931853447E-3</v>
      </c>
      <c r="F998" s="94"/>
      <c r="G998" s="100">
        <f ca="1">_xll.meDateFromTenor(G997,"1D","FOLLOWING",H$12)</f>
        <v>43916</v>
      </c>
      <c r="H998" s="13">
        <f ca="1">_xll.meDateFromTenor(G998,H$14,H$11,H$12)</f>
        <v>43948</v>
      </c>
      <c r="I998" s="98">
        <f ca="1"/>
        <v>-6.5173649472824284E-4</v>
      </c>
      <c r="J998" s="94" t="s">
        <v>4</v>
      </c>
      <c r="K998" s="100">
        <f ca="1">_xll.meDateFromTenor(K997,"1D","FOLLOWING",L$12)</f>
        <v>43916</v>
      </c>
      <c r="L998" s="13">
        <f ca="1">_xll.meDateFromTenor(K998,L$14,L$11,L$12)</f>
        <v>44008</v>
      </c>
      <c r="M998" s="98">
        <f ca="1"/>
        <v>5.436618175358839E-4</v>
      </c>
      <c r="N998" s="5" t="s">
        <v>4</v>
      </c>
      <c r="O998" s="100">
        <f ca="1">_xll.meDateFromTenor(O997,"1D","FOLLOWING",P$12)</f>
        <v>43916</v>
      </c>
      <c r="P998" s="13">
        <f ca="1">_xll.meDateFromTenor(O998,P$14,P$11,P$12)</f>
        <v>44102</v>
      </c>
      <c r="Q998" s="98">
        <f ca="1"/>
        <v>2.4631609812957966E-3</v>
      </c>
      <c r="R998" s="5" t="s">
        <v>4</v>
      </c>
      <c r="S998" s="100">
        <f ca="1">_xll.meDateFromTenor(S997,"1D","FOLLOWING",T$12)</f>
        <v>43916</v>
      </c>
      <c r="T998" s="13">
        <f ca="1">_xll.meDateFromTenor(S998,T$14,T$11,T$12)</f>
        <v>44281</v>
      </c>
      <c r="U998" s="98">
        <f ca="1"/>
        <v>4.4394792978094755E-3</v>
      </c>
      <c r="V998" s="5" t="s">
        <v>4</v>
      </c>
      <c r="W998" s="84" t="s">
        <v>4</v>
      </c>
    </row>
    <row r="999" spans="1:23" x14ac:dyDescent="0.25">
      <c r="A999" s="90">
        <v>980</v>
      </c>
      <c r="B999" s="83"/>
      <c r="C999" s="100">
        <f ca="1">_xll.meDateFromTenor(C998,"1D","FOLLOWING",D$12)</f>
        <v>43917</v>
      </c>
      <c r="D999" s="13">
        <f ca="1">_xll.meDateFromTenor(C999,D$14,D$11,D$12)</f>
        <v>43920</v>
      </c>
      <c r="E999" s="98">
        <f ca="1"/>
        <v>-1.7105380965132316E-3</v>
      </c>
      <c r="F999" s="94"/>
      <c r="G999" s="100">
        <f ca="1">_xll.meDateFromTenor(G998,"1D","FOLLOWING",H$12)</f>
        <v>43917</v>
      </c>
      <c r="H999" s="13">
        <f ca="1">_xll.meDateFromTenor(G999,H$14,H$11,H$12)</f>
        <v>43948</v>
      </c>
      <c r="I999" s="98">
        <f ca="1"/>
        <v>-6.4546072769308997E-4</v>
      </c>
      <c r="J999" s="94" t="s">
        <v>4</v>
      </c>
      <c r="K999" s="100">
        <f ca="1">_xll.meDateFromTenor(K998,"1D","FOLLOWING",L$12)</f>
        <v>43917</v>
      </c>
      <c r="L999" s="13">
        <f ca="1">_xll.meDateFromTenor(K999,L$14,L$11,L$12)</f>
        <v>44011</v>
      </c>
      <c r="M999" s="98">
        <f ca="1"/>
        <v>5.4983074878594846E-4</v>
      </c>
      <c r="N999" s="5" t="s">
        <v>4</v>
      </c>
      <c r="O999" s="100">
        <f ca="1">_xll.meDateFromTenor(O998,"1D","FOLLOWING",P$12)</f>
        <v>43917</v>
      </c>
      <c r="P999" s="13">
        <f ca="1">_xll.meDateFromTenor(O999,P$14,P$11,P$12)</f>
        <v>44102</v>
      </c>
      <c r="Q999" s="98">
        <f ca="1"/>
        <v>2.4691405496813069E-3</v>
      </c>
      <c r="R999" s="5" t="s">
        <v>4</v>
      </c>
      <c r="S999" s="100">
        <f ca="1">_xll.meDateFromTenor(S998,"1D","FOLLOWING",T$12)</f>
        <v>43917</v>
      </c>
      <c r="T999" s="13">
        <f ca="1">_xll.meDateFromTenor(S999,T$14,T$11,T$12)</f>
        <v>44284</v>
      </c>
      <c r="U999" s="98">
        <f ca="1"/>
        <v>4.4453820797083652E-3</v>
      </c>
      <c r="V999" s="5" t="s">
        <v>4</v>
      </c>
      <c r="W999" s="84" t="s">
        <v>4</v>
      </c>
    </row>
    <row r="1000" spans="1:23" x14ac:dyDescent="0.25">
      <c r="A1000" s="90">
        <v>981</v>
      </c>
      <c r="B1000" s="83"/>
      <c r="C1000" s="100">
        <f ca="1">_xll.meDateFromTenor(C999,"1D","FOLLOWING",D$12)</f>
        <v>43920</v>
      </c>
      <c r="D1000" s="13">
        <f ca="1">_xll.meDateFromTenor(C1000,D$14,D$11,D$12)</f>
        <v>43921</v>
      </c>
      <c r="E1000" s="98">
        <f ca="1"/>
        <v>-1.7023967303453407E-3</v>
      </c>
      <c r="F1000" s="94"/>
      <c r="G1000" s="100">
        <f ca="1">_xll.meDateFromTenor(G999,"1D","FOLLOWING",H$12)</f>
        <v>43920</v>
      </c>
      <c r="H1000" s="13">
        <f ca="1">_xll.meDateFromTenor(G1000,H$14,H$11,H$12)</f>
        <v>43951</v>
      </c>
      <c r="I1000" s="98">
        <f ca="1"/>
        <v>-6.2671807775446483E-4</v>
      </c>
      <c r="J1000" s="94" t="s">
        <v>4</v>
      </c>
      <c r="K1000" s="100">
        <f ca="1">_xll.meDateFromTenor(K999,"1D","FOLLOWING",L$12)</f>
        <v>43920</v>
      </c>
      <c r="L1000" s="13">
        <f ca="1">_xll.meDateFromTenor(K1000,L$14,L$11,L$12)</f>
        <v>44012</v>
      </c>
      <c r="M1000" s="98">
        <f ca="1"/>
        <v>5.6838754606895422E-4</v>
      </c>
      <c r="N1000" s="5" t="s">
        <v>4</v>
      </c>
      <c r="O1000" s="100">
        <f ca="1">_xll.meDateFromTenor(O999,"1D","FOLLOWING",P$12)</f>
        <v>43920</v>
      </c>
      <c r="P1000" s="13">
        <f ca="1">_xll.meDateFromTenor(O1000,P$14,P$11,P$12)</f>
        <v>44104</v>
      </c>
      <c r="Q1000" s="98">
        <f ca="1"/>
        <v>2.4870929272084886E-3</v>
      </c>
      <c r="R1000" s="5" t="s">
        <v>4</v>
      </c>
      <c r="S1000" s="100">
        <f ca="1">_xll.meDateFromTenor(S999,"1D","FOLLOWING",T$12)</f>
        <v>43920</v>
      </c>
      <c r="T1000" s="13">
        <f ca="1">_xll.meDateFromTenor(S1000,T$14,T$11,T$12)</f>
        <v>44285</v>
      </c>
      <c r="U1000" s="98">
        <f ca="1"/>
        <v>4.4631170851984966E-3</v>
      </c>
      <c r="V1000" s="5" t="s">
        <v>4</v>
      </c>
      <c r="W1000" s="84" t="s">
        <v>4</v>
      </c>
    </row>
    <row r="1001" spans="1:23" x14ac:dyDescent="0.25">
      <c r="A1001" s="90">
        <v>982</v>
      </c>
      <c r="B1001" s="83"/>
      <c r="C1001" s="100">
        <f ca="1">_xll.meDateFromTenor(C1000,"1D","FOLLOWING",D$12)</f>
        <v>43921</v>
      </c>
      <c r="D1001" s="13">
        <f ca="1">_xll.meDateFromTenor(C1001,D$14,D$11,D$12)</f>
        <v>43922</v>
      </c>
      <c r="E1001" s="98">
        <f ca="1"/>
        <v>-1.6982049240033053E-3</v>
      </c>
      <c r="F1001" s="94"/>
      <c r="G1001" s="100">
        <f ca="1">_xll.meDateFromTenor(G1000,"1D","FOLLOWING",H$12)</f>
        <v>43921</v>
      </c>
      <c r="H1001" s="13">
        <f ca="1">_xll.meDateFromTenor(G1001,H$14,H$11,H$12)</f>
        <v>43951</v>
      </c>
      <c r="I1001" s="98">
        <f ca="1"/>
        <v>-6.2049924838659053E-4</v>
      </c>
      <c r="J1001" s="94" t="s">
        <v>4</v>
      </c>
      <c r="K1001" s="100">
        <f ca="1">_xll.meDateFromTenor(K1000,"1D","FOLLOWING",L$12)</f>
        <v>43921</v>
      </c>
      <c r="L1001" s="13">
        <f ca="1">_xll.meDateFromTenor(K1001,L$14,L$11,L$12)</f>
        <v>44012</v>
      </c>
      <c r="M1001" s="98">
        <f ca="1"/>
        <v>5.7458951743476216E-4</v>
      </c>
      <c r="N1001" s="5" t="s">
        <v>4</v>
      </c>
      <c r="O1001" s="100">
        <f ca="1">_xll.meDateFromTenor(O1000,"1D","FOLLOWING",P$12)</f>
        <v>43921</v>
      </c>
      <c r="P1001" s="13">
        <f ca="1">_xll.meDateFromTenor(O1001,P$14,P$11,P$12)</f>
        <v>44104</v>
      </c>
      <c r="Q1001" s="98">
        <f ca="1"/>
        <v>2.4930816837471022E-3</v>
      </c>
      <c r="R1001" s="5" t="s">
        <v>4</v>
      </c>
      <c r="S1001" s="100">
        <f ca="1">_xll.meDateFromTenor(S1000,"1D","FOLLOWING",T$12)</f>
        <v>43921</v>
      </c>
      <c r="T1001" s="13">
        <f ca="1">_xll.meDateFromTenor(S1001,T$14,T$11,T$12)</f>
        <v>44286</v>
      </c>
      <c r="U1001" s="98">
        <f ca="1"/>
        <v>4.4690377170911377E-3</v>
      </c>
      <c r="V1001" s="5" t="s">
        <v>4</v>
      </c>
      <c r="W1001" s="84" t="s">
        <v>4</v>
      </c>
    </row>
    <row r="1002" spans="1:23" x14ac:dyDescent="0.25">
      <c r="A1002" s="90">
        <v>983</v>
      </c>
      <c r="B1002" s="83"/>
      <c r="C1002" s="100">
        <f ca="1">_xll.meDateFromTenor(C1001,"1D","FOLLOWING",D$12)</f>
        <v>43922</v>
      </c>
      <c r="D1002" s="13">
        <f ca="1">_xll.meDateFromTenor(C1002,D$14,D$11,D$12)</f>
        <v>43923</v>
      </c>
      <c r="E1002" s="98">
        <f ca="1"/>
        <v>-1.6939428836027009E-3</v>
      </c>
      <c r="F1002" s="94"/>
      <c r="G1002" s="100">
        <f ca="1">_xll.meDateFromTenor(G1001,"1D","FOLLOWING",H$12)</f>
        <v>43922</v>
      </c>
      <c r="H1002" s="13">
        <f ca="1">_xll.meDateFromTenor(G1002,H$14,H$11,H$12)</f>
        <v>43955</v>
      </c>
      <c r="I1002" s="98">
        <f ca="1"/>
        <v>-6.1429503110257847E-4</v>
      </c>
      <c r="J1002" s="94" t="s">
        <v>4</v>
      </c>
      <c r="K1002" s="100">
        <f ca="1">_xll.meDateFromTenor(K1001,"1D","FOLLOWING",L$12)</f>
        <v>43922</v>
      </c>
      <c r="L1002" s="13">
        <f ca="1">_xll.meDateFromTenor(K1002,L$14,L$11,L$12)</f>
        <v>44013</v>
      </c>
      <c r="M1002" s="98">
        <f ca="1"/>
        <v>5.8079952714990707E-4</v>
      </c>
      <c r="N1002" s="5" t="s">
        <v>4</v>
      </c>
      <c r="O1002" s="100">
        <f ca="1">_xll.meDateFromTenor(O1001,"1D","FOLLOWING",P$12)</f>
        <v>43922</v>
      </c>
      <c r="P1002" s="13">
        <f ca="1">_xll.meDateFromTenor(O1002,P$14,P$11,P$12)</f>
        <v>44105</v>
      </c>
      <c r="Q1002" s="98">
        <f ca="1"/>
        <v>2.4990727922534909E-3</v>
      </c>
      <c r="R1002" s="5" t="s">
        <v>4</v>
      </c>
      <c r="S1002" s="100">
        <f ca="1">_xll.meDateFromTenor(S1001,"1D","FOLLOWING",T$12)</f>
        <v>43922</v>
      </c>
      <c r="T1002" s="13">
        <f ca="1">_xll.meDateFromTenor(S1002,T$14,T$11,T$12)</f>
        <v>44287</v>
      </c>
      <c r="U1002" s="98">
        <f ca="1"/>
        <v>4.4749628690808011E-3</v>
      </c>
      <c r="V1002" s="5" t="s">
        <v>4</v>
      </c>
      <c r="W1002" s="84" t="s">
        <v>4</v>
      </c>
    </row>
    <row r="1003" spans="1:23" x14ac:dyDescent="0.25">
      <c r="A1003" s="90">
        <v>984</v>
      </c>
      <c r="B1003" s="83"/>
      <c r="C1003" s="100">
        <f ca="1">_xll.meDateFromTenor(C1002,"1D","FOLLOWING",D$12)</f>
        <v>43923</v>
      </c>
      <c r="D1003" s="13">
        <f ca="1">_xll.meDateFromTenor(C1003,D$14,D$11,D$12)</f>
        <v>43924</v>
      </c>
      <c r="E1003" s="98">
        <f ca="1"/>
        <v>-1.6896106107022807E-3</v>
      </c>
      <c r="F1003" s="94"/>
      <c r="G1003" s="100">
        <f ca="1">_xll.meDateFromTenor(G1002,"1D","FOLLOWING",H$12)</f>
        <v>43923</v>
      </c>
      <c r="H1003" s="13">
        <f ca="1">_xll.meDateFromTenor(G1003,H$14,H$11,H$12)</f>
        <v>43955</v>
      </c>
      <c r="I1003" s="98">
        <f ca="1"/>
        <v>-6.0810557696924675E-4</v>
      </c>
      <c r="J1003" s="94" t="s">
        <v>4</v>
      </c>
      <c r="K1003" s="100">
        <f ca="1">_xll.meDateFromTenor(K1002,"1D","FOLLOWING",L$12)</f>
        <v>43923</v>
      </c>
      <c r="L1003" s="13">
        <f ca="1">_xll.meDateFromTenor(K1003,L$14,L$11,L$12)</f>
        <v>44014</v>
      </c>
      <c r="M1003" s="98">
        <f ca="1"/>
        <v>5.8701748654254845E-4</v>
      </c>
      <c r="N1003" s="5" t="s">
        <v>4</v>
      </c>
      <c r="O1003" s="100">
        <f ca="1">_xll.meDateFromTenor(O1002,"1D","FOLLOWING",P$12)</f>
        <v>43923</v>
      </c>
      <c r="P1003" s="13">
        <f ca="1">_xll.meDateFromTenor(O1003,P$14,P$11,P$12)</f>
        <v>44106</v>
      </c>
      <c r="Q1003" s="98">
        <f ca="1"/>
        <v>2.5050662746994548E-3</v>
      </c>
      <c r="R1003" s="5" t="s">
        <v>4</v>
      </c>
      <c r="S1003" s="100">
        <f ca="1">_xll.meDateFromTenor(S1002,"1D","FOLLOWING",T$12)</f>
        <v>43923</v>
      </c>
      <c r="T1003" s="13">
        <f ca="1">_xll.meDateFromTenor(S1003,T$14,T$11,T$12)</f>
        <v>44292</v>
      </c>
      <c r="U1003" s="98">
        <f ca="1"/>
        <v>4.4808925642069175E-3</v>
      </c>
      <c r="V1003" s="5" t="s">
        <v>4</v>
      </c>
      <c r="W1003" s="84" t="s">
        <v>4</v>
      </c>
    </row>
    <row r="1004" spans="1:23" x14ac:dyDescent="0.25">
      <c r="A1004" s="90">
        <v>985</v>
      </c>
      <c r="B1004" s="83"/>
      <c r="C1004" s="100">
        <f ca="1">_xll.meDateFromTenor(C1003,"1D","FOLLOWING",D$12)</f>
        <v>43924</v>
      </c>
      <c r="D1004" s="13">
        <f ca="1">_xll.meDateFromTenor(C1004,D$14,D$11,D$12)</f>
        <v>43927</v>
      </c>
      <c r="E1004" s="98">
        <f ca="1"/>
        <v>-1.6807041149880025E-3</v>
      </c>
      <c r="F1004" s="94"/>
      <c r="G1004" s="100">
        <f ca="1">_xll.meDateFromTenor(G1003,"1D","FOLLOWING",H$12)</f>
        <v>43924</v>
      </c>
      <c r="H1004" s="13">
        <f ca="1">_xll.meDateFromTenor(G1004,H$14,H$11,H$12)</f>
        <v>43955</v>
      </c>
      <c r="I1004" s="98">
        <f ca="1"/>
        <v>-6.0193077034153132E-4</v>
      </c>
      <c r="J1004" s="94" t="s">
        <v>4</v>
      </c>
      <c r="K1004" s="100">
        <f ca="1">_xll.meDateFromTenor(K1003,"1D","FOLLOWING",L$12)</f>
        <v>43924</v>
      </c>
      <c r="L1004" s="13">
        <f ca="1">_xll.meDateFromTenor(K1004,L$14,L$11,L$12)</f>
        <v>44015</v>
      </c>
      <c r="M1004" s="98">
        <f ca="1"/>
        <v>5.9324330694084852E-4</v>
      </c>
      <c r="N1004" s="5" t="s">
        <v>4</v>
      </c>
      <c r="O1004" s="100">
        <f ca="1">_xll.meDateFromTenor(O1003,"1D","FOLLOWING",P$12)</f>
        <v>43924</v>
      </c>
      <c r="P1004" s="13">
        <f ca="1">_xll.meDateFromTenor(O1004,P$14,P$11,P$12)</f>
        <v>44109</v>
      </c>
      <c r="Q1004" s="98">
        <f ca="1"/>
        <v>2.5110621530567965E-3</v>
      </c>
      <c r="R1004" s="5" t="s">
        <v>4</v>
      </c>
      <c r="S1004" s="100">
        <f ca="1">_xll.meDateFromTenor(S1003,"1D","FOLLOWING",T$12)</f>
        <v>43924</v>
      </c>
      <c r="T1004" s="13">
        <f ca="1">_xll.meDateFromTenor(S1004,T$14,T$11,T$12)</f>
        <v>44292</v>
      </c>
      <c r="U1004" s="98">
        <f ca="1"/>
        <v>4.4868268255089218E-3</v>
      </c>
      <c r="V1004" s="5" t="s">
        <v>4</v>
      </c>
      <c r="W1004" s="84" t="s">
        <v>4</v>
      </c>
    </row>
    <row r="1005" spans="1:23" x14ac:dyDescent="0.25">
      <c r="A1005" s="90">
        <v>986</v>
      </c>
      <c r="B1005" s="83"/>
      <c r="C1005" s="100">
        <f ca="1">_xll.meDateFromTenor(C1004,"1D","FOLLOWING",D$12)</f>
        <v>43927</v>
      </c>
      <c r="D1005" s="13">
        <f ca="1">_xll.meDateFromTenor(C1005,D$14,D$11,D$12)</f>
        <v>43928</v>
      </c>
      <c r="E1005" s="98">
        <f ca="1"/>
        <v>-1.6715792149257838E-3</v>
      </c>
      <c r="F1005" s="94"/>
      <c r="G1005" s="100">
        <f ca="1">_xll.meDateFromTenor(G1004,"1D","FOLLOWING",H$12)</f>
        <v>43927</v>
      </c>
      <c r="H1005" s="13">
        <f ca="1">_xll.meDateFromTenor(G1005,H$14,H$11,H$12)</f>
        <v>43957</v>
      </c>
      <c r="I1005" s="98">
        <f ca="1"/>
        <v>-5.8348134371879936E-4</v>
      </c>
      <c r="J1005" s="94" t="s">
        <v>4</v>
      </c>
      <c r="K1005" s="100">
        <f ca="1">_xll.meDateFromTenor(K1004,"1D","FOLLOWING",L$12)</f>
        <v>43927</v>
      </c>
      <c r="L1005" s="13">
        <f ca="1">_xll.meDateFromTenor(K1005,L$14,L$11,L$12)</f>
        <v>44018</v>
      </c>
      <c r="M1005" s="98">
        <f ca="1"/>
        <v>6.1196704745129912E-4</v>
      </c>
      <c r="N1005" s="5" t="s">
        <v>4</v>
      </c>
      <c r="O1005" s="100">
        <f ca="1">_xll.meDateFromTenor(O1004,"1D","FOLLOWING",P$12)</f>
        <v>43927</v>
      </c>
      <c r="P1005" s="13">
        <f ca="1">_xll.meDateFromTenor(O1005,P$14,P$11,P$12)</f>
        <v>44110</v>
      </c>
      <c r="Q1005" s="98">
        <f ca="1"/>
        <v>2.5290643833150816E-3</v>
      </c>
      <c r="R1005" s="5" t="s">
        <v>4</v>
      </c>
      <c r="S1005" s="100">
        <f ca="1">_xll.meDateFromTenor(S1004,"1D","FOLLOWING",T$12)</f>
        <v>43927</v>
      </c>
      <c r="T1005" s="13">
        <f ca="1">_xll.meDateFromTenor(S1005,T$14,T$11,T$12)</f>
        <v>44292</v>
      </c>
      <c r="U1005" s="98">
        <f ca="1"/>
        <v>4.5046572368645926E-3</v>
      </c>
      <c r="V1005" s="5" t="s">
        <v>4</v>
      </c>
      <c r="W1005" s="84" t="s">
        <v>4</v>
      </c>
    </row>
    <row r="1006" spans="1:23" x14ac:dyDescent="0.25">
      <c r="A1006" s="90">
        <v>987</v>
      </c>
      <c r="B1006" s="83"/>
      <c r="C1006" s="100">
        <f ca="1">_xll.meDateFromTenor(C1005,"1D","FOLLOWING",D$12)</f>
        <v>43928</v>
      </c>
      <c r="D1006" s="13">
        <f ca="1">_xll.meDateFromTenor(C1006,D$14,D$11,D$12)</f>
        <v>43929</v>
      </c>
      <c r="E1006" s="98">
        <f ca="1"/>
        <v>-1.666895795713336E-3</v>
      </c>
      <c r="F1006" s="94"/>
      <c r="G1006" s="100">
        <f ca="1">_xll.meDateFromTenor(G1005,"1D","FOLLOWING",H$12)</f>
        <v>43928</v>
      </c>
      <c r="H1006" s="13">
        <f ca="1">_xll.meDateFromTenor(G1006,H$14,H$11,H$12)</f>
        <v>43958</v>
      </c>
      <c r="I1006" s="98">
        <f ca="1"/>
        <v>-5.7735170191650445E-4</v>
      </c>
      <c r="J1006" s="94" t="s">
        <v>4</v>
      </c>
      <c r="K1006" s="100">
        <f ca="1">_xll.meDateFromTenor(K1005,"1D","FOLLOWING",L$12)</f>
        <v>43928</v>
      </c>
      <c r="L1006" s="13">
        <f ca="1">_xll.meDateFromTenor(K1006,L$14,L$11,L$12)</f>
        <v>44019</v>
      </c>
      <c r="M1006" s="98">
        <f ca="1"/>
        <v>6.1822342515383477E-4</v>
      </c>
      <c r="N1006" s="5" t="s">
        <v>4</v>
      </c>
      <c r="O1006" s="100">
        <f ca="1">_xll.meDateFromTenor(O1005,"1D","FOLLOWING",P$12)</f>
        <v>43928</v>
      </c>
      <c r="P1006" s="13">
        <f ca="1">_xll.meDateFromTenor(O1006,P$14,P$11,P$12)</f>
        <v>44111</v>
      </c>
      <c r="Q1006" s="98">
        <f ca="1"/>
        <v>2.5350700650359306E-3</v>
      </c>
      <c r="R1006" s="5" t="s">
        <v>4</v>
      </c>
      <c r="S1006" s="100">
        <f ca="1">_xll.meDateFromTenor(S1005,"1D","FOLLOWING",T$12)</f>
        <v>43928</v>
      </c>
      <c r="T1006" s="13">
        <f ca="1">_xll.meDateFromTenor(S1006,T$14,T$11,T$12)</f>
        <v>44293</v>
      </c>
      <c r="U1006" s="98">
        <f ca="1"/>
        <v>4.510609993264479E-3</v>
      </c>
      <c r="V1006" s="5" t="s">
        <v>4</v>
      </c>
      <c r="W1006" s="84" t="s">
        <v>4</v>
      </c>
    </row>
    <row r="1007" spans="1:23" x14ac:dyDescent="0.25">
      <c r="A1007" s="90">
        <v>988</v>
      </c>
      <c r="B1007" s="83"/>
      <c r="C1007" s="100">
        <f ca="1">_xll.meDateFromTenor(C1006,"1D","FOLLOWING",D$12)</f>
        <v>43929</v>
      </c>
      <c r="D1007" s="13">
        <f ca="1">_xll.meDateFromTenor(C1007,D$14,D$11,D$12)</f>
        <v>43930</v>
      </c>
      <c r="E1007" s="98">
        <f ca="1"/>
        <v>-1.662142150515861E-3</v>
      </c>
      <c r="F1007" s="94"/>
      <c r="G1007" s="100">
        <f ca="1">_xll.meDateFromTenor(G1006,"1D","FOLLOWING",H$12)</f>
        <v>43929</v>
      </c>
      <c r="H1007" s="13">
        <f ca="1">_xll.meDateFromTenor(G1007,H$14,H$11,H$12)</f>
        <v>43959</v>
      </c>
      <c r="I1007" s="98">
        <f ca="1"/>
        <v>-5.712297283094243E-4</v>
      </c>
      <c r="J1007" s="94" t="s">
        <v>4</v>
      </c>
      <c r="K1007" s="100">
        <f ca="1">_xll.meDateFromTenor(K1006,"1D","FOLLOWING",L$12)</f>
        <v>43929</v>
      </c>
      <c r="L1007" s="13">
        <f ca="1">_xll.meDateFromTenor(K1007,L$14,L$11,L$12)</f>
        <v>44020</v>
      </c>
      <c r="M1007" s="98">
        <f ca="1"/>
        <v>6.2448722050282971E-4</v>
      </c>
      <c r="N1007" s="5" t="s">
        <v>4</v>
      </c>
      <c r="O1007" s="100">
        <f ca="1">_xll.meDateFromTenor(O1006,"1D","FOLLOWING",P$12)</f>
        <v>43929</v>
      </c>
      <c r="P1007" s="13">
        <f ca="1">_xll.meDateFromTenor(O1007,P$14,P$11,P$12)</f>
        <v>44112</v>
      </c>
      <c r="Q1007" s="98">
        <f ca="1"/>
        <v>2.5410782525271559E-3</v>
      </c>
      <c r="R1007" s="5" t="s">
        <v>4</v>
      </c>
      <c r="S1007" s="100">
        <f ca="1">_xll.meDateFromTenor(S1006,"1D","FOLLOWING",T$12)</f>
        <v>43929</v>
      </c>
      <c r="T1007" s="13">
        <f ca="1">_xll.meDateFromTenor(S1007,T$14,T$11,T$12)</f>
        <v>44294</v>
      </c>
      <c r="U1007" s="98">
        <f ca="1"/>
        <v>4.5165674310374193E-3</v>
      </c>
      <c r="V1007" s="5" t="s">
        <v>4</v>
      </c>
      <c r="W1007" s="84" t="s">
        <v>4</v>
      </c>
    </row>
    <row r="1008" spans="1:23" x14ac:dyDescent="0.25">
      <c r="A1008" s="90">
        <v>989</v>
      </c>
      <c r="B1008" s="83"/>
      <c r="C1008" s="100">
        <f ca="1">_xll.meDateFromTenor(C1007,"1D","FOLLOWING",D$12)</f>
        <v>43930</v>
      </c>
      <c r="D1008" s="13">
        <f ca="1">_xll.meDateFromTenor(C1008,D$14,D$11,D$12)</f>
        <v>43935</v>
      </c>
      <c r="E1008" s="98">
        <f ca="1"/>
        <v>-1.6473745724994218E-3</v>
      </c>
      <c r="F1008" s="94"/>
      <c r="G1008" s="100">
        <f ca="1">_xll.meDateFromTenor(G1007,"1D","FOLLOWING",H$12)</f>
        <v>43930</v>
      </c>
      <c r="H1008" s="13">
        <f ca="1">_xll.meDateFromTenor(G1008,H$14,H$11,H$12)</f>
        <v>43962</v>
      </c>
      <c r="I1008" s="98">
        <f ca="1"/>
        <v>-5.6511397369310066E-4</v>
      </c>
      <c r="J1008" s="94" t="s">
        <v>4</v>
      </c>
      <c r="K1008" s="100">
        <f ca="1">_xll.meDateFromTenor(K1007,"1D","FOLLOWING",L$12)</f>
        <v>43930</v>
      </c>
      <c r="L1008" s="13">
        <f ca="1">_xll.meDateFromTenor(K1008,L$14,L$11,L$12)</f>
        <v>44021</v>
      </c>
      <c r="M1008" s="98">
        <f ca="1"/>
        <v>6.3075834482644586E-4</v>
      </c>
      <c r="N1008" s="5" t="s">
        <v>4</v>
      </c>
      <c r="O1008" s="100">
        <f ca="1">_xll.meDateFromTenor(O1007,"1D","FOLLOWING",P$12)</f>
        <v>43930</v>
      </c>
      <c r="P1008" s="13">
        <f ca="1">_xll.meDateFromTenor(O1008,P$14,P$11,P$12)</f>
        <v>44113</v>
      </c>
      <c r="Q1008" s="98">
        <f ca="1"/>
        <v>2.5470889677605599E-3</v>
      </c>
      <c r="R1008" s="5" t="s">
        <v>4</v>
      </c>
      <c r="S1008" s="100">
        <f ca="1">_xll.meDateFromTenor(S1007,"1D","FOLLOWING",T$12)</f>
        <v>43930</v>
      </c>
      <c r="T1008" s="13">
        <f ca="1">_xll.meDateFromTenor(S1008,T$14,T$11,T$12)</f>
        <v>44295</v>
      </c>
      <c r="U1008" s="98">
        <f ca="1"/>
        <v>4.5225295732228459E-3</v>
      </c>
      <c r="V1008" s="5" t="s">
        <v>4</v>
      </c>
      <c r="W1008" s="84" t="s">
        <v>4</v>
      </c>
    </row>
    <row r="1009" spans="1:23" x14ac:dyDescent="0.25">
      <c r="A1009" s="90">
        <v>990</v>
      </c>
      <c r="B1009" s="83"/>
      <c r="C1009" s="100">
        <f ca="1">_xll.meDateFromTenor(C1008,"1D","FOLLOWING",D$12)</f>
        <v>43935</v>
      </c>
      <c r="D1009" s="13">
        <f ca="1">_xll.meDateFromTenor(C1009,D$14,D$11,D$12)</f>
        <v>43936</v>
      </c>
      <c r="E1009" s="98">
        <f ca="1"/>
        <v>-1.6321455979939673E-3</v>
      </c>
      <c r="F1009" s="94"/>
      <c r="G1009" s="100">
        <f ca="1">_xll.meDateFromTenor(G1008,"1D","FOLLOWING",H$12)</f>
        <v>43935</v>
      </c>
      <c r="H1009" s="13">
        <f ca="1">_xll.meDateFromTenor(G1009,H$14,H$11,H$12)</f>
        <v>43965</v>
      </c>
      <c r="I1009" s="98">
        <f ca="1"/>
        <v>-5.345777633168668E-4</v>
      </c>
      <c r="J1009" s="94" t="s">
        <v>4</v>
      </c>
      <c r="K1009" s="100">
        <f ca="1">_xll.meDateFromTenor(K1008,"1D","FOLLOWING",L$12)</f>
        <v>43935</v>
      </c>
      <c r="L1009" s="13">
        <f ca="1">_xll.meDateFromTenor(K1009,L$14,L$11,L$12)</f>
        <v>44026</v>
      </c>
      <c r="M1009" s="98">
        <f ca="1"/>
        <v>6.6222079754944731E-4</v>
      </c>
      <c r="N1009" s="5" t="s">
        <v>4</v>
      </c>
      <c r="O1009" s="100">
        <f ca="1">_xll.meDateFromTenor(O1008,"1D","FOLLOWING",P$12)</f>
        <v>43935</v>
      </c>
      <c r="P1009" s="13">
        <f ca="1">_xll.meDateFromTenor(O1009,P$14,P$11,P$12)</f>
        <v>44118</v>
      </c>
      <c r="Q1009" s="98">
        <f ca="1"/>
        <v>2.5771812290732435E-3</v>
      </c>
      <c r="R1009" s="5" t="s">
        <v>4</v>
      </c>
      <c r="S1009" s="100">
        <f ca="1">_xll.meDateFromTenor(S1008,"1D","FOLLOWING",T$12)</f>
        <v>43935</v>
      </c>
      <c r="T1009" s="13">
        <f ca="1">_xll.meDateFromTenor(S1009,T$14,T$11,T$12)</f>
        <v>44300</v>
      </c>
      <c r="U1009" s="98">
        <f ca="1"/>
        <v>4.5524116567174488E-3</v>
      </c>
      <c r="V1009" s="5" t="s">
        <v>4</v>
      </c>
      <c r="W1009" s="84" t="s">
        <v>4</v>
      </c>
    </row>
    <row r="1010" spans="1:23" x14ac:dyDescent="0.25">
      <c r="A1010" s="90">
        <v>991</v>
      </c>
      <c r="B1010" s="83"/>
      <c r="C1010" s="100">
        <f ca="1">_xll.meDateFromTenor(C1009,"1D","FOLLOWING",D$12)</f>
        <v>43936</v>
      </c>
      <c r="D1010" s="13">
        <f ca="1">_xll.meDateFromTenor(C1010,D$14,D$11,D$12)</f>
        <v>43937</v>
      </c>
      <c r="E1010" s="98">
        <f ca="1"/>
        <v>-1.6269004023161729E-3</v>
      </c>
      <c r="F1010" s="94"/>
      <c r="G1010" s="100">
        <f ca="1">_xll.meDateFromTenor(G1009,"1D","FOLLOWING",H$12)</f>
        <v>43936</v>
      </c>
      <c r="H1010" s="13">
        <f ca="1">_xll.meDateFromTenor(G1010,H$14,H$11,H$12)</f>
        <v>43966</v>
      </c>
      <c r="I1010" s="98">
        <f ca="1"/>
        <v>-5.284688893515009E-4</v>
      </c>
      <c r="J1010" s="94" t="s">
        <v>4</v>
      </c>
      <c r="K1010" s="100">
        <f ca="1">_xll.meDateFromTenor(K1009,"1D","FOLLOWING",L$12)</f>
        <v>43936</v>
      </c>
      <c r="L1010" s="13">
        <f ca="1">_xll.meDateFromTenor(K1010,L$14,L$11,L$12)</f>
        <v>44027</v>
      </c>
      <c r="M1010" s="98">
        <f ca="1"/>
        <v>6.685340336121553E-4</v>
      </c>
      <c r="N1010" s="5" t="s">
        <v>4</v>
      </c>
      <c r="O1010" s="100">
        <f ca="1">_xll.meDateFromTenor(O1009,"1D","FOLLOWING",P$12)</f>
        <v>43936</v>
      </c>
      <c r="P1010" s="13">
        <f ca="1">_xll.meDateFromTenor(O1010,P$14,P$11,P$12)</f>
        <v>44119</v>
      </c>
      <c r="Q1010" s="98">
        <f ca="1"/>
        <v>2.5832075721675149E-3</v>
      </c>
      <c r="R1010" s="5" t="s">
        <v>4</v>
      </c>
      <c r="S1010" s="100">
        <f ca="1">_xll.meDateFromTenor(S1009,"1D","FOLLOWING",T$12)</f>
        <v>43936</v>
      </c>
      <c r="T1010" s="13">
        <f ca="1">_xll.meDateFromTenor(S1010,T$14,T$11,T$12)</f>
        <v>44301</v>
      </c>
      <c r="U1010" s="98">
        <f ca="1"/>
        <v>4.5584025092058958E-3</v>
      </c>
      <c r="V1010" s="5" t="s">
        <v>4</v>
      </c>
      <c r="W1010" s="84" t="s">
        <v>4</v>
      </c>
    </row>
    <row r="1011" spans="1:23" x14ac:dyDescent="0.25">
      <c r="A1011" s="90">
        <v>992</v>
      </c>
      <c r="B1011" s="83"/>
      <c r="C1011" s="100">
        <f ca="1">_xll.meDateFromTenor(C1010,"1D","FOLLOWING",D$12)</f>
        <v>43937</v>
      </c>
      <c r="D1011" s="13">
        <f ca="1">_xll.meDateFromTenor(C1011,D$14,D$11,D$12)</f>
        <v>43938</v>
      </c>
      <c r="E1011" s="98">
        <f ca="1"/>
        <v>-1.6215849893264137E-3</v>
      </c>
      <c r="F1011" s="94"/>
      <c r="G1011" s="100">
        <f ca="1">_xll.meDateFromTenor(G1010,"1D","FOLLOWING",H$12)</f>
        <v>43937</v>
      </c>
      <c r="H1011" s="13">
        <f ca="1">_xll.meDateFromTenor(G1011,H$14,H$11,H$12)</f>
        <v>43969</v>
      </c>
      <c r="I1011" s="98">
        <f ca="1"/>
        <v>-5.2235608994569821E-4</v>
      </c>
      <c r="J1011" s="94" t="s">
        <v>4</v>
      </c>
      <c r="K1011" s="100">
        <f ca="1">_xll.meDateFromTenor(K1010,"1D","FOLLOWING",L$12)</f>
        <v>43937</v>
      </c>
      <c r="L1011" s="13">
        <f ca="1">_xll.meDateFromTenor(K1011,L$14,L$11,L$12)</f>
        <v>44028</v>
      </c>
      <c r="M1011" s="98">
        <f ca="1"/>
        <v>6.7485397794660564E-4</v>
      </c>
      <c r="N1011" s="5" t="s">
        <v>4</v>
      </c>
      <c r="O1011" s="100">
        <f ca="1">_xll.meDateFromTenor(O1010,"1D","FOLLOWING",P$12)</f>
        <v>43937</v>
      </c>
      <c r="P1011" s="13">
        <f ca="1">_xll.meDateFromTenor(O1011,P$14,P$11,P$12)</f>
        <v>44120</v>
      </c>
      <c r="Q1011" s="98">
        <f ca="1"/>
        <v>2.5892365968065642E-3</v>
      </c>
      <c r="R1011" s="5" t="s">
        <v>4</v>
      </c>
      <c r="S1011" s="100">
        <f ca="1">_xll.meDateFromTenor(S1010,"1D","FOLLOWING",T$12)</f>
        <v>43937</v>
      </c>
      <c r="T1011" s="13">
        <f ca="1">_xll.meDateFromTenor(S1011,T$14,T$11,T$12)</f>
        <v>44302</v>
      </c>
      <c r="U1011" s="98">
        <f ca="1"/>
        <v>4.5643982273828616E-3</v>
      </c>
      <c r="V1011" s="5" t="s">
        <v>4</v>
      </c>
      <c r="W1011" s="84" t="s">
        <v>4</v>
      </c>
    </row>
    <row r="1012" spans="1:23" x14ac:dyDescent="0.25">
      <c r="A1012" s="90">
        <v>993</v>
      </c>
      <c r="B1012" s="83"/>
      <c r="C1012" s="100">
        <f ca="1">_xll.meDateFromTenor(C1011,"1D","FOLLOWING",D$12)</f>
        <v>43938</v>
      </c>
      <c r="D1012" s="13">
        <f ca="1">_xll.meDateFromTenor(C1012,D$14,D$11,D$12)</f>
        <v>43941</v>
      </c>
      <c r="E1012" s="98">
        <f ca="1"/>
        <v>-1.6107129041741696E-3</v>
      </c>
      <c r="F1012" s="94"/>
      <c r="G1012" s="100">
        <f ca="1">_xll.meDateFromTenor(G1011,"1D","FOLLOWING",H$12)</f>
        <v>43938</v>
      </c>
      <c r="H1012" s="13">
        <f ca="1">_xll.meDateFromTenor(G1012,H$14,H$11,H$12)</f>
        <v>43969</v>
      </c>
      <c r="I1012" s="98">
        <f ca="1"/>
        <v>-5.1623791589499983E-4</v>
      </c>
      <c r="J1012" s="94" t="s">
        <v>4</v>
      </c>
      <c r="K1012" s="100">
        <f ca="1">_xll.meDateFromTenor(K1011,"1D","FOLLOWING",L$12)</f>
        <v>43938</v>
      </c>
      <c r="L1012" s="13">
        <f ca="1">_xll.meDateFromTenor(K1012,L$14,L$11,L$12)</f>
        <v>44029</v>
      </c>
      <c r="M1012" s="98">
        <f ca="1"/>
        <v>6.8118054188096098E-4</v>
      </c>
      <c r="N1012" s="5" t="s">
        <v>4</v>
      </c>
      <c r="O1012" s="100">
        <f ca="1">_xll.meDateFromTenor(O1011,"1D","FOLLOWING",P$12)</f>
        <v>43938</v>
      </c>
      <c r="P1012" s="13">
        <f ca="1">_xll.meDateFromTenor(O1012,P$14,P$11,P$12)</f>
        <v>44123</v>
      </c>
      <c r="Q1012" s="98">
        <f ca="1"/>
        <v>2.5952683249621925E-3</v>
      </c>
      <c r="R1012" s="5" t="s">
        <v>4</v>
      </c>
      <c r="S1012" s="100">
        <f ca="1">_xll.meDateFromTenor(S1011,"1D","FOLLOWING",T$12)</f>
        <v>43938</v>
      </c>
      <c r="T1012" s="13">
        <f ca="1">_xll.meDateFromTenor(S1012,T$14,T$11,T$12)</f>
        <v>44305</v>
      </c>
      <c r="U1012" s="98">
        <f ca="1"/>
        <v>4.5703988342877802E-3</v>
      </c>
      <c r="V1012" s="5" t="s">
        <v>4</v>
      </c>
      <c r="W1012" s="84" t="s">
        <v>4</v>
      </c>
    </row>
    <row r="1013" spans="1:23" x14ac:dyDescent="0.25">
      <c r="A1013" s="90">
        <v>994</v>
      </c>
      <c r="B1013" s="83"/>
      <c r="C1013" s="100">
        <f ca="1">_xll.meDateFromTenor(C1012,"1D","FOLLOWING",D$12)</f>
        <v>43941</v>
      </c>
      <c r="D1013" s="13">
        <f ca="1">_xll.meDateFromTenor(C1013,D$14,D$11,D$12)</f>
        <v>43942</v>
      </c>
      <c r="E1013" s="98">
        <f ca="1"/>
        <v>-1.5996211850311027E-3</v>
      </c>
      <c r="F1013" s="94"/>
      <c r="G1013" s="100">
        <f ca="1">_xll.meDateFromTenor(G1012,"1D","FOLLOWING",H$12)</f>
        <v>43941</v>
      </c>
      <c r="H1013" s="13">
        <f ca="1">_xll.meDateFromTenor(G1013,H$14,H$11,H$12)</f>
        <v>43971</v>
      </c>
      <c r="I1013" s="98">
        <f ca="1"/>
        <v>-4.978366538289725E-4</v>
      </c>
      <c r="J1013" s="94" t="s">
        <v>4</v>
      </c>
      <c r="K1013" s="100">
        <f ca="1">_xll.meDateFromTenor(K1012,"1D","FOLLOWING",L$12)</f>
        <v>43941</v>
      </c>
      <c r="L1013" s="13">
        <f ca="1">_xll.meDateFromTenor(K1013,L$14,L$11,L$12)</f>
        <v>44032</v>
      </c>
      <c r="M1013" s="98">
        <f ca="1"/>
        <v>7.0019906456505489E-4</v>
      </c>
      <c r="N1013" s="5" t="s">
        <v>4</v>
      </c>
      <c r="O1013" s="100">
        <f ca="1">_xll.meDateFromTenor(O1012,"1D","FOLLOWING",P$12)</f>
        <v>43941</v>
      </c>
      <c r="P1013" s="13">
        <f ca="1">_xll.meDateFromTenor(O1013,P$14,P$11,P$12)</f>
        <v>44124</v>
      </c>
      <c r="Q1013" s="98">
        <f ca="1"/>
        <v>2.613379950246551E-3</v>
      </c>
      <c r="R1013" s="5" t="s">
        <v>4</v>
      </c>
      <c r="S1013" s="100">
        <f ca="1">_xll.meDateFromTenor(S1012,"1D","FOLLOWING",T$12)</f>
        <v>43941</v>
      </c>
      <c r="T1013" s="13">
        <f ca="1">_xll.meDateFromTenor(S1013,T$14,T$11,T$12)</f>
        <v>44306</v>
      </c>
      <c r="U1013" s="98">
        <f ca="1"/>
        <v>4.588430217764586E-3</v>
      </c>
      <c r="V1013" s="5" t="s">
        <v>4</v>
      </c>
      <c r="W1013" s="84" t="s">
        <v>4</v>
      </c>
    </row>
    <row r="1014" spans="1:23" x14ac:dyDescent="0.25">
      <c r="A1014" s="90">
        <v>995</v>
      </c>
      <c r="B1014" s="83"/>
      <c r="C1014" s="100">
        <f ca="1">_xll.meDateFromTenor(C1013,"1D","FOLLOWING",D$12)</f>
        <v>43942</v>
      </c>
      <c r="D1014" s="13">
        <f ca="1">_xll.meDateFromTenor(C1014,D$14,D$11,D$12)</f>
        <v>43943</v>
      </c>
      <c r="E1014" s="98">
        <f ca="1"/>
        <v>-1.5939547008692102E-3</v>
      </c>
      <c r="F1014" s="94"/>
      <c r="G1014" s="100">
        <f ca="1">_xll.meDateFromTenor(G1013,"1D","FOLLOWING",H$12)</f>
        <v>43942</v>
      </c>
      <c r="H1014" s="13">
        <f ca="1">_xll.meDateFromTenor(G1014,H$14,H$11,H$12)</f>
        <v>43972</v>
      </c>
      <c r="I1014" s="98">
        <f ca="1"/>
        <v>-4.9168248915413214E-4</v>
      </c>
      <c r="J1014" s="94" t="s">
        <v>4</v>
      </c>
      <c r="K1014" s="100">
        <f ca="1">_xll.meDateFromTenor(K1013,"1D","FOLLOWING",L$12)</f>
        <v>43942</v>
      </c>
      <c r="L1014" s="13">
        <f ca="1">_xll.meDateFromTenor(K1014,L$14,L$11,L$12)</f>
        <v>44033</v>
      </c>
      <c r="M1014" s="98">
        <f ca="1"/>
        <v>7.065512201806293E-4</v>
      </c>
      <c r="N1014" s="5" t="s">
        <v>4</v>
      </c>
      <c r="O1014" s="100">
        <f ca="1">_xll.meDateFromTenor(O1013,"1D","FOLLOWING",P$12)</f>
        <v>43942</v>
      </c>
      <c r="P1014" s="13">
        <f ca="1">_xll.meDateFromTenor(O1014,P$14,P$11,P$12)</f>
        <v>44125</v>
      </c>
      <c r="Q1014" s="98">
        <f ca="1"/>
        <v>2.6194227121864944E-3</v>
      </c>
      <c r="R1014" s="5" t="s">
        <v>4</v>
      </c>
      <c r="S1014" s="100">
        <f ca="1">_xll.meDateFromTenor(S1013,"1D","FOLLOWING",T$12)</f>
        <v>43942</v>
      </c>
      <c r="T1014" s="13">
        <f ca="1">_xll.meDateFromTenor(S1014,T$14,T$11,T$12)</f>
        <v>44307</v>
      </c>
      <c r="U1014" s="98">
        <f ca="1"/>
        <v>4.594450609975648E-3</v>
      </c>
      <c r="V1014" s="5" t="s">
        <v>4</v>
      </c>
      <c r="W1014" s="84" t="s">
        <v>4</v>
      </c>
    </row>
    <row r="1015" spans="1:23" x14ac:dyDescent="0.25">
      <c r="A1015" s="90">
        <v>996</v>
      </c>
      <c r="B1015" s="83"/>
      <c r="C1015" s="100">
        <f ca="1">_xll.meDateFromTenor(C1014,"1D","FOLLOWING",D$12)</f>
        <v>43943</v>
      </c>
      <c r="D1015" s="13">
        <f ca="1">_xll.meDateFromTenor(C1015,D$14,D$11,D$12)</f>
        <v>43944</v>
      </c>
      <c r="E1015" s="98">
        <f ca="1"/>
        <v>-1.5882180054305251E-3</v>
      </c>
      <c r="F1015" s="94"/>
      <c r="G1015" s="100">
        <f ca="1">_xll.meDateFromTenor(G1014,"1D","FOLLOWING",H$12)</f>
        <v>43943</v>
      </c>
      <c r="H1015" s="13">
        <f ca="1">_xll.meDateFromTenor(G1015,H$14,H$11,H$12)</f>
        <v>43973</v>
      </c>
      <c r="I1015" s="98">
        <f ca="1"/>
        <v>-4.8551570381211357E-4</v>
      </c>
      <c r="J1015" s="94" t="s">
        <v>4</v>
      </c>
      <c r="K1015" s="100">
        <f ca="1">_xll.meDateFromTenor(K1014,"1D","FOLLOWING",L$12)</f>
        <v>43943</v>
      </c>
      <c r="L1015" s="13">
        <f ca="1">_xll.meDateFromTenor(K1015,L$14,L$11,L$12)</f>
        <v>44034</v>
      </c>
      <c r="M1015" s="98">
        <f ca="1"/>
        <v>7.1290955203691094E-4</v>
      </c>
      <c r="N1015" s="5" t="s">
        <v>4</v>
      </c>
      <c r="O1015" s="100">
        <f ca="1">_xll.meDateFromTenor(O1014,"1D","FOLLOWING",P$12)</f>
        <v>43943</v>
      </c>
      <c r="P1015" s="13">
        <f ca="1">_xll.meDateFromTenor(O1015,P$14,P$11,P$12)</f>
        <v>44126</v>
      </c>
      <c r="Q1015" s="98">
        <f ca="1"/>
        <v>2.6254682875020189E-3</v>
      </c>
      <c r="R1015" s="5" t="s">
        <v>4</v>
      </c>
      <c r="S1015" s="100">
        <f ca="1">_xll.meDateFromTenor(S1014,"1D","FOLLOWING",T$12)</f>
        <v>43943</v>
      </c>
      <c r="T1015" s="13">
        <f ca="1">_xll.meDateFromTenor(S1015,T$14,T$11,T$12)</f>
        <v>44308</v>
      </c>
      <c r="U1015" s="98">
        <f ca="1"/>
        <v>4.6004760061118298E-3</v>
      </c>
      <c r="V1015" s="5" t="s">
        <v>4</v>
      </c>
      <c r="W1015" s="84" t="s">
        <v>4</v>
      </c>
    </row>
    <row r="1016" spans="1:23" x14ac:dyDescent="0.25">
      <c r="A1016" s="90">
        <v>997</v>
      </c>
      <c r="B1016" s="83"/>
      <c r="C1016" s="100">
        <f ca="1">_xll.meDateFromTenor(C1015,"1D","FOLLOWING",D$12)</f>
        <v>43944</v>
      </c>
      <c r="D1016" s="13">
        <f ca="1">_xll.meDateFromTenor(C1016,D$14,D$11,D$12)</f>
        <v>43945</v>
      </c>
      <c r="E1016" s="98">
        <f ca="1"/>
        <v>-1.5824110999540565E-3</v>
      </c>
      <c r="F1016" s="94"/>
      <c r="G1016" s="100">
        <f ca="1">_xll.meDateFromTenor(G1015,"1D","FOLLOWING",H$12)</f>
        <v>43944</v>
      </c>
      <c r="H1016" s="13">
        <f ca="1">_xll.meDateFromTenor(G1016,H$14,H$11,H$12)</f>
        <v>43976</v>
      </c>
      <c r="I1016" s="98">
        <f ca="1"/>
        <v>-4.7933484859846156E-4</v>
      </c>
      <c r="J1016" s="94" t="s">
        <v>4</v>
      </c>
      <c r="K1016" s="100">
        <f ca="1">_xll.meDateFromTenor(K1015,"1D","FOLLOWING",L$12)</f>
        <v>43944</v>
      </c>
      <c r="L1016" s="13">
        <f ca="1">_xll.meDateFromTenor(K1016,L$14,L$11,L$12)</f>
        <v>44035</v>
      </c>
      <c r="M1016" s="98">
        <f ca="1"/>
        <v>7.1927397146205889E-4</v>
      </c>
      <c r="N1016" s="5" t="s">
        <v>4</v>
      </c>
      <c r="O1016" s="100">
        <f ca="1">_xll.meDateFromTenor(O1015,"1D","FOLLOWING",P$12)</f>
        <v>43944</v>
      </c>
      <c r="P1016" s="13">
        <f ca="1">_xll.meDateFromTenor(O1016,P$14,P$11,P$12)</f>
        <v>44127</v>
      </c>
      <c r="Q1016" s="98">
        <f ca="1"/>
        <v>2.6315166981649221E-3</v>
      </c>
      <c r="R1016" s="5" t="s">
        <v>4</v>
      </c>
      <c r="S1016" s="100">
        <f ca="1">_xll.meDateFromTenor(S1015,"1D","FOLLOWING",T$12)</f>
        <v>43944</v>
      </c>
      <c r="T1016" s="13">
        <f ca="1">_xll.meDateFromTenor(S1016,T$14,T$11,T$12)</f>
        <v>44309</v>
      </c>
      <c r="U1016" s="98">
        <f ca="1"/>
        <v>4.6065064292125629E-3</v>
      </c>
      <c r="V1016" s="5" t="s">
        <v>4</v>
      </c>
      <c r="W1016" s="84" t="s">
        <v>4</v>
      </c>
    </row>
    <row r="1017" spans="1:23" x14ac:dyDescent="0.25">
      <c r="A1017" s="90">
        <v>998</v>
      </c>
      <c r="B1017" s="83"/>
      <c r="C1017" s="100">
        <f ca="1">_xll.meDateFromTenor(C1016,"1D","FOLLOWING",D$12)</f>
        <v>43945</v>
      </c>
      <c r="D1017" s="13">
        <f ca="1">_xll.meDateFromTenor(C1017,D$14,D$11,D$12)</f>
        <v>43948</v>
      </c>
      <c r="E1017" s="98">
        <f ca="1"/>
        <v>-1.570556407046736E-3</v>
      </c>
      <c r="F1017" s="94"/>
      <c r="G1017" s="100">
        <f ca="1">_xll.meDateFromTenor(G1016,"1D","FOLLOWING",H$12)</f>
        <v>43945</v>
      </c>
      <c r="H1017" s="13">
        <f ca="1">_xll.meDateFromTenor(G1017,H$14,H$11,H$12)</f>
        <v>43976</v>
      </c>
      <c r="I1017" s="98">
        <f ca="1"/>
        <v>-4.7313847430872062E-4</v>
      </c>
      <c r="J1017" s="94" t="s">
        <v>4</v>
      </c>
      <c r="K1017" s="100">
        <f ca="1">_xll.meDateFromTenor(K1016,"1D","FOLLOWING",L$12)</f>
        <v>43945</v>
      </c>
      <c r="L1017" s="13">
        <f ca="1">_xll.meDateFromTenor(K1017,L$14,L$11,L$12)</f>
        <v>44036</v>
      </c>
      <c r="M1017" s="98">
        <f ca="1"/>
        <v>7.2564438978423278E-4</v>
      </c>
      <c r="N1017" s="5" t="s">
        <v>4</v>
      </c>
      <c r="O1017" s="100">
        <f ca="1">_xll.meDateFromTenor(O1016,"1D","FOLLOWING",P$12)</f>
        <v>43945</v>
      </c>
      <c r="P1017" s="13">
        <f ca="1">_xll.meDateFromTenor(O1017,P$14,P$11,P$12)</f>
        <v>44130</v>
      </c>
      <c r="Q1017" s="98">
        <f ca="1"/>
        <v>2.6375679661470048E-3</v>
      </c>
      <c r="R1017" s="5" t="s">
        <v>4</v>
      </c>
      <c r="S1017" s="100">
        <f ca="1">_xll.meDateFromTenor(S1016,"1D","FOLLOWING",T$12)</f>
        <v>43945</v>
      </c>
      <c r="T1017" s="13">
        <f ca="1">_xll.meDateFromTenor(S1017,T$14,T$11,T$12)</f>
        <v>44312</v>
      </c>
      <c r="U1017" s="98">
        <f ca="1"/>
        <v>4.612541902317282E-3</v>
      </c>
      <c r="V1017" s="5" t="s">
        <v>4</v>
      </c>
      <c r="W1017" s="84" t="s">
        <v>4</v>
      </c>
    </row>
    <row r="1018" spans="1:23" x14ac:dyDescent="0.25">
      <c r="A1018" s="90">
        <v>999</v>
      </c>
      <c r="B1018" s="83"/>
      <c r="C1018" s="100">
        <f ca="1">_xll.meDateFromTenor(C1017,"1D","FOLLOWING",D$12)</f>
        <v>43948</v>
      </c>
      <c r="D1018" s="13">
        <f ca="1">_xll.meDateFromTenor(C1018,D$14,D$11,D$12)</f>
        <v>43949</v>
      </c>
      <c r="E1018" s="98">
        <f ca="1"/>
        <v>-1.5584813930180686E-3</v>
      </c>
      <c r="F1018" s="94"/>
      <c r="G1018" s="100">
        <f ca="1">_xll.meDateFromTenor(G1017,"1D","FOLLOWING",H$12)</f>
        <v>43948</v>
      </c>
      <c r="H1018" s="13">
        <f ca="1">_xll.meDateFromTenor(G1018,H$14,H$11,H$12)</f>
        <v>43978</v>
      </c>
      <c r="I1018" s="98">
        <f ca="1"/>
        <v>-4.544417449383896E-4</v>
      </c>
      <c r="J1018" s="94" t="s">
        <v>4</v>
      </c>
      <c r="K1018" s="100">
        <f ca="1">_xll.meDateFromTenor(K1017,"1D","FOLLOWING",L$12)</f>
        <v>43948</v>
      </c>
      <c r="L1018" s="13">
        <f ca="1">_xll.meDateFromTenor(K1018,L$14,L$11,L$12)</f>
        <v>44039</v>
      </c>
      <c r="M1018" s="98">
        <f ca="1"/>
        <v>7.4479075141452408E-4</v>
      </c>
      <c r="N1018" s="5" t="s">
        <v>4</v>
      </c>
      <c r="O1018" s="100">
        <f ca="1">_xll.meDateFromTenor(O1017,"1D","FOLLOWING",P$12)</f>
        <v>43948</v>
      </c>
      <c r="P1018" s="13">
        <f ca="1">_xll.meDateFromTenor(O1018,P$14,P$11,P$12)</f>
        <v>44131</v>
      </c>
      <c r="Q1018" s="98">
        <f ca="1"/>
        <v>2.6557391337263345E-3</v>
      </c>
      <c r="R1018" s="5" t="s">
        <v>4</v>
      </c>
      <c r="S1018" s="100">
        <f ca="1">_xll.meDateFromTenor(S1017,"1D","FOLLOWING",T$12)</f>
        <v>43948</v>
      </c>
      <c r="T1018" s="13">
        <f ca="1">_xll.meDateFromTenor(S1018,T$14,T$11,T$12)</f>
        <v>44313</v>
      </c>
      <c r="U1018" s="98">
        <f ca="1"/>
        <v>4.6306788520496835E-3</v>
      </c>
      <c r="V1018" s="5" t="s">
        <v>4</v>
      </c>
      <c r="W1018" s="84" t="s">
        <v>4</v>
      </c>
    </row>
    <row r="1019" spans="1:23" x14ac:dyDescent="0.25">
      <c r="A1019" s="90">
        <v>1000</v>
      </c>
      <c r="B1019" s="83"/>
      <c r="C1019" s="100">
        <f ca="1">_xll.meDateFromTenor(C1018,"1D","FOLLOWING",D$12)</f>
        <v>43949</v>
      </c>
      <c r="D1019" s="13">
        <f ca="1">_xll.meDateFromTenor(C1019,D$14,D$11,D$12)</f>
        <v>43950</v>
      </c>
      <c r="E1019" s="98">
        <f ca="1"/>
        <v>-1.5523234499426107E-3</v>
      </c>
      <c r="F1019" s="94"/>
      <c r="G1019" s="100">
        <f ca="1">_xll.meDateFromTenor(G1018,"1D","FOLLOWING",H$12)</f>
        <v>43949</v>
      </c>
      <c r="H1019" s="13">
        <f ca="1">_xll.meDateFromTenor(G1019,H$14,H$11,H$12)</f>
        <v>43979</v>
      </c>
      <c r="I1019" s="98">
        <f ca="1"/>
        <v>-4.4816880229972273E-4</v>
      </c>
      <c r="J1019" s="94" t="s">
        <v>4</v>
      </c>
      <c r="K1019" s="100">
        <f ca="1">_xll.meDateFromTenor(K1018,"1D","FOLLOWING",L$12)</f>
        <v>43949</v>
      </c>
      <c r="L1019" s="13">
        <f ca="1">_xll.meDateFromTenor(K1019,L$14,L$11,L$12)</f>
        <v>44040</v>
      </c>
      <c r="M1019" s="98">
        <f ca="1"/>
        <v>7.5118427860641139E-4</v>
      </c>
      <c r="N1019" s="5" t="s">
        <v>4</v>
      </c>
      <c r="O1019" s="100">
        <f ca="1">_xll.meDateFromTenor(O1018,"1D","FOLLOWING",P$12)</f>
        <v>43949</v>
      </c>
      <c r="P1019" s="13">
        <f ca="1">_xll.meDateFromTenor(O1019,P$14,P$11,P$12)</f>
        <v>44132</v>
      </c>
      <c r="Q1019" s="98">
        <f ca="1"/>
        <v>2.6618020507031383E-3</v>
      </c>
      <c r="R1019" s="5" t="s">
        <v>4</v>
      </c>
      <c r="S1019" s="100">
        <f ca="1">_xll.meDateFromTenor(S1018,"1D","FOLLOWING",T$12)</f>
        <v>43949</v>
      </c>
      <c r="T1019" s="13">
        <f ca="1">_xll.meDateFromTenor(S1019,T$14,T$11,T$12)</f>
        <v>44314</v>
      </c>
      <c r="U1019" s="98">
        <f ca="1"/>
        <v>4.6367347555646759E-3</v>
      </c>
      <c r="V1019" s="5" t="s">
        <v>4</v>
      </c>
      <c r="W1019" s="84" t="s">
        <v>4</v>
      </c>
    </row>
    <row r="1020" spans="1:23" x14ac:dyDescent="0.25">
      <c r="A1020" s="90">
        <v>1001</v>
      </c>
      <c r="B1020" s="83"/>
      <c r="C1020" s="100">
        <f ca="1">_xll.meDateFromTenor(C1019,"1D","FOLLOWING",D$12)</f>
        <v>43950</v>
      </c>
      <c r="D1020" s="13">
        <f ca="1">_xll.meDateFromTenor(C1020,D$14,D$11,D$12)</f>
        <v>43951</v>
      </c>
      <c r="E1020" s="98">
        <f ca="1"/>
        <v>-1.5460953021051492E-3</v>
      </c>
      <c r="F1020" s="94"/>
      <c r="G1020" s="100">
        <f ca="1">_xll.meDateFromTenor(G1019,"1D","FOLLOWING",H$12)</f>
        <v>43950</v>
      </c>
      <c r="H1020" s="13">
        <f ca="1">_xll.meDateFromTenor(G1020,H$14,H$11,H$12)</f>
        <v>43980</v>
      </c>
      <c r="I1020" s="98">
        <f ca="1"/>
        <v>-4.4187309456268436E-4</v>
      </c>
      <c r="J1020" s="94" t="s">
        <v>4</v>
      </c>
      <c r="K1020" s="100">
        <f ca="1">_xll.meDateFromTenor(K1019,"1D","FOLLOWING",L$12)</f>
        <v>43950</v>
      </c>
      <c r="L1020" s="13">
        <f ca="1">_xll.meDateFromTenor(K1020,L$14,L$11,L$12)</f>
        <v>44041</v>
      </c>
      <c r="M1020" s="98">
        <f ca="1"/>
        <v>7.5758336133612686E-4</v>
      </c>
      <c r="N1020" s="5" t="s">
        <v>4</v>
      </c>
      <c r="O1020" s="100">
        <f ca="1">_xll.meDateFromTenor(O1019,"1D","FOLLOWING",P$12)</f>
        <v>43950</v>
      </c>
      <c r="P1020" s="13">
        <f ca="1">_xll.meDateFromTenor(O1020,P$14,P$11,P$12)</f>
        <v>44133</v>
      </c>
      <c r="Q1020" s="98">
        <f ca="1"/>
        <v>2.6678679348581206E-3</v>
      </c>
      <c r="R1020" s="5" t="s">
        <v>4</v>
      </c>
      <c r="S1020" s="100">
        <f ca="1">_xll.meDateFromTenor(S1019,"1D","FOLLOWING",T$12)</f>
        <v>43950</v>
      </c>
      <c r="T1020" s="13">
        <f ca="1">_xll.meDateFromTenor(S1020,T$14,T$11,T$12)</f>
        <v>44315</v>
      </c>
      <c r="U1020" s="98">
        <f ca="1"/>
        <v>4.6427958242808206E-3</v>
      </c>
      <c r="V1020" s="5" t="s">
        <v>4</v>
      </c>
      <c r="W1020" s="84" t="s">
        <v>4</v>
      </c>
    </row>
    <row r="1021" spans="1:23" x14ac:dyDescent="0.25">
      <c r="A1021" s="90">
        <v>1002</v>
      </c>
      <c r="B1021" s="83"/>
      <c r="C1021" s="100">
        <f ca="1">_xll.meDateFromTenor(C1020,"1D","FOLLOWING",D$12)</f>
        <v>43951</v>
      </c>
      <c r="D1021" s="13">
        <f ca="1">_xll.meDateFromTenor(C1021,D$14,D$11,D$12)</f>
        <v>43955</v>
      </c>
      <c r="E1021" s="98">
        <f ca="1"/>
        <v>-1.530164160489239E-3</v>
      </c>
      <c r="F1021" s="94"/>
      <c r="G1021" s="100">
        <f ca="1">_xll.meDateFromTenor(G1020,"1D","FOLLOWING",H$12)</f>
        <v>43951</v>
      </c>
      <c r="H1021" s="13">
        <f ca="1">_xll.meDateFromTenor(G1021,H$14,H$11,H$12)</f>
        <v>43980</v>
      </c>
      <c r="I1021" s="98">
        <f ca="1"/>
        <v>-4.3555317252281606E-4</v>
      </c>
      <c r="J1021" s="94" t="s">
        <v>4</v>
      </c>
      <c r="K1021" s="100">
        <f ca="1">_xll.meDateFromTenor(K1020,"1D","FOLLOWING",L$12)</f>
        <v>43951</v>
      </c>
      <c r="L1021" s="13">
        <f ca="1">_xll.meDateFromTenor(K1021,L$14,L$11,L$12)</f>
        <v>44042</v>
      </c>
      <c r="M1021" s="98">
        <f ca="1"/>
        <v>7.6398791093183294E-4</v>
      </c>
      <c r="N1021" s="5" t="s">
        <v>4</v>
      </c>
      <c r="O1021" s="100">
        <f ca="1">_xll.meDateFromTenor(O1020,"1D","FOLLOWING",P$12)</f>
        <v>43951</v>
      </c>
      <c r="P1021" s="13">
        <f ca="1">_xll.meDateFromTenor(O1021,P$14,P$11,P$12)</f>
        <v>44134</v>
      </c>
      <c r="Q1021" s="98">
        <f ca="1"/>
        <v>2.673936808163086E-3</v>
      </c>
      <c r="R1021" s="5" t="s">
        <v>4</v>
      </c>
      <c r="S1021" s="100">
        <f ca="1">_xll.meDateFromTenor(S1020,"1D","FOLLOWING",T$12)</f>
        <v>43951</v>
      </c>
      <c r="T1021" s="13">
        <f ca="1">_xll.meDateFromTenor(S1021,T$14,T$11,T$12)</f>
        <v>44316</v>
      </c>
      <c r="U1021" s="98">
        <f ca="1"/>
        <v>4.6488620812375498E-3</v>
      </c>
      <c r="V1021" s="5" t="s">
        <v>4</v>
      </c>
      <c r="W1021" s="84" t="s">
        <v>4</v>
      </c>
    </row>
    <row r="1022" spans="1:23" x14ac:dyDescent="0.25">
      <c r="A1022" s="90">
        <v>1003</v>
      </c>
      <c r="B1022" s="83"/>
      <c r="C1022" s="100">
        <f ca="1">_xll.meDateFromTenor(C1021,"1D","FOLLOWING",D$12)</f>
        <v>43955</v>
      </c>
      <c r="D1022" s="13">
        <f ca="1">_xll.meDateFromTenor(C1022,D$14,D$11,D$12)</f>
        <v>43956</v>
      </c>
      <c r="E1022" s="98">
        <f ca="1"/>
        <v>-1.5139015219034545E-3</v>
      </c>
      <c r="F1022" s="94"/>
      <c r="G1022" s="100">
        <f ca="1">_xll.meDateFromTenor(G1021,"1D","FOLLOWING",H$12)</f>
        <v>43955</v>
      </c>
      <c r="H1022" s="13">
        <f ca="1">_xll.meDateFromTenor(G1022,H$14,H$11,H$12)</f>
        <v>43986</v>
      </c>
      <c r="I1022" s="98">
        <f ca="1"/>
        <v>-4.1000235724592438E-4</v>
      </c>
      <c r="J1022" s="94" t="s">
        <v>4</v>
      </c>
      <c r="K1022" s="100">
        <f ca="1">_xll.meDateFromTenor(K1021,"1D","FOLLOWING",L$12)</f>
        <v>43955</v>
      </c>
      <c r="L1022" s="13">
        <f ca="1">_xll.meDateFromTenor(K1022,L$14,L$11,L$12)</f>
        <v>44047</v>
      </c>
      <c r="M1022" s="98">
        <f ca="1"/>
        <v>7.8965900453776075E-4</v>
      </c>
      <c r="N1022" s="5" t="s">
        <v>4</v>
      </c>
      <c r="O1022" s="100">
        <f ca="1">_xll.meDateFromTenor(O1021,"1D","FOLLOWING",P$12)</f>
        <v>43955</v>
      </c>
      <c r="P1022" s="13">
        <f ca="1">_xll.meDateFromTenor(O1022,P$14,P$11,P$12)</f>
        <v>44139</v>
      </c>
      <c r="Q1022" s="98">
        <f ca="1"/>
        <v>2.6982426323187542E-3</v>
      </c>
      <c r="R1022" s="5" t="s">
        <v>4</v>
      </c>
      <c r="S1022" s="100">
        <f ca="1">_xll.meDateFromTenor(S1021,"1D","FOLLOWING",T$12)</f>
        <v>43955</v>
      </c>
      <c r="T1022" s="13">
        <f ca="1">_xll.meDateFromTenor(S1022,T$14,T$11,T$12)</f>
        <v>44320</v>
      </c>
      <c r="U1022" s="98">
        <f ca="1"/>
        <v>4.6731794522589789E-3</v>
      </c>
      <c r="V1022" s="5" t="s">
        <v>4</v>
      </c>
      <c r="W1022" s="84" t="s">
        <v>4</v>
      </c>
    </row>
    <row r="1023" spans="1:23" x14ac:dyDescent="0.25">
      <c r="A1023" s="90">
        <v>1004</v>
      </c>
      <c r="B1023" s="83"/>
      <c r="C1023" s="100">
        <f ca="1">_xll.meDateFromTenor(C1022,"1D","FOLLOWING",D$12)</f>
        <v>43956</v>
      </c>
      <c r="D1023" s="13">
        <f ca="1">_xll.meDateFromTenor(C1023,D$14,D$11,D$12)</f>
        <v>43957</v>
      </c>
      <c r="E1023" s="98">
        <f ca="1"/>
        <v>-1.5072521638792634E-3</v>
      </c>
      <c r="F1023" s="94"/>
      <c r="G1023" s="100">
        <f ca="1">_xll.meDateFromTenor(G1022,"1D","FOLLOWING",H$12)</f>
        <v>43956</v>
      </c>
      <c r="H1023" s="13">
        <f ca="1">_xll.meDateFromTenor(G1023,H$14,H$11,H$12)</f>
        <v>43987</v>
      </c>
      <c r="I1023" s="98">
        <f ca="1"/>
        <v>-4.0353999953145474E-4</v>
      </c>
      <c r="J1023" s="94" t="s">
        <v>4</v>
      </c>
      <c r="K1023" s="100">
        <f ca="1">_xll.meDateFromTenor(K1022,"1D","FOLLOWING",L$12)</f>
        <v>43956</v>
      </c>
      <c r="L1023" s="13">
        <f ca="1">_xll.meDateFromTenor(K1023,L$14,L$11,L$12)</f>
        <v>44048</v>
      </c>
      <c r="M1023" s="98">
        <f ca="1"/>
        <v>7.9608955838582124E-4</v>
      </c>
      <c r="N1023" s="5" t="s">
        <v>4</v>
      </c>
      <c r="O1023" s="100">
        <f ca="1">_xll.meDateFromTenor(O1022,"1D","FOLLOWING",P$12)</f>
        <v>43956</v>
      </c>
      <c r="P1023" s="13">
        <f ca="1">_xll.meDateFromTenor(O1023,P$14,P$11,P$12)</f>
        <v>44140</v>
      </c>
      <c r="Q1023" s="98">
        <f ca="1"/>
        <v>2.7043267809506244E-3</v>
      </c>
      <c r="R1023" s="5" t="s">
        <v>4</v>
      </c>
      <c r="S1023" s="100">
        <f ca="1">_xll.meDateFromTenor(S1022,"1D","FOLLOWING",T$12)</f>
        <v>43956</v>
      </c>
      <c r="T1023" s="13">
        <f ca="1">_xll.meDateFromTenor(S1023,T$14,T$11,T$12)</f>
        <v>44321</v>
      </c>
      <c r="U1023" s="98">
        <f ca="1"/>
        <v>4.6792719960101325E-3</v>
      </c>
      <c r="V1023" s="5" t="s">
        <v>4</v>
      </c>
      <c r="W1023" s="84" t="s">
        <v>4</v>
      </c>
    </row>
    <row r="1024" spans="1:23" x14ac:dyDescent="0.25">
      <c r="A1024" s="90">
        <v>1005</v>
      </c>
      <c r="B1024" s="83"/>
      <c r="C1024" s="100">
        <f ca="1">_xll.meDateFromTenor(C1023,"1D","FOLLOWING",D$12)</f>
        <v>43957</v>
      </c>
      <c r="D1024" s="13">
        <f ca="1">_xll.meDateFromTenor(C1024,D$14,D$11,D$12)</f>
        <v>43958</v>
      </c>
      <c r="E1024" s="98">
        <f ca="1"/>
        <v>-1.5005326066086565E-3</v>
      </c>
      <c r="F1024" s="94"/>
      <c r="G1024" s="100">
        <f ca="1">_xll.meDateFromTenor(G1023,"1D","FOLLOWING",H$12)</f>
        <v>43957</v>
      </c>
      <c r="H1024" s="13">
        <f ca="1">_xll.meDateFromTenor(G1024,H$14,H$11,H$12)</f>
        <v>43990</v>
      </c>
      <c r="I1024" s="98">
        <f ca="1"/>
        <v>-3.9704697572576258E-4</v>
      </c>
      <c r="J1024" s="94" t="s">
        <v>4</v>
      </c>
      <c r="K1024" s="100">
        <f ca="1">_xll.meDateFromTenor(K1023,"1D","FOLLOWING",L$12)</f>
        <v>43957</v>
      </c>
      <c r="L1024" s="13">
        <f ca="1">_xll.meDateFromTenor(K1024,L$14,L$11,L$12)</f>
        <v>44049</v>
      </c>
      <c r="M1024" s="98">
        <f ca="1"/>
        <v>8.0252504706883397E-4</v>
      </c>
      <c r="N1024" s="5" t="s">
        <v>4</v>
      </c>
      <c r="O1024" s="100">
        <f ca="1">_xll.meDateFromTenor(O1023,"1D","FOLLOWING",P$12)</f>
        <v>43957</v>
      </c>
      <c r="P1024" s="13">
        <f ca="1">_xll.meDateFromTenor(O1024,P$14,P$11,P$12)</f>
        <v>44141</v>
      </c>
      <c r="Q1024" s="98">
        <f ca="1"/>
        <v>2.7104140505632766E-3</v>
      </c>
      <c r="R1024" s="5" t="s">
        <v>4</v>
      </c>
      <c r="S1024" s="100">
        <f ca="1">_xll.meDateFromTenor(S1023,"1D","FOLLOWING",T$12)</f>
        <v>43957</v>
      </c>
      <c r="T1024" s="13">
        <f ca="1">_xll.meDateFromTenor(S1024,T$14,T$11,T$12)</f>
        <v>44322</v>
      </c>
      <c r="U1024" s="98">
        <f ca="1"/>
        <v>4.685369866238469E-3</v>
      </c>
      <c r="V1024" s="5" t="s">
        <v>4</v>
      </c>
      <c r="W1024" s="84" t="s">
        <v>4</v>
      </c>
    </row>
    <row r="1025" spans="1:23" x14ac:dyDescent="0.25">
      <c r="A1025" s="90">
        <v>1006</v>
      </c>
      <c r="B1025" s="83"/>
      <c r="C1025" s="100">
        <f ca="1">_xll.meDateFromTenor(C1024,"1D","FOLLOWING",D$12)</f>
        <v>43958</v>
      </c>
      <c r="D1025" s="13">
        <f ca="1">_xll.meDateFromTenor(C1025,D$14,D$11,D$12)</f>
        <v>43959</v>
      </c>
      <c r="E1025" s="98">
        <f ca="1"/>
        <v>-1.4937428515304826E-3</v>
      </c>
      <c r="F1025" s="94"/>
      <c r="G1025" s="100">
        <f ca="1">_xll.meDateFromTenor(G1024,"1D","FOLLOWING",H$12)</f>
        <v>43958</v>
      </c>
      <c r="H1025" s="13">
        <f ca="1">_xll.meDateFromTenor(G1025,H$14,H$11,H$12)</f>
        <v>43990</v>
      </c>
      <c r="I1025" s="98">
        <f ca="1"/>
        <v>-3.9052408006273753E-4</v>
      </c>
      <c r="J1025" s="94" t="s">
        <v>4</v>
      </c>
      <c r="K1025" s="100">
        <f ca="1">_xll.meDateFromTenor(K1024,"1D","FOLLOWING",L$12)</f>
        <v>43958</v>
      </c>
      <c r="L1025" s="13">
        <f ca="1">_xll.meDateFromTenor(K1025,L$14,L$11,L$12)</f>
        <v>44050</v>
      </c>
      <c r="M1025" s="98">
        <f ca="1"/>
        <v>8.0896538191495835E-4</v>
      </c>
      <c r="N1025" s="5" t="s">
        <v>4</v>
      </c>
      <c r="O1025" s="100">
        <f ca="1">_xll.meDateFromTenor(O1024,"1D","FOLLOWING",P$12)</f>
        <v>43958</v>
      </c>
      <c r="P1025" s="13">
        <f ca="1">_xll.meDateFromTenor(O1025,P$14,P$11,P$12)</f>
        <v>44144</v>
      </c>
      <c r="Q1025" s="98">
        <f ca="1"/>
        <v>2.7165044631285093E-3</v>
      </c>
      <c r="R1025" s="5" t="s">
        <v>4</v>
      </c>
      <c r="S1025" s="100">
        <f ca="1">_xll.meDateFromTenor(S1024,"1D","FOLLOWING",T$12)</f>
        <v>43958</v>
      </c>
      <c r="T1025" s="13">
        <f ca="1">_xll.meDateFromTenor(S1025,T$14,T$11,T$12)</f>
        <v>44323</v>
      </c>
      <c r="U1025" s="98">
        <f ca="1"/>
        <v>4.6914730859834216E-3</v>
      </c>
      <c r="V1025" s="5" t="s">
        <v>4</v>
      </c>
      <c r="W1025" s="84" t="s">
        <v>4</v>
      </c>
    </row>
    <row r="1026" spans="1:23" x14ac:dyDescent="0.25">
      <c r="A1026" s="90">
        <v>1007</v>
      </c>
      <c r="B1026" s="83"/>
      <c r="C1026" s="100">
        <f ca="1">_xll.meDateFromTenor(C1025,"1D","FOLLOWING",D$12)</f>
        <v>43959</v>
      </c>
      <c r="D1026" s="13">
        <f ca="1">_xll.meDateFromTenor(C1026,D$14,D$11,D$12)</f>
        <v>43962</v>
      </c>
      <c r="E1026" s="98">
        <f ca="1"/>
        <v>-1.4799232678130256E-3</v>
      </c>
      <c r="F1026" s="94"/>
      <c r="G1026" s="100">
        <f ca="1">_xll.meDateFromTenor(G1025,"1D","FOLLOWING",H$12)</f>
        <v>43959</v>
      </c>
      <c r="H1026" s="13">
        <f ca="1">_xll.meDateFromTenor(G1026,H$14,H$11,H$12)</f>
        <v>43990</v>
      </c>
      <c r="I1026" s="98">
        <f ca="1"/>
        <v>-3.8397210677626638E-4</v>
      </c>
      <c r="J1026" s="94" t="s">
        <v>4</v>
      </c>
      <c r="K1026" s="100">
        <f ca="1">_xll.meDateFromTenor(K1025,"1D","FOLLOWING",L$12)</f>
        <v>43959</v>
      </c>
      <c r="L1026" s="13">
        <f ca="1">_xll.meDateFromTenor(K1026,L$14,L$11,L$12)</f>
        <v>44053</v>
      </c>
      <c r="M1026" s="98">
        <f ca="1"/>
        <v>8.1541047425235703E-4</v>
      </c>
      <c r="N1026" s="5" t="s">
        <v>4</v>
      </c>
      <c r="O1026" s="100">
        <f ca="1">_xll.meDateFromTenor(O1025,"1D","FOLLOWING",P$12)</f>
        <v>43959</v>
      </c>
      <c r="P1026" s="13">
        <f ca="1">_xll.meDateFromTenor(O1026,P$14,P$11,P$12)</f>
        <v>44144</v>
      </c>
      <c r="Q1026" s="98">
        <f ca="1"/>
        <v>2.7225980406181244E-3</v>
      </c>
      <c r="R1026" s="5" t="s">
        <v>4</v>
      </c>
      <c r="S1026" s="100">
        <f ca="1">_xll.meDateFromTenor(S1025,"1D","FOLLOWING",T$12)</f>
        <v>43959</v>
      </c>
      <c r="T1026" s="13">
        <f ca="1">_xll.meDateFromTenor(S1026,T$14,T$11,T$12)</f>
        <v>44326</v>
      </c>
      <c r="U1026" s="98">
        <f ca="1"/>
        <v>4.6975816782844253E-3</v>
      </c>
      <c r="V1026" s="5" t="s">
        <v>4</v>
      </c>
      <c r="W1026" s="84" t="s">
        <v>4</v>
      </c>
    </row>
    <row r="1027" spans="1:23" x14ac:dyDescent="0.25">
      <c r="A1027" s="90">
        <v>1008</v>
      </c>
      <c r="B1027" s="83"/>
      <c r="C1027" s="100">
        <f ca="1">_xll.meDateFromTenor(C1026,"1D","FOLLOWING",D$12)</f>
        <v>43962</v>
      </c>
      <c r="D1027" s="13">
        <f ca="1">_xll.meDateFromTenor(C1027,D$14,D$11,D$12)</f>
        <v>43963</v>
      </c>
      <c r="E1027" s="98">
        <f ca="1"/>
        <v>-1.4658818659720916E-3</v>
      </c>
      <c r="F1027" s="94"/>
      <c r="G1027" s="100">
        <f ca="1">_xll.meDateFromTenor(G1026,"1D","FOLLOWING",H$12)</f>
        <v>43962</v>
      </c>
      <c r="H1027" s="13">
        <f ca="1">_xll.meDateFromTenor(G1027,H$14,H$11,H$12)</f>
        <v>43993</v>
      </c>
      <c r="I1027" s="98">
        <f ca="1"/>
        <v>-3.6414966351507131E-4</v>
      </c>
      <c r="J1027" s="94" t="s">
        <v>4</v>
      </c>
      <c r="K1027" s="100">
        <f ca="1">_xll.meDateFromTenor(K1026,"1D","FOLLOWING",L$12)</f>
        <v>43962</v>
      </c>
      <c r="L1027" s="13">
        <f ca="1">_xll.meDateFromTenor(K1027,L$14,L$11,L$12)</f>
        <v>44054</v>
      </c>
      <c r="M1027" s="98">
        <f ca="1"/>
        <v>8.3477340949379426E-4</v>
      </c>
      <c r="N1027" s="5" t="s">
        <v>4</v>
      </c>
      <c r="O1027" s="100">
        <f ca="1">_xll.meDateFromTenor(O1026,"1D","FOLLOWING",P$12)</f>
        <v>43962</v>
      </c>
      <c r="P1027" s="13">
        <f ca="1">_xll.meDateFromTenor(O1027,P$14,P$11,P$12)</f>
        <v>44146</v>
      </c>
      <c r="Q1027" s="98">
        <f ca="1"/>
        <v>2.7408979823512637E-3</v>
      </c>
      <c r="R1027" s="5" t="s">
        <v>4</v>
      </c>
      <c r="S1027" s="100">
        <f ca="1">_xll.meDateFromTenor(S1026,"1D","FOLLOWING",T$12)</f>
        <v>43962</v>
      </c>
      <c r="T1027" s="13">
        <f ca="1">_xll.meDateFromTenor(S1027,T$14,T$11,T$12)</f>
        <v>44327</v>
      </c>
      <c r="U1027" s="98">
        <f ca="1"/>
        <v>4.715939920918075E-3</v>
      </c>
      <c r="V1027" s="5" t="s">
        <v>4</v>
      </c>
      <c r="W1027" s="84" t="s">
        <v>4</v>
      </c>
    </row>
    <row r="1028" spans="1:23" x14ac:dyDescent="0.25">
      <c r="A1028" s="90">
        <v>1009</v>
      </c>
      <c r="B1028" s="83"/>
      <c r="C1028" s="100">
        <f ca="1">_xll.meDateFromTenor(C1027,"1D","FOLLOWING",D$12)</f>
        <v>43963</v>
      </c>
      <c r="D1028" s="13">
        <f ca="1">_xll.meDateFromTenor(C1028,D$14,D$11,D$12)</f>
        <v>43964</v>
      </c>
      <c r="E1028" s="98">
        <f ca="1"/>
        <v>-1.4587411318476235E-3</v>
      </c>
      <c r="F1028" s="94"/>
      <c r="G1028" s="100">
        <f ca="1">_xll.meDateFromTenor(G1027,"1D","FOLLOWING",H$12)</f>
        <v>43963</v>
      </c>
      <c r="H1028" s="13">
        <f ca="1">_xll.meDateFromTenor(G1028,H$14,H$11,H$12)</f>
        <v>43994</v>
      </c>
      <c r="I1028" s="98">
        <f ca="1"/>
        <v>-3.5748932207370761E-4</v>
      </c>
      <c r="J1028" s="94" t="s">
        <v>4</v>
      </c>
      <c r="K1028" s="100">
        <f ca="1">_xll.meDateFromTenor(K1027,"1D","FOLLOWING",L$12)</f>
        <v>43963</v>
      </c>
      <c r="L1028" s="13">
        <f ca="1">_xll.meDateFromTenor(K1028,L$14,L$11,L$12)</f>
        <v>44055</v>
      </c>
      <c r="M1028" s="98">
        <f ca="1"/>
        <v>8.4123664507788952E-4</v>
      </c>
      <c r="N1028" s="5" t="s">
        <v>4</v>
      </c>
      <c r="O1028" s="100">
        <f ca="1">_xll.meDateFromTenor(O1027,"1D","FOLLOWING",P$12)</f>
        <v>43963</v>
      </c>
      <c r="P1028" s="13">
        <f ca="1">_xll.meDateFromTenor(O1028,P$14,P$11,P$12)</f>
        <v>44147</v>
      </c>
      <c r="Q1028" s="98">
        <f ca="1"/>
        <v>2.7470044392564081E-3</v>
      </c>
      <c r="R1028" s="5" t="s">
        <v>4</v>
      </c>
      <c r="S1028" s="100">
        <f ca="1">_xll.meDateFromTenor(S1027,"1D","FOLLOWING",T$12)</f>
        <v>43963</v>
      </c>
      <c r="T1028" s="13">
        <f ca="1">_xll.meDateFromTenor(S1028,T$14,T$11,T$12)</f>
        <v>44328</v>
      </c>
      <c r="U1028" s="98">
        <f ca="1"/>
        <v>4.7220702338376152E-3</v>
      </c>
      <c r="V1028" s="5" t="s">
        <v>4</v>
      </c>
      <c r="W1028" s="84" t="s">
        <v>4</v>
      </c>
    </row>
    <row r="1029" spans="1:23" x14ac:dyDescent="0.25">
      <c r="A1029" s="90">
        <v>1010</v>
      </c>
      <c r="B1029" s="83"/>
      <c r="C1029" s="100">
        <f ca="1">_xll.meDateFromTenor(C1028,"1D","FOLLOWING",D$12)</f>
        <v>43964</v>
      </c>
      <c r="D1029" s="13">
        <f ca="1">_xll.meDateFromTenor(C1029,D$14,D$11,D$12)</f>
        <v>43965</v>
      </c>
      <c r="E1029" s="98">
        <f ca="1"/>
        <v>-1.4515302045128449E-3</v>
      </c>
      <c r="F1029" s="94"/>
      <c r="G1029" s="100">
        <f ca="1">_xll.meDateFromTenor(G1028,"1D","FOLLOWING",H$12)</f>
        <v>43964</v>
      </c>
      <c r="H1029" s="13">
        <f ca="1">_xll.meDateFromTenor(G1029,H$14,H$11,H$12)</f>
        <v>43997</v>
      </c>
      <c r="I1029" s="98">
        <f ca="1"/>
        <v>-3.5080387417834382E-4</v>
      </c>
      <c r="J1029" s="94" t="s">
        <v>4</v>
      </c>
      <c r="K1029" s="100">
        <f ca="1">_xll.meDateFromTenor(K1028,"1D","FOLLOWING",L$12)</f>
        <v>43964</v>
      </c>
      <c r="L1029" s="13">
        <f ca="1">_xll.meDateFromTenor(K1029,L$14,L$11,L$12)</f>
        <v>44056</v>
      </c>
      <c r="M1029" s="98">
        <f ca="1"/>
        <v>8.4770419479405894E-4</v>
      </c>
      <c r="N1029" s="5" t="s">
        <v>4</v>
      </c>
      <c r="O1029" s="100">
        <f ca="1">_xll.meDateFromTenor(O1028,"1D","FOLLOWING",P$12)</f>
        <v>43964</v>
      </c>
      <c r="P1029" s="13">
        <f ca="1">_xll.meDateFromTenor(O1029,P$14,P$11,P$12)</f>
        <v>44148</v>
      </c>
      <c r="Q1029" s="98">
        <f ca="1"/>
        <v>2.7531141709449345E-3</v>
      </c>
      <c r="R1029" s="5" t="s">
        <v>4</v>
      </c>
      <c r="S1029" s="100">
        <f ca="1">_xll.meDateFromTenor(S1028,"1D","FOLLOWING",T$12)</f>
        <v>43964</v>
      </c>
      <c r="T1029" s="13">
        <f ca="1">_xll.meDateFromTenor(S1029,T$14,T$11,T$12)</f>
        <v>44329</v>
      </c>
      <c r="U1029" s="98">
        <f ca="1"/>
        <v>4.7282060345103707E-3</v>
      </c>
      <c r="V1029" s="5" t="s">
        <v>4</v>
      </c>
      <c r="W1029" s="84" t="s">
        <v>4</v>
      </c>
    </row>
    <row r="1030" spans="1:23" x14ac:dyDescent="0.25">
      <c r="A1030" s="90">
        <v>1011</v>
      </c>
      <c r="B1030" s="83"/>
      <c r="C1030" s="100">
        <f ca="1">_xll.meDateFromTenor(C1029,"1D","FOLLOWING",D$12)</f>
        <v>43965</v>
      </c>
      <c r="D1030" s="13">
        <f ca="1">_xll.meDateFromTenor(C1030,D$14,D$11,D$12)</f>
        <v>43966</v>
      </c>
      <c r="E1030" s="98">
        <f ca="1"/>
        <v>-1.4442490841257668E-3</v>
      </c>
      <c r="F1030" s="94"/>
      <c r="G1030" s="100">
        <f ca="1">_xll.meDateFromTenor(G1029,"1D","FOLLOWING",H$12)</f>
        <v>43965</v>
      </c>
      <c r="H1030" s="13">
        <f ca="1">_xll.meDateFromTenor(G1030,H$14,H$11,H$12)</f>
        <v>43997</v>
      </c>
      <c r="I1030" s="98">
        <f ca="1"/>
        <v>-3.4409411406286655E-4</v>
      </c>
      <c r="J1030" s="94" t="s">
        <v>4</v>
      </c>
      <c r="K1030" s="100">
        <f ca="1">_xll.meDateFromTenor(K1029,"1D","FOLLOWING",L$12)</f>
        <v>43965</v>
      </c>
      <c r="L1030" s="13">
        <f ca="1">_xll.meDateFromTenor(K1030,L$14,L$11,L$12)</f>
        <v>44057</v>
      </c>
      <c r="M1030" s="98">
        <f ca="1"/>
        <v>8.5417596997046505E-4</v>
      </c>
      <c r="N1030" s="5" t="s">
        <v>4</v>
      </c>
      <c r="O1030" s="100">
        <f ca="1">_xll.meDateFromTenor(O1029,"1D","FOLLOWING",P$12)</f>
        <v>43965</v>
      </c>
      <c r="P1030" s="13">
        <f ca="1">_xll.meDateFromTenor(O1030,P$14,P$11,P$12)</f>
        <v>44151</v>
      </c>
      <c r="Q1030" s="98">
        <f ca="1"/>
        <v>2.7592271993886449E-3</v>
      </c>
      <c r="R1030" s="5" t="s">
        <v>4</v>
      </c>
      <c r="S1030" s="100">
        <f ca="1">_xll.meDateFromTenor(S1029,"1D","FOLLOWING",T$12)</f>
        <v>43965</v>
      </c>
      <c r="T1030" s="13">
        <f ca="1">_xll.meDateFromTenor(S1030,T$14,T$11,T$12)</f>
        <v>44330</v>
      </c>
      <c r="U1030" s="98">
        <f ca="1"/>
        <v>4.7343473459757774E-3</v>
      </c>
      <c r="V1030" s="5" t="s">
        <v>4</v>
      </c>
      <c r="W1030" s="84" t="s">
        <v>4</v>
      </c>
    </row>
    <row r="1031" spans="1:23" x14ac:dyDescent="0.25">
      <c r="A1031" s="90">
        <v>1012</v>
      </c>
      <c r="B1031" s="83"/>
      <c r="C1031" s="100">
        <f ca="1">_xll.meDateFromTenor(C1030,"1D","FOLLOWING",D$12)</f>
        <v>43966</v>
      </c>
      <c r="D1031" s="13">
        <f ca="1">_xll.meDateFromTenor(C1031,D$14,D$11,D$12)</f>
        <v>43969</v>
      </c>
      <c r="E1031" s="98">
        <f ca="1"/>
        <v>-1.4294471946519596E-3</v>
      </c>
      <c r="F1031" s="94"/>
      <c r="G1031" s="100">
        <f ca="1">_xll.meDateFromTenor(G1030,"1D","FOLLOWING",H$12)</f>
        <v>43966</v>
      </c>
      <c r="H1031" s="13">
        <f ca="1">_xll.meDateFromTenor(G1031,H$14,H$11,H$12)</f>
        <v>43997</v>
      </c>
      <c r="I1031" s="98">
        <f ca="1"/>
        <v>-3.3736083596116562E-4</v>
      </c>
      <c r="J1031" s="94" t="s">
        <v>4</v>
      </c>
      <c r="K1031" s="100">
        <f ca="1">_xll.meDateFromTenor(K1030,"1D","FOLLOWING",L$12)</f>
        <v>43966</v>
      </c>
      <c r="L1031" s="13">
        <f ca="1">_xll.meDateFromTenor(K1031,L$14,L$11,L$12)</f>
        <v>44060</v>
      </c>
      <c r="M1031" s="98">
        <f ca="1"/>
        <v>8.6065188193526737E-4</v>
      </c>
      <c r="N1031" s="5" t="s">
        <v>4</v>
      </c>
      <c r="O1031" s="100">
        <f ca="1">_xll.meDateFromTenor(O1030,"1D","FOLLOWING",P$12)</f>
        <v>43966</v>
      </c>
      <c r="P1031" s="13">
        <f ca="1">_xll.meDateFromTenor(O1031,P$14,P$11,P$12)</f>
        <v>44151</v>
      </c>
      <c r="Q1031" s="98">
        <f ca="1"/>
        <v>2.7653435465593381E-3</v>
      </c>
      <c r="R1031" s="5" t="s">
        <v>4</v>
      </c>
      <c r="S1031" s="100">
        <f ca="1">_xll.meDateFromTenor(S1030,"1D","FOLLOWING",T$12)</f>
        <v>43966</v>
      </c>
      <c r="T1031" s="13">
        <f ca="1">_xll.meDateFromTenor(S1031,T$14,T$11,T$12)</f>
        <v>44333</v>
      </c>
      <c r="U1031" s="98">
        <f ca="1"/>
        <v>4.7404941912732677E-3</v>
      </c>
      <c r="V1031" s="5" t="s">
        <v>4</v>
      </c>
      <c r="W1031" s="84" t="s">
        <v>4</v>
      </c>
    </row>
    <row r="1032" spans="1:23" x14ac:dyDescent="0.25">
      <c r="A1032" s="90">
        <v>1013</v>
      </c>
      <c r="B1032" s="83"/>
      <c r="C1032" s="100">
        <f ca="1">_xll.meDateFromTenor(C1031,"1D","FOLLOWING",D$12)</f>
        <v>43969</v>
      </c>
      <c r="D1032" s="13">
        <f ca="1">_xll.meDateFromTenor(C1032,D$14,D$11,D$12)</f>
        <v>43970</v>
      </c>
      <c r="E1032" s="98">
        <f ca="1"/>
        <v>-1.4144226873733521E-3</v>
      </c>
      <c r="F1032" s="94"/>
      <c r="G1032" s="100">
        <f ca="1">_xll.meDateFromTenor(G1031,"1D","FOLLOWING",H$12)</f>
        <v>43969</v>
      </c>
      <c r="H1032" s="13">
        <f ca="1">_xll.meDateFromTenor(G1032,H$14,H$11,H$12)</f>
        <v>44000</v>
      </c>
      <c r="I1032" s="98">
        <f ca="1"/>
        <v>-3.1702783607760998E-4</v>
      </c>
      <c r="J1032" s="94" t="s">
        <v>4</v>
      </c>
      <c r="K1032" s="100">
        <f ca="1">_xll.meDateFromTenor(K1031,"1D","FOLLOWING",L$12)</f>
        <v>43969</v>
      </c>
      <c r="L1032" s="13">
        <f ca="1">_xll.meDateFromTenor(K1032,L$14,L$11,L$12)</f>
        <v>44061</v>
      </c>
      <c r="M1032" s="98">
        <f ca="1"/>
        <v>8.8010355184165443E-4</v>
      </c>
      <c r="N1032" s="5" t="s">
        <v>4</v>
      </c>
      <c r="O1032" s="100">
        <f ca="1">_xll.meDateFromTenor(O1031,"1D","FOLLOWING",P$12)</f>
        <v>43969</v>
      </c>
      <c r="P1032" s="13">
        <f ca="1">_xll.meDateFromTenor(O1032,P$14,P$11,P$12)</f>
        <v>44153</v>
      </c>
      <c r="Q1032" s="98">
        <f ca="1"/>
        <v>2.7837127201513164E-3</v>
      </c>
      <c r="R1032" s="5" t="s">
        <v>4</v>
      </c>
      <c r="S1032" s="100">
        <f ca="1">_xll.meDateFromTenor(S1031,"1D","FOLLOWING",T$12)</f>
        <v>43969</v>
      </c>
      <c r="T1032" s="13">
        <f ca="1">_xll.meDateFromTenor(S1032,T$14,T$11,T$12)</f>
        <v>44334</v>
      </c>
      <c r="U1032" s="98">
        <f ca="1"/>
        <v>4.7589681605525701E-3</v>
      </c>
      <c r="V1032" s="5" t="s">
        <v>4</v>
      </c>
      <c r="W1032" s="84" t="s">
        <v>4</v>
      </c>
    </row>
    <row r="1033" spans="1:23" x14ac:dyDescent="0.25">
      <c r="A1033" s="90">
        <v>1014</v>
      </c>
      <c r="B1033" s="83"/>
      <c r="C1033" s="100">
        <f ca="1">_xll.meDateFromTenor(C1032,"1D","FOLLOWING",D$12)</f>
        <v>43970</v>
      </c>
      <c r="D1033" s="13">
        <f ca="1">_xll.meDateFromTenor(C1033,D$14,D$11,D$12)</f>
        <v>43971</v>
      </c>
      <c r="E1033" s="98">
        <f ca="1"/>
        <v>-1.4067906126815711E-3</v>
      </c>
      <c r="F1033" s="94"/>
      <c r="G1033" s="100">
        <f ca="1">_xll.meDateFromTenor(G1032,"1D","FOLLOWING",H$12)</f>
        <v>43970</v>
      </c>
      <c r="H1033" s="13">
        <f ca="1">_xll.meDateFromTenor(G1033,H$14,H$11,H$12)</f>
        <v>44001</v>
      </c>
      <c r="I1033" s="98">
        <f ca="1"/>
        <v>-3.1020842836990229E-4</v>
      </c>
      <c r="J1033" s="94" t="s">
        <v>4</v>
      </c>
      <c r="K1033" s="100">
        <f ca="1">_xll.meDateFromTenor(K1032,"1D","FOLLOWING",L$12)</f>
        <v>43970</v>
      </c>
      <c r="L1033" s="13">
        <f ca="1">_xll.meDateFromTenor(K1033,L$14,L$11,L$12)</f>
        <v>44062</v>
      </c>
      <c r="M1033" s="98">
        <f ca="1"/>
        <v>8.8659512424164573E-4</v>
      </c>
      <c r="N1033" s="5" t="s">
        <v>4</v>
      </c>
      <c r="O1033" s="100">
        <f ca="1">_xll.meDateFromTenor(O1032,"1D","FOLLOWING",P$12)</f>
        <v>43970</v>
      </c>
      <c r="P1033" s="13">
        <f ca="1">_xll.meDateFromTenor(O1033,P$14,P$11,P$12)</f>
        <v>44154</v>
      </c>
      <c r="Q1033" s="98">
        <f ca="1"/>
        <v>2.7898425619479433E-3</v>
      </c>
      <c r="R1033" s="5" t="s">
        <v>4</v>
      </c>
      <c r="S1033" s="100">
        <f ca="1">_xll.meDateFromTenor(S1032,"1D","FOLLOWING",T$12)</f>
        <v>43970</v>
      </c>
      <c r="T1033" s="13">
        <f ca="1">_xll.meDateFromTenor(S1033,T$14,T$11,T$12)</f>
        <v>44335</v>
      </c>
      <c r="U1033" s="98">
        <f ca="1"/>
        <v>4.7651373715727257E-3</v>
      </c>
      <c r="V1033" s="5" t="s">
        <v>4</v>
      </c>
      <c r="W1033" s="84" t="s">
        <v>4</v>
      </c>
    </row>
    <row r="1034" spans="1:23" x14ac:dyDescent="0.25">
      <c r="A1034" s="90">
        <v>1015</v>
      </c>
      <c r="B1034" s="83"/>
      <c r="C1034" s="100">
        <f ca="1">_xll.meDateFromTenor(C1033,"1D","FOLLOWING",D$12)</f>
        <v>43971</v>
      </c>
      <c r="D1034" s="13">
        <f ca="1">_xll.meDateFromTenor(C1034,D$14,D$11,D$12)</f>
        <v>43972</v>
      </c>
      <c r="E1034" s="98">
        <f ca="1"/>
        <v>-1.399088349054226E-3</v>
      </c>
      <c r="F1034" s="94"/>
      <c r="G1034" s="100">
        <f ca="1">_xll.meDateFromTenor(G1033,"1D","FOLLOWING",H$12)</f>
        <v>43971</v>
      </c>
      <c r="H1034" s="13">
        <f ca="1">_xll.meDateFromTenor(G1034,H$14,H$11,H$12)</f>
        <v>44004</v>
      </c>
      <c r="I1034" s="98">
        <f ca="1"/>
        <v>-3.0336947384541489E-4</v>
      </c>
      <c r="J1034" s="94" t="s">
        <v>4</v>
      </c>
      <c r="K1034" s="100">
        <f ca="1">_xll.meDateFromTenor(K1033,"1D","FOLLOWING",L$12)</f>
        <v>43971</v>
      </c>
      <c r="L1034" s="13">
        <f ca="1">_xll.meDateFromTenor(K1034,L$14,L$11,L$12)</f>
        <v>44063</v>
      </c>
      <c r="M1034" s="98">
        <f ca="1"/>
        <v>8.9309039007083515E-4</v>
      </c>
      <c r="N1034" s="5" t="s">
        <v>4</v>
      </c>
      <c r="O1034" s="100">
        <f ca="1">_xll.meDateFromTenor(O1033,"1D","FOLLOWING",P$12)</f>
        <v>43971</v>
      </c>
      <c r="P1034" s="13">
        <f ca="1">_xll.meDateFromTenor(O1034,P$14,P$11,P$12)</f>
        <v>44155</v>
      </c>
      <c r="Q1034" s="98">
        <f ca="1"/>
        <v>2.7959758323305535E-3</v>
      </c>
      <c r="R1034" s="5" t="s">
        <v>4</v>
      </c>
      <c r="S1034" s="100">
        <f ca="1">_xll.meDateFromTenor(S1033,"1D","FOLLOWING",T$12)</f>
        <v>43971</v>
      </c>
      <c r="T1034" s="13">
        <f ca="1">_xll.meDateFromTenor(S1034,T$14,T$11,T$12)</f>
        <v>44336</v>
      </c>
      <c r="U1034" s="98">
        <f ca="1"/>
        <v>4.771312231622131E-3</v>
      </c>
      <c r="V1034" s="5" t="s">
        <v>4</v>
      </c>
      <c r="W1034" s="84" t="s">
        <v>4</v>
      </c>
    </row>
    <row r="1035" spans="1:23" x14ac:dyDescent="0.25">
      <c r="A1035" s="90">
        <v>1016</v>
      </c>
      <c r="B1035" s="83"/>
      <c r="C1035" s="100">
        <f ca="1">_xll.meDateFromTenor(C1034,"1D","FOLLOWING",D$12)</f>
        <v>43972</v>
      </c>
      <c r="D1035" s="13">
        <f ca="1">_xll.meDateFromTenor(C1035,D$14,D$11,D$12)</f>
        <v>43973</v>
      </c>
      <c r="E1035" s="98">
        <f ca="1"/>
        <v>-1.3913158968128557E-3</v>
      </c>
      <c r="F1035" s="94"/>
      <c r="G1035" s="100">
        <f ca="1">_xll.meDateFromTenor(G1034,"1D","FOLLOWING",H$12)</f>
        <v>43972</v>
      </c>
      <c r="H1035" s="13">
        <f ca="1">_xll.meDateFromTenor(G1035,H$14,H$11,H$12)</f>
        <v>44004</v>
      </c>
      <c r="I1035" s="98">
        <f ca="1"/>
        <v>-2.9651176673803765E-4</v>
      </c>
      <c r="J1035" s="94" t="s">
        <v>4</v>
      </c>
      <c r="K1035" s="100">
        <f ca="1">_xll.meDateFromTenor(K1034,"1D","FOLLOWING",L$12)</f>
        <v>43972</v>
      </c>
      <c r="L1035" s="13">
        <f ca="1">_xll.meDateFromTenor(K1035,L$14,L$11,L$12)</f>
        <v>44064</v>
      </c>
      <c r="M1035" s="98">
        <f ca="1"/>
        <v>8.9958926065738251E-4</v>
      </c>
      <c r="N1035" s="5" t="s">
        <v>4</v>
      </c>
      <c r="O1035" s="100">
        <f ca="1">_xll.meDateFromTenor(O1034,"1D","FOLLOWING",P$12)</f>
        <v>43972</v>
      </c>
      <c r="P1035" s="13">
        <f ca="1">_xll.meDateFromTenor(O1035,P$14,P$11,P$12)</f>
        <v>44158</v>
      </c>
      <c r="Q1035" s="98">
        <f ca="1"/>
        <v>2.8021125532709463E-3</v>
      </c>
      <c r="R1035" s="5" t="s">
        <v>4</v>
      </c>
      <c r="S1035" s="100">
        <f ca="1">_xll.meDateFromTenor(S1034,"1D","FOLLOWING",T$12)</f>
        <v>43972</v>
      </c>
      <c r="T1035" s="13">
        <f ca="1">_xll.meDateFromTenor(S1035,T$14,T$11,T$12)</f>
        <v>44337</v>
      </c>
      <c r="U1035" s="98">
        <f ca="1"/>
        <v>4.777492763740219E-3</v>
      </c>
      <c r="V1035" s="5" t="s">
        <v>4</v>
      </c>
      <c r="W1035" s="84" t="s">
        <v>4</v>
      </c>
    </row>
    <row r="1036" spans="1:23" x14ac:dyDescent="0.25">
      <c r="A1036" s="90">
        <v>1017</v>
      </c>
      <c r="B1036" s="83"/>
      <c r="C1036" s="100">
        <f ca="1">_xll.meDateFromTenor(C1035,"1D","FOLLOWING",D$12)</f>
        <v>43973</v>
      </c>
      <c r="D1036" s="13">
        <f ca="1">_xll.meDateFromTenor(C1036,D$14,D$11,D$12)</f>
        <v>43976</v>
      </c>
      <c r="E1036" s="98">
        <f ca="1"/>
        <v>-1.3755317784935198E-3</v>
      </c>
      <c r="F1036" s="94"/>
      <c r="G1036" s="100">
        <f ca="1">_xll.meDateFromTenor(G1035,"1D","FOLLOWING",H$12)</f>
        <v>43973</v>
      </c>
      <c r="H1036" s="13">
        <f ca="1">_xll.meDateFromTenor(G1036,H$14,H$11,H$12)</f>
        <v>44004</v>
      </c>
      <c r="I1036" s="98">
        <f ca="1"/>
        <v>-2.8963610128165712E-4</v>
      </c>
      <c r="J1036" s="94" t="s">
        <v>4</v>
      </c>
      <c r="K1036" s="100">
        <f ca="1">_xll.meDateFromTenor(K1035,"1D","FOLLOWING",L$12)</f>
        <v>43973</v>
      </c>
      <c r="L1036" s="13">
        <f ca="1">_xll.meDateFromTenor(K1036,L$14,L$11,L$12)</f>
        <v>44067</v>
      </c>
      <c r="M1036" s="98">
        <f ca="1"/>
        <v>9.0609164732945006E-4</v>
      </c>
      <c r="N1036" s="5" t="s">
        <v>4</v>
      </c>
      <c r="O1036" s="100">
        <f ca="1">_xll.meDateFromTenor(O1035,"1D","FOLLOWING",P$12)</f>
        <v>43973</v>
      </c>
      <c r="P1036" s="13">
        <f ca="1">_xll.meDateFromTenor(O1036,P$14,P$11,P$12)</f>
        <v>44158</v>
      </c>
      <c r="Q1036" s="98">
        <f ca="1"/>
        <v>2.8082527467409254E-3</v>
      </c>
      <c r="R1036" s="5" t="s">
        <v>4</v>
      </c>
      <c r="S1036" s="100">
        <f ca="1">_xll.meDateFromTenor(S1035,"1D","FOLLOWING",T$12)</f>
        <v>43973</v>
      </c>
      <c r="T1036" s="13">
        <f ca="1">_xll.meDateFromTenor(S1036,T$14,T$11,T$12)</f>
        <v>44340</v>
      </c>
      <c r="U1036" s="98">
        <f ca="1"/>
        <v>4.7836789909664222E-3</v>
      </c>
      <c r="V1036" s="5" t="s">
        <v>4</v>
      </c>
      <c r="W1036" s="84" t="s">
        <v>4</v>
      </c>
    </row>
    <row r="1037" spans="1:23" x14ac:dyDescent="0.25">
      <c r="A1037" s="90">
        <v>1018</v>
      </c>
      <c r="B1037" s="83"/>
      <c r="C1037" s="100">
        <f ca="1">_xll.meDateFromTenor(C1036,"1D","FOLLOWING",D$12)</f>
        <v>43976</v>
      </c>
      <c r="D1037" s="13">
        <f ca="1">_xll.meDateFromTenor(C1037,D$14,D$11,D$12)</f>
        <v>43977</v>
      </c>
      <c r="E1037" s="98">
        <f ca="1"/>
        <v>-1.3595242159649692E-3</v>
      </c>
      <c r="F1037" s="94"/>
      <c r="G1037" s="100">
        <f ca="1">_xll.meDateFromTenor(G1036,"1D","FOLLOWING",H$12)</f>
        <v>43976</v>
      </c>
      <c r="H1037" s="13">
        <f ca="1">_xll.meDateFromTenor(G1037,H$14,H$11,H$12)</f>
        <v>44007</v>
      </c>
      <c r="I1037" s="98">
        <f ca="1"/>
        <v>-2.6890929715739012E-4</v>
      </c>
      <c r="J1037" s="94" t="s">
        <v>4</v>
      </c>
      <c r="K1037" s="100">
        <f ca="1">_xll.meDateFromTenor(K1036,"1D","FOLLOWING",L$12)</f>
        <v>43976</v>
      </c>
      <c r="L1037" s="13">
        <f ca="1">_xll.meDateFromTenor(K1037,L$14,L$11,L$12)</f>
        <v>44068</v>
      </c>
      <c r="M1037" s="98">
        <f ca="1"/>
        <v>9.2561901714037205E-4</v>
      </c>
      <c r="N1037" s="5" t="s">
        <v>4</v>
      </c>
      <c r="O1037" s="100">
        <f ca="1">_xll.meDateFromTenor(O1036,"1D","FOLLOWING",P$12)</f>
        <v>43976</v>
      </c>
      <c r="P1037" s="13">
        <f ca="1">_xll.meDateFromTenor(O1037,P$14,P$11,P$12)</f>
        <v>44160</v>
      </c>
      <c r="Q1037" s="98">
        <f ca="1"/>
        <v>2.8266943820463662E-3</v>
      </c>
      <c r="R1037" s="5" t="s">
        <v>4</v>
      </c>
      <c r="S1037" s="100">
        <f ca="1">_xll.meDateFromTenor(S1036,"1D","FOLLOWING",T$12)</f>
        <v>43976</v>
      </c>
      <c r="T1037" s="13">
        <f ca="1">_xll.meDateFromTenor(S1037,T$14,T$11,T$12)</f>
        <v>44341</v>
      </c>
      <c r="U1037" s="98">
        <f ca="1"/>
        <v>4.8022720736880633E-3</v>
      </c>
      <c r="V1037" s="5" t="s">
        <v>4</v>
      </c>
      <c r="W1037" s="84" t="s">
        <v>4</v>
      </c>
    </row>
    <row r="1038" spans="1:23" x14ac:dyDescent="0.25">
      <c r="A1038" s="90">
        <v>1019</v>
      </c>
      <c r="B1038" s="83"/>
      <c r="C1038" s="100">
        <f ca="1">_xll.meDateFromTenor(C1037,"1D","FOLLOWING",D$12)</f>
        <v>43977</v>
      </c>
      <c r="D1038" s="13">
        <f ca="1">_xll.meDateFromTenor(C1038,D$14,D$11,D$12)</f>
        <v>43978</v>
      </c>
      <c r="E1038" s="98">
        <f ca="1"/>
        <v>-1.3514008302804134E-3</v>
      </c>
      <c r="F1038" s="94"/>
      <c r="G1038" s="100">
        <f ca="1">_xll.meDateFromTenor(G1037,"1D","FOLLOWING",H$12)</f>
        <v>43977</v>
      </c>
      <c r="H1038" s="13">
        <f ca="1">_xll.meDateFromTenor(G1038,H$14,H$11,H$12)</f>
        <v>44008</v>
      </c>
      <c r="I1038" s="98">
        <f ca="1"/>
        <v>-2.6196974064388972E-4</v>
      </c>
      <c r="J1038" s="94" t="s">
        <v>4</v>
      </c>
      <c r="K1038" s="100">
        <f ca="1">_xll.meDateFromTenor(K1037,"1D","FOLLOWING",L$12)</f>
        <v>43977</v>
      </c>
      <c r="L1038" s="13">
        <f ca="1">_xll.meDateFromTenor(K1038,L$14,L$11,L$12)</f>
        <v>44069</v>
      </c>
      <c r="M1038" s="98">
        <f ca="1"/>
        <v>9.3213458143611967E-4</v>
      </c>
      <c r="N1038" s="5" t="s">
        <v>4</v>
      </c>
      <c r="O1038" s="100">
        <f ca="1">_xll.meDateFromTenor(O1037,"1D","FOLLOWING",P$12)</f>
        <v>43977</v>
      </c>
      <c r="P1038" s="13">
        <f ca="1">_xll.meDateFromTenor(O1038,P$14,P$11,P$12)</f>
        <v>44161</v>
      </c>
      <c r="Q1038" s="98">
        <f ca="1"/>
        <v>2.8328486853526819E-3</v>
      </c>
      <c r="R1038" s="5" t="s">
        <v>4</v>
      </c>
      <c r="S1038" s="100">
        <f ca="1">_xll.meDateFromTenor(S1037,"1D","FOLLOWING",T$12)</f>
        <v>43977</v>
      </c>
      <c r="T1038" s="13">
        <f ca="1">_xll.meDateFromTenor(S1038,T$14,T$11,T$12)</f>
        <v>44342</v>
      </c>
      <c r="U1038" s="98">
        <f ca="1"/>
        <v>4.8084813117410634E-3</v>
      </c>
      <c r="V1038" s="5" t="s">
        <v>4</v>
      </c>
      <c r="W1038" s="84" t="s">
        <v>4</v>
      </c>
    </row>
    <row r="1039" spans="1:23" x14ac:dyDescent="0.25">
      <c r="A1039" s="90">
        <v>1020</v>
      </c>
      <c r="B1039" s="83"/>
      <c r="C1039" s="100">
        <f ca="1">_xll.meDateFromTenor(C1038,"1D","FOLLOWING",D$12)</f>
        <v>43978</v>
      </c>
      <c r="D1039" s="13">
        <f ca="1">_xll.meDateFromTenor(C1039,D$14,D$11,D$12)</f>
        <v>43979</v>
      </c>
      <c r="E1039" s="98">
        <f ca="1"/>
        <v>-1.3432072596588603E-3</v>
      </c>
      <c r="F1039" s="94"/>
      <c r="G1039" s="100">
        <f ca="1">_xll.meDateFromTenor(G1038,"1D","FOLLOWING",H$12)</f>
        <v>43978</v>
      </c>
      <c r="H1039" s="13">
        <f ca="1">_xll.meDateFromTenor(G1039,H$14,H$11,H$12)</f>
        <v>44011</v>
      </c>
      <c r="I1039" s="98">
        <f ca="1"/>
        <v>-2.5501619695082994E-4</v>
      </c>
      <c r="J1039" s="94" t="s">
        <v>4</v>
      </c>
      <c r="K1039" s="100">
        <f ca="1">_xll.meDateFromTenor(K1038,"1D","FOLLOWING",L$12)</f>
        <v>43978</v>
      </c>
      <c r="L1039" s="13">
        <f ca="1">_xll.meDateFromTenor(K1039,L$14,L$11,L$12)</f>
        <v>44070</v>
      </c>
      <c r="M1039" s="98">
        <f ca="1"/>
        <v>9.3865321845818959E-4</v>
      </c>
      <c r="N1039" s="5" t="s">
        <v>4</v>
      </c>
      <c r="O1039" s="100">
        <f ca="1">_xll.meDateFromTenor(O1038,"1D","FOLLOWING",P$12)</f>
        <v>43978</v>
      </c>
      <c r="P1039" s="13">
        <f ca="1">_xll.meDateFromTenor(O1039,P$14,P$11,P$12)</f>
        <v>44162</v>
      </c>
      <c r="Q1039" s="98">
        <f ca="1"/>
        <v>2.8390065710475827E-3</v>
      </c>
      <c r="R1039" s="5" t="s">
        <v>4</v>
      </c>
      <c r="S1039" s="100">
        <f ca="1">_xll.meDateFromTenor(S1038,"1D","FOLLOWING",T$12)</f>
        <v>43978</v>
      </c>
      <c r="T1039" s="13">
        <f ca="1">_xll.meDateFromTenor(S1039,T$14,T$11,T$12)</f>
        <v>44343</v>
      </c>
      <c r="U1039" s="98">
        <f ca="1"/>
        <v>4.8146963600993456E-3</v>
      </c>
      <c r="V1039" s="5" t="s">
        <v>4</v>
      </c>
      <c r="W1039" s="84" t="s">
        <v>4</v>
      </c>
    </row>
    <row r="1040" spans="1:23" x14ac:dyDescent="0.25">
      <c r="A1040" s="90">
        <v>1021</v>
      </c>
      <c r="B1040" s="83"/>
      <c r="C1040" s="100">
        <f ca="1">_xll.meDateFromTenor(C1039,"1D","FOLLOWING",D$12)</f>
        <v>43979</v>
      </c>
      <c r="D1040" s="13">
        <f ca="1">_xll.meDateFromTenor(C1040,D$14,D$11,D$12)</f>
        <v>43980</v>
      </c>
      <c r="E1040" s="98">
        <f ca="1"/>
        <v>-1.334943504138555E-3</v>
      </c>
      <c r="F1040" s="94"/>
      <c r="G1040" s="100">
        <f ca="1">_xll.meDateFromTenor(G1039,"1D","FOLLOWING",H$12)</f>
        <v>43979</v>
      </c>
      <c r="H1040" s="13">
        <f ca="1">_xll.meDateFromTenor(G1040,H$14,H$11,H$12)</f>
        <v>44011</v>
      </c>
      <c r="I1040" s="98">
        <f ca="1"/>
        <v>-2.4804946031210063E-4</v>
      </c>
      <c r="J1040" s="94" t="s">
        <v>4</v>
      </c>
      <c r="K1040" s="100">
        <f ca="1">_xll.meDateFromTenor(K1039,"1D","FOLLOWING",L$12)</f>
        <v>43979</v>
      </c>
      <c r="L1040" s="13">
        <f ca="1">_xll.meDateFromTenor(K1040,L$14,L$11,L$12)</f>
        <v>44071</v>
      </c>
      <c r="M1040" s="98">
        <f ca="1"/>
        <v>9.4517483953474133E-4</v>
      </c>
      <c r="N1040" s="5" t="s">
        <v>4</v>
      </c>
      <c r="O1040" s="100">
        <f ca="1">_xll.meDateFromTenor(O1039,"1D","FOLLOWING",P$12)</f>
        <v>43979</v>
      </c>
      <c r="P1040" s="13">
        <f ca="1">_xll.meDateFromTenor(O1040,P$14,P$11,P$12)</f>
        <v>44165</v>
      </c>
      <c r="Q1040" s="98">
        <f ca="1"/>
        <v>2.8451680611028692E-3</v>
      </c>
      <c r="R1040" s="5" t="s">
        <v>4</v>
      </c>
      <c r="S1040" s="100">
        <f ca="1">_xll.meDateFromTenor(S1039,"1D","FOLLOWING",T$12)</f>
        <v>43979</v>
      </c>
      <c r="T1040" s="13">
        <f ca="1">_xll.meDateFromTenor(S1040,T$14,T$11,T$12)</f>
        <v>44344</v>
      </c>
      <c r="U1040" s="98">
        <f ca="1"/>
        <v>4.8209172418023439E-3</v>
      </c>
      <c r="V1040" s="5" t="s">
        <v>4</v>
      </c>
      <c r="W1040" s="84" t="s">
        <v>4</v>
      </c>
    </row>
    <row r="1041" spans="1:23" x14ac:dyDescent="0.25">
      <c r="A1041" s="90">
        <v>1022</v>
      </c>
      <c r="B1041" s="83"/>
      <c r="C1041" s="100">
        <f ca="1">_xll.meDateFromTenor(C1040,"1D","FOLLOWING",D$12)</f>
        <v>43980</v>
      </c>
      <c r="D1041" s="13">
        <f ca="1">_xll.meDateFromTenor(C1041,D$14,D$11,D$12)</f>
        <v>43983</v>
      </c>
      <c r="E1041" s="98">
        <f ca="1"/>
        <v>-1.3181772202575854E-3</v>
      </c>
      <c r="F1041" s="94"/>
      <c r="G1041" s="100">
        <f ca="1">_xll.meDateFromTenor(G1040,"1D","FOLLOWING",H$12)</f>
        <v>43980</v>
      </c>
      <c r="H1041" s="13">
        <f ca="1">_xll.meDateFromTenor(G1041,H$14,H$11,H$12)</f>
        <v>44011</v>
      </c>
      <c r="I1041" s="98">
        <f ca="1"/>
        <v>-2.4107032496159173E-4</v>
      </c>
      <c r="J1041" s="94" t="s">
        <v>4</v>
      </c>
      <c r="K1041" s="100">
        <f ca="1">_xll.meDateFromTenor(K1040,"1D","FOLLOWING",L$12)</f>
        <v>43980</v>
      </c>
      <c r="L1041" s="13">
        <f ca="1">_xll.meDateFromTenor(K1041,L$14,L$11,L$12)</f>
        <v>44074</v>
      </c>
      <c r="M1041" s="98">
        <f ca="1"/>
        <v>9.516993559939345E-4</v>
      </c>
      <c r="N1041" s="5" t="s">
        <v>4</v>
      </c>
      <c r="O1041" s="100">
        <f ca="1">_xll.meDateFromTenor(O1040,"1D","FOLLOWING",P$12)</f>
        <v>43980</v>
      </c>
      <c r="P1041" s="13">
        <f ca="1">_xll.meDateFromTenor(O1041,P$14,P$11,P$12)</f>
        <v>44165</v>
      </c>
      <c r="Q1041" s="98">
        <f ca="1"/>
        <v>2.8513331774903386E-3</v>
      </c>
      <c r="R1041" s="5" t="s">
        <v>4</v>
      </c>
      <c r="S1041" s="100">
        <f ca="1">_xll.meDateFromTenor(S1040,"1D","FOLLOWING",T$12)</f>
        <v>43980</v>
      </c>
      <c r="T1041" s="13">
        <f ca="1">_xll.meDateFromTenor(S1041,T$14,T$11,T$12)</f>
        <v>44347</v>
      </c>
      <c r="U1041" s="98">
        <f ca="1"/>
        <v>4.8271439798894897E-3</v>
      </c>
      <c r="V1041" s="5" t="s">
        <v>4</v>
      </c>
      <c r="W1041" s="84" t="s">
        <v>4</v>
      </c>
    </row>
    <row r="1042" spans="1:23" x14ac:dyDescent="0.25">
      <c r="A1042" s="90">
        <v>1023</v>
      </c>
      <c r="B1042" s="83"/>
      <c r="C1042" s="100">
        <f ca="1">_xll.meDateFromTenor(C1041,"1D","FOLLOWING",D$12)</f>
        <v>43983</v>
      </c>
      <c r="D1042" s="13">
        <f ca="1">_xll.meDateFromTenor(C1042,D$14,D$11,D$12)</f>
        <v>43984</v>
      </c>
      <c r="E1042" s="98">
        <f ca="1"/>
        <v>-1.3011866452703655E-3</v>
      </c>
      <c r="F1042" s="94"/>
      <c r="G1042" s="100">
        <f ca="1">_xll.meDateFromTenor(G1041,"1D","FOLLOWING",H$12)</f>
        <v>43983</v>
      </c>
      <c r="H1042" s="13">
        <f ca="1">_xll.meDateFromTenor(G1042,H$14,H$11,H$12)</f>
        <v>44013</v>
      </c>
      <c r="I1042" s="98">
        <f ca="1"/>
        <v>-2.2006646897826602E-4</v>
      </c>
      <c r="J1042" s="94" t="s">
        <v>4</v>
      </c>
      <c r="K1042" s="100">
        <f ca="1">_xll.meDateFromTenor(K1041,"1D","FOLLOWING",L$12)</f>
        <v>43983</v>
      </c>
      <c r="L1042" s="13">
        <f ca="1">_xll.meDateFromTenor(K1042,L$14,L$11,L$12)</f>
        <v>44075</v>
      </c>
      <c r="M1042" s="98">
        <f ca="1"/>
        <v>9.7128939094897335E-4</v>
      </c>
      <c r="N1042" s="5" t="s">
        <v>4</v>
      </c>
      <c r="O1042" s="100">
        <f ca="1">_xll.meDateFromTenor(O1041,"1D","FOLLOWING",P$12)</f>
        <v>43983</v>
      </c>
      <c r="P1042" s="13">
        <f ca="1">_xll.meDateFromTenor(O1042,P$14,P$11,P$12)</f>
        <v>44166</v>
      </c>
      <c r="Q1042" s="98">
        <f ca="1"/>
        <v>2.8698505043638642E-3</v>
      </c>
      <c r="R1042" s="5" t="s">
        <v>4</v>
      </c>
      <c r="S1042" s="100">
        <f ca="1">_xll.meDateFromTenor(S1041,"1D","FOLLOWING",T$12)</f>
        <v>43983</v>
      </c>
      <c r="T1042" s="13">
        <f ca="1">_xll.meDateFromTenor(S1042,T$14,T$11,T$12)</f>
        <v>44348</v>
      </c>
      <c r="U1042" s="98">
        <f ca="1"/>
        <v>4.8458595628501537E-3</v>
      </c>
      <c r="V1042" s="5" t="s">
        <v>4</v>
      </c>
      <c r="W1042" s="84" t="s">
        <v>4</v>
      </c>
    </row>
    <row r="1043" spans="1:23" x14ac:dyDescent="0.25">
      <c r="A1043" s="90">
        <v>1024</v>
      </c>
      <c r="B1043" s="83"/>
      <c r="C1043" s="100">
        <f ca="1">_xll.meDateFromTenor(C1042,"1D","FOLLOWING",D$12)</f>
        <v>43984</v>
      </c>
      <c r="D1043" s="13">
        <f ca="1">_xll.meDateFromTenor(C1043,D$14,D$11,D$12)</f>
        <v>43985</v>
      </c>
      <c r="E1043" s="98">
        <f ca="1"/>
        <v>-1.292584657788465E-3</v>
      </c>
      <c r="F1043" s="94"/>
      <c r="G1043" s="100">
        <f ca="1">_xll.meDateFromTenor(G1042,"1D","FOLLOWING",H$12)</f>
        <v>43984</v>
      </c>
      <c r="H1043" s="13">
        <f ca="1">_xll.meDateFromTenor(G1043,H$14,H$11,H$12)</f>
        <v>44014</v>
      </c>
      <c r="I1043" s="98">
        <f ca="1"/>
        <v>-2.1304568111951965E-4</v>
      </c>
      <c r="J1043" s="94" t="s">
        <v>4</v>
      </c>
      <c r="K1043" s="100">
        <f ca="1">_xll.meDateFromTenor(K1042,"1D","FOLLOWING",L$12)</f>
        <v>43984</v>
      </c>
      <c r="L1043" s="13">
        <f ca="1">_xll.meDateFromTenor(K1043,L$14,L$11,L$12)</f>
        <v>44076</v>
      </c>
      <c r="M1043" s="98">
        <f ca="1"/>
        <v>9.7782460222034192E-4</v>
      </c>
      <c r="N1043" s="5" t="s">
        <v>4</v>
      </c>
      <c r="O1043" s="100">
        <f ca="1">_xll.meDateFromTenor(O1042,"1D","FOLLOWING",P$12)</f>
        <v>43984</v>
      </c>
      <c r="P1043" s="13">
        <f ca="1">_xll.meDateFromTenor(O1043,P$14,P$11,P$12)</f>
        <v>44167</v>
      </c>
      <c r="Q1043" s="98">
        <f ca="1"/>
        <v>2.8760303457980784E-3</v>
      </c>
      <c r="R1043" s="5" t="s">
        <v>4</v>
      </c>
      <c r="S1043" s="100">
        <f ca="1">_xll.meDateFromTenor(S1042,"1D","FOLLOWING",T$12)</f>
        <v>43984</v>
      </c>
      <c r="T1043" s="13">
        <f ca="1">_xll.meDateFromTenor(S1043,T$14,T$11,T$12)</f>
        <v>44349</v>
      </c>
      <c r="U1043" s="98">
        <f ca="1"/>
        <v>4.8521099568682282E-3</v>
      </c>
      <c r="V1043" s="5" t="s">
        <v>4</v>
      </c>
      <c r="W1043" s="84" t="s">
        <v>4</v>
      </c>
    </row>
    <row r="1044" spans="1:23" x14ac:dyDescent="0.25">
      <c r="A1044" s="90">
        <v>1025</v>
      </c>
      <c r="B1044" s="83"/>
      <c r="C1044" s="100">
        <f ca="1">_xll.meDateFromTenor(C1043,"1D","FOLLOWING",D$12)</f>
        <v>43985</v>
      </c>
      <c r="D1044" s="13">
        <f ca="1">_xll.meDateFromTenor(C1044,D$14,D$11,D$12)</f>
        <v>43986</v>
      </c>
      <c r="E1044" s="98">
        <f ca="1"/>
        <v>-1.2839759097136518E-3</v>
      </c>
      <c r="F1044" s="94"/>
      <c r="G1044" s="100">
        <f ca="1">_xll.meDateFromTenor(G1043,"1D","FOLLOWING",H$12)</f>
        <v>43985</v>
      </c>
      <c r="H1044" s="13">
        <f ca="1">_xll.meDateFromTenor(G1044,H$14,H$11,H$12)</f>
        <v>44015</v>
      </c>
      <c r="I1044" s="98">
        <f ca="1"/>
        <v>-2.0601651750871974E-4</v>
      </c>
      <c r="J1044" s="94" t="s">
        <v>4</v>
      </c>
      <c r="K1044" s="100">
        <f ca="1">_xll.meDateFromTenor(K1043,"1D","FOLLOWING",L$12)</f>
        <v>43985</v>
      </c>
      <c r="L1044" s="13">
        <f ca="1">_xll.meDateFromTenor(K1044,L$14,L$11,L$12)</f>
        <v>44077</v>
      </c>
      <c r="M1044" s="98">
        <f ca="1"/>
        <v>9.8436228200873854E-4</v>
      </c>
      <c r="N1044" s="5" t="s">
        <v>4</v>
      </c>
      <c r="O1044" s="100">
        <f ca="1">_xll.meDateFromTenor(O1043,"1D","FOLLOWING",P$12)</f>
        <v>43985</v>
      </c>
      <c r="P1044" s="13">
        <f ca="1">_xll.meDateFromTenor(O1044,P$14,P$11,P$12)</f>
        <v>44168</v>
      </c>
      <c r="Q1044" s="98">
        <f ca="1"/>
        <v>2.882213919572421E-3</v>
      </c>
      <c r="R1044" s="5" t="s">
        <v>4</v>
      </c>
      <c r="S1044" s="100">
        <f ca="1">_xll.meDateFromTenor(S1043,"1D","FOLLOWING",T$12)</f>
        <v>43985</v>
      </c>
      <c r="T1044" s="13">
        <f ca="1">_xll.meDateFromTenor(S1044,T$14,T$11,T$12)</f>
        <v>44350</v>
      </c>
      <c r="U1044" s="98">
        <f ca="1"/>
        <v>4.8583663158122802E-3</v>
      </c>
      <c r="V1044" s="5" t="s">
        <v>4</v>
      </c>
      <c r="W1044" s="84" t="s">
        <v>4</v>
      </c>
    </row>
    <row r="1045" spans="1:23" x14ac:dyDescent="0.25">
      <c r="A1045" s="90">
        <v>1026</v>
      </c>
      <c r="B1045" s="83"/>
      <c r="C1045" s="100">
        <f ca="1">_xll.meDateFromTenor(C1044,"1D","FOLLOWING",D$12)</f>
        <v>43986</v>
      </c>
      <c r="D1045" s="13">
        <f ca="1">_xll.meDateFromTenor(C1045,D$14,D$11,D$12)</f>
        <v>43987</v>
      </c>
      <c r="E1045" s="98">
        <f ca="1"/>
        <v>-1.2753730848615726E-3</v>
      </c>
      <c r="F1045" s="94"/>
      <c r="G1045" s="100">
        <f ca="1">_xll.meDateFromTenor(G1044,"1D","FOLLOWING",H$12)</f>
        <v>43986</v>
      </c>
      <c r="H1045" s="13">
        <f ca="1">_xll.meDateFromTenor(G1045,H$14,H$11,H$12)</f>
        <v>44018</v>
      </c>
      <c r="I1045" s="98">
        <f ca="1"/>
        <v>-1.989800313311556E-4</v>
      </c>
      <c r="J1045" s="94" t="s">
        <v>4</v>
      </c>
      <c r="K1045" s="100">
        <f ca="1">_xll.meDateFromTenor(K1044,"1D","FOLLOWING",L$12)</f>
        <v>43986</v>
      </c>
      <c r="L1045" s="13">
        <f ca="1">_xll.meDateFromTenor(K1045,L$14,L$11,L$12)</f>
        <v>44078</v>
      </c>
      <c r="M1045" s="98">
        <f ca="1"/>
        <v>9.9090242411025635E-4</v>
      </c>
      <c r="N1045" s="5" t="s">
        <v>4</v>
      </c>
      <c r="O1045" s="100">
        <f ca="1">_xll.meDateFromTenor(O1044,"1D","FOLLOWING",P$12)</f>
        <v>43986</v>
      </c>
      <c r="P1045" s="13">
        <f ca="1">_xll.meDateFromTenor(O1045,P$14,P$11,P$12)</f>
        <v>44169</v>
      </c>
      <c r="Q1045" s="98">
        <f ca="1"/>
        <v>2.8884012284034169E-3</v>
      </c>
      <c r="R1045" s="5" t="s">
        <v>4</v>
      </c>
      <c r="S1045" s="100">
        <f ca="1">_xll.meDateFromTenor(S1044,"1D","FOLLOWING",T$12)</f>
        <v>43986</v>
      </c>
      <c r="T1045" s="13">
        <f ca="1">_xll.meDateFromTenor(S1045,T$14,T$11,T$12)</f>
        <v>44351</v>
      </c>
      <c r="U1045" s="98">
        <f ca="1"/>
        <v>4.8646286294450674E-3</v>
      </c>
      <c r="V1045" s="5" t="s">
        <v>4</v>
      </c>
      <c r="W1045" s="84" t="s">
        <v>4</v>
      </c>
    </row>
    <row r="1046" spans="1:23" x14ac:dyDescent="0.25">
      <c r="A1046" s="90">
        <v>1027</v>
      </c>
      <c r="B1046" s="83"/>
      <c r="C1046" s="100">
        <f ca="1">_xll.meDateFromTenor(C1045,"1D","FOLLOWING",D$12)</f>
        <v>43987</v>
      </c>
      <c r="D1046" s="13">
        <f ca="1">_xll.meDateFromTenor(C1046,D$14,D$11,D$12)</f>
        <v>43990</v>
      </c>
      <c r="E1046" s="98">
        <f ca="1"/>
        <v>-1.2581827788160011E-3</v>
      </c>
      <c r="F1046" s="94"/>
      <c r="G1046" s="100">
        <f ca="1">_xll.meDateFromTenor(G1045,"1D","FOLLOWING",H$12)</f>
        <v>43987</v>
      </c>
      <c r="H1046" s="13">
        <f ca="1">_xll.meDateFromTenor(G1046,H$14,H$11,H$12)</f>
        <v>44018</v>
      </c>
      <c r="I1046" s="98">
        <f ca="1"/>
        <v>-1.9193732756240666E-4</v>
      </c>
      <c r="J1046" s="94" t="s">
        <v>4</v>
      </c>
      <c r="K1046" s="100">
        <f ca="1">_xll.meDateFromTenor(K1045,"1D","FOLLOWING",L$12)</f>
        <v>43987</v>
      </c>
      <c r="L1046" s="13">
        <f ca="1">_xll.meDateFromTenor(K1046,L$14,L$11,L$12)</f>
        <v>44081</v>
      </c>
      <c r="M1046" s="98">
        <f ca="1"/>
        <v>9.9744503881456616E-4</v>
      </c>
      <c r="N1046" s="5" t="s">
        <v>4</v>
      </c>
      <c r="O1046" s="100">
        <f ca="1">_xll.meDateFromTenor(O1045,"1D","FOLLOWING",P$12)</f>
        <v>43987</v>
      </c>
      <c r="P1046" s="13">
        <f ca="1">_xll.meDateFromTenor(O1046,P$14,P$11,P$12)</f>
        <v>44172</v>
      </c>
      <c r="Q1046" s="98">
        <f ca="1"/>
        <v>2.8945922711565279E-3</v>
      </c>
      <c r="R1046" s="5" t="s">
        <v>4</v>
      </c>
      <c r="S1046" s="100">
        <f ca="1">_xll.meDateFromTenor(S1045,"1D","FOLLOWING",T$12)</f>
        <v>43987</v>
      </c>
      <c r="T1046" s="13">
        <f ca="1">_xll.meDateFromTenor(S1046,T$14,T$11,T$12)</f>
        <v>44354</v>
      </c>
      <c r="U1046" s="98">
        <f ca="1"/>
        <v>4.8708968808740078E-3</v>
      </c>
      <c r="V1046" s="5" t="s">
        <v>4</v>
      </c>
      <c r="W1046" s="84" t="s">
        <v>4</v>
      </c>
    </row>
    <row r="1047" spans="1:23" x14ac:dyDescent="0.25">
      <c r="A1047" s="90">
        <v>1028</v>
      </c>
      <c r="B1047" s="83"/>
      <c r="C1047" s="100">
        <f ca="1">_xll.meDateFromTenor(C1046,"1D","FOLLOWING",D$12)</f>
        <v>43990</v>
      </c>
      <c r="D1047" s="13">
        <f ca="1">_xll.meDateFromTenor(C1047,D$14,D$11,D$12)</f>
        <v>43991</v>
      </c>
      <c r="E1047" s="98">
        <f ca="1"/>
        <v>-1.2410210043613896E-3</v>
      </c>
      <c r="F1047" s="94"/>
      <c r="G1047" s="100">
        <f ca="1">_xll.meDateFromTenor(G1046,"1D","FOLLOWING",H$12)</f>
        <v>43990</v>
      </c>
      <c r="H1047" s="13">
        <f ca="1">_xll.meDateFromTenor(G1047,H$14,H$11,H$12)</f>
        <v>44020</v>
      </c>
      <c r="I1047" s="98">
        <f ca="1"/>
        <v>-1.707829604647842E-4</v>
      </c>
      <c r="J1047" s="94" t="s">
        <v>4</v>
      </c>
      <c r="K1047" s="100">
        <f ca="1">_xll.meDateFromTenor(K1046,"1D","FOLLOWING",L$12)</f>
        <v>43990</v>
      </c>
      <c r="L1047" s="13">
        <f ca="1">_xll.meDateFromTenor(K1047,L$14,L$11,L$12)</f>
        <v>44082</v>
      </c>
      <c r="M1047" s="98">
        <f ca="1"/>
        <v>1.0170878214410088E-3</v>
      </c>
      <c r="N1047" s="5" t="s">
        <v>4</v>
      </c>
      <c r="O1047" s="100">
        <f ca="1">_xll.meDateFromTenor(O1046,"1D","FOLLOWING",P$12)</f>
        <v>43990</v>
      </c>
      <c r="P1047" s="13">
        <f ca="1">_xll.meDateFromTenor(O1047,P$14,P$11,P$12)</f>
        <v>44173</v>
      </c>
      <c r="Q1047" s="98">
        <f ca="1"/>
        <v>2.9131877916032181E-3</v>
      </c>
      <c r="R1047" s="5" t="s">
        <v>4</v>
      </c>
      <c r="S1047" s="100">
        <f ca="1">_xll.meDateFromTenor(S1046,"1D","FOLLOWING",T$12)</f>
        <v>43990</v>
      </c>
      <c r="T1047" s="13">
        <f ca="1">_xll.meDateFromTenor(S1047,T$14,T$11,T$12)</f>
        <v>44355</v>
      </c>
      <c r="U1047" s="98">
        <f ca="1"/>
        <v>4.8897370930119453E-3</v>
      </c>
      <c r="V1047" s="5" t="s">
        <v>4</v>
      </c>
      <c r="W1047" s="84" t="s">
        <v>4</v>
      </c>
    </row>
    <row r="1048" spans="1:23" x14ac:dyDescent="0.25">
      <c r="A1048" s="90">
        <v>1029</v>
      </c>
      <c r="B1048" s="83"/>
      <c r="C1048" s="100">
        <f ca="1">_xll.meDateFromTenor(C1047,"1D","FOLLOWING",D$12)</f>
        <v>43991</v>
      </c>
      <c r="D1048" s="13">
        <f ca="1">_xll.meDateFromTenor(C1048,D$14,D$11,D$12)</f>
        <v>43992</v>
      </c>
      <c r="E1048" s="98">
        <f ca="1"/>
        <v>-1.2324477854262234E-3</v>
      </c>
      <c r="F1048" s="94"/>
      <c r="G1048" s="100">
        <f ca="1">_xll.meDateFromTenor(G1047,"1D","FOLLOWING",H$12)</f>
        <v>43991</v>
      </c>
      <c r="H1048" s="13">
        <f ca="1">_xll.meDateFromTenor(G1048,H$14,H$11,H$12)</f>
        <v>44021</v>
      </c>
      <c r="I1048" s="98">
        <f ca="1"/>
        <v>-1.6372643608703603E-4</v>
      </c>
      <c r="J1048" s="94" t="s">
        <v>4</v>
      </c>
      <c r="K1048" s="100">
        <f ca="1">_xll.meDateFromTenor(K1047,"1D","FOLLOWING",L$12)</f>
        <v>43991</v>
      </c>
      <c r="L1048" s="13">
        <f ca="1">_xll.meDateFromTenor(K1048,L$14,L$11,L$12)</f>
        <v>44083</v>
      </c>
      <c r="M1048" s="98">
        <f ca="1"/>
        <v>1.0236404294532424E-3</v>
      </c>
      <c r="N1048" s="5" t="s">
        <v>4</v>
      </c>
      <c r="O1048" s="100">
        <f ca="1">_xll.meDateFromTenor(O1047,"1D","FOLLOWING",P$12)</f>
        <v>43991</v>
      </c>
      <c r="P1048" s="13">
        <f ca="1">_xll.meDateFromTenor(O1048,P$14,P$11,P$12)</f>
        <v>44174</v>
      </c>
      <c r="Q1048" s="98">
        <f ca="1"/>
        <v>2.9193937586994511E-3</v>
      </c>
      <c r="R1048" s="5" t="s">
        <v>4</v>
      </c>
      <c r="S1048" s="100">
        <f ca="1">_xll.meDateFromTenor(S1047,"1D","FOLLOWING",T$12)</f>
        <v>43991</v>
      </c>
      <c r="T1048" s="13">
        <f ca="1">_xll.meDateFromTenor(S1048,T$14,T$11,T$12)</f>
        <v>44356</v>
      </c>
      <c r="U1048" s="98">
        <f ca="1"/>
        <v>4.8960289266996937E-3</v>
      </c>
      <c r="V1048" s="5" t="s">
        <v>4</v>
      </c>
      <c r="W1048" s="84" t="s">
        <v>4</v>
      </c>
    </row>
    <row r="1049" spans="1:23" x14ac:dyDescent="0.25">
      <c r="A1049" s="90">
        <v>1030</v>
      </c>
      <c r="B1049" s="83"/>
      <c r="C1049" s="100">
        <f ca="1">_xll.meDateFromTenor(C1048,"1D","FOLLOWING",D$12)</f>
        <v>43992</v>
      </c>
      <c r="D1049" s="13">
        <f ca="1">_xll.meDateFromTenor(C1049,D$14,D$11,D$12)</f>
        <v>43993</v>
      </c>
      <c r="E1049" s="98">
        <f ca="1"/>
        <v>-1.223880485637019E-3</v>
      </c>
      <c r="F1049" s="94"/>
      <c r="G1049" s="100">
        <f ca="1">_xll.meDateFromTenor(G1048,"1D","FOLLOWING",H$12)</f>
        <v>43992</v>
      </c>
      <c r="H1049" s="13">
        <f ca="1">_xll.meDateFromTenor(G1049,H$14,H$11,H$12)</f>
        <v>44022</v>
      </c>
      <c r="I1049" s="98">
        <f ca="1"/>
        <v>-1.5666921899597298E-4</v>
      </c>
      <c r="J1049" s="94" t="s">
        <v>4</v>
      </c>
      <c r="K1049" s="100">
        <f ca="1">_xll.meDateFromTenor(K1048,"1D","FOLLOWING",L$12)</f>
        <v>43992</v>
      </c>
      <c r="L1049" s="13">
        <f ca="1">_xll.meDateFromTenor(K1049,L$14,L$11,L$12)</f>
        <v>44084</v>
      </c>
      <c r="M1049" s="98">
        <f ca="1"/>
        <v>1.0301955615166459E-3</v>
      </c>
      <c r="N1049" s="5" t="s">
        <v>4</v>
      </c>
      <c r="O1049" s="100">
        <f ca="1">_xll.meDateFromTenor(O1048,"1D","FOLLOWING",P$12)</f>
        <v>43992</v>
      </c>
      <c r="P1049" s="13">
        <f ca="1">_xll.meDateFromTenor(O1049,P$14,P$11,P$12)</f>
        <v>44175</v>
      </c>
      <c r="Q1049" s="98">
        <f ca="1"/>
        <v>2.9256034540451306E-3</v>
      </c>
      <c r="R1049" s="5" t="s">
        <v>4</v>
      </c>
      <c r="S1049" s="100">
        <f ca="1">_xll.meDateFromTenor(S1048,"1D","FOLLOWING",T$12)</f>
        <v>43992</v>
      </c>
      <c r="T1049" s="13">
        <f ca="1">_xll.meDateFromTenor(S1049,T$14,T$11,T$12)</f>
        <v>44357</v>
      </c>
      <c r="U1049" s="98">
        <f ca="1"/>
        <v>4.9023266137206943E-3</v>
      </c>
      <c r="V1049" s="5" t="s">
        <v>4</v>
      </c>
      <c r="W1049" s="84" t="s">
        <v>4</v>
      </c>
    </row>
    <row r="1050" spans="1:23" x14ac:dyDescent="0.25">
      <c r="A1050" s="90">
        <v>1031</v>
      </c>
      <c r="B1050" s="83"/>
      <c r="C1050" s="100">
        <f ca="1">_xll.meDateFromTenor(C1049,"1D","FOLLOWING",D$12)</f>
        <v>43993</v>
      </c>
      <c r="D1050" s="13">
        <f ca="1">_xll.meDateFromTenor(C1050,D$14,D$11,D$12)</f>
        <v>43994</v>
      </c>
      <c r="E1050" s="98">
        <f ca="1"/>
        <v>-1.2153191041129096E-3</v>
      </c>
      <c r="F1050" s="94"/>
      <c r="G1050" s="100">
        <f ca="1">_xll.meDateFromTenor(G1049,"1D","FOLLOWING",H$12)</f>
        <v>43993</v>
      </c>
      <c r="H1050" s="13">
        <f ca="1">_xll.meDateFromTenor(G1050,H$14,H$11,H$12)</f>
        <v>44025</v>
      </c>
      <c r="I1050" s="98">
        <f ca="1"/>
        <v>-1.4961241416717452E-4</v>
      </c>
      <c r="J1050" s="94" t="s">
        <v>4</v>
      </c>
      <c r="K1050" s="100">
        <f ca="1">_xll.meDateFromTenor(K1049,"1D","FOLLOWING",L$12)</f>
        <v>43993</v>
      </c>
      <c r="L1050" s="13">
        <f ca="1">_xll.meDateFromTenor(K1050,L$14,L$11,L$12)</f>
        <v>44085</v>
      </c>
      <c r="M1050" s="98">
        <f ca="1"/>
        <v>1.0367532279208899E-3</v>
      </c>
      <c r="N1050" s="5" t="s">
        <v>4</v>
      </c>
      <c r="O1050" s="100">
        <f ca="1">_xll.meDateFromTenor(O1049,"1D","FOLLOWING",P$12)</f>
        <v>43993</v>
      </c>
      <c r="P1050" s="13">
        <f ca="1">_xll.meDateFromTenor(O1050,P$14,P$11,P$12)</f>
        <v>44176</v>
      </c>
      <c r="Q1050" s="98">
        <f ca="1"/>
        <v>2.9318168765057177E-3</v>
      </c>
      <c r="R1050" s="5" t="s">
        <v>4</v>
      </c>
      <c r="S1050" s="100">
        <f ca="1">_xll.meDateFromTenor(S1049,"1D","FOLLOWING",T$12)</f>
        <v>43993</v>
      </c>
      <c r="T1050" s="13">
        <f ca="1">_xll.meDateFromTenor(S1050,T$14,T$11,T$12)</f>
        <v>44358</v>
      </c>
      <c r="U1050" s="98">
        <f ca="1"/>
        <v>4.9086301371823633E-3</v>
      </c>
      <c r="V1050" s="5" t="s">
        <v>4</v>
      </c>
      <c r="W1050" s="84" t="s">
        <v>4</v>
      </c>
    </row>
    <row r="1051" spans="1:23" x14ac:dyDescent="0.25">
      <c r="A1051" s="90">
        <v>1032</v>
      </c>
      <c r="B1051" s="83"/>
      <c r="C1051" s="100">
        <f ca="1">_xll.meDateFromTenor(C1050,"1D","FOLLOWING",D$12)</f>
        <v>43994</v>
      </c>
      <c r="D1051" s="13">
        <f ca="1">_xll.meDateFromTenor(C1051,D$14,D$11,D$12)</f>
        <v>43997</v>
      </c>
      <c r="E1051" s="98">
        <f ca="1"/>
        <v>-1.1982120775711606E-3</v>
      </c>
      <c r="F1051" s="94"/>
      <c r="G1051" s="100">
        <f ca="1">_xll.meDateFromTenor(G1050,"1D","FOLLOWING",H$12)</f>
        <v>43994</v>
      </c>
      <c r="H1051" s="13">
        <f ca="1">_xll.meDateFromTenor(G1051,H$14,H$11,H$12)</f>
        <v>44025</v>
      </c>
      <c r="I1051" s="98">
        <f ca="1"/>
        <v>-1.4255712657621332E-4</v>
      </c>
      <c r="J1051" s="94" t="s">
        <v>4</v>
      </c>
      <c r="K1051" s="100">
        <f ca="1">_xll.meDateFromTenor(K1050,"1D","FOLLOWING",L$12)</f>
        <v>43994</v>
      </c>
      <c r="L1051" s="13">
        <f ca="1">_xll.meDateFromTenor(K1051,L$14,L$11,L$12)</f>
        <v>44088</v>
      </c>
      <c r="M1051" s="98">
        <f ca="1"/>
        <v>1.0433134389556513E-3</v>
      </c>
      <c r="N1051" s="5" t="s">
        <v>4</v>
      </c>
      <c r="O1051" s="100">
        <f ca="1">_xll.meDateFromTenor(O1050,"1D","FOLLOWING",P$12)</f>
        <v>43994</v>
      </c>
      <c r="P1051" s="13">
        <f ca="1">_xll.meDateFromTenor(O1051,P$14,P$11,P$12)</f>
        <v>44179</v>
      </c>
      <c r="Q1051" s="98">
        <f ca="1"/>
        <v>2.9380340249466797E-3</v>
      </c>
      <c r="R1051" s="5" t="s">
        <v>4</v>
      </c>
      <c r="S1051" s="100">
        <f ca="1">_xll.meDateFromTenor(S1050,"1D","FOLLOWING",T$12)</f>
        <v>43994</v>
      </c>
      <c r="T1051" s="13">
        <f ca="1">_xll.meDateFromTenor(S1051,T$14,T$11,T$12)</f>
        <v>44361</v>
      </c>
      <c r="U1051" s="98">
        <f ca="1"/>
        <v>4.9149394801921223E-3</v>
      </c>
      <c r="V1051" s="5" t="s">
        <v>4</v>
      </c>
      <c r="W1051" s="84" t="s">
        <v>4</v>
      </c>
    </row>
    <row r="1052" spans="1:23" x14ac:dyDescent="0.25">
      <c r="A1052" s="90">
        <v>1033</v>
      </c>
      <c r="B1052" s="83"/>
      <c r="C1052" s="100">
        <f ca="1">_xll.meDateFromTenor(C1051,"1D","FOLLOWING",D$12)</f>
        <v>43997</v>
      </c>
      <c r="D1052" s="13">
        <f ca="1">_xll.meDateFromTenor(C1052,D$14,D$11,D$12)</f>
        <v>43998</v>
      </c>
      <c r="E1052" s="98">
        <f ca="1"/>
        <v>-1.1811327482067855E-3</v>
      </c>
      <c r="F1052" s="94"/>
      <c r="G1052" s="100">
        <f ca="1">_xll.meDateFromTenor(G1051,"1D","FOLLOWING",H$12)</f>
        <v>43997</v>
      </c>
      <c r="H1052" s="13">
        <f ca="1">_xll.meDateFromTenor(G1052,H$14,H$11,H$12)</f>
        <v>44027</v>
      </c>
      <c r="I1052" s="98">
        <f ca="1"/>
        <v>-1.2141141698609735E-4</v>
      </c>
      <c r="J1052" s="94" t="s">
        <v>4</v>
      </c>
      <c r="K1052" s="100">
        <f ca="1">_xll.meDateFromTenor(K1051,"1D","FOLLOWING",L$12)</f>
        <v>43997</v>
      </c>
      <c r="L1052" s="13">
        <f ca="1">_xll.meDateFromTenor(K1052,L$14,L$11,L$12)</f>
        <v>44089</v>
      </c>
      <c r="M1052" s="98">
        <f ca="1"/>
        <v>1.0630094427397925E-3</v>
      </c>
      <c r="N1052" s="5" t="s">
        <v>4</v>
      </c>
      <c r="O1052" s="100">
        <f ca="1">_xll.meDateFromTenor(O1051,"1D","FOLLOWING",P$12)</f>
        <v>43997</v>
      </c>
      <c r="P1052" s="13">
        <f ca="1">_xll.meDateFromTenor(O1052,P$14,P$11,P$12)</f>
        <v>44180</v>
      </c>
      <c r="Q1052" s="98">
        <f ca="1"/>
        <v>2.9567078148064765E-3</v>
      </c>
      <c r="R1052" s="5" t="s">
        <v>4</v>
      </c>
      <c r="S1052" s="100">
        <f ca="1">_xll.meDateFromTenor(S1051,"1D","FOLLOWING",T$12)</f>
        <v>43997</v>
      </c>
      <c r="T1052" s="13">
        <f ca="1">_xll.meDateFromTenor(S1052,T$14,T$11,T$12)</f>
        <v>44362</v>
      </c>
      <c r="U1052" s="98">
        <f ca="1"/>
        <v>4.9339022575841341E-3</v>
      </c>
      <c r="V1052" s="5" t="s">
        <v>4</v>
      </c>
      <c r="W1052" s="84" t="s">
        <v>4</v>
      </c>
    </row>
    <row r="1053" spans="1:23" x14ac:dyDescent="0.25">
      <c r="A1053" s="90">
        <v>1034</v>
      </c>
      <c r="B1053" s="83"/>
      <c r="C1053" s="100">
        <f ca="1">_xll.meDateFromTenor(C1052,"1D","FOLLOWING",D$12)</f>
        <v>43998</v>
      </c>
      <c r="D1053" s="13">
        <f ca="1">_xll.meDateFromTenor(C1053,D$14,D$11,D$12)</f>
        <v>43999</v>
      </c>
      <c r="E1053" s="98">
        <f ca="1"/>
        <v>-1.172600948380534E-3</v>
      </c>
      <c r="F1053" s="94"/>
      <c r="G1053" s="100">
        <f ca="1">_xll.meDateFromTenor(G1052,"1D","FOLLOWING",H$12)</f>
        <v>43998</v>
      </c>
      <c r="H1053" s="13">
        <f ca="1">_xll.meDateFromTenor(G1053,H$14,H$11,H$12)</f>
        <v>44028</v>
      </c>
      <c r="I1053" s="98">
        <f ca="1"/>
        <v>-1.1437324810223397E-4</v>
      </c>
      <c r="J1053" s="94" t="s">
        <v>4</v>
      </c>
      <c r="K1053" s="100">
        <f ca="1">_xll.meDateFromTenor(K1052,"1D","FOLLOWING",L$12)</f>
        <v>43998</v>
      </c>
      <c r="L1053" s="13">
        <f ca="1">_xll.meDateFromTenor(K1053,L$14,L$11,L$12)</f>
        <v>44090</v>
      </c>
      <c r="M1053" s="98">
        <f ca="1"/>
        <v>1.0695799351933717E-3</v>
      </c>
      <c r="N1053" s="5" t="s">
        <v>4</v>
      </c>
      <c r="O1053" s="100">
        <f ca="1">_xll.meDateFromTenor(O1052,"1D","FOLLOWING",P$12)</f>
        <v>43998</v>
      </c>
      <c r="P1053" s="13">
        <f ca="1">_xll.meDateFromTenor(O1053,P$14,P$11,P$12)</f>
        <v>44181</v>
      </c>
      <c r="Q1053" s="98">
        <f ca="1"/>
        <v>2.9629398558235942E-3</v>
      </c>
      <c r="R1053" s="5" t="s">
        <v>4</v>
      </c>
      <c r="S1053" s="100">
        <f ca="1">_xll.meDateFromTenor(S1052,"1D","FOLLOWING",T$12)</f>
        <v>43998</v>
      </c>
      <c r="T1053" s="13">
        <f ca="1">_xll.meDateFromTenor(S1053,T$14,T$11,T$12)</f>
        <v>44363</v>
      </c>
      <c r="U1053" s="98">
        <f ca="1"/>
        <v>4.9402347098604447E-3</v>
      </c>
      <c r="V1053" s="5" t="s">
        <v>4</v>
      </c>
      <c r="W1053" s="84" t="s">
        <v>4</v>
      </c>
    </row>
    <row r="1054" spans="1:23" x14ac:dyDescent="0.25">
      <c r="A1054" s="90">
        <v>1035</v>
      </c>
      <c r="B1054" s="83"/>
      <c r="C1054" s="100">
        <f ca="1">_xll.meDateFromTenor(C1053,"1D","FOLLOWING",D$12)</f>
        <v>43999</v>
      </c>
      <c r="D1054" s="13">
        <f ca="1">_xll.meDateFromTenor(C1054,D$14,D$11,D$12)</f>
        <v>44000</v>
      </c>
      <c r="E1054" s="98">
        <f ca="1"/>
        <v>-1.1640750627826392E-3</v>
      </c>
      <c r="F1054" s="94"/>
      <c r="G1054" s="100">
        <f ca="1">_xll.meDateFromTenor(G1053,"1D","FOLLOWING",H$12)</f>
        <v>43999</v>
      </c>
      <c r="H1054" s="13">
        <f ca="1">_xll.meDateFromTenor(G1054,H$14,H$11,H$12)</f>
        <v>44029</v>
      </c>
      <c r="I1054" s="98">
        <f ca="1"/>
        <v>-1.0734212133408231E-4</v>
      </c>
      <c r="J1054" s="94" t="s">
        <v>4</v>
      </c>
      <c r="K1054" s="100">
        <f ca="1">_xll.meDateFromTenor(K1053,"1D","FOLLOWING",L$12)</f>
        <v>43999</v>
      </c>
      <c r="L1054" s="13">
        <f ca="1">_xll.meDateFromTenor(K1054,L$14,L$11,L$12)</f>
        <v>44091</v>
      </c>
      <c r="M1054" s="98">
        <f ca="1"/>
        <v>1.0761530237258423E-3</v>
      </c>
      <c r="N1054" s="5" t="s">
        <v>4</v>
      </c>
      <c r="O1054" s="100">
        <f ca="1">_xll.meDateFromTenor(O1053,"1D","FOLLOWING",P$12)</f>
        <v>43999</v>
      </c>
      <c r="P1054" s="13">
        <f ca="1">_xll.meDateFromTenor(O1054,P$14,P$11,P$12)</f>
        <v>44182</v>
      </c>
      <c r="Q1054" s="98">
        <f ca="1"/>
        <v>2.969175617148415E-3</v>
      </c>
      <c r="R1054" s="5" t="s">
        <v>4</v>
      </c>
      <c r="S1054" s="100">
        <f ca="1">_xll.meDateFromTenor(S1053,"1D","FOLLOWING",T$12)</f>
        <v>43999</v>
      </c>
      <c r="T1054" s="13">
        <f ca="1">_xll.meDateFromTenor(S1054,T$14,T$11,T$12)</f>
        <v>44364</v>
      </c>
      <c r="U1054" s="98">
        <f ca="1"/>
        <v>4.9465728972219415E-3</v>
      </c>
      <c r="V1054" s="5" t="s">
        <v>4</v>
      </c>
      <c r="W1054" s="84" t="s">
        <v>4</v>
      </c>
    </row>
    <row r="1055" spans="1:23" x14ac:dyDescent="0.25">
      <c r="A1055" s="90">
        <v>1036</v>
      </c>
      <c r="B1055" s="83"/>
      <c r="C1055" s="100">
        <f ca="1">_xll.meDateFromTenor(C1054,"1D","FOLLOWING",D$12)</f>
        <v>44000</v>
      </c>
      <c r="D1055" s="13">
        <f ca="1">_xll.meDateFromTenor(C1055,D$14,D$11,D$12)</f>
        <v>44001</v>
      </c>
      <c r="E1055" s="98">
        <f ca="1"/>
        <v>-1.1555550908150748E-3</v>
      </c>
      <c r="F1055" s="94"/>
      <c r="G1055" s="100">
        <f ca="1">_xll.meDateFromTenor(G1054,"1D","FOLLOWING",H$12)</f>
        <v>44000</v>
      </c>
      <c r="H1055" s="13">
        <f ca="1">_xll.meDateFromTenor(G1055,H$14,H$11,H$12)</f>
        <v>44032</v>
      </c>
      <c r="I1055" s="98">
        <f ca="1"/>
        <v>-1.0031914165721493E-4</v>
      </c>
      <c r="J1055" s="94" t="s">
        <v>4</v>
      </c>
      <c r="K1055" s="100">
        <f ca="1">_xll.meDateFromTenor(K1054,"1D","FOLLOWING",L$12)</f>
        <v>44000</v>
      </c>
      <c r="L1055" s="13">
        <f ca="1">_xll.meDateFromTenor(K1055,L$14,L$11,L$12)</f>
        <v>44092</v>
      </c>
      <c r="M1055" s="98">
        <f ca="1"/>
        <v>1.0827287186268809E-3</v>
      </c>
      <c r="N1055" s="5" t="s">
        <v>4</v>
      </c>
      <c r="O1055" s="100">
        <f ca="1">_xll.meDateFromTenor(O1054,"1D","FOLLOWING",P$12)</f>
        <v>44000</v>
      </c>
      <c r="P1055" s="13">
        <f ca="1">_xll.meDateFromTenor(O1055,P$14,P$11,P$12)</f>
        <v>44183</v>
      </c>
      <c r="Q1055" s="98">
        <f ca="1"/>
        <v>2.9754150976464052E-3</v>
      </c>
      <c r="R1055" s="5" t="s">
        <v>4</v>
      </c>
      <c r="S1055" s="100">
        <f ca="1">_xll.meDateFromTenor(S1054,"1D","FOLLOWING",T$12)</f>
        <v>44000</v>
      </c>
      <c r="T1055" s="13">
        <f ca="1">_xll.meDateFromTenor(S1055,T$14,T$11,T$12)</f>
        <v>44365</v>
      </c>
      <c r="U1055" s="98">
        <f ca="1"/>
        <v>4.9529168027760461E-3</v>
      </c>
      <c r="V1055" s="5" t="s">
        <v>4</v>
      </c>
      <c r="W1055" s="84" t="s">
        <v>4</v>
      </c>
    </row>
    <row r="1056" spans="1:23" x14ac:dyDescent="0.25">
      <c r="A1056" s="90">
        <v>1037</v>
      </c>
      <c r="B1056" s="83"/>
      <c r="C1056" s="100">
        <f ca="1">_xll.meDateFromTenor(C1055,"1D","FOLLOWING",D$12)</f>
        <v>44001</v>
      </c>
      <c r="D1056" s="13">
        <f ca="1">_xll.meDateFromTenor(C1056,D$14,D$11,D$12)</f>
        <v>44004</v>
      </c>
      <c r="E1056" s="98">
        <f ca="1"/>
        <v>-1.1385312546740567E-3</v>
      </c>
      <c r="F1056" s="94"/>
      <c r="G1056" s="100">
        <f ca="1">_xll.meDateFromTenor(G1055,"1D","FOLLOWING",H$12)</f>
        <v>44001</v>
      </c>
      <c r="H1056" s="13">
        <f ca="1">_xll.meDateFromTenor(G1056,H$14,H$11,H$12)</f>
        <v>44032</v>
      </c>
      <c r="I1056" s="98">
        <f ca="1"/>
        <v>-9.3305414047211341E-5</v>
      </c>
      <c r="J1056" s="94" t="s">
        <v>4</v>
      </c>
      <c r="K1056" s="100">
        <f ca="1">_xll.meDateFromTenor(K1055,"1D","FOLLOWING",L$12)</f>
        <v>44001</v>
      </c>
      <c r="L1056" s="13">
        <f ca="1">_xll.meDateFromTenor(K1056,L$14,L$11,L$12)</f>
        <v>44095</v>
      </c>
      <c r="M1056" s="98">
        <f ca="1"/>
        <v>1.0893070301861581E-3</v>
      </c>
      <c r="N1056" s="5" t="s">
        <v>4</v>
      </c>
      <c r="O1056" s="100">
        <f ca="1">_xll.meDateFromTenor(O1055,"1D","FOLLOWING",P$12)</f>
        <v>44001</v>
      </c>
      <c r="P1056" s="13">
        <f ca="1">_xll.meDateFromTenor(O1056,P$14,P$11,P$12)</f>
        <v>44186</v>
      </c>
      <c r="Q1056" s="98">
        <f ca="1"/>
        <v>2.9816582961830276E-3</v>
      </c>
      <c r="R1056" s="5" t="s">
        <v>4</v>
      </c>
      <c r="S1056" s="100">
        <f ca="1">_xll.meDateFromTenor(S1055,"1D","FOLLOWING",T$12)</f>
        <v>44001</v>
      </c>
      <c r="T1056" s="13">
        <f ca="1">_xll.meDateFromTenor(S1056,T$14,T$11,T$12)</f>
        <v>44368</v>
      </c>
      <c r="U1056" s="98">
        <f ca="1"/>
        <v>4.9592664096301748E-3</v>
      </c>
      <c r="V1056" s="5" t="s">
        <v>4</v>
      </c>
      <c r="W1056" s="84" t="s">
        <v>4</v>
      </c>
    </row>
    <row r="1057" spans="1:23" x14ac:dyDescent="0.25">
      <c r="A1057" s="90">
        <v>1038</v>
      </c>
      <c r="B1057" s="83"/>
      <c r="C1057" s="100">
        <f ca="1">_xll.meDateFromTenor(C1056,"1D","FOLLOWING",D$12)</f>
        <v>44004</v>
      </c>
      <c r="D1057" s="13">
        <f ca="1">_xll.meDateFromTenor(C1057,D$14,D$11,D$12)</f>
        <v>44005</v>
      </c>
      <c r="E1057" s="98">
        <f ca="1"/>
        <v>-1.1215343249706023E-3</v>
      </c>
      <c r="F1057" s="94"/>
      <c r="G1057" s="100">
        <f ca="1">_xll.meDateFromTenor(G1056,"1D","FOLLOWING",H$12)</f>
        <v>44004</v>
      </c>
      <c r="H1057" s="13">
        <f ca="1">_xll.meDateFromTenor(G1057,H$14,H$11,H$12)</f>
        <v>44034</v>
      </c>
      <c r="I1057" s="98">
        <f ca="1"/>
        <v>-7.233079337411618E-5</v>
      </c>
      <c r="J1057" s="94" t="s">
        <v>4</v>
      </c>
      <c r="K1057" s="100">
        <f ca="1">_xll.meDateFromTenor(K1056,"1D","FOLLOWING",L$12)</f>
        <v>44004</v>
      </c>
      <c r="L1057" s="13">
        <f ca="1">_xll.meDateFromTenor(K1057,L$14,L$11,L$12)</f>
        <v>44096</v>
      </c>
      <c r="M1057" s="98">
        <f ca="1"/>
        <v>1.1090577677101861E-3</v>
      </c>
      <c r="N1057" s="5" t="s">
        <v>4</v>
      </c>
      <c r="O1057" s="100">
        <f ca="1">_xll.meDateFromTenor(O1056,"1D","FOLLOWING",P$12)</f>
        <v>44004</v>
      </c>
      <c r="P1057" s="13">
        <f ca="1">_xll.meDateFromTenor(O1057,P$14,P$11,P$12)</f>
        <v>44187</v>
      </c>
      <c r="Q1057" s="98">
        <f ca="1"/>
        <v>3.000410188679351E-3</v>
      </c>
      <c r="R1057" s="5" t="s">
        <v>4</v>
      </c>
      <c r="S1057" s="100">
        <f ca="1">_xll.meDateFromTenor(S1056,"1D","FOLLOWING",T$12)</f>
        <v>44004</v>
      </c>
      <c r="T1057" s="13">
        <f ca="1">_xll.meDateFromTenor(S1057,T$14,T$11,T$12)</f>
        <v>44369</v>
      </c>
      <c r="U1057" s="98">
        <f ca="1"/>
        <v>4.9783492690669102E-3</v>
      </c>
      <c r="V1057" s="5" t="s">
        <v>4</v>
      </c>
      <c r="W1057" s="84" t="s">
        <v>4</v>
      </c>
    </row>
    <row r="1058" spans="1:23" x14ac:dyDescent="0.25">
      <c r="A1058" s="90">
        <v>1039</v>
      </c>
      <c r="B1058" s="83"/>
      <c r="C1058" s="100">
        <f ca="1">_xll.meDateFromTenor(C1057,"1D","FOLLOWING",D$12)</f>
        <v>44005</v>
      </c>
      <c r="D1058" s="13">
        <f ca="1">_xll.meDateFromTenor(C1058,D$14,D$11,D$12)</f>
        <v>44006</v>
      </c>
      <c r="E1058" s="98">
        <f ca="1"/>
        <v>-1.1130439107985206E-3</v>
      </c>
      <c r="F1058" s="94"/>
      <c r="G1058" s="100">
        <f ca="1">_xll.meDateFromTenor(G1057,"1D","FOLLOWING",H$12)</f>
        <v>44005</v>
      </c>
      <c r="H1058" s="13">
        <f ca="1">_xll.meDateFromTenor(G1058,H$14,H$11,H$12)</f>
        <v>44035</v>
      </c>
      <c r="I1058" s="98">
        <f ca="1"/>
        <v>-6.5365123787307507E-5</v>
      </c>
      <c r="J1058" s="94" t="s">
        <v>4</v>
      </c>
      <c r="K1058" s="100">
        <f ca="1">_xll.meDateFromTenor(K1057,"1D","FOLLOWING",L$12)</f>
        <v>44005</v>
      </c>
      <c r="L1058" s="13">
        <f ca="1">_xll.meDateFromTenor(K1058,L$14,L$11,L$12)</f>
        <v>44097</v>
      </c>
      <c r="M1058" s="98">
        <f ca="1"/>
        <v>1.1156466487991751E-3</v>
      </c>
      <c r="N1058" s="5" t="s">
        <v>4</v>
      </c>
      <c r="O1058" s="100">
        <f ca="1">_xll.meDateFromTenor(O1057,"1D","FOLLOWING",P$12)</f>
        <v>44005</v>
      </c>
      <c r="P1058" s="13">
        <f ca="1">_xll.meDateFromTenor(O1058,P$14,P$11,P$12)</f>
        <v>44188</v>
      </c>
      <c r="Q1058" s="98">
        <f ca="1"/>
        <v>3.0066682480251617E-3</v>
      </c>
      <c r="R1058" s="5" t="s">
        <v>4</v>
      </c>
      <c r="S1058" s="100">
        <f ca="1">_xll.meDateFromTenor(S1057,"1D","FOLLOWING",T$12)</f>
        <v>44005</v>
      </c>
      <c r="T1058" s="13">
        <f ca="1">_xll.meDateFromTenor(S1058,T$14,T$11,T$12)</f>
        <v>44370</v>
      </c>
      <c r="U1058" s="98">
        <f ca="1"/>
        <v>4.9847215121953349E-3</v>
      </c>
      <c r="V1058" s="5" t="s">
        <v>4</v>
      </c>
      <c r="W1058" s="84" t="s">
        <v>4</v>
      </c>
    </row>
    <row r="1059" spans="1:23" x14ac:dyDescent="0.25">
      <c r="A1059" s="90">
        <v>1040</v>
      </c>
      <c r="B1059" s="83"/>
      <c r="C1059" s="100">
        <f ca="1">_xll.meDateFromTenor(C1058,"1D","FOLLOWING",D$12)</f>
        <v>44006</v>
      </c>
      <c r="D1059" s="13">
        <f ca="1">_xll.meDateFromTenor(C1059,D$14,D$11,D$12)</f>
        <v>44007</v>
      </c>
      <c r="E1059" s="98">
        <f ca="1"/>
        <v>-1.1045594060197722E-3</v>
      </c>
      <c r="F1059" s="94"/>
      <c r="G1059" s="100">
        <f ca="1">_xll.meDateFromTenor(G1058,"1D","FOLLOWING",H$12)</f>
        <v>44006</v>
      </c>
      <c r="H1059" s="13">
        <f ca="1">_xll.meDateFromTenor(G1059,H$14,H$11,H$12)</f>
        <v>44036</v>
      </c>
      <c r="I1059" s="98">
        <f ca="1"/>
        <v>-5.8414231145232559E-5</v>
      </c>
      <c r="J1059" s="94" t="s">
        <v>4</v>
      </c>
      <c r="K1059" s="100">
        <f ca="1">_xll.meDateFromTenor(K1058,"1D","FOLLOWING",L$12)</f>
        <v>44006</v>
      </c>
      <c r="L1059" s="13">
        <f ca="1">_xll.meDateFromTenor(K1059,L$14,L$11,L$12)</f>
        <v>44098</v>
      </c>
      <c r="M1059" s="98">
        <f ca="1"/>
        <v>1.122238197994781E-3</v>
      </c>
      <c r="N1059" s="5" t="s">
        <v>4</v>
      </c>
      <c r="O1059" s="100">
        <f ca="1">_xll.meDateFromTenor(O1058,"1D","FOLLOWING",P$12)</f>
        <v>44006</v>
      </c>
      <c r="P1059" s="13">
        <f ca="1">_xll.meDateFromTenor(O1059,P$14,P$11,P$12)</f>
        <v>44189</v>
      </c>
      <c r="Q1059" s="98">
        <f ca="1"/>
        <v>3.0129300197369361E-3</v>
      </c>
      <c r="R1059" s="5" t="s">
        <v>4</v>
      </c>
      <c r="S1059" s="100">
        <f ca="1">_xll.meDateFromTenor(S1058,"1D","FOLLOWING",T$12)</f>
        <v>44006</v>
      </c>
      <c r="T1059" s="13">
        <f ca="1">_xll.meDateFromTenor(S1059,T$14,T$11,T$12)</f>
        <v>44371</v>
      </c>
      <c r="U1059" s="98">
        <f ca="1"/>
        <v>4.9910993721608825E-3</v>
      </c>
      <c r="V1059" s="5" t="s">
        <v>4</v>
      </c>
      <c r="W1059" s="84" t="s">
        <v>4</v>
      </c>
    </row>
    <row r="1060" spans="1:23" x14ac:dyDescent="0.25">
      <c r="A1060" s="90">
        <v>1041</v>
      </c>
      <c r="B1060" s="83"/>
      <c r="C1060" s="100">
        <f ca="1">_xll.meDateFromTenor(C1059,"1D","FOLLOWING",D$12)</f>
        <v>44007</v>
      </c>
      <c r="D1060" s="13">
        <f ca="1">_xll.meDateFromTenor(C1060,D$14,D$11,D$12)</f>
        <v>44008</v>
      </c>
      <c r="E1060" s="98">
        <f ca="1"/>
        <v>-1.096080810234669E-3</v>
      </c>
      <c r="F1060" s="94"/>
      <c r="G1060" s="100">
        <f ca="1">_xll.meDateFromTenor(G1059,"1D","FOLLOWING",H$12)</f>
        <v>44007</v>
      </c>
      <c r="H1060" s="13">
        <f ca="1">_xll.meDateFromTenor(G1060,H$14,H$11,H$12)</f>
        <v>44039</v>
      </c>
      <c r="I1060" s="98">
        <f ca="1"/>
        <v>-5.1479220423470735E-5</v>
      </c>
      <c r="J1060" s="94" t="s">
        <v>4</v>
      </c>
      <c r="K1060" s="100">
        <f ca="1">_xll.meDateFromTenor(K1059,"1D","FOLLOWING",L$12)</f>
        <v>44007</v>
      </c>
      <c r="L1060" s="13">
        <f ca="1">_xll.meDateFromTenor(K1060,L$14,L$11,L$12)</f>
        <v>44099</v>
      </c>
      <c r="M1060" s="98">
        <f ca="1"/>
        <v>1.1288324255866744E-3</v>
      </c>
      <c r="N1060" s="5" t="s">
        <v>4</v>
      </c>
      <c r="O1060" s="100">
        <f ca="1">_xll.meDateFromTenor(O1059,"1D","FOLLOWING",P$12)</f>
        <v>44007</v>
      </c>
      <c r="P1060" s="13">
        <f ca="1">_xll.meDateFromTenor(O1060,P$14,P$11,P$12)</f>
        <v>44193</v>
      </c>
      <c r="Q1060" s="98">
        <f ca="1"/>
        <v>3.0191955026801333E-3</v>
      </c>
      <c r="R1060" s="5" t="s">
        <v>4</v>
      </c>
      <c r="S1060" s="100">
        <f ca="1">_xll.meDateFromTenor(S1059,"1D","FOLLOWING",T$12)</f>
        <v>44007</v>
      </c>
      <c r="T1060" s="13">
        <f ca="1">_xll.meDateFromTenor(S1060,T$14,T$11,T$12)</f>
        <v>44372</v>
      </c>
      <c r="U1060" s="98">
        <f ca="1"/>
        <v>4.9974828320709713E-3</v>
      </c>
      <c r="V1060" s="5" t="s">
        <v>4</v>
      </c>
      <c r="W1060" s="84" t="s">
        <v>4</v>
      </c>
    </row>
    <row r="1061" spans="1:23" x14ac:dyDescent="0.25">
      <c r="A1061" s="90">
        <v>1042</v>
      </c>
      <c r="B1061" s="83"/>
      <c r="C1061" s="100">
        <f ca="1">_xll.meDateFromTenor(C1060,"1D","FOLLOWING",D$12)</f>
        <v>44008</v>
      </c>
      <c r="D1061" s="13">
        <f ca="1">_xll.meDateFromTenor(C1061,D$14,D$11,D$12)</f>
        <v>44011</v>
      </c>
      <c r="E1061" s="98">
        <f ca="1"/>
        <v>-1.0791400765652343E-3</v>
      </c>
      <c r="F1061" s="94"/>
      <c r="G1061" s="100">
        <f ca="1">_xll.meDateFromTenor(G1060,"1D","FOLLOWING",H$12)</f>
        <v>44008</v>
      </c>
      <c r="H1061" s="13">
        <f ca="1">_xll.meDateFromTenor(G1061,H$14,H$11,H$12)</f>
        <v>44039</v>
      </c>
      <c r="I1061" s="98">
        <f ca="1"/>
        <v>-4.4561196597592436E-5</v>
      </c>
      <c r="J1061" s="94" t="s">
        <v>4</v>
      </c>
      <c r="K1061" s="100">
        <f ca="1">_xll.meDateFromTenor(K1060,"1D","FOLLOWING",L$12)</f>
        <v>44008</v>
      </c>
      <c r="L1061" s="13">
        <f ca="1">_xll.meDateFromTenor(K1061,L$14,L$11,L$12)</f>
        <v>44102</v>
      </c>
      <c r="M1061" s="98">
        <f ca="1"/>
        <v>1.1354293418645344E-3</v>
      </c>
      <c r="N1061" s="5" t="s">
        <v>4</v>
      </c>
      <c r="O1061" s="100">
        <f ca="1">_xll.meDateFromTenor(O1060,"1D","FOLLOWING",P$12)</f>
        <v>44008</v>
      </c>
      <c r="P1061" s="13">
        <f ca="1">_xll.meDateFromTenor(O1061,P$14,P$11,P$12)</f>
        <v>44193</v>
      </c>
      <c r="Q1061" s="98">
        <f ca="1"/>
        <v>3.0254646957202256E-3</v>
      </c>
      <c r="R1061" s="5" t="s">
        <v>4</v>
      </c>
      <c r="S1061" s="100">
        <f ca="1">_xll.meDateFromTenor(S1060,"1D","FOLLOWING",T$12)</f>
        <v>44008</v>
      </c>
      <c r="T1061" s="13">
        <f ca="1">_xll.meDateFromTenor(S1061,T$14,T$11,T$12)</f>
        <v>44375</v>
      </c>
      <c r="U1061" s="98">
        <f ca="1"/>
        <v>5.0038718750330235E-3</v>
      </c>
      <c r="V1061" s="5" t="s">
        <v>4</v>
      </c>
      <c r="W1061" s="84" t="s">
        <v>4</v>
      </c>
    </row>
    <row r="1062" spans="1:23" x14ac:dyDescent="0.25">
      <c r="A1062" s="90">
        <v>1043</v>
      </c>
      <c r="B1062" s="83"/>
      <c r="C1062" s="100">
        <f ca="1">_xll.meDateFromTenor(C1061,"1D","FOLLOWING",D$12)</f>
        <v>44011</v>
      </c>
      <c r="D1062" s="13">
        <f ca="1">_xll.meDateFromTenor(C1062,D$14,D$11,D$12)</f>
        <v>44012</v>
      </c>
      <c r="E1062" s="98">
        <f ca="1"/>
        <v>-1.0622255018379395E-3</v>
      </c>
      <c r="F1062" s="94"/>
      <c r="G1062" s="100">
        <f ca="1">_xll.meDateFromTenor(G1061,"1D","FOLLOWING",H$12)</f>
        <v>44011</v>
      </c>
      <c r="H1062" s="13">
        <f ca="1">_xll.meDateFromTenor(G1062,H$14,H$11,H$12)</f>
        <v>44041</v>
      </c>
      <c r="I1062" s="98">
        <f ca="1"/>
        <v>-2.392009625102557E-5</v>
      </c>
      <c r="J1062" s="94" t="s">
        <v>4</v>
      </c>
      <c r="K1062" s="100">
        <f ca="1">_xll.meDateFromTenor(K1061,"1D","FOLLOWING",L$12)</f>
        <v>44011</v>
      </c>
      <c r="L1062" s="13">
        <f ca="1">_xll.meDateFromTenor(K1062,L$14,L$11,L$12)</f>
        <v>44103</v>
      </c>
      <c r="M1062" s="98">
        <f ca="1"/>
        <v>1.1552363257106436E-3</v>
      </c>
      <c r="N1062" s="5" t="s">
        <v>4</v>
      </c>
      <c r="O1062" s="100">
        <f ca="1">_xll.meDateFromTenor(O1061,"1D","FOLLOWING",P$12)</f>
        <v>44011</v>
      </c>
      <c r="P1062" s="13">
        <f ca="1">_xll.meDateFromTenor(O1062,P$14,P$11,P$12)</f>
        <v>44194</v>
      </c>
      <c r="Q1062" s="98">
        <f ca="1"/>
        <v>3.044294524076503E-3</v>
      </c>
      <c r="R1062" s="5" t="s">
        <v>4</v>
      </c>
      <c r="S1062" s="100">
        <f ca="1">_xll.meDateFromTenor(S1061,"1D","FOLLOWING",T$12)</f>
        <v>44011</v>
      </c>
      <c r="T1062" s="13">
        <f ca="1">_xll.meDateFromTenor(S1062,T$14,T$11,T$12)</f>
        <v>44376</v>
      </c>
      <c r="U1062" s="98">
        <f ca="1"/>
        <v>5.023072333305136E-3</v>
      </c>
      <c r="V1062" s="5" t="s">
        <v>4</v>
      </c>
      <c r="W1062" s="84" t="s">
        <v>4</v>
      </c>
    </row>
    <row r="1063" spans="1:23" x14ac:dyDescent="0.25">
      <c r="A1063" s="90">
        <v>1044</v>
      </c>
      <c r="B1063" s="83"/>
      <c r="C1063" s="100">
        <f ca="1">_xll.meDateFromTenor(C1062,"1D","FOLLOWING",D$12)</f>
        <v>44012</v>
      </c>
      <c r="D1063" s="13">
        <f ca="1">_xll.meDateFromTenor(C1063,D$14,D$11,D$12)</f>
        <v>44013</v>
      </c>
      <c r="E1063" s="98">
        <f ca="1"/>
        <v>-1.0537764404270917E-3</v>
      </c>
      <c r="F1063" s="94"/>
      <c r="G1063" s="100">
        <f ca="1">_xll.meDateFromTenor(G1062,"1D","FOLLOWING",H$12)</f>
        <v>44012</v>
      </c>
      <c r="H1063" s="13">
        <f ca="1">_xll.meDateFromTenor(G1063,H$14,H$11,H$12)</f>
        <v>44042</v>
      </c>
      <c r="I1063" s="98">
        <f ca="1"/>
        <v>-1.7081069764441533E-5</v>
      </c>
      <c r="J1063" s="94" t="s">
        <v>4</v>
      </c>
      <c r="K1063" s="100">
        <f ca="1">_xll.meDateFromTenor(K1062,"1D","FOLLOWING",L$12)</f>
        <v>44012</v>
      </c>
      <c r="L1063" s="13">
        <f ca="1">_xll.meDateFromTenor(K1063,L$14,L$11,L$12)</f>
        <v>44104</v>
      </c>
      <c r="M1063" s="98">
        <f ca="1"/>
        <v>1.1618440996291068E-3</v>
      </c>
      <c r="N1063" s="5" t="s">
        <v>4</v>
      </c>
      <c r="O1063" s="100">
        <f ca="1">_xll.meDateFromTenor(O1062,"1D","FOLLOWING",P$12)</f>
        <v>44012</v>
      </c>
      <c r="P1063" s="13">
        <f ca="1">_xll.meDateFromTenor(O1063,P$14,P$11,P$12)</f>
        <v>44195</v>
      </c>
      <c r="Q1063" s="98">
        <f ca="1"/>
        <v>3.0505785461588152E-3</v>
      </c>
      <c r="R1063" s="5" t="s">
        <v>4</v>
      </c>
      <c r="S1063" s="100">
        <f ca="1">_xll.meDateFromTenor(S1062,"1D","FOLLOWING",T$12)</f>
        <v>44012</v>
      </c>
      <c r="T1063" s="13">
        <f ca="1">_xll.meDateFromTenor(S1063,T$14,T$11,T$12)</f>
        <v>44377</v>
      </c>
      <c r="U1063" s="98">
        <f ca="1"/>
        <v>5.0294835395492243E-3</v>
      </c>
      <c r="V1063" s="5" t="s">
        <v>4</v>
      </c>
      <c r="W1063" s="84" t="s">
        <v>4</v>
      </c>
    </row>
    <row r="1064" spans="1:23" x14ac:dyDescent="0.25">
      <c r="A1064" s="90">
        <v>1045</v>
      </c>
      <c r="B1064" s="83"/>
      <c r="C1064" s="100">
        <f ca="1">_xll.meDateFromTenor(C1063,"1D","FOLLOWING",D$12)</f>
        <v>44013</v>
      </c>
      <c r="D1064" s="13">
        <f ca="1">_xll.meDateFromTenor(C1064,D$14,D$11,D$12)</f>
        <v>44014</v>
      </c>
      <c r="E1064" s="98">
        <f ca="1"/>
        <v>-1.0453332836137296E-3</v>
      </c>
      <c r="F1064" s="94"/>
      <c r="G1064" s="100">
        <f ca="1">_xll.meDateFromTenor(G1063,"1D","FOLLOWING",H$12)</f>
        <v>44013</v>
      </c>
      <c r="H1064" s="13">
        <f ca="1">_xll.meDateFromTenor(G1064,H$14,H$11,H$12)</f>
        <v>44046</v>
      </c>
      <c r="I1064" s="98">
        <f ca="1"/>
        <v>-1.0264555051615525E-5</v>
      </c>
      <c r="J1064" s="94" t="s">
        <v>4</v>
      </c>
      <c r="K1064" s="100">
        <f ca="1">_xll.meDateFromTenor(K1063,"1D","FOLLOWING",L$12)</f>
        <v>44013</v>
      </c>
      <c r="L1064" s="13">
        <f ca="1">_xll.meDateFromTenor(K1064,L$14,L$11,L$12)</f>
        <v>44105</v>
      </c>
      <c r="M1064" s="98">
        <f ca="1"/>
        <v>1.1684546136819104E-3</v>
      </c>
      <c r="N1064" s="5" t="s">
        <v>4</v>
      </c>
      <c r="O1064" s="100">
        <f ca="1">_xll.meDateFromTenor(O1063,"1D","FOLLOWING",P$12)</f>
        <v>44013</v>
      </c>
      <c r="P1064" s="13">
        <f ca="1">_xll.meDateFromTenor(O1064,P$14,P$11,P$12)</f>
        <v>44200</v>
      </c>
      <c r="Q1064" s="98">
        <f ca="1"/>
        <v>3.0568662726653483E-3</v>
      </c>
      <c r="R1064" s="5" t="s">
        <v>4</v>
      </c>
      <c r="S1064" s="100">
        <f ca="1">_xll.meDateFromTenor(S1063,"1D","FOLLOWING",T$12)</f>
        <v>44013</v>
      </c>
      <c r="T1064" s="13">
        <f ca="1">_xll.meDateFromTenor(S1064,T$14,T$11,T$12)</f>
        <v>44378</v>
      </c>
      <c r="U1064" s="98">
        <f ca="1"/>
        <v>5.0359002443823731E-3</v>
      </c>
      <c r="V1064" s="5" t="s">
        <v>4</v>
      </c>
      <c r="W1064" s="84" t="s">
        <v>4</v>
      </c>
    </row>
    <row r="1065" spans="1:23" x14ac:dyDescent="0.25">
      <c r="A1065" s="90">
        <v>1046</v>
      </c>
      <c r="B1065" s="83"/>
      <c r="C1065" s="100">
        <f ca="1">_xll.meDateFromTenor(C1064,"1D","FOLLOWING",D$12)</f>
        <v>44014</v>
      </c>
      <c r="D1065" s="13">
        <f ca="1">_xll.meDateFromTenor(C1065,D$14,D$11,D$12)</f>
        <v>44015</v>
      </c>
      <c r="E1065" s="98">
        <f ca="1"/>
        <v>-1.0368960309968301E-3</v>
      </c>
      <c r="F1065" s="94"/>
      <c r="G1065" s="100">
        <f ca="1">_xll.meDateFromTenor(G1064,"1D","FOLLOWING",H$12)</f>
        <v>44014</v>
      </c>
      <c r="H1065" s="13">
        <f ca="1">_xll.meDateFromTenor(G1065,H$14,H$11,H$12)</f>
        <v>44046</v>
      </c>
      <c r="I1065" s="98">
        <f ca="1"/>
        <v>-3.4716570881268753E-6</v>
      </c>
      <c r="J1065" s="94" t="s">
        <v>4</v>
      </c>
      <c r="K1065" s="100">
        <f ca="1">_xll.meDateFromTenor(K1064,"1D","FOLLOWING",L$12)</f>
        <v>44014</v>
      </c>
      <c r="L1065" s="13">
        <f ca="1">_xll.meDateFromTenor(K1065,L$14,L$11,L$12)</f>
        <v>44106</v>
      </c>
      <c r="M1065" s="98">
        <f ca="1"/>
        <v>1.1750678781587245E-3</v>
      </c>
      <c r="N1065" s="5" t="s">
        <v>4</v>
      </c>
      <c r="O1065" s="100">
        <f ca="1">_xll.meDateFromTenor(O1064,"1D","FOLLOWING",P$12)</f>
        <v>44014</v>
      </c>
      <c r="P1065" s="13">
        <f ca="1">_xll.meDateFromTenor(O1065,P$14,P$11,P$12)</f>
        <v>44200</v>
      </c>
      <c r="Q1065" s="98">
        <f ca="1"/>
        <v>3.0631577024615641E-3</v>
      </c>
      <c r="R1065" s="5" t="s">
        <v>4</v>
      </c>
      <c r="S1065" s="100">
        <f ca="1">_xll.meDateFromTenor(S1064,"1D","FOLLOWING",T$12)</f>
        <v>44014</v>
      </c>
      <c r="T1065" s="13">
        <f ca="1">_xll.meDateFromTenor(S1065,T$14,T$11,T$12)</f>
        <v>44379</v>
      </c>
      <c r="U1065" s="98">
        <f ca="1"/>
        <v>5.042322430911998E-3</v>
      </c>
      <c r="V1065" s="5" t="s">
        <v>4</v>
      </c>
      <c r="W1065" s="84" t="s">
        <v>4</v>
      </c>
    </row>
    <row r="1066" spans="1:23" x14ac:dyDescent="0.25">
      <c r="A1066" s="90">
        <v>1047</v>
      </c>
      <c r="B1066" s="83"/>
      <c r="C1066" s="100">
        <f ca="1">_xll.meDateFromTenor(C1065,"1D","FOLLOWING",D$12)</f>
        <v>44015</v>
      </c>
      <c r="D1066" s="13">
        <f ca="1">_xll.meDateFromTenor(C1066,D$14,D$11,D$12)</f>
        <v>44018</v>
      </c>
      <c r="E1066" s="98">
        <f ca="1"/>
        <v>-1.0200383131087644E-3</v>
      </c>
      <c r="F1066" s="94"/>
      <c r="G1066" s="100">
        <f ca="1">_xll.meDateFromTenor(G1065,"1D","FOLLOWING",H$12)</f>
        <v>44015</v>
      </c>
      <c r="H1066" s="13">
        <f ca="1">_xll.meDateFromTenor(G1066,H$14,H$11,H$12)</f>
        <v>44046</v>
      </c>
      <c r="I1066" s="98">
        <f ca="1"/>
        <v>3.2969222200337135E-6</v>
      </c>
      <c r="J1066" s="94" t="s">
        <v>4</v>
      </c>
      <c r="K1066" s="100">
        <f ca="1">_xll.meDateFromTenor(K1065,"1D","FOLLOWING",L$12)</f>
        <v>44015</v>
      </c>
      <c r="L1066" s="13">
        <f ca="1">_xll.meDateFromTenor(K1066,L$14,L$11,L$12)</f>
        <v>44109</v>
      </c>
      <c r="M1066" s="98">
        <f ca="1"/>
        <v>1.1816839033492266E-3</v>
      </c>
      <c r="N1066" s="5" t="s">
        <v>4</v>
      </c>
      <c r="O1066" s="100">
        <f ca="1">_xll.meDateFromTenor(O1065,"1D","FOLLOWING",P$12)</f>
        <v>44015</v>
      </c>
      <c r="P1066" s="13">
        <f ca="1">_xll.meDateFromTenor(O1066,P$14,P$11,P$12)</f>
        <v>44200</v>
      </c>
      <c r="Q1066" s="98">
        <f ca="1"/>
        <v>3.0694528344129305E-3</v>
      </c>
      <c r="R1066" s="5" t="s">
        <v>4</v>
      </c>
      <c r="S1066" s="100">
        <f ca="1">_xll.meDateFromTenor(S1065,"1D","FOLLOWING",T$12)</f>
        <v>44015</v>
      </c>
      <c r="T1066" s="13">
        <f ca="1">_xll.meDateFromTenor(S1066,T$14,T$11,T$12)</f>
        <v>44382</v>
      </c>
      <c r="U1066" s="98">
        <f ca="1"/>
        <v>5.0487500822455197E-3</v>
      </c>
      <c r="V1066" s="5" t="s">
        <v>4</v>
      </c>
      <c r="W1066" s="84" t="s">
        <v>4</v>
      </c>
    </row>
    <row r="1067" spans="1:23" x14ac:dyDescent="0.25">
      <c r="A1067" s="90">
        <v>1048</v>
      </c>
      <c r="B1067" s="83"/>
      <c r="C1067" s="100">
        <f ca="1">_xll.meDateFromTenor(C1066,"1D","FOLLOWING",D$12)</f>
        <v>44018</v>
      </c>
      <c r="D1067" s="13">
        <f ca="1">_xll.meDateFromTenor(C1067,D$14,D$11,D$12)</f>
        <v>44019</v>
      </c>
      <c r="E1067" s="98">
        <f ca="1"/>
        <v>-1.0032060495522397E-3</v>
      </c>
      <c r="F1067" s="94"/>
      <c r="G1067" s="100">
        <f ca="1">_xll.meDateFromTenor(G1066,"1D","FOLLOWING",H$12)</f>
        <v>44018</v>
      </c>
      <c r="H1067" s="13">
        <f ca="1">_xll.meDateFromTenor(G1067,H$14,H$11,H$12)</f>
        <v>44049</v>
      </c>
      <c r="I1067" s="98">
        <f ca="1"/>
        <v>2.3467464214229184E-5</v>
      </c>
      <c r="J1067" s="94" t="s">
        <v>4</v>
      </c>
      <c r="K1067" s="100">
        <f ca="1">_xll.meDateFromTenor(K1066,"1D","FOLLOWING",L$12)</f>
        <v>44018</v>
      </c>
      <c r="L1067" s="13">
        <f ca="1">_xll.meDateFromTenor(K1067,L$14,L$11,L$12)</f>
        <v>44110</v>
      </c>
      <c r="M1067" s="98">
        <f ca="1"/>
        <v>1.2015486460996124E-3</v>
      </c>
      <c r="N1067" s="5" t="s">
        <v>4</v>
      </c>
      <c r="O1067" s="100">
        <f ca="1">_xll.meDateFromTenor(O1066,"1D","FOLLOWING",P$12)</f>
        <v>44018</v>
      </c>
      <c r="P1067" s="13">
        <f ca="1">_xll.meDateFromTenor(O1067,P$14,P$11,P$12)</f>
        <v>44202</v>
      </c>
      <c r="Q1067" s="98">
        <f ca="1"/>
        <v>3.0883604318525889E-3</v>
      </c>
      <c r="R1067" s="5" t="s">
        <v>4</v>
      </c>
      <c r="S1067" s="100">
        <f ca="1">_xll.meDateFromTenor(S1066,"1D","FOLLOWING",T$12)</f>
        <v>44018</v>
      </c>
      <c r="T1067" s="13">
        <f ca="1">_xll.meDateFromTenor(S1067,T$14,T$11,T$12)</f>
        <v>44383</v>
      </c>
      <c r="U1067" s="98">
        <f ca="1"/>
        <v>5.0680656561436664E-3</v>
      </c>
      <c r="V1067" s="5" t="s">
        <v>4</v>
      </c>
      <c r="W1067" s="84" t="s">
        <v>4</v>
      </c>
    </row>
    <row r="1068" spans="1:23" x14ac:dyDescent="0.25">
      <c r="A1068" s="90">
        <v>1049</v>
      </c>
      <c r="B1068" s="83"/>
      <c r="C1068" s="100">
        <f ca="1">_xll.meDateFromTenor(C1067,"1D","FOLLOWING",D$12)</f>
        <v>44019</v>
      </c>
      <c r="D1068" s="13">
        <f ca="1">_xll.meDateFromTenor(C1068,D$14,D$11,D$12)</f>
        <v>44020</v>
      </c>
      <c r="E1068" s="98">
        <f ca="1"/>
        <v>-9.9479830804954537E-4</v>
      </c>
      <c r="F1068" s="94"/>
      <c r="G1068" s="100">
        <f ca="1">_xll.meDateFromTenor(G1067,"1D","FOLLOWING",H$12)</f>
        <v>44019</v>
      </c>
      <c r="H1068" s="13">
        <f ca="1">_xll.meDateFromTenor(G1068,H$14,H$11,H$12)</f>
        <v>44050</v>
      </c>
      <c r="I1068" s="98">
        <f ca="1"/>
        <v>3.015029104191918E-5</v>
      </c>
      <c r="J1068" s="94" t="s">
        <v>4</v>
      </c>
      <c r="K1068" s="100">
        <f ca="1">_xll.meDateFromTenor(K1067,"1D","FOLLOWING",L$12)</f>
        <v>44019</v>
      </c>
      <c r="L1068" s="13">
        <f ca="1">_xll.meDateFromTenor(K1068,L$14,L$11,L$12)</f>
        <v>44111</v>
      </c>
      <c r="M1068" s="98">
        <f ca="1"/>
        <v>1.2081758170416138E-3</v>
      </c>
      <c r="N1068" s="5" t="s">
        <v>4</v>
      </c>
      <c r="O1068" s="100">
        <f ca="1">_xll.meDateFromTenor(O1067,"1D","FOLLOWING",P$12)</f>
        <v>44019</v>
      </c>
      <c r="P1068" s="13">
        <f ca="1">_xll.meDateFromTenor(O1068,P$14,P$11,P$12)</f>
        <v>44203</v>
      </c>
      <c r="Q1068" s="98">
        <f ca="1"/>
        <v>3.0946703610792107E-3</v>
      </c>
      <c r="R1068" s="5" t="s">
        <v>4</v>
      </c>
      <c r="S1068" s="100">
        <f ca="1">_xll.meDateFromTenor(S1067,"1D","FOLLOWING",T$12)</f>
        <v>44019</v>
      </c>
      <c r="T1068" s="13">
        <f ca="1">_xll.meDateFromTenor(S1068,T$14,T$11,T$12)</f>
        <v>44384</v>
      </c>
      <c r="U1068" s="98">
        <f ca="1"/>
        <v>5.0745149977669702E-3</v>
      </c>
      <c r="V1068" s="5" t="s">
        <v>4</v>
      </c>
      <c r="W1068" s="84" t="s">
        <v>4</v>
      </c>
    </row>
    <row r="1069" spans="1:23" x14ac:dyDescent="0.25">
      <c r="A1069" s="90">
        <v>1050</v>
      </c>
      <c r="B1069" s="83"/>
      <c r="C1069" s="100">
        <f ca="1">_xll.meDateFromTenor(C1068,"1D","FOLLOWING",D$12)</f>
        <v>44020</v>
      </c>
      <c r="D1069" s="13">
        <f ca="1">_xll.meDateFromTenor(C1069,D$14,D$11,D$12)</f>
        <v>44021</v>
      </c>
      <c r="E1069" s="98">
        <f ca="1"/>
        <v>-9.8639646686644726E-4</v>
      </c>
      <c r="F1069" s="94"/>
      <c r="G1069" s="100">
        <f ca="1">_xll.meDateFromTenor(G1068,"1D","FOLLOWING",H$12)</f>
        <v>44020</v>
      </c>
      <c r="H1069" s="13">
        <f ca="1">_xll.meDateFromTenor(G1069,H$14,H$11,H$12)</f>
        <v>44053</v>
      </c>
      <c r="I1069" s="98">
        <f ca="1"/>
        <v>3.6814963354283922E-5</v>
      </c>
      <c r="J1069" s="94" t="s">
        <v>4</v>
      </c>
      <c r="K1069" s="100">
        <f ca="1">_xll.meDateFromTenor(K1068,"1D","FOLLOWING",L$12)</f>
        <v>44020</v>
      </c>
      <c r="L1069" s="13">
        <f ca="1">_xll.meDateFromTenor(K1069,L$14,L$11,L$12)</f>
        <v>44112</v>
      </c>
      <c r="M1069" s="98">
        <f ca="1"/>
        <v>1.2148058001456769E-3</v>
      </c>
      <c r="N1069" s="5" t="s">
        <v>4</v>
      </c>
      <c r="O1069" s="100">
        <f ca="1">_xll.meDateFromTenor(O1068,"1D","FOLLOWING",P$12)</f>
        <v>44020</v>
      </c>
      <c r="P1069" s="13">
        <f ca="1">_xll.meDateFromTenor(O1069,P$14,P$11,P$12)</f>
        <v>44204</v>
      </c>
      <c r="Q1069" s="98">
        <f ca="1"/>
        <v>3.1009839867883098E-3</v>
      </c>
      <c r="R1069" s="5" t="s">
        <v>4</v>
      </c>
      <c r="S1069" s="100">
        <f ca="1">_xll.meDateFromTenor(S1068,"1D","FOLLOWING",T$12)</f>
        <v>44020</v>
      </c>
      <c r="T1069" s="13">
        <f ca="1">_xll.meDateFromTenor(S1069,T$14,T$11,T$12)</f>
        <v>44385</v>
      </c>
      <c r="U1069" s="98">
        <f ca="1"/>
        <v>5.0809697197312688E-3</v>
      </c>
      <c r="V1069" s="5" t="s">
        <v>4</v>
      </c>
      <c r="W1069" s="84" t="s">
        <v>4</v>
      </c>
    </row>
    <row r="1070" spans="1:23" x14ac:dyDescent="0.25">
      <c r="A1070" s="90">
        <v>1051</v>
      </c>
      <c r="B1070" s="83"/>
      <c r="C1070" s="100">
        <f ca="1">_xll.meDateFromTenor(C1069,"1D","FOLLOWING",D$12)</f>
        <v>44021</v>
      </c>
      <c r="D1070" s="13">
        <f ca="1">_xll.meDateFromTenor(C1070,D$14,D$11,D$12)</f>
        <v>44022</v>
      </c>
      <c r="E1070" s="98">
        <f ca="1"/>
        <v>-9.7800052512491569E-4</v>
      </c>
      <c r="F1070" s="94"/>
      <c r="G1070" s="100">
        <f ca="1">_xll.meDateFromTenor(G1069,"1D","FOLLOWING",H$12)</f>
        <v>44021</v>
      </c>
      <c r="H1070" s="13">
        <f ca="1">_xll.meDateFromTenor(G1070,H$14,H$11,H$12)</f>
        <v>44053</v>
      </c>
      <c r="I1070" s="98">
        <f ca="1"/>
        <v>4.3462794593240365E-5</v>
      </c>
      <c r="J1070" s="94" t="s">
        <v>4</v>
      </c>
      <c r="K1070" s="100">
        <f ca="1">_xll.meDateFromTenor(K1069,"1D","FOLLOWING",L$12)</f>
        <v>44021</v>
      </c>
      <c r="L1070" s="13">
        <f ca="1">_xll.meDateFromTenor(K1070,L$14,L$11,L$12)</f>
        <v>44113</v>
      </c>
      <c r="M1070" s="98">
        <f ca="1"/>
        <v>1.2214386057014766E-3</v>
      </c>
      <c r="N1070" s="5" t="s">
        <v>4</v>
      </c>
      <c r="O1070" s="100">
        <f ca="1">_xll.meDateFromTenor(O1069,"1D","FOLLOWING",P$12)</f>
        <v>44021</v>
      </c>
      <c r="P1070" s="13">
        <f ca="1">_xll.meDateFromTenor(O1070,P$14,P$11,P$12)</f>
        <v>44207</v>
      </c>
      <c r="Q1070" s="98">
        <f ca="1"/>
        <v>3.1073013078453519E-3</v>
      </c>
      <c r="R1070" s="5" t="s">
        <v>4</v>
      </c>
      <c r="S1070" s="100">
        <f ca="1">_xll.meDateFromTenor(S1069,"1D","FOLLOWING",T$12)</f>
        <v>44021</v>
      </c>
      <c r="T1070" s="13">
        <f ca="1">_xll.meDateFromTenor(S1070,T$14,T$11,T$12)</f>
        <v>44386</v>
      </c>
      <c r="U1070" s="98">
        <f ca="1"/>
        <v>5.0874298051439811E-3</v>
      </c>
      <c r="V1070" s="5" t="s">
        <v>4</v>
      </c>
      <c r="W1070" s="84" t="s">
        <v>4</v>
      </c>
    </row>
    <row r="1071" spans="1:23" x14ac:dyDescent="0.25">
      <c r="A1071" s="90">
        <v>1052</v>
      </c>
      <c r="B1071" s="83"/>
      <c r="C1071" s="100">
        <f ca="1">_xll.meDateFromTenor(C1070,"1D","FOLLOWING",D$12)</f>
        <v>44022</v>
      </c>
      <c r="D1071" s="13">
        <f ca="1">_xll.meDateFromTenor(C1071,D$14,D$11,D$12)</f>
        <v>44025</v>
      </c>
      <c r="E1071" s="98">
        <f ca="1"/>
        <v>-9.6122573752572486E-4</v>
      </c>
      <c r="F1071" s="94"/>
      <c r="G1071" s="100">
        <f ca="1">_xll.meDateFromTenor(G1070,"1D","FOLLOWING",H$12)</f>
        <v>44022</v>
      </c>
      <c r="H1071" s="13">
        <f ca="1">_xll.meDateFromTenor(G1071,H$14,H$11,H$12)</f>
        <v>44053</v>
      </c>
      <c r="I1071" s="98">
        <f ca="1"/>
        <v>5.009509820070763E-5</v>
      </c>
      <c r="J1071" s="94" t="s">
        <v>4</v>
      </c>
      <c r="K1071" s="100">
        <f ca="1">_xll.meDateFromTenor(K1070,"1D","FOLLOWING",L$12)</f>
        <v>44022</v>
      </c>
      <c r="L1071" s="13">
        <f ca="1">_xll.meDateFromTenor(K1071,L$14,L$11,L$12)</f>
        <v>44116</v>
      </c>
      <c r="M1071" s="98">
        <f ca="1"/>
        <v>1.2280742439986897E-3</v>
      </c>
      <c r="N1071" s="5" t="s">
        <v>4</v>
      </c>
      <c r="O1071" s="100">
        <f ca="1">_xll.meDateFromTenor(O1070,"1D","FOLLOWING",P$12)</f>
        <v>44022</v>
      </c>
      <c r="P1071" s="13">
        <f ca="1">_xll.meDateFromTenor(O1071,P$14,P$11,P$12)</f>
        <v>44207</v>
      </c>
      <c r="Q1071" s="98">
        <f ca="1"/>
        <v>3.1136223231158044E-3</v>
      </c>
      <c r="R1071" s="5" t="s">
        <v>4</v>
      </c>
      <c r="S1071" s="100">
        <f ca="1">_xll.meDateFromTenor(S1070,"1D","FOLLOWING",T$12)</f>
        <v>44022</v>
      </c>
      <c r="T1071" s="13">
        <f ca="1">_xll.meDateFromTenor(S1071,T$14,T$11,T$12)</f>
        <v>44389</v>
      </c>
      <c r="U1071" s="98">
        <f ca="1"/>
        <v>5.0938952371125286E-3</v>
      </c>
      <c r="V1071" s="5" t="s">
        <v>4</v>
      </c>
      <c r="W1071" s="84" t="s">
        <v>4</v>
      </c>
    </row>
    <row r="1072" spans="1:23" x14ac:dyDescent="0.25">
      <c r="A1072" s="90">
        <v>1053</v>
      </c>
      <c r="B1072" s="83"/>
      <c r="C1072" s="100">
        <f ca="1">_xll.meDateFromTenor(C1071,"1D","FOLLOWING",D$12)</f>
        <v>44025</v>
      </c>
      <c r="D1072" s="13">
        <f ca="1">_xll.meDateFromTenor(C1072,D$14,D$11,D$12)</f>
        <v>44026</v>
      </c>
      <c r="E1072" s="98">
        <f ca="1"/>
        <v>-9.4447574157567778E-4</v>
      </c>
      <c r="F1072" s="94"/>
      <c r="G1072" s="100">
        <f ca="1">_xll.meDateFromTenor(G1071,"1D","FOLLOWING",H$12)</f>
        <v>44025</v>
      </c>
      <c r="H1072" s="13">
        <f ca="1">_xll.meDateFromTenor(G1072,H$14,H$11,H$12)</f>
        <v>44056</v>
      </c>
      <c r="I1072" s="98">
        <f ca="1"/>
        <v>6.9911977653326583E-5</v>
      </c>
      <c r="J1072" s="94" t="s">
        <v>4</v>
      </c>
      <c r="K1072" s="100">
        <f ca="1">_xll.meDateFromTenor(K1071,"1D","FOLLOWING",L$12)</f>
        <v>44025</v>
      </c>
      <c r="L1072" s="13">
        <f ca="1">_xll.meDateFromTenor(K1072,L$14,L$11,L$12)</f>
        <v>44117</v>
      </c>
      <c r="M1072" s="98">
        <f ca="1"/>
        <v>1.2479982582355403E-3</v>
      </c>
      <c r="N1072" s="5" t="s">
        <v>4</v>
      </c>
      <c r="O1072" s="100">
        <f ca="1">_xll.meDateFromTenor(O1071,"1D","FOLLOWING",P$12)</f>
        <v>44025</v>
      </c>
      <c r="P1072" s="13">
        <f ca="1">_xll.meDateFromTenor(O1072,P$14,P$11,P$12)</f>
        <v>44209</v>
      </c>
      <c r="Q1072" s="98">
        <f ca="1"/>
        <v>3.1326075228622638E-3</v>
      </c>
      <c r="R1072" s="5" t="s">
        <v>4</v>
      </c>
      <c r="S1072" s="100">
        <f ca="1">_xll.meDateFromTenor(S1071,"1D","FOLLOWING",T$12)</f>
        <v>44025</v>
      </c>
      <c r="T1072" s="13">
        <f ca="1">_xll.meDateFromTenor(S1072,T$14,T$11,T$12)</f>
        <v>44390</v>
      </c>
      <c r="U1072" s="98">
        <f ca="1"/>
        <v>5.1133234434273568E-3</v>
      </c>
      <c r="V1072" s="5" t="s">
        <v>4</v>
      </c>
      <c r="W1072" s="84" t="s">
        <v>4</v>
      </c>
    </row>
    <row r="1073" spans="1:23" x14ac:dyDescent="0.25">
      <c r="A1073" s="90">
        <v>1054</v>
      </c>
      <c r="B1073" s="83"/>
      <c r="C1073" s="100">
        <f ca="1">_xll.meDateFromTenor(C1072,"1D","FOLLOWING",D$12)</f>
        <v>44026</v>
      </c>
      <c r="D1073" s="13">
        <f ca="1">_xll.meDateFromTenor(C1073,D$14,D$11,D$12)</f>
        <v>44027</v>
      </c>
      <c r="E1073" s="98">
        <f ca="1"/>
        <v>-9.3610928832517999E-4</v>
      </c>
      <c r="F1073" s="94"/>
      <c r="G1073" s="100">
        <f ca="1">_xll.meDateFromTenor(G1072,"1D","FOLLOWING",H$12)</f>
        <v>44026</v>
      </c>
      <c r="H1073" s="13">
        <f ca="1">_xll.meDateFromTenor(G1073,H$14,H$11,H$12)</f>
        <v>44057</v>
      </c>
      <c r="I1073" s="98">
        <f ca="1"/>
        <v>7.6495305153995895E-5</v>
      </c>
      <c r="J1073" s="94" t="s">
        <v>4</v>
      </c>
      <c r="K1073" s="100">
        <f ca="1">_xll.meDateFromTenor(K1072,"1D","FOLLOWING",L$12)</f>
        <v>44026</v>
      </c>
      <c r="L1073" s="13">
        <f ca="1">_xll.meDateFromTenor(K1073,L$14,L$11,L$12)</f>
        <v>44118</v>
      </c>
      <c r="M1073" s="98">
        <f ca="1"/>
        <v>1.2546453303951442E-3</v>
      </c>
      <c r="N1073" s="5" t="s">
        <v>4</v>
      </c>
      <c r="O1073" s="100">
        <f ca="1">_xll.meDateFromTenor(O1072,"1D","FOLLOWING",P$12)</f>
        <v>44026</v>
      </c>
      <c r="P1073" s="13">
        <f ca="1">_xll.meDateFromTenor(O1073,P$14,P$11,P$12)</f>
        <v>44210</v>
      </c>
      <c r="Q1073" s="98">
        <f ca="1"/>
        <v>3.1389433036410033E-3</v>
      </c>
      <c r="R1073" s="5" t="s">
        <v>4</v>
      </c>
      <c r="S1073" s="100">
        <f ca="1">_xll.meDateFromTenor(S1072,"1D","FOLLOWING",T$12)</f>
        <v>44026</v>
      </c>
      <c r="T1073" s="13">
        <f ca="1">_xll.meDateFromTenor(S1073,T$14,T$11,T$12)</f>
        <v>44391</v>
      </c>
      <c r="U1073" s="98">
        <f ca="1"/>
        <v>5.1198100926934283E-3</v>
      </c>
      <c r="V1073" s="5" t="s">
        <v>4</v>
      </c>
      <c r="W1073" s="84" t="s">
        <v>4</v>
      </c>
    </row>
    <row r="1074" spans="1:23" x14ac:dyDescent="0.25">
      <c r="A1074" s="90">
        <v>1055</v>
      </c>
      <c r="B1074" s="83"/>
      <c r="C1074" s="100">
        <f ca="1">_xll.meDateFromTenor(C1073,"1D","FOLLOWING",D$12)</f>
        <v>44027</v>
      </c>
      <c r="D1074" s="13">
        <f ca="1">_xll.meDateFromTenor(C1074,D$14,D$11,D$12)</f>
        <v>44028</v>
      </c>
      <c r="E1074" s="98">
        <f ca="1"/>
        <v>-9.2774873055938181E-4</v>
      </c>
      <c r="F1074" s="94"/>
      <c r="G1074" s="100">
        <f ca="1">_xll.meDateFromTenor(G1073,"1D","FOLLOWING",H$12)</f>
        <v>44027</v>
      </c>
      <c r="H1074" s="13">
        <f ca="1">_xll.meDateFromTenor(G1074,H$14,H$11,H$12)</f>
        <v>44060</v>
      </c>
      <c r="I1074" s="98">
        <f ca="1"/>
        <v>8.3069672232760763E-5</v>
      </c>
      <c r="J1074" s="94" t="s">
        <v>4</v>
      </c>
      <c r="K1074" s="100">
        <f ca="1">_xll.meDateFromTenor(K1073,"1D","FOLLOWING",L$12)</f>
        <v>44027</v>
      </c>
      <c r="L1074" s="13">
        <f ca="1">_xll.meDateFromTenor(K1074,L$14,L$11,L$12)</f>
        <v>44119</v>
      </c>
      <c r="M1074" s="98">
        <f ca="1"/>
        <v>1.2612952867445356E-3</v>
      </c>
      <c r="N1074" s="5" t="s">
        <v>4</v>
      </c>
      <c r="O1074" s="100">
        <f ca="1">_xll.meDateFromTenor(O1073,"1D","FOLLOWING",P$12)</f>
        <v>44027</v>
      </c>
      <c r="P1074" s="13">
        <f ca="1">_xll.meDateFromTenor(O1074,P$14,P$11,P$12)</f>
        <v>44211</v>
      </c>
      <c r="Q1074" s="98">
        <f ca="1"/>
        <v>3.1452827729604805E-3</v>
      </c>
      <c r="R1074" s="5" t="s">
        <v>4</v>
      </c>
      <c r="S1074" s="100">
        <f ca="1">_xll.meDateFromTenor(S1073,"1D","FOLLOWING",T$12)</f>
        <v>44027</v>
      </c>
      <c r="T1074" s="13">
        <f ca="1">_xll.meDateFromTenor(S1074,T$14,T$11,T$12)</f>
        <v>44392</v>
      </c>
      <c r="U1074" s="98">
        <f ca="1"/>
        <v>5.1263020040524304E-3</v>
      </c>
      <c r="V1074" s="5" t="s">
        <v>4</v>
      </c>
      <c r="W1074" s="84" t="s">
        <v>4</v>
      </c>
    </row>
    <row r="1075" spans="1:23" x14ac:dyDescent="0.25">
      <c r="A1075" s="90">
        <v>1056</v>
      </c>
      <c r="B1075" s="83"/>
      <c r="C1075" s="100">
        <f ca="1">_xll.meDateFromTenor(C1074,"1D","FOLLOWING",D$12)</f>
        <v>44028</v>
      </c>
      <c r="D1075" s="13">
        <f ca="1">_xll.meDateFromTenor(C1075,D$14,D$11,D$12)</f>
        <v>44029</v>
      </c>
      <c r="E1075" s="98">
        <f ca="1"/>
        <v>-9.1939406787741097E-4</v>
      </c>
      <c r="F1075" s="94"/>
      <c r="G1075" s="100">
        <f ca="1">_xll.meDateFromTenor(G1074,"1D","FOLLOWING",H$12)</f>
        <v>44028</v>
      </c>
      <c r="H1075" s="13">
        <f ca="1">_xll.meDateFromTenor(G1075,H$14,H$11,H$12)</f>
        <v>44060</v>
      </c>
      <c r="I1075" s="98">
        <f ca="1"/>
        <v>8.9636392331533885E-5</v>
      </c>
      <c r="J1075" s="94" t="s">
        <v>4</v>
      </c>
      <c r="K1075" s="100">
        <f ca="1">_xll.meDateFromTenor(K1074,"1D","FOLLOWING",L$12)</f>
        <v>44028</v>
      </c>
      <c r="L1075" s="13">
        <f ca="1">_xll.meDateFromTenor(K1075,L$14,L$11,L$12)</f>
        <v>44120</v>
      </c>
      <c r="M1075" s="98">
        <f ca="1"/>
        <v>1.2679481375733844E-3</v>
      </c>
      <c r="N1075" s="5" t="s">
        <v>4</v>
      </c>
      <c r="O1075" s="100">
        <f ca="1">_xll.meDateFromTenor(O1074,"1D","FOLLOWING",P$12)</f>
        <v>44028</v>
      </c>
      <c r="P1075" s="13">
        <f ca="1">_xll.meDateFromTenor(O1075,P$14,P$11,P$12)</f>
        <v>44214</v>
      </c>
      <c r="Q1075" s="98">
        <f ca="1"/>
        <v>3.151625929686157E-3</v>
      </c>
      <c r="R1075" s="5" t="s">
        <v>4</v>
      </c>
      <c r="S1075" s="100">
        <f ca="1">_xll.meDateFromTenor(S1074,"1D","FOLLOWING",T$12)</f>
        <v>44028</v>
      </c>
      <c r="T1075" s="13">
        <f ca="1">_xll.meDateFromTenor(S1075,T$14,T$11,T$12)</f>
        <v>44393</v>
      </c>
      <c r="U1075" s="98">
        <f ca="1"/>
        <v>5.1327991606117812E-3</v>
      </c>
      <c r="V1075" s="5" t="s">
        <v>4</v>
      </c>
      <c r="W1075" s="84" t="s">
        <v>4</v>
      </c>
    </row>
    <row r="1076" spans="1:23" x14ac:dyDescent="0.25">
      <c r="A1076" s="90">
        <v>1057</v>
      </c>
      <c r="B1076" s="83"/>
      <c r="C1076" s="100">
        <f ca="1">_xll.meDateFromTenor(C1075,"1D","FOLLOWING",D$12)</f>
        <v>44029</v>
      </c>
      <c r="D1076" s="13">
        <f ca="1">_xll.meDateFromTenor(C1076,D$14,D$11,D$12)</f>
        <v>44032</v>
      </c>
      <c r="E1076" s="98">
        <f ca="1"/>
        <v>-9.0270212628867496E-4</v>
      </c>
      <c r="F1076" s="94"/>
      <c r="G1076" s="100">
        <f ca="1">_xll.meDateFromTenor(G1075,"1D","FOLLOWING",H$12)</f>
        <v>44029</v>
      </c>
      <c r="H1076" s="13">
        <f ca="1">_xll.meDateFromTenor(G1076,H$14,H$11,H$12)</f>
        <v>44060</v>
      </c>
      <c r="I1076" s="98">
        <f ca="1"/>
        <v>9.6196778892236528E-5</v>
      </c>
      <c r="J1076" s="94" t="s">
        <v>4</v>
      </c>
      <c r="K1076" s="100">
        <f ca="1">_xll.meDateFromTenor(K1075,"1D","FOLLOWING",L$12)</f>
        <v>44029</v>
      </c>
      <c r="L1076" s="13">
        <f ca="1">_xll.meDateFromTenor(K1076,L$14,L$11,L$12)</f>
        <v>44123</v>
      </c>
      <c r="M1076" s="98">
        <f ca="1"/>
        <v>1.2746038931713707E-3</v>
      </c>
      <c r="N1076" s="5" t="s">
        <v>4</v>
      </c>
      <c r="O1076" s="100">
        <f ca="1">_xll.meDateFromTenor(O1075,"1D","FOLLOWING",P$12)</f>
        <v>44029</v>
      </c>
      <c r="P1076" s="13">
        <f ca="1">_xll.meDateFromTenor(O1076,P$14,P$11,P$12)</f>
        <v>44214</v>
      </c>
      <c r="Q1076" s="98">
        <f ca="1"/>
        <v>3.1579727726835025E-3</v>
      </c>
      <c r="R1076" s="5" t="s">
        <v>4</v>
      </c>
      <c r="S1076" s="100">
        <f ca="1">_xll.meDateFromTenor(S1075,"1D","FOLLOWING",T$12)</f>
        <v>44029</v>
      </c>
      <c r="T1076" s="13">
        <f ca="1">_xll.meDateFromTenor(S1076,T$14,T$11,T$12)</f>
        <v>44396</v>
      </c>
      <c r="U1076" s="98">
        <f ca="1"/>
        <v>5.1393015454789023E-3</v>
      </c>
      <c r="V1076" s="5" t="s">
        <v>4</v>
      </c>
      <c r="W1076" s="84" t="s">
        <v>4</v>
      </c>
    </row>
    <row r="1077" spans="1:23" x14ac:dyDescent="0.25">
      <c r="A1077" s="90">
        <v>1058</v>
      </c>
      <c r="B1077" s="83"/>
      <c r="C1077" s="100">
        <f ca="1">_xll.meDateFromTenor(C1076,"1D","FOLLOWING",D$12)</f>
        <v>44032</v>
      </c>
      <c r="D1077" s="13">
        <f ca="1">_xll.meDateFromTenor(C1077,D$14,D$11,D$12)</f>
        <v>44033</v>
      </c>
      <c r="E1077" s="98">
        <f ca="1"/>
        <v>-8.8603435544495934E-4</v>
      </c>
      <c r="F1077" s="94"/>
      <c r="G1077" s="100">
        <f ca="1">_xll.meDateFromTenor(G1076,"1D","FOLLOWING",H$12)</f>
        <v>44032</v>
      </c>
      <c r="H1077" s="13">
        <f ca="1">_xll.meDateFromTenor(G1077,H$14,H$11,H$12)</f>
        <v>44063</v>
      </c>
      <c r="I1077" s="98">
        <f ca="1"/>
        <v>1.1585307176507164E-4</v>
      </c>
      <c r="J1077" s="94" t="s">
        <v>4</v>
      </c>
      <c r="K1077" s="100">
        <f ca="1">_xll.meDateFromTenor(K1076,"1D","FOLLOWING",L$12)</f>
        <v>44032</v>
      </c>
      <c r="L1077" s="13">
        <f ca="1">_xll.meDateFromTenor(K1077,L$14,L$11,L$12)</f>
        <v>44124</v>
      </c>
      <c r="M1077" s="98">
        <f ca="1"/>
        <v>1.2945886914768787E-3</v>
      </c>
      <c r="N1077" s="5" t="s">
        <v>4</v>
      </c>
      <c r="O1077" s="100">
        <f ca="1">_xll.meDateFromTenor(O1076,"1D","FOLLOWING",P$12)</f>
        <v>44032</v>
      </c>
      <c r="P1077" s="13">
        <f ca="1">_xll.meDateFromTenor(O1077,P$14,P$11,P$12)</f>
        <v>44216</v>
      </c>
      <c r="Q1077" s="98">
        <f ca="1"/>
        <v>3.1770354079601881E-3</v>
      </c>
      <c r="R1077" s="5" t="s">
        <v>4</v>
      </c>
      <c r="S1077" s="100">
        <f ca="1">_xll.meDateFromTenor(S1076,"1D","FOLLOWING",T$12)</f>
        <v>44032</v>
      </c>
      <c r="T1077" s="13">
        <f ca="1">_xll.meDateFromTenor(S1077,T$14,T$11,T$12)</f>
        <v>44397</v>
      </c>
      <c r="U1077" s="98">
        <f ca="1"/>
        <v>5.1588399010010673E-3</v>
      </c>
      <c r="V1077" s="5" t="s">
        <v>4</v>
      </c>
      <c r="W1077" s="84" t="s">
        <v>4</v>
      </c>
    </row>
    <row r="1078" spans="1:23" x14ac:dyDescent="0.25">
      <c r="A1078" s="90">
        <v>1059</v>
      </c>
      <c r="B1078" s="83"/>
      <c r="C1078" s="100">
        <f ca="1">_xll.meDateFromTenor(C1077,"1D","FOLLOWING",D$12)</f>
        <v>44033</v>
      </c>
      <c r="D1078" s="13">
        <f ca="1">_xll.meDateFromTenor(C1078,D$14,D$11,D$12)</f>
        <v>44034</v>
      </c>
      <c r="E1078" s="98">
        <f ca="1"/>
        <v>-8.7770915855337384E-4</v>
      </c>
      <c r="F1078" s="94"/>
      <c r="G1078" s="100">
        <f ca="1">_xll.meDateFromTenor(G1077,"1D","FOLLOWING",H$12)</f>
        <v>44033</v>
      </c>
      <c r="H1078" s="13">
        <f ca="1">_xll.meDateFromTenor(G1078,H$14,H$11,H$12)</f>
        <v>44064</v>
      </c>
      <c r="I1078" s="98">
        <f ca="1"/>
        <v>1.2240125859265324E-4</v>
      </c>
      <c r="J1078" s="94" t="s">
        <v>4</v>
      </c>
      <c r="K1078" s="100">
        <f ca="1">_xll.meDateFromTenor(K1077,"1D","FOLLOWING",L$12)</f>
        <v>44033</v>
      </c>
      <c r="L1078" s="13">
        <f ca="1">_xll.meDateFromTenor(K1078,L$14,L$11,L$12)</f>
        <v>44125</v>
      </c>
      <c r="M1078" s="98">
        <f ca="1"/>
        <v>1.3012561690481513E-3</v>
      </c>
      <c r="N1078" s="5" t="s">
        <v>4</v>
      </c>
      <c r="O1078" s="100">
        <f ca="1">_xll.meDateFromTenor(O1077,"1D","FOLLOWING",P$12)</f>
        <v>44033</v>
      </c>
      <c r="P1078" s="13">
        <f ca="1">_xll.meDateFromTenor(O1078,P$14,P$11,P$12)</f>
        <v>44217</v>
      </c>
      <c r="Q1078" s="98">
        <f ca="1"/>
        <v>3.1833969846988561E-3</v>
      </c>
      <c r="R1078" s="5" t="s">
        <v>4</v>
      </c>
      <c r="S1078" s="100">
        <f ca="1">_xll.meDateFromTenor(S1077,"1D","FOLLOWING",T$12)</f>
        <v>44033</v>
      </c>
      <c r="T1078" s="13">
        <f ca="1">_xll.meDateFromTenor(S1078,T$14,T$11,T$12)</f>
        <v>44398</v>
      </c>
      <c r="U1078" s="98">
        <f ca="1"/>
        <v>5.1653630301734584E-3</v>
      </c>
      <c r="V1078" s="5" t="s">
        <v>4</v>
      </c>
      <c r="W1078" s="84" t="s">
        <v>4</v>
      </c>
    </row>
    <row r="1079" spans="1:23" x14ac:dyDescent="0.25">
      <c r="A1079" s="90">
        <v>1060</v>
      </c>
      <c r="B1079" s="83"/>
      <c r="C1079" s="100">
        <f ca="1">_xll.meDateFromTenor(C1078,"1D","FOLLOWING",D$12)</f>
        <v>44034</v>
      </c>
      <c r="D1079" s="13">
        <f ca="1">_xll.meDateFromTenor(C1079,D$14,D$11,D$12)</f>
        <v>44035</v>
      </c>
      <c r="E1079" s="98">
        <f ca="1"/>
        <v>-8.6938985294868502E-4</v>
      </c>
      <c r="F1079" s="94"/>
      <c r="G1079" s="100">
        <f ca="1">_xll.meDateFromTenor(G1078,"1D","FOLLOWING",H$12)</f>
        <v>44034</v>
      </c>
      <c r="H1079" s="13">
        <f ca="1">_xll.meDateFromTenor(G1079,H$14,H$11,H$12)</f>
        <v>44067</v>
      </c>
      <c r="I1079" s="98">
        <f ca="1"/>
        <v>1.2894967909174483E-4</v>
      </c>
      <c r="J1079" s="94" t="s">
        <v>4</v>
      </c>
      <c r="K1079" s="100">
        <f ca="1">_xll.meDateFromTenor(K1078,"1D","FOLLOWING",L$12)</f>
        <v>44034</v>
      </c>
      <c r="L1079" s="13">
        <f ca="1">_xll.meDateFromTenor(K1079,L$14,L$11,L$12)</f>
        <v>44126</v>
      </c>
      <c r="M1079" s="98">
        <f ca="1"/>
        <v>1.3079266028369308E-3</v>
      </c>
      <c r="N1079" s="5" t="s">
        <v>4</v>
      </c>
      <c r="O1079" s="100">
        <f ca="1">_xll.meDateFromTenor(O1078,"1D","FOLLOWING",P$12)</f>
        <v>44034</v>
      </c>
      <c r="P1079" s="13">
        <f ca="1">_xll.meDateFromTenor(O1079,P$14,P$11,P$12)</f>
        <v>44218</v>
      </c>
      <c r="Q1079" s="98">
        <f ca="1"/>
        <v>3.1897622420365155E-3</v>
      </c>
      <c r="R1079" s="5" t="s">
        <v>4</v>
      </c>
      <c r="S1079" s="100">
        <f ca="1">_xll.meDateFromTenor(S1078,"1D","FOLLOWING",T$12)</f>
        <v>44034</v>
      </c>
      <c r="T1079" s="13">
        <f ca="1">_xll.meDateFromTenor(S1079,T$14,T$11,T$12)</f>
        <v>44399</v>
      </c>
      <c r="U1079" s="98">
        <f ca="1"/>
        <v>5.1718913031907126E-3</v>
      </c>
      <c r="V1079" s="5" t="s">
        <v>4</v>
      </c>
      <c r="W1079" s="84" t="s">
        <v>4</v>
      </c>
    </row>
    <row r="1080" spans="1:23" x14ac:dyDescent="0.25">
      <c r="A1080" s="90">
        <v>1061</v>
      </c>
      <c r="B1080" s="83"/>
      <c r="C1080" s="100">
        <f ca="1">_xll.meDateFromTenor(C1079,"1D","FOLLOWING",D$12)</f>
        <v>44035</v>
      </c>
      <c r="D1080" s="13">
        <f ca="1">_xll.meDateFromTenor(C1080,D$14,D$11,D$12)</f>
        <v>44036</v>
      </c>
      <c r="E1080" s="98">
        <f ca="1"/>
        <v>-8.6107643779268135E-4</v>
      </c>
      <c r="F1080" s="94"/>
      <c r="G1080" s="100">
        <f ca="1">_xll.meDateFromTenor(G1079,"1D","FOLLOWING",H$12)</f>
        <v>44035</v>
      </c>
      <c r="H1080" s="13">
        <f ca="1">_xll.meDateFromTenor(G1080,H$14,H$11,H$12)</f>
        <v>44067</v>
      </c>
      <c r="I1080" s="98">
        <f ca="1"/>
        <v>1.3549964670426764E-4</v>
      </c>
      <c r="J1080" s="94" t="s">
        <v>4</v>
      </c>
      <c r="K1080" s="100">
        <f ca="1">_xll.meDateFromTenor(K1079,"1D","FOLLOWING",L$12)</f>
        <v>44035</v>
      </c>
      <c r="L1080" s="13">
        <f ca="1">_xll.meDateFromTenor(K1080,L$14,L$11,L$12)</f>
        <v>44127</v>
      </c>
      <c r="M1080" s="98">
        <f ca="1"/>
        <v>1.314600003132896E-3</v>
      </c>
      <c r="N1080" s="5" t="s">
        <v>4</v>
      </c>
      <c r="O1080" s="100">
        <f ca="1">_xll.meDateFromTenor(O1079,"1D","FOLLOWING",P$12)</f>
        <v>44035</v>
      </c>
      <c r="P1080" s="13">
        <f ca="1">_xll.meDateFromTenor(O1080,P$14,P$11,P$12)</f>
        <v>44221</v>
      </c>
      <c r="Q1080" s="98">
        <f ca="1"/>
        <v>3.1961311788386367E-3</v>
      </c>
      <c r="R1080" s="5" t="s">
        <v>4</v>
      </c>
      <c r="S1080" s="100">
        <f ca="1">_xll.meDateFromTenor(S1079,"1D","FOLLOWING",T$12)</f>
        <v>44035</v>
      </c>
      <c r="T1080" s="13">
        <f ca="1">_xll.meDateFromTenor(S1080,T$14,T$11,T$12)</f>
        <v>44400</v>
      </c>
      <c r="U1080" s="98">
        <f ca="1"/>
        <v>5.178424703160254E-3</v>
      </c>
      <c r="V1080" s="5" t="s">
        <v>4</v>
      </c>
      <c r="W1080" s="84" t="s">
        <v>4</v>
      </c>
    </row>
    <row r="1081" spans="1:23" x14ac:dyDescent="0.25">
      <c r="A1081" s="90">
        <v>1062</v>
      </c>
      <c r="B1081" s="83"/>
      <c r="C1081" s="100">
        <f ca="1">_xll.meDateFromTenor(C1080,"1D","FOLLOWING",D$12)</f>
        <v>44036</v>
      </c>
      <c r="D1081" s="13">
        <f ca="1">_xll.meDateFromTenor(C1081,D$14,D$11,D$12)</f>
        <v>44039</v>
      </c>
      <c r="E1081" s="98">
        <f ca="1"/>
        <v>-8.4446725927995981E-4</v>
      </c>
      <c r="F1081" s="94"/>
      <c r="G1081" s="100">
        <f ca="1">_xll.meDateFromTenor(G1080,"1D","FOLLOWING",H$12)</f>
        <v>44036</v>
      </c>
      <c r="H1081" s="13">
        <f ca="1">_xll.meDateFromTenor(G1081,H$14,H$11,H$12)</f>
        <v>44067</v>
      </c>
      <c r="I1081" s="98">
        <f ca="1"/>
        <v>1.4205247487213439E-4</v>
      </c>
      <c r="J1081" s="94" t="s">
        <v>4</v>
      </c>
      <c r="K1081" s="100">
        <f ca="1">_xll.meDateFromTenor(K1080,"1D","FOLLOWING",L$12)</f>
        <v>44036</v>
      </c>
      <c r="L1081" s="13">
        <f ca="1">_xll.meDateFromTenor(K1081,L$14,L$11,L$12)</f>
        <v>44130</v>
      </c>
      <c r="M1081" s="98">
        <f ca="1"/>
        <v>1.3212763802257169E-3</v>
      </c>
      <c r="N1081" s="5" t="s">
        <v>4</v>
      </c>
      <c r="O1081" s="100">
        <f ca="1">_xll.meDateFromTenor(O1080,"1D","FOLLOWING",P$12)</f>
        <v>44036</v>
      </c>
      <c r="P1081" s="13">
        <f ca="1">_xll.meDateFromTenor(O1081,P$14,P$11,P$12)</f>
        <v>44221</v>
      </c>
      <c r="Q1081" s="98">
        <f ca="1"/>
        <v>3.2025037939706815E-3</v>
      </c>
      <c r="R1081" s="5" t="s">
        <v>4</v>
      </c>
      <c r="S1081" s="100">
        <f ca="1">_xll.meDateFromTenor(S1080,"1D","FOLLOWING",T$12)</f>
        <v>44036</v>
      </c>
      <c r="T1081" s="13">
        <f ca="1">_xll.meDateFromTenor(S1081,T$14,T$11,T$12)</f>
        <v>44403</v>
      </c>
      <c r="U1081" s="98">
        <f ca="1"/>
        <v>5.1849632131894981E-3</v>
      </c>
      <c r="V1081" s="5" t="s">
        <v>4</v>
      </c>
      <c r="W1081" s="84" t="s">
        <v>4</v>
      </c>
    </row>
    <row r="1082" spans="1:23" x14ac:dyDescent="0.25">
      <c r="A1082" s="90">
        <v>1063</v>
      </c>
      <c r="B1082" s="83"/>
      <c r="C1082" s="100">
        <f ca="1">_xll.meDateFromTenor(C1081,"1D","FOLLOWING",D$12)</f>
        <v>44039</v>
      </c>
      <c r="D1082" s="13">
        <f ca="1">_xll.meDateFromTenor(C1082,D$14,D$11,D$12)</f>
        <v>44040</v>
      </c>
      <c r="E1082" s="98">
        <f ca="1"/>
        <v>-8.27881671217192E-4</v>
      </c>
      <c r="F1082" s="94"/>
      <c r="G1082" s="100">
        <f ca="1">_xll.meDateFromTenor(G1081,"1D","FOLLOWING",H$12)</f>
        <v>44039</v>
      </c>
      <c r="H1082" s="13">
        <f ca="1">_xll.meDateFromTenor(G1082,H$14,H$11,H$12)</f>
        <v>44070</v>
      </c>
      <c r="I1082" s="98">
        <f ca="1"/>
        <v>1.617412571269826E-4</v>
      </c>
      <c r="J1082" s="94" t="s">
        <v>4</v>
      </c>
      <c r="K1082" s="100">
        <f ca="1">_xll.meDateFromTenor(K1081,"1D","FOLLOWING",L$12)</f>
        <v>44039</v>
      </c>
      <c r="L1082" s="13">
        <f ca="1">_xll.meDateFromTenor(K1082,L$14,L$11,L$12)</f>
        <v>44131</v>
      </c>
      <c r="M1082" s="98">
        <f ca="1"/>
        <v>1.3413234751820796E-3</v>
      </c>
      <c r="N1082" s="5" t="s">
        <v>4</v>
      </c>
      <c r="O1082" s="100">
        <f ca="1">_xll.meDateFromTenor(O1081,"1D","FOLLOWING",P$12)</f>
        <v>44039</v>
      </c>
      <c r="P1082" s="13">
        <f ca="1">_xll.meDateFromTenor(O1082,P$14,P$11,P$12)</f>
        <v>44223</v>
      </c>
      <c r="Q1082" s="98">
        <f ca="1"/>
        <v>3.2216436980010222E-3</v>
      </c>
      <c r="R1082" s="5" t="s">
        <v>4</v>
      </c>
      <c r="S1082" s="100">
        <f ca="1">_xll.meDateFromTenor(S1081,"1D","FOLLOWING",T$12)</f>
        <v>44039</v>
      </c>
      <c r="T1082" s="13">
        <f ca="1">_xll.meDateFromTenor(S1082,T$14,T$11,T$12)</f>
        <v>44404</v>
      </c>
      <c r="U1082" s="98">
        <f ca="1"/>
        <v>5.204609234709656E-3</v>
      </c>
      <c r="V1082" s="5" t="s">
        <v>4</v>
      </c>
      <c r="W1082" s="84" t="s">
        <v>4</v>
      </c>
    </row>
    <row r="1083" spans="1:23" x14ac:dyDescent="0.25">
      <c r="A1083" s="90">
        <v>1064</v>
      </c>
      <c r="B1083" s="83"/>
      <c r="C1083" s="100">
        <f ca="1">_xll.meDateFromTenor(C1082,"1D","FOLLOWING",D$12)</f>
        <v>44040</v>
      </c>
      <c r="D1083" s="13">
        <f ca="1">_xll.meDateFromTenor(C1083,D$14,D$11,D$12)</f>
        <v>44041</v>
      </c>
      <c r="E1083" s="98">
        <f ca="1"/>
        <v>-8.1959769990800854E-4</v>
      </c>
      <c r="F1083" s="94"/>
      <c r="G1083" s="100">
        <f ca="1">_xll.meDateFromTenor(G1082,"1D","FOLLOWING",H$12)</f>
        <v>44040</v>
      </c>
      <c r="H1083" s="13">
        <f ca="1">_xll.meDateFromTenor(G1083,H$14,H$11,H$12)</f>
        <v>44071</v>
      </c>
      <c r="I1083" s="98">
        <f ca="1"/>
        <v>1.6831866193540523E-4</v>
      </c>
      <c r="J1083" s="94" t="s">
        <v>4</v>
      </c>
      <c r="K1083" s="100">
        <f ca="1">_xll.meDateFromTenor(K1082,"1D","FOLLOWING",L$12)</f>
        <v>44040</v>
      </c>
      <c r="L1083" s="13">
        <f ca="1">_xll.meDateFromTenor(K1083,L$14,L$11,L$12)</f>
        <v>44132</v>
      </c>
      <c r="M1083" s="98">
        <f ca="1"/>
        <v>1.3480118623590835E-3</v>
      </c>
      <c r="N1083" s="5" t="s">
        <v>4</v>
      </c>
      <c r="O1083" s="100">
        <f ca="1">_xll.meDateFromTenor(O1082,"1D","FOLLOWING",P$12)</f>
        <v>44040</v>
      </c>
      <c r="P1083" s="13">
        <f ca="1">_xll.meDateFromTenor(O1083,P$14,P$11,P$12)</f>
        <v>44224</v>
      </c>
      <c r="Q1083" s="98">
        <f ca="1"/>
        <v>3.2280310151074241E-3</v>
      </c>
      <c r="R1083" s="5" t="s">
        <v>4</v>
      </c>
      <c r="S1083" s="100">
        <f ca="1">_xll.meDateFromTenor(S1082,"1D","FOLLOWING",T$12)</f>
        <v>44040</v>
      </c>
      <c r="T1083" s="13">
        <f ca="1">_xll.meDateFromTenor(S1083,T$14,T$11,T$12)</f>
        <v>44405</v>
      </c>
      <c r="U1083" s="98">
        <f ca="1"/>
        <v>5.2111680160519154E-3</v>
      </c>
      <c r="V1083" s="5" t="s">
        <v>4</v>
      </c>
      <c r="W1083" s="84" t="s">
        <v>4</v>
      </c>
    </row>
    <row r="1084" spans="1:23" x14ac:dyDescent="0.25">
      <c r="A1084" s="90">
        <v>1065</v>
      </c>
      <c r="B1084" s="83"/>
      <c r="C1084" s="100">
        <f ca="1">_xll.meDateFromTenor(C1083,"1D","FOLLOWING",D$12)</f>
        <v>44041</v>
      </c>
      <c r="D1084" s="13">
        <f ca="1">_xll.meDateFromTenor(C1084,D$14,D$11,D$12)</f>
        <v>44042</v>
      </c>
      <c r="E1084" s="98">
        <f ca="1"/>
        <v>-8.1131961529048383E-4</v>
      </c>
      <c r="F1084" s="94"/>
      <c r="G1084" s="100">
        <f ca="1">_xll.meDateFromTenor(G1083,"1D","FOLLOWING",H$12)</f>
        <v>44041</v>
      </c>
      <c r="H1084" s="13">
        <f ca="1">_xll.meDateFromTenor(G1084,H$14,H$11,H$12)</f>
        <v>44074</v>
      </c>
      <c r="I1084" s="98">
        <f ca="1"/>
        <v>1.7490549450875658E-4</v>
      </c>
      <c r="J1084" s="94" t="s">
        <v>4</v>
      </c>
      <c r="K1084" s="100">
        <f ca="1">_xll.meDateFromTenor(K1083,"1D","FOLLOWING",L$12)</f>
        <v>44041</v>
      </c>
      <c r="L1084" s="13">
        <f ca="1">_xll.meDateFromTenor(K1084,L$14,L$11,L$12)</f>
        <v>44133</v>
      </c>
      <c r="M1084" s="98">
        <f ca="1"/>
        <v>1.3547032777813173E-3</v>
      </c>
      <c r="N1084" s="5" t="s">
        <v>4</v>
      </c>
      <c r="O1084" s="100">
        <f ca="1">_xll.meDateFromTenor(O1083,"1D","FOLLOWING",P$12)</f>
        <v>44041</v>
      </c>
      <c r="P1084" s="13">
        <f ca="1">_xll.meDateFromTenor(O1084,P$14,P$11,P$12)</f>
        <v>44225</v>
      </c>
      <c r="Q1084" s="98">
        <f ca="1"/>
        <v>3.2344220048710765E-3</v>
      </c>
      <c r="R1084" s="5" t="s">
        <v>4</v>
      </c>
      <c r="S1084" s="100">
        <f ca="1">_xll.meDateFromTenor(S1083,"1D","FOLLOWING",T$12)</f>
        <v>44041</v>
      </c>
      <c r="T1084" s="13">
        <f ca="1">_xll.meDateFromTenor(S1084,T$14,T$11,T$12)</f>
        <v>44406</v>
      </c>
      <c r="U1084" s="98">
        <f ca="1"/>
        <v>5.2177318229909755E-3</v>
      </c>
      <c r="V1084" s="5" t="s">
        <v>4</v>
      </c>
      <c r="W1084" s="84" t="s">
        <v>4</v>
      </c>
    </row>
    <row r="1085" spans="1:23" x14ac:dyDescent="0.25">
      <c r="A1085" s="90">
        <v>1066</v>
      </c>
      <c r="B1085" s="83"/>
      <c r="C1085" s="100">
        <f ca="1">_xll.meDateFromTenor(C1084,"1D","FOLLOWING",D$12)</f>
        <v>44042</v>
      </c>
      <c r="D1085" s="13">
        <f ca="1">_xll.meDateFromTenor(C1085,D$14,D$11,D$12)</f>
        <v>44043</v>
      </c>
      <c r="E1085" s="98">
        <f ca="1"/>
        <v>-8.0304741696389449E-4</v>
      </c>
      <c r="F1085" s="94"/>
      <c r="G1085" s="100">
        <f ca="1">_xll.meDateFromTenor(G1084,"1D","FOLLOWING",H$12)</f>
        <v>44042</v>
      </c>
      <c r="H1085" s="13">
        <f ca="1">_xll.meDateFromTenor(G1085,H$14,H$11,H$12)</f>
        <v>44074</v>
      </c>
      <c r="I1085" s="98">
        <f ca="1"/>
        <v>1.8150306828895564E-4</v>
      </c>
      <c r="J1085" s="94" t="s">
        <v>4</v>
      </c>
      <c r="K1085" s="100">
        <f ca="1">_xll.meDateFromTenor(K1084,"1D","FOLLOWING",L$12)</f>
        <v>44042</v>
      </c>
      <c r="L1085" s="13">
        <f ca="1">_xll.meDateFromTenor(K1085,L$14,L$11,L$12)</f>
        <v>44134</v>
      </c>
      <c r="M1085" s="98">
        <f ca="1"/>
        <v>1.3613977317384583E-3</v>
      </c>
      <c r="N1085" s="5" t="s">
        <v>4</v>
      </c>
      <c r="O1085" s="100">
        <f ca="1">_xll.meDateFromTenor(O1084,"1D","FOLLOWING",P$12)</f>
        <v>44042</v>
      </c>
      <c r="P1085" s="13">
        <f ca="1">_xll.meDateFromTenor(O1085,P$14,P$11,P$12)</f>
        <v>44225</v>
      </c>
      <c r="Q1085" s="98">
        <f ca="1"/>
        <v>3.2408166661574466E-3</v>
      </c>
      <c r="R1085" s="5" t="s">
        <v>4</v>
      </c>
      <c r="S1085" s="100">
        <f ca="1">_xll.meDateFromTenor(S1084,"1D","FOLLOWING",T$12)</f>
        <v>44042</v>
      </c>
      <c r="T1085" s="13">
        <f ca="1">_xll.meDateFromTenor(S1085,T$14,T$11,T$12)</f>
        <v>44407</v>
      </c>
      <c r="U1085" s="98">
        <f ca="1"/>
        <v>5.2243006386342552E-3</v>
      </c>
      <c r="V1085" s="5" t="s">
        <v>4</v>
      </c>
      <c r="W1085" s="84" t="s">
        <v>4</v>
      </c>
    </row>
    <row r="1086" spans="1:23" x14ac:dyDescent="0.25">
      <c r="A1086" s="90">
        <v>1067</v>
      </c>
      <c r="B1086" s="83"/>
      <c r="C1086" s="100">
        <f ca="1">_xll.meDateFromTenor(C1085,"1D","FOLLOWING",D$12)</f>
        <v>44043</v>
      </c>
      <c r="D1086" s="13">
        <f ca="1">_xll.meDateFromTenor(C1086,D$14,D$11,D$12)</f>
        <v>44046</v>
      </c>
      <c r="E1086" s="98">
        <f ca="1"/>
        <v>-7.8652091940694139E-4</v>
      </c>
      <c r="F1086" s="94"/>
      <c r="G1086" s="100">
        <f ca="1">_xll.meDateFromTenor(G1085,"1D","FOLLOWING",H$12)</f>
        <v>44043</v>
      </c>
      <c r="H1086" s="13">
        <f ca="1">_xll.meDateFromTenor(G1086,H$14,H$11,H$12)</f>
        <v>44074</v>
      </c>
      <c r="I1086" s="98">
        <f ca="1"/>
        <v>1.8811269671792165E-4</v>
      </c>
      <c r="J1086" s="94" t="s">
        <v>4</v>
      </c>
      <c r="K1086" s="100">
        <f ca="1">_xll.meDateFromTenor(K1085,"1D","FOLLOWING",L$12)</f>
        <v>44043</v>
      </c>
      <c r="L1086" s="13">
        <f ca="1">_xll.meDateFromTenor(K1086,L$14,L$11,L$12)</f>
        <v>44134</v>
      </c>
      <c r="M1086" s="98">
        <f ca="1"/>
        <v>1.3680952345201829E-3</v>
      </c>
      <c r="N1086" s="5" t="s">
        <v>4</v>
      </c>
      <c r="O1086" s="100">
        <f ca="1">_xll.meDateFromTenor(O1085,"1D","FOLLOWING",P$12)</f>
        <v>44043</v>
      </c>
      <c r="P1086" s="13">
        <f ca="1">_xll.meDateFromTenor(O1086,P$14,P$11,P$12)</f>
        <v>44225</v>
      </c>
      <c r="Q1086" s="98">
        <f ca="1"/>
        <v>3.2472149978320019E-3</v>
      </c>
      <c r="R1086" s="5" t="s">
        <v>4</v>
      </c>
      <c r="S1086" s="100">
        <f ca="1">_xll.meDateFromTenor(S1085,"1D","FOLLOWING",T$12)</f>
        <v>44043</v>
      </c>
      <c r="T1086" s="13">
        <f ca="1">_xll.meDateFromTenor(S1086,T$14,T$11,T$12)</f>
        <v>44407</v>
      </c>
      <c r="U1086" s="98">
        <f ca="1"/>
        <v>5.2308744460891786E-3</v>
      </c>
      <c r="V1086" s="5" t="s">
        <v>4</v>
      </c>
      <c r="W1086" s="84" t="s">
        <v>4</v>
      </c>
    </row>
    <row r="1087" spans="1:23" x14ac:dyDescent="0.25">
      <c r="A1087" s="90">
        <v>1068</v>
      </c>
      <c r="B1087" s="83"/>
      <c r="C1087" s="100">
        <f ca="1">_xll.meDateFromTenor(C1086,"1D","FOLLOWING",D$12)</f>
        <v>44046</v>
      </c>
      <c r="D1087" s="13">
        <f ca="1">_xll.meDateFromTenor(C1087,D$14,D$11,D$12)</f>
        <v>44047</v>
      </c>
      <c r="E1087" s="98">
        <f ca="1"/>
        <v>-7.7001747310389179E-4</v>
      </c>
      <c r="F1087" s="94"/>
      <c r="G1087" s="100">
        <f ca="1">_xll.meDateFromTenor(G1086,"1D","FOLLOWING",H$12)</f>
        <v>44046</v>
      </c>
      <c r="H1087" s="13">
        <f ca="1">_xll.meDateFromTenor(G1087,H$14,H$11,H$12)</f>
        <v>44077</v>
      </c>
      <c r="I1087" s="98">
        <f ca="1"/>
        <v>2.0802704431657345E-4</v>
      </c>
      <c r="J1087" s="94" t="s">
        <v>4</v>
      </c>
      <c r="K1087" s="100">
        <f ca="1">_xll.meDateFromTenor(K1086,"1D","FOLLOWING",L$12)</f>
        <v>44046</v>
      </c>
      <c r="L1087" s="13">
        <f ca="1">_xll.meDateFromTenor(K1087,L$14,L$11,L$12)</f>
        <v>44138</v>
      </c>
      <c r="M1087" s="98">
        <f ca="1"/>
        <v>1.3882061387095908E-3</v>
      </c>
      <c r="N1087" s="5" t="s">
        <v>4</v>
      </c>
      <c r="O1087" s="100">
        <f ca="1">_xll.meDateFromTenor(O1086,"1D","FOLLOWING",P$12)</f>
        <v>44046</v>
      </c>
      <c r="P1087" s="13">
        <f ca="1">_xll.meDateFromTenor(O1087,P$14,P$11,P$12)</f>
        <v>44230</v>
      </c>
      <c r="Q1087" s="98">
        <f ca="1"/>
        <v>3.2664320038394206E-3</v>
      </c>
      <c r="R1087" s="5" t="s">
        <v>4</v>
      </c>
      <c r="S1087" s="100">
        <f ca="1">_xll.meDateFromTenor(S1086,"1D","FOLLOWING",T$12)</f>
        <v>44046</v>
      </c>
      <c r="T1087" s="13">
        <f ca="1">_xll.meDateFromTenor(S1087,T$14,T$11,T$12)</f>
        <v>44411</v>
      </c>
      <c r="U1087" s="98">
        <f ca="1"/>
        <v>5.2506256503979812E-3</v>
      </c>
      <c r="V1087" s="5" t="s">
        <v>4</v>
      </c>
      <c r="W1087" s="84" t="s">
        <v>4</v>
      </c>
    </row>
    <row r="1088" spans="1:23" x14ac:dyDescent="0.25">
      <c r="A1088" s="90">
        <v>1069</v>
      </c>
      <c r="B1088" s="83"/>
      <c r="C1088" s="100">
        <f ca="1">_xll.meDateFromTenor(C1087,"1D","FOLLOWING",D$12)</f>
        <v>44047</v>
      </c>
      <c r="D1088" s="13">
        <f ca="1">_xll.meDateFromTenor(C1088,D$14,D$11,D$12)</f>
        <v>44048</v>
      </c>
      <c r="E1088" s="98">
        <f ca="1"/>
        <v>-7.6177469648287767E-4</v>
      </c>
      <c r="F1088" s="94"/>
      <c r="G1088" s="100">
        <f ca="1">_xll.meDateFromTenor(G1087,"1D","FOLLOWING",H$12)</f>
        <v>44047</v>
      </c>
      <c r="H1088" s="13">
        <f ca="1">_xll.meDateFromTenor(G1088,H$14,H$11,H$12)</f>
        <v>44078</v>
      </c>
      <c r="I1088" s="98">
        <f ca="1"/>
        <v>2.1469776562150689E-4</v>
      </c>
      <c r="J1088" s="94" t="s">
        <v>4</v>
      </c>
      <c r="K1088" s="100">
        <f ca="1">_xll.meDateFromTenor(K1087,"1D","FOLLOWING",L$12)</f>
        <v>44047</v>
      </c>
      <c r="L1088" s="13">
        <f ca="1">_xll.meDateFromTenor(K1088,L$14,L$11,L$12)</f>
        <v>44139</v>
      </c>
      <c r="M1088" s="98">
        <f ca="1"/>
        <v>1.3949159396863876E-3</v>
      </c>
      <c r="N1088" s="5" t="s">
        <v>4</v>
      </c>
      <c r="O1088" s="100">
        <f ca="1">_xll.meDateFromTenor(O1087,"1D","FOLLOWING",P$12)</f>
        <v>44047</v>
      </c>
      <c r="P1088" s="13">
        <f ca="1">_xll.meDateFromTenor(O1088,P$14,P$11,P$12)</f>
        <v>44231</v>
      </c>
      <c r="Q1088" s="98">
        <f ca="1"/>
        <v>3.272845005721363E-3</v>
      </c>
      <c r="R1088" s="5" t="s">
        <v>4</v>
      </c>
      <c r="S1088" s="100">
        <f ca="1">_xll.meDateFromTenor(S1087,"1D","FOLLOWING",T$12)</f>
        <v>44047</v>
      </c>
      <c r="T1088" s="13">
        <f ca="1">_xll.meDateFromTenor(S1088,T$14,T$11,T$12)</f>
        <v>44412</v>
      </c>
      <c r="U1088" s="98">
        <f ca="1"/>
        <v>5.2572192561736574E-3</v>
      </c>
      <c r="V1088" s="5" t="s">
        <v>4</v>
      </c>
      <c r="W1088" s="84" t="s">
        <v>4</v>
      </c>
    </row>
    <row r="1089" spans="1:23" x14ac:dyDescent="0.25">
      <c r="A1089" s="90">
        <v>1070</v>
      </c>
      <c r="B1089" s="83"/>
      <c r="C1089" s="100">
        <f ca="1">_xll.meDateFromTenor(C1088,"1D","FOLLOWING",D$12)</f>
        <v>44048</v>
      </c>
      <c r="D1089" s="13">
        <f ca="1">_xll.meDateFromTenor(C1089,D$14,D$11,D$12)</f>
        <v>44049</v>
      </c>
      <c r="E1089" s="98">
        <f ca="1"/>
        <v>-7.5353780235586803E-4</v>
      </c>
      <c r="F1089" s="94"/>
      <c r="G1089" s="100">
        <f ca="1">_xll.meDateFromTenor(G1088,"1D","FOLLOWING",H$12)</f>
        <v>44048</v>
      </c>
      <c r="H1089" s="13">
        <f ca="1">_xll.meDateFromTenor(G1089,H$14,H$11,H$12)</f>
        <v>44081</v>
      </c>
      <c r="I1089" s="98">
        <f ca="1"/>
        <v>2.21385547955236E-4</v>
      </c>
      <c r="J1089" s="94" t="s">
        <v>4</v>
      </c>
      <c r="K1089" s="100">
        <f ca="1">_xll.meDateFromTenor(K1088,"1D","FOLLOWING",L$12)</f>
        <v>44048</v>
      </c>
      <c r="L1089" s="13">
        <f ca="1">_xll.meDateFromTenor(K1089,L$14,L$11,L$12)</f>
        <v>44140</v>
      </c>
      <c r="M1089" s="98">
        <f ca="1"/>
        <v>1.40162884093614E-3</v>
      </c>
      <c r="N1089" s="5" t="s">
        <v>4</v>
      </c>
      <c r="O1089" s="100">
        <f ca="1">_xll.meDateFromTenor(O1088,"1D","FOLLOWING",P$12)</f>
        <v>44048</v>
      </c>
      <c r="P1089" s="13">
        <f ca="1">_xll.meDateFromTenor(O1089,P$14,P$11,P$12)</f>
        <v>44232</v>
      </c>
      <c r="Q1089" s="98">
        <f ca="1"/>
        <v>3.2792616723188164E-3</v>
      </c>
      <c r="R1089" s="5" t="s">
        <v>4</v>
      </c>
      <c r="S1089" s="100">
        <f ca="1">_xll.meDateFromTenor(S1088,"1D","FOLLOWING",T$12)</f>
        <v>44048</v>
      </c>
      <c r="T1089" s="13">
        <f ca="1">_xll.meDateFromTenor(S1089,T$14,T$11,T$12)</f>
        <v>44413</v>
      </c>
      <c r="U1089" s="98">
        <f ca="1"/>
        <v>5.2638177692980728E-3</v>
      </c>
      <c r="V1089" s="5" t="s">
        <v>4</v>
      </c>
      <c r="W1089" s="84" t="s">
        <v>4</v>
      </c>
    </row>
    <row r="1090" spans="1:23" x14ac:dyDescent="0.25">
      <c r="A1090" s="90">
        <v>1071</v>
      </c>
      <c r="B1090" s="83"/>
      <c r="C1090" s="100">
        <f ca="1">_xll.meDateFromTenor(C1089,"1D","FOLLOWING",D$12)</f>
        <v>44049</v>
      </c>
      <c r="D1090" s="13">
        <f ca="1">_xll.meDateFromTenor(C1090,D$14,D$11,D$12)</f>
        <v>44050</v>
      </c>
      <c r="E1090" s="98">
        <f ca="1"/>
        <v>-7.4530679012431119E-4</v>
      </c>
      <c r="F1090" s="94"/>
      <c r="G1090" s="100">
        <f ca="1">_xll.meDateFromTenor(G1089,"1D","FOLLOWING",H$12)</f>
        <v>44049</v>
      </c>
      <c r="H1090" s="13">
        <f ca="1">_xll.meDateFromTenor(G1090,H$14,H$11,H$12)</f>
        <v>44081</v>
      </c>
      <c r="I1090" s="98">
        <f ca="1"/>
        <v>2.2809014393012622E-4</v>
      </c>
      <c r="J1090" s="94" t="s">
        <v>4</v>
      </c>
      <c r="K1090" s="100">
        <f ca="1">_xll.meDateFromTenor(K1089,"1D","FOLLOWING",L$12)</f>
        <v>44049</v>
      </c>
      <c r="L1090" s="13">
        <f ca="1">_xll.meDateFromTenor(K1090,L$14,L$11,L$12)</f>
        <v>44141</v>
      </c>
      <c r="M1090" s="98">
        <f ca="1"/>
        <v>1.4083448527485254E-3</v>
      </c>
      <c r="N1090" s="5" t="s">
        <v>4</v>
      </c>
      <c r="O1090" s="100">
        <f ca="1">_xll.meDateFromTenor(O1089,"1D","FOLLOWING",P$12)</f>
        <v>44049</v>
      </c>
      <c r="P1090" s="13">
        <f ca="1">_xll.meDateFromTenor(O1090,P$14,P$11,P$12)</f>
        <v>44235</v>
      </c>
      <c r="Q1090" s="98">
        <f ca="1"/>
        <v>3.2856820024972475E-3</v>
      </c>
      <c r="R1090" s="5" t="s">
        <v>4</v>
      </c>
      <c r="S1090" s="100">
        <f ca="1">_xll.meDateFromTenor(S1089,"1D","FOLLOWING",T$12)</f>
        <v>44049</v>
      </c>
      <c r="T1090" s="13">
        <f ca="1">_xll.meDateFromTenor(S1090,T$14,T$11,T$12)</f>
        <v>44414</v>
      </c>
      <c r="U1090" s="98">
        <f ca="1"/>
        <v>5.2704211728786463E-3</v>
      </c>
      <c r="V1090" s="5" t="s">
        <v>4</v>
      </c>
      <c r="W1090" s="84" t="s">
        <v>4</v>
      </c>
    </row>
    <row r="1091" spans="1:23" x14ac:dyDescent="0.25">
      <c r="A1091" s="90">
        <v>1072</v>
      </c>
      <c r="B1091" s="83"/>
      <c r="C1091" s="100">
        <f ca="1">_xll.meDateFromTenor(C1090,"1D","FOLLOWING",D$12)</f>
        <v>44050</v>
      </c>
      <c r="D1091" s="13">
        <f ca="1">_xll.meDateFromTenor(C1091,D$14,D$11,D$12)</f>
        <v>44053</v>
      </c>
      <c r="E1091" s="98">
        <f ca="1"/>
        <v>-7.2886289322667539E-4</v>
      </c>
      <c r="F1091" s="94"/>
      <c r="G1091" s="100">
        <f ca="1">_xll.meDateFromTenor(G1090,"1D","FOLLOWING",H$12)</f>
        <v>44050</v>
      </c>
      <c r="H1091" s="13">
        <f ca="1">_xll.meDateFromTenor(G1091,H$14,H$11,H$12)</f>
        <v>44081</v>
      </c>
      <c r="I1091" s="98">
        <f ca="1"/>
        <v>2.3481130615853616E-4</v>
      </c>
      <c r="J1091" s="94" t="s">
        <v>4</v>
      </c>
      <c r="K1091" s="100">
        <f ca="1">_xll.meDateFromTenor(K1090,"1D","FOLLOWING",L$12)</f>
        <v>44050</v>
      </c>
      <c r="L1091" s="13">
        <f ca="1">_xll.meDateFromTenor(K1091,L$14,L$11,L$12)</f>
        <v>44144</v>
      </c>
      <c r="M1091" s="98">
        <f ca="1"/>
        <v>1.4150639854132135E-3</v>
      </c>
      <c r="N1091" s="5" t="s">
        <v>4</v>
      </c>
      <c r="O1091" s="100">
        <f ca="1">_xll.meDateFromTenor(O1090,"1D","FOLLOWING",P$12)</f>
        <v>44050</v>
      </c>
      <c r="P1091" s="13">
        <f ca="1">_xll.meDateFromTenor(O1091,P$14,P$11,P$12)</f>
        <v>44235</v>
      </c>
      <c r="Q1091" s="98">
        <f ca="1"/>
        <v>3.2921059951221193E-3</v>
      </c>
      <c r="R1091" s="5" t="s">
        <v>4</v>
      </c>
      <c r="S1091" s="100">
        <f ca="1">_xll.meDateFromTenor(S1090,"1D","FOLLOWING",T$12)</f>
        <v>44050</v>
      </c>
      <c r="T1091" s="13">
        <f ca="1">_xll.meDateFromTenor(S1091,T$14,T$11,T$12)</f>
        <v>44417</v>
      </c>
      <c r="U1091" s="98">
        <f ca="1"/>
        <v>5.277029450022795E-3</v>
      </c>
      <c r="V1091" s="5" t="s">
        <v>4</v>
      </c>
      <c r="W1091" s="84" t="s">
        <v>4</v>
      </c>
    </row>
    <row r="1092" spans="1:23" x14ac:dyDescent="0.25">
      <c r="A1092" s="90">
        <v>1073</v>
      </c>
      <c r="B1092" s="83"/>
      <c r="C1092" s="100">
        <f ca="1">_xll.meDateFromTenor(C1091,"1D","FOLLOWING",D$12)</f>
        <v>44053</v>
      </c>
      <c r="D1092" s="13">
        <f ca="1">_xll.meDateFromTenor(C1092,D$14,D$11,D$12)</f>
        <v>44054</v>
      </c>
      <c r="E1092" s="98">
        <f ca="1"/>
        <v>-7.1244154771654656E-4</v>
      </c>
      <c r="F1092" s="94"/>
      <c r="G1092" s="100">
        <f ca="1">_xll.meDateFromTenor(G1091,"1D","FOLLOWING",H$12)</f>
        <v>44053</v>
      </c>
      <c r="H1092" s="13">
        <f ca="1">_xll.meDateFromTenor(G1092,H$14,H$11,H$12)</f>
        <v>44084</v>
      </c>
      <c r="I1092" s="98">
        <f ca="1"/>
        <v>2.5507171648853164E-4</v>
      </c>
      <c r="J1092" s="94" t="s">
        <v>4</v>
      </c>
      <c r="K1092" s="100">
        <f ca="1">_xll.meDateFromTenor(K1091,"1D","FOLLOWING",L$12)</f>
        <v>44053</v>
      </c>
      <c r="L1092" s="13">
        <f ca="1">_xll.meDateFromTenor(K1092,L$14,L$11,L$12)</f>
        <v>44145</v>
      </c>
      <c r="M1092" s="98">
        <f ca="1"/>
        <v>1.4352402114178589E-3</v>
      </c>
      <c r="N1092" s="5" t="s">
        <v>4</v>
      </c>
      <c r="O1092" s="100">
        <f ca="1">_xll.meDateFromTenor(O1091,"1D","FOLLOWING",P$12)</f>
        <v>44053</v>
      </c>
      <c r="P1092" s="13">
        <f ca="1">_xll.meDateFromTenor(O1092,P$14,P$11,P$12)</f>
        <v>44237</v>
      </c>
      <c r="Q1092" s="98">
        <f ca="1"/>
        <v>3.31139993633004E-3</v>
      </c>
      <c r="R1092" s="5" t="s">
        <v>4</v>
      </c>
      <c r="S1092" s="100">
        <f ca="1">_xll.meDateFromTenor(S1091,"1D","FOLLOWING",T$12)</f>
        <v>44053</v>
      </c>
      <c r="T1092" s="13">
        <f ca="1">_xll.meDateFromTenor(S1092,T$14,T$11,T$12)</f>
        <v>44418</v>
      </c>
      <c r="U1092" s="98">
        <f ca="1"/>
        <v>5.296883353910895E-3</v>
      </c>
      <c r="V1092" s="5" t="s">
        <v>4</v>
      </c>
      <c r="W1092" s="84" t="s">
        <v>4</v>
      </c>
    </row>
    <row r="1093" spans="1:23" x14ac:dyDescent="0.25">
      <c r="A1093" s="90">
        <v>1074</v>
      </c>
      <c r="B1093" s="83"/>
      <c r="C1093" s="100">
        <f ca="1">_xll.meDateFromTenor(C1092,"1D","FOLLOWING",D$12)</f>
        <v>44054</v>
      </c>
      <c r="D1093" s="13">
        <f ca="1">_xll.meDateFromTenor(C1093,D$14,D$11,D$12)</f>
        <v>44055</v>
      </c>
      <c r="E1093" s="98">
        <f ca="1"/>
        <v>-7.0423993576718548E-4</v>
      </c>
      <c r="F1093" s="94"/>
      <c r="G1093" s="100">
        <f ca="1">_xll.meDateFromTenor(G1092,"1D","FOLLOWING",H$12)</f>
        <v>44054</v>
      </c>
      <c r="H1093" s="13">
        <f ca="1">_xll.meDateFromTenor(G1093,H$14,H$11,H$12)</f>
        <v>44085</v>
      </c>
      <c r="I1093" s="98">
        <f ca="1"/>
        <v>2.618566698546632E-4</v>
      </c>
      <c r="J1093" s="94" t="s">
        <v>4</v>
      </c>
      <c r="K1093" s="100">
        <f ca="1">_xll.meDateFromTenor(K1092,"1D","FOLLOWING",L$12)</f>
        <v>44054</v>
      </c>
      <c r="L1093" s="13">
        <f ca="1">_xll.meDateFromTenor(K1093,L$14,L$11,L$12)</f>
        <v>44146</v>
      </c>
      <c r="M1093" s="98">
        <f ca="1"/>
        <v>1.4419719303885178E-3</v>
      </c>
      <c r="N1093" s="5" t="s">
        <v>4</v>
      </c>
      <c r="O1093" s="100">
        <f ca="1">_xll.meDateFromTenor(O1092,"1D","FOLLOWING",P$12)</f>
        <v>44054</v>
      </c>
      <c r="P1093" s="13">
        <f ca="1">_xll.meDateFromTenor(O1093,P$14,P$11,P$12)</f>
        <v>44238</v>
      </c>
      <c r="Q1093" s="98">
        <f ca="1"/>
        <v>3.3178385673953356E-3</v>
      </c>
      <c r="R1093" s="5" t="s">
        <v>4</v>
      </c>
      <c r="S1093" s="100">
        <f ca="1">_xll.meDateFromTenor(S1092,"1D","FOLLOWING",T$12)</f>
        <v>44054</v>
      </c>
      <c r="T1093" s="13">
        <f ca="1">_xll.meDateFromTenor(S1093,T$14,T$11,T$12)</f>
        <v>44419</v>
      </c>
      <c r="U1093" s="98">
        <f ca="1"/>
        <v>5.3035109563835444E-3</v>
      </c>
      <c r="V1093" s="5" t="s">
        <v>4</v>
      </c>
      <c r="W1093" s="84" t="s">
        <v>4</v>
      </c>
    </row>
    <row r="1094" spans="1:23" x14ac:dyDescent="0.25">
      <c r="A1094" s="90">
        <v>1075</v>
      </c>
      <c r="B1094" s="83"/>
      <c r="C1094" s="100">
        <f ca="1">_xll.meDateFromTenor(C1093,"1D","FOLLOWING",D$12)</f>
        <v>44055</v>
      </c>
      <c r="D1094" s="13">
        <f ca="1">_xll.meDateFromTenor(C1094,D$14,D$11,D$12)</f>
        <v>44056</v>
      </c>
      <c r="E1094" s="98">
        <f ca="1"/>
        <v>-6.9604420187541422E-4</v>
      </c>
      <c r="F1094" s="94"/>
      <c r="G1094" s="100">
        <f ca="1">_xll.meDateFromTenor(G1093,"1D","FOLLOWING",H$12)</f>
        <v>44055</v>
      </c>
      <c r="H1094" s="13">
        <f ca="1">_xll.meDateFromTenor(G1094,H$14,H$11,H$12)</f>
        <v>44088</v>
      </c>
      <c r="I1094" s="98">
        <f ca="1"/>
        <v>2.6865695253613025E-4</v>
      </c>
      <c r="J1094" s="94" t="s">
        <v>4</v>
      </c>
      <c r="K1094" s="100">
        <f ca="1">_xll.meDateFromTenor(K1093,"1D","FOLLOWING",L$12)</f>
        <v>44055</v>
      </c>
      <c r="L1094" s="13">
        <f ca="1">_xll.meDateFromTenor(K1094,L$14,L$11,L$12)</f>
        <v>44147</v>
      </c>
      <c r="M1094" s="98">
        <f ca="1"/>
        <v>1.4487068216598533E-3</v>
      </c>
      <c r="N1094" s="5" t="s">
        <v>4</v>
      </c>
      <c r="O1094" s="100">
        <f ca="1">_xll.meDateFromTenor(O1093,"1D","FOLLOWING",P$12)</f>
        <v>44055</v>
      </c>
      <c r="P1094" s="13">
        <f ca="1">_xll.meDateFromTenor(O1094,P$14,P$11,P$12)</f>
        <v>44239</v>
      </c>
      <c r="Q1094" s="98">
        <f ca="1"/>
        <v>3.3242808552343974E-3</v>
      </c>
      <c r="R1094" s="5" t="s">
        <v>4</v>
      </c>
      <c r="S1094" s="100">
        <f ca="1">_xll.meDateFromTenor(S1093,"1D","FOLLOWING",T$12)</f>
        <v>44055</v>
      </c>
      <c r="T1094" s="13">
        <f ca="1">_xll.meDateFromTenor(S1094,T$14,T$11,T$12)</f>
        <v>44420</v>
      </c>
      <c r="U1094" s="98">
        <f ca="1"/>
        <v>5.3101433479568671E-3</v>
      </c>
      <c r="V1094" s="5" t="s">
        <v>4</v>
      </c>
      <c r="W1094" s="84" t="s">
        <v>4</v>
      </c>
    </row>
    <row r="1095" spans="1:23" x14ac:dyDescent="0.25">
      <c r="A1095" s="90">
        <v>1076</v>
      </c>
      <c r="B1095" s="83"/>
      <c r="C1095" s="100">
        <f ca="1">_xll.meDateFromTenor(C1094,"1D","FOLLOWING",D$12)</f>
        <v>44056</v>
      </c>
      <c r="D1095" s="13">
        <f ca="1">_xll.meDateFromTenor(C1095,D$14,D$11,D$12)</f>
        <v>44057</v>
      </c>
      <c r="E1095" s="98">
        <f ca="1"/>
        <v>-6.8785434592222446E-4</v>
      </c>
      <c r="F1095" s="94"/>
      <c r="G1095" s="100">
        <f ca="1">_xll.meDateFromTenor(G1094,"1D","FOLLOWING",H$12)</f>
        <v>44056</v>
      </c>
      <c r="H1095" s="13">
        <f ca="1">_xll.meDateFromTenor(G1095,H$14,H$11,H$12)</f>
        <v>44088</v>
      </c>
      <c r="I1095" s="98">
        <f ca="1"/>
        <v>2.7547231714530028E-4</v>
      </c>
      <c r="J1095" s="94" t="s">
        <v>4</v>
      </c>
      <c r="K1095" s="100">
        <f ca="1">_xll.meDateFromTenor(K1094,"1D","FOLLOWING",L$12)</f>
        <v>44056</v>
      </c>
      <c r="L1095" s="13">
        <f ca="1">_xll.meDateFromTenor(K1095,L$14,L$11,L$12)</f>
        <v>44148</v>
      </c>
      <c r="M1095" s="98">
        <f ca="1"/>
        <v>1.4554448955215449E-3</v>
      </c>
      <c r="N1095" s="5" t="s">
        <v>4</v>
      </c>
      <c r="O1095" s="100">
        <f ca="1">_xll.meDateFromTenor(O1094,"1D","FOLLOWING",P$12)</f>
        <v>44056</v>
      </c>
      <c r="P1095" s="13">
        <f ca="1">_xll.meDateFromTenor(O1095,P$14,P$11,P$12)</f>
        <v>44242</v>
      </c>
      <c r="Q1095" s="98">
        <f ca="1"/>
        <v>3.3307267987126967E-3</v>
      </c>
      <c r="R1095" s="5" t="s">
        <v>4</v>
      </c>
      <c r="S1095" s="100">
        <f ca="1">_xll.meDateFromTenor(S1094,"1D","FOLLOWING",T$12)</f>
        <v>44056</v>
      </c>
      <c r="T1095" s="13">
        <f ca="1">_xll.meDateFromTenor(S1095,T$14,T$11,T$12)</f>
        <v>44421</v>
      </c>
      <c r="U1095" s="98">
        <f ca="1"/>
        <v>5.3167805117382829E-3</v>
      </c>
      <c r="V1095" s="5" t="s">
        <v>4</v>
      </c>
      <c r="W1095" s="84" t="s">
        <v>4</v>
      </c>
    </row>
    <row r="1096" spans="1:23" x14ac:dyDescent="0.25">
      <c r="A1096" s="90">
        <v>1077</v>
      </c>
      <c r="B1096" s="83"/>
      <c r="C1096" s="100">
        <f ca="1">_xll.meDateFromTenor(C1095,"1D","FOLLOWING",D$12)</f>
        <v>44057</v>
      </c>
      <c r="D1096" s="13">
        <f ca="1">_xll.meDateFromTenor(C1096,D$14,D$11,D$12)</f>
        <v>44060</v>
      </c>
      <c r="E1096" s="98">
        <f ca="1"/>
        <v>-6.7149297013454614E-4</v>
      </c>
      <c r="F1096" s="94"/>
      <c r="G1096" s="100">
        <f ca="1">_xll.meDateFromTenor(G1095,"1D","FOLLOWING",H$12)</f>
        <v>44057</v>
      </c>
      <c r="H1096" s="13">
        <f ca="1">_xll.meDateFromTenor(G1096,H$14,H$11,H$12)</f>
        <v>44088</v>
      </c>
      <c r="I1096" s="98">
        <f ca="1"/>
        <v>2.823025162945322E-4</v>
      </c>
      <c r="J1096" s="94" t="s">
        <v>4</v>
      </c>
      <c r="K1096" s="100">
        <f ca="1">_xll.meDateFromTenor(K1095,"1D","FOLLOWING",L$12)</f>
        <v>44057</v>
      </c>
      <c r="L1096" s="13">
        <f ca="1">_xll.meDateFromTenor(K1096,L$14,L$11,L$12)</f>
        <v>44151</v>
      </c>
      <c r="M1096" s="98">
        <f ca="1"/>
        <v>1.462186162263263E-3</v>
      </c>
      <c r="N1096" s="5" t="s">
        <v>4</v>
      </c>
      <c r="O1096" s="100">
        <f ca="1">_xll.meDateFromTenor(O1095,"1D","FOLLOWING",P$12)</f>
        <v>44057</v>
      </c>
      <c r="P1096" s="13">
        <f ca="1">_xll.meDateFromTenor(O1096,P$14,P$11,P$12)</f>
        <v>44242</v>
      </c>
      <c r="Q1096" s="98">
        <f ca="1"/>
        <v>3.3371763966956939E-3</v>
      </c>
      <c r="R1096" s="5" t="s">
        <v>4</v>
      </c>
      <c r="S1096" s="100">
        <f ca="1">_xll.meDateFromTenor(S1095,"1D","FOLLOWING",T$12)</f>
        <v>44057</v>
      </c>
      <c r="T1096" s="13">
        <f ca="1">_xll.meDateFromTenor(S1096,T$14,T$11,T$12)</f>
        <v>44424</v>
      </c>
      <c r="U1096" s="98">
        <f ca="1"/>
        <v>5.3234224308352099E-3</v>
      </c>
      <c r="V1096" s="5" t="s">
        <v>4</v>
      </c>
      <c r="W1096" s="84" t="s">
        <v>4</v>
      </c>
    </row>
    <row r="1097" spans="1:23" x14ac:dyDescent="0.25">
      <c r="A1097" s="90">
        <v>1078</v>
      </c>
      <c r="B1097" s="83"/>
      <c r="C1097" s="100">
        <f ca="1">_xll.meDateFromTenor(C1096,"1D","FOLLOWING",D$12)</f>
        <v>44060</v>
      </c>
      <c r="D1097" s="13">
        <f ca="1">_xll.meDateFromTenor(C1097,D$14,D$11,D$12)</f>
        <v>44061</v>
      </c>
      <c r="E1097" s="98">
        <f ca="1"/>
        <v>-6.5515368546275763E-4</v>
      </c>
      <c r="F1097" s="94"/>
      <c r="G1097" s="100">
        <f ca="1">_xll.meDateFromTenor(G1096,"1D","FOLLOWING",H$12)</f>
        <v>44060</v>
      </c>
      <c r="H1097" s="13">
        <f ca="1">_xll.meDateFromTenor(G1097,H$14,H$11,H$12)</f>
        <v>44091</v>
      </c>
      <c r="I1097" s="98">
        <f ca="1"/>
        <v>3.0287964710624515E-4</v>
      </c>
      <c r="J1097" s="94" t="s">
        <v>4</v>
      </c>
      <c r="K1097" s="100">
        <f ca="1">_xll.meDateFromTenor(K1096,"1D","FOLLOWING",L$12)</f>
        <v>44060</v>
      </c>
      <c r="L1097" s="13">
        <f ca="1">_xll.meDateFromTenor(K1097,L$14,L$11,L$12)</f>
        <v>44152</v>
      </c>
      <c r="M1097" s="98">
        <f ca="1"/>
        <v>1.4824292226653388E-3</v>
      </c>
      <c r="N1097" s="5" t="s">
        <v>4</v>
      </c>
      <c r="O1097" s="100">
        <f ca="1">_xll.meDateFromTenor(O1096,"1D","FOLLOWING",P$12)</f>
        <v>44060</v>
      </c>
      <c r="P1097" s="13">
        <f ca="1">_xll.meDateFromTenor(O1097,P$14,P$11,P$12)</f>
        <v>44244</v>
      </c>
      <c r="Q1097" s="98">
        <f ca="1"/>
        <v>3.3565471063275419E-3</v>
      </c>
      <c r="R1097" s="5" t="s">
        <v>4</v>
      </c>
      <c r="S1097" s="100">
        <f ca="1">_xll.meDateFromTenor(S1096,"1D","FOLLOWING",T$12)</f>
        <v>44060</v>
      </c>
      <c r="T1097" s="13">
        <f ca="1">_xll.meDateFromTenor(S1097,T$14,T$11,T$12)</f>
        <v>44425</v>
      </c>
      <c r="U1097" s="98">
        <f ca="1"/>
        <v>5.3433765510932599E-3</v>
      </c>
      <c r="V1097" s="5" t="s">
        <v>4</v>
      </c>
      <c r="W1097" s="84" t="s">
        <v>4</v>
      </c>
    </row>
    <row r="1098" spans="1:23" x14ac:dyDescent="0.25">
      <c r="A1098" s="90">
        <v>1079</v>
      </c>
      <c r="B1098" s="83"/>
      <c r="C1098" s="100">
        <f ca="1">_xll.meDateFromTenor(C1097,"1D","FOLLOWING",D$12)</f>
        <v>44061</v>
      </c>
      <c r="D1098" s="13">
        <f ca="1">_xll.meDateFromTenor(C1098,D$14,D$11,D$12)</f>
        <v>44062</v>
      </c>
      <c r="E1098" s="98">
        <f ca="1"/>
        <v>-6.469932083684836E-4</v>
      </c>
      <c r="F1098" s="94"/>
      <c r="G1098" s="100">
        <f ca="1">_xll.meDateFromTenor(G1097,"1D","FOLLOWING",H$12)</f>
        <v>44061</v>
      </c>
      <c r="H1098" s="13">
        <f ca="1">_xll.meDateFromTenor(G1098,H$14,H$11,H$12)</f>
        <v>44092</v>
      </c>
      <c r="I1098" s="98">
        <f ca="1"/>
        <v>3.0976671053936433E-4</v>
      </c>
      <c r="J1098" s="94" t="s">
        <v>4</v>
      </c>
      <c r="K1098" s="100">
        <f ca="1">_xll.meDateFromTenor(K1097,"1D","FOLLOWING",L$12)</f>
        <v>44061</v>
      </c>
      <c r="L1098" s="13">
        <f ca="1">_xll.meDateFromTenor(K1098,L$14,L$11,L$12)</f>
        <v>44153</v>
      </c>
      <c r="M1098" s="98">
        <f ca="1"/>
        <v>1.4891833638239192E-3</v>
      </c>
      <c r="N1098" s="5" t="s">
        <v>4</v>
      </c>
      <c r="O1098" s="100">
        <f ca="1">_xll.meDateFromTenor(O1097,"1D","FOLLOWING",P$12)</f>
        <v>44061</v>
      </c>
      <c r="P1098" s="13">
        <f ca="1">_xll.meDateFromTenor(O1098,P$14,P$11,P$12)</f>
        <v>44245</v>
      </c>
      <c r="Q1098" s="98">
        <f ca="1"/>
        <v>3.3630113109839946E-3</v>
      </c>
      <c r="R1098" s="5" t="s">
        <v>4</v>
      </c>
      <c r="S1098" s="100">
        <f ca="1">_xll.meDateFromTenor(S1097,"1D","FOLLOWING",T$12)</f>
        <v>44061</v>
      </c>
      <c r="T1098" s="13">
        <f ca="1">_xll.meDateFromTenor(S1098,T$14,T$11,T$12)</f>
        <v>44426</v>
      </c>
      <c r="U1098" s="98">
        <f ca="1"/>
        <v>5.3500373225264302E-3</v>
      </c>
      <c r="V1098" s="5" t="s">
        <v>4</v>
      </c>
      <c r="W1098" s="84" t="s">
        <v>4</v>
      </c>
    </row>
    <row r="1099" spans="1:23" x14ac:dyDescent="0.25">
      <c r="A1099" s="90">
        <v>1080</v>
      </c>
      <c r="B1099" s="83"/>
      <c r="C1099" s="100">
        <f ca="1">_xll.meDateFromTenor(C1098,"1D","FOLLOWING",D$12)</f>
        <v>44062</v>
      </c>
      <c r="D1099" s="13">
        <f ca="1">_xll.meDateFromTenor(C1099,D$14,D$11,D$12)</f>
        <v>44063</v>
      </c>
      <c r="E1099" s="98">
        <f ca="1"/>
        <v>-6.3883860529589281E-4</v>
      </c>
      <c r="F1099" s="94"/>
      <c r="G1099" s="100">
        <f ca="1">_xll.meDateFromTenor(G1098,"1D","FOLLOWING",H$12)</f>
        <v>44062</v>
      </c>
      <c r="H1099" s="13">
        <f ca="1">_xll.meDateFromTenor(G1099,H$14,H$11,H$12)</f>
        <v>44095</v>
      </c>
      <c r="I1099" s="98">
        <f ca="1"/>
        <v>3.1666737157436537E-4</v>
      </c>
      <c r="J1099" s="94" t="s">
        <v>4</v>
      </c>
      <c r="K1099" s="100">
        <f ca="1">_xll.meDateFromTenor(K1098,"1D","FOLLOWING",L$12)</f>
        <v>44062</v>
      </c>
      <c r="L1099" s="13">
        <f ca="1">_xll.meDateFromTenor(K1099,L$14,L$11,L$12)</f>
        <v>44154</v>
      </c>
      <c r="M1099" s="98">
        <f ca="1"/>
        <v>1.4959407493109046E-3</v>
      </c>
      <c r="N1099" s="5" t="s">
        <v>4</v>
      </c>
      <c r="O1099" s="100">
        <f ca="1">_xll.meDateFromTenor(O1098,"1D","FOLLOWING",P$12)</f>
        <v>44062</v>
      </c>
      <c r="P1099" s="13">
        <f ca="1">_xll.meDateFromTenor(O1099,P$14,P$11,P$12)</f>
        <v>44246</v>
      </c>
      <c r="Q1099" s="98">
        <f ca="1"/>
        <v>3.3694791644724759E-3</v>
      </c>
      <c r="R1099" s="5" t="s">
        <v>4</v>
      </c>
      <c r="S1099" s="100">
        <f ca="1">_xll.meDateFromTenor(S1098,"1D","FOLLOWING",T$12)</f>
        <v>44062</v>
      </c>
      <c r="T1099" s="13">
        <f ca="1">_xll.meDateFromTenor(S1099,T$14,T$11,T$12)</f>
        <v>44427</v>
      </c>
      <c r="U1099" s="98">
        <f ca="1"/>
        <v>5.3567027648122123E-3</v>
      </c>
      <c r="V1099" s="5" t="s">
        <v>4</v>
      </c>
      <c r="W1099" s="84" t="s">
        <v>4</v>
      </c>
    </row>
    <row r="1100" spans="1:23" x14ac:dyDescent="0.25">
      <c r="A1100" s="90">
        <v>1081</v>
      </c>
      <c r="B1100" s="83"/>
      <c r="C1100" s="100">
        <f ca="1">_xll.meDateFromTenor(C1099,"1D","FOLLOWING",D$12)</f>
        <v>44063</v>
      </c>
      <c r="D1100" s="13">
        <f ca="1">_xll.meDateFromTenor(C1100,D$14,D$11,D$12)</f>
        <v>44064</v>
      </c>
      <c r="E1100" s="98">
        <f ca="1"/>
        <v>-6.3068987576454653E-4</v>
      </c>
      <c r="F1100" s="94"/>
      <c r="G1100" s="100">
        <f ca="1">_xll.meDateFromTenor(G1099,"1D","FOLLOWING",H$12)</f>
        <v>44063</v>
      </c>
      <c r="H1100" s="13">
        <f ca="1">_xll.meDateFromTenor(G1100,H$14,H$11,H$12)</f>
        <v>44095</v>
      </c>
      <c r="I1100" s="98">
        <f ca="1"/>
        <v>3.2358138282360699E-4</v>
      </c>
      <c r="J1100" s="94" t="s">
        <v>4</v>
      </c>
      <c r="K1100" s="100">
        <f ca="1">_xll.meDateFromTenor(K1099,"1D","FOLLOWING",L$12)</f>
        <v>44063</v>
      </c>
      <c r="L1100" s="13">
        <f ca="1">_xll.meDateFromTenor(K1100,L$14,L$11,L$12)</f>
        <v>44155</v>
      </c>
      <c r="M1100" s="98">
        <f ca="1"/>
        <v>1.5027013894159645E-3</v>
      </c>
      <c r="N1100" s="5" t="s">
        <v>4</v>
      </c>
      <c r="O1100" s="100">
        <f ca="1">_xll.meDateFromTenor(O1099,"1D","FOLLOWING",P$12)</f>
        <v>44063</v>
      </c>
      <c r="P1100" s="13">
        <f ca="1">_xll.meDateFromTenor(O1100,P$14,P$11,P$12)</f>
        <v>44249</v>
      </c>
      <c r="Q1100" s="98">
        <f ca="1"/>
        <v>3.3759506656584489E-3</v>
      </c>
      <c r="R1100" s="5" t="s">
        <v>4</v>
      </c>
      <c r="S1100" s="100">
        <f ca="1">_xll.meDateFromTenor(S1099,"1D","FOLLOWING",T$12)</f>
        <v>44063</v>
      </c>
      <c r="T1100" s="13">
        <f ca="1">_xll.meDateFromTenor(S1100,T$14,T$11,T$12)</f>
        <v>44428</v>
      </c>
      <c r="U1100" s="98">
        <f ca="1"/>
        <v>5.36337286105802E-3</v>
      </c>
      <c r="V1100" s="5" t="s">
        <v>4</v>
      </c>
      <c r="W1100" s="84" t="s">
        <v>4</v>
      </c>
    </row>
    <row r="1101" spans="1:23" x14ac:dyDescent="0.25">
      <c r="A1101" s="90">
        <v>1082</v>
      </c>
      <c r="B1101" s="83"/>
      <c r="C1101" s="100">
        <f ca="1">_xll.meDateFromTenor(C1100,"1D","FOLLOWING",D$12)</f>
        <v>44064</v>
      </c>
      <c r="D1101" s="13">
        <f ca="1">_xll.meDateFromTenor(C1101,D$14,D$11,D$12)</f>
        <v>44067</v>
      </c>
      <c r="E1101" s="98">
        <f ca="1"/>
        <v>-6.1441094304285509E-4</v>
      </c>
      <c r="F1101" s="94"/>
      <c r="G1101" s="100">
        <f ca="1">_xll.meDateFromTenor(G1100,"1D","FOLLOWING",H$12)</f>
        <v>44064</v>
      </c>
      <c r="H1101" s="13">
        <f ca="1">_xll.meDateFromTenor(G1101,H$14,H$11,H$12)</f>
        <v>44095</v>
      </c>
      <c r="I1101" s="98">
        <f ca="1"/>
        <v>3.3050849689945461E-4</v>
      </c>
      <c r="J1101" s="94" t="s">
        <v>4</v>
      </c>
      <c r="K1101" s="100">
        <f ca="1">_xll.meDateFromTenor(K1100,"1D","FOLLOWING",L$12)</f>
        <v>44064</v>
      </c>
      <c r="L1101" s="13">
        <f ca="1">_xll.meDateFromTenor(K1101,L$14,L$11,L$12)</f>
        <v>44158</v>
      </c>
      <c r="M1101" s="98">
        <f ca="1"/>
        <v>1.5094652944287765E-3</v>
      </c>
      <c r="N1101" s="5" t="s">
        <v>4</v>
      </c>
      <c r="O1101" s="100">
        <f ca="1">_xll.meDateFromTenor(O1100,"1D","FOLLOWING",P$12)</f>
        <v>44064</v>
      </c>
      <c r="P1101" s="13">
        <f ca="1">_xll.meDateFromTenor(O1101,P$14,P$11,P$12)</f>
        <v>44249</v>
      </c>
      <c r="Q1101" s="98">
        <f ca="1"/>
        <v>3.3824258134073797E-3</v>
      </c>
      <c r="R1101" s="5" t="s">
        <v>4</v>
      </c>
      <c r="S1101" s="100">
        <f ca="1">_xll.meDateFromTenor(S1100,"1D","FOLLOWING",T$12)</f>
        <v>44064</v>
      </c>
      <c r="T1101" s="13">
        <f ca="1">_xll.meDateFromTenor(S1101,T$14,T$11,T$12)</f>
        <v>44431</v>
      </c>
      <c r="U1101" s="98">
        <f ca="1"/>
        <v>5.3700475943712763E-3</v>
      </c>
      <c r="V1101" s="5" t="s">
        <v>4</v>
      </c>
      <c r="W1101" s="84" t="s">
        <v>4</v>
      </c>
    </row>
    <row r="1102" spans="1:23" x14ac:dyDescent="0.25">
      <c r="A1102" s="90">
        <v>1083</v>
      </c>
      <c r="B1102" s="83"/>
      <c r="C1102" s="100">
        <f ca="1">_xll.meDateFromTenor(C1101,"1D","FOLLOWING",D$12)</f>
        <v>44067</v>
      </c>
      <c r="D1102" s="13">
        <f ca="1">_xll.meDateFromTenor(C1102,D$14,D$11,D$12)</f>
        <v>44068</v>
      </c>
      <c r="E1102" s="98">
        <f ca="1"/>
        <v>-5.9815367966721913E-4</v>
      </c>
      <c r="F1102" s="94"/>
      <c r="G1102" s="100">
        <f ca="1">_xll.meDateFromTenor(G1101,"1D","FOLLOWING",H$12)</f>
        <v>44067</v>
      </c>
      <c r="H1102" s="13">
        <f ca="1">_xll.meDateFromTenor(G1102,H$14,H$11,H$12)</f>
        <v>44098</v>
      </c>
      <c r="I1102" s="98">
        <f ca="1"/>
        <v>3.5136598221026898E-4</v>
      </c>
      <c r="J1102" s="94" t="s">
        <v>4</v>
      </c>
      <c r="K1102" s="100">
        <f ca="1">_xll.meDateFromTenor(K1101,"1D","FOLLOWING",L$12)</f>
        <v>44067</v>
      </c>
      <c r="L1102" s="13">
        <f ca="1">_xll.meDateFromTenor(K1102,L$14,L$11,L$12)</f>
        <v>44159</v>
      </c>
      <c r="M1102" s="98">
        <f ca="1"/>
        <v>1.5297767018104778E-3</v>
      </c>
      <c r="N1102" s="5" t="s">
        <v>4</v>
      </c>
      <c r="O1102" s="100">
        <f ca="1">_xll.meDateFromTenor(O1101,"1D","FOLLOWING",P$12)</f>
        <v>44067</v>
      </c>
      <c r="P1102" s="13">
        <f ca="1">_xll.meDateFromTenor(O1102,P$14,P$11,P$12)</f>
        <v>44251</v>
      </c>
      <c r="Q1102" s="98">
        <f ca="1"/>
        <v>3.4018731246865824E-3</v>
      </c>
      <c r="R1102" s="5" t="s">
        <v>4</v>
      </c>
      <c r="S1102" s="100">
        <f ca="1">_xll.meDateFromTenor(S1101,"1D","FOLLOWING",T$12)</f>
        <v>44067</v>
      </c>
      <c r="T1102" s="13">
        <f ca="1">_xll.meDateFromTenor(S1102,T$14,T$11,T$12)</f>
        <v>44432</v>
      </c>
      <c r="U1102" s="98">
        <f ca="1"/>
        <v>5.3900994477899325E-3</v>
      </c>
      <c r="V1102" s="5" t="s">
        <v>4</v>
      </c>
      <c r="W1102" s="84" t="s">
        <v>4</v>
      </c>
    </row>
    <row r="1103" spans="1:23" x14ac:dyDescent="0.25">
      <c r="A1103" s="90">
        <v>1084</v>
      </c>
      <c r="B1103" s="83"/>
      <c r="C1103" s="100">
        <f ca="1">_xll.meDateFromTenor(C1102,"1D","FOLLOWING",D$12)</f>
        <v>44068</v>
      </c>
      <c r="D1103" s="13">
        <f ca="1">_xll.meDateFromTenor(C1103,D$14,D$11,D$12)</f>
        <v>44069</v>
      </c>
      <c r="E1103" s="98">
        <f ca="1"/>
        <v>-5.9003430837210804E-4</v>
      </c>
      <c r="F1103" s="94"/>
      <c r="G1103" s="100">
        <f ca="1">_xll.meDateFromTenor(G1102,"1D","FOLLOWING",H$12)</f>
        <v>44068</v>
      </c>
      <c r="H1103" s="13">
        <f ca="1">_xll.meDateFromTenor(G1103,H$14,H$11,H$12)</f>
        <v>44099</v>
      </c>
      <c r="I1103" s="98">
        <f ca="1"/>
        <v>3.5834303371617179E-4</v>
      </c>
      <c r="J1103" s="94" t="s">
        <v>4</v>
      </c>
      <c r="K1103" s="100">
        <f ca="1">_xll.meDateFromTenor(K1102,"1D","FOLLOWING",L$12)</f>
        <v>44068</v>
      </c>
      <c r="L1103" s="13">
        <f ca="1">_xll.meDateFromTenor(K1103,L$14,L$11,L$12)</f>
        <v>44160</v>
      </c>
      <c r="M1103" s="98">
        <f ca="1"/>
        <v>1.5365537693510462E-3</v>
      </c>
      <c r="N1103" s="5" t="s">
        <v>4</v>
      </c>
      <c r="O1103" s="100">
        <f ca="1">_xll.meDateFromTenor(O1102,"1D","FOLLOWING",P$12)</f>
        <v>44068</v>
      </c>
      <c r="P1103" s="13">
        <f ca="1">_xll.meDateFromTenor(O1103,P$14,P$11,P$12)</f>
        <v>44252</v>
      </c>
      <c r="Q1103" s="98">
        <f ca="1"/>
        <v>3.4083628473420024E-3</v>
      </c>
      <c r="R1103" s="5" t="s">
        <v>4</v>
      </c>
      <c r="S1103" s="100">
        <f ca="1">_xll.meDateFromTenor(S1102,"1D","FOLLOWING",T$12)</f>
        <v>44068</v>
      </c>
      <c r="T1103" s="13">
        <f ca="1">_xll.meDateFromTenor(S1103,T$14,T$11,T$12)</f>
        <v>44433</v>
      </c>
      <c r="U1103" s="98">
        <f ca="1"/>
        <v>5.3967925604471766E-3</v>
      </c>
      <c r="V1103" s="5" t="s">
        <v>4</v>
      </c>
      <c r="W1103" s="84" t="s">
        <v>4</v>
      </c>
    </row>
    <row r="1104" spans="1:23" x14ac:dyDescent="0.25">
      <c r="A1104" s="90">
        <v>1085</v>
      </c>
      <c r="B1104" s="83"/>
      <c r="C1104" s="100">
        <f ca="1">_xll.meDateFromTenor(C1103,"1D","FOLLOWING",D$12)</f>
        <v>44069</v>
      </c>
      <c r="D1104" s="13">
        <f ca="1">_xll.meDateFromTenor(C1104,D$14,D$11,D$12)</f>
        <v>44070</v>
      </c>
      <c r="E1104" s="98">
        <f ca="1"/>
        <v>-5.8192080678134202E-4</v>
      </c>
      <c r="F1104" s="94"/>
      <c r="G1104" s="100">
        <f ca="1">_xll.meDateFromTenor(G1103,"1D","FOLLOWING",H$12)</f>
        <v>44069</v>
      </c>
      <c r="H1104" s="13">
        <f ca="1">_xll.meDateFromTenor(G1104,H$14,H$11,H$12)</f>
        <v>44102</v>
      </c>
      <c r="I1104" s="98">
        <f ca="1"/>
        <v>3.6533195111049623E-4</v>
      </c>
      <c r="J1104" s="94" t="s">
        <v>4</v>
      </c>
      <c r="K1104" s="100">
        <f ca="1">_xll.meDateFromTenor(K1103,"1D","FOLLOWING",L$12)</f>
        <v>44069</v>
      </c>
      <c r="L1104" s="13">
        <f ca="1">_xll.meDateFromTenor(K1104,L$14,L$11,L$12)</f>
        <v>44161</v>
      </c>
      <c r="M1104" s="98">
        <f ca="1"/>
        <v>1.5433341532477406E-3</v>
      </c>
      <c r="N1104" s="5" t="s">
        <v>4</v>
      </c>
      <c r="O1104" s="100">
        <f ca="1">_xll.meDateFromTenor(O1103,"1D","FOLLOWING",P$12)</f>
        <v>44069</v>
      </c>
      <c r="P1104" s="13">
        <f ca="1">_xll.meDateFromTenor(O1104,P$14,P$11,P$12)</f>
        <v>44253</v>
      </c>
      <c r="Q1104" s="98">
        <f ca="1"/>
        <v>3.4148562108877079E-3</v>
      </c>
      <c r="R1104" s="5" t="s">
        <v>4</v>
      </c>
      <c r="S1104" s="100">
        <f ca="1">_xll.meDateFromTenor(S1103,"1D","FOLLOWING",T$12)</f>
        <v>44069</v>
      </c>
      <c r="T1104" s="13">
        <f ca="1">_xll.meDateFromTenor(S1104,T$14,T$11,T$12)</f>
        <v>44434</v>
      </c>
      <c r="U1104" s="98">
        <f ca="1"/>
        <v>5.4034902257089649E-3</v>
      </c>
      <c r="V1104" s="5" t="s">
        <v>4</v>
      </c>
      <c r="W1104" s="84" t="s">
        <v>4</v>
      </c>
    </row>
    <row r="1105" spans="1:23" x14ac:dyDescent="0.25">
      <c r="A1105" s="90">
        <v>1086</v>
      </c>
      <c r="B1105" s="83"/>
      <c r="C1105" s="100">
        <f ca="1">_xll.meDateFromTenor(C1104,"1D","FOLLOWING",D$12)</f>
        <v>44070</v>
      </c>
      <c r="D1105" s="13">
        <f ca="1">_xll.meDateFromTenor(C1105,D$14,D$11,D$12)</f>
        <v>44071</v>
      </c>
      <c r="E1105" s="98">
        <f ca="1"/>
        <v>-5.7381317453595812E-4</v>
      </c>
      <c r="F1105" s="94"/>
      <c r="G1105" s="100">
        <f ca="1">_xll.meDateFromTenor(G1104,"1D","FOLLOWING",H$12)</f>
        <v>44070</v>
      </c>
      <c r="H1105" s="13">
        <f ca="1">_xll.meDateFromTenor(G1105,H$14,H$11,H$12)</f>
        <v>44102</v>
      </c>
      <c r="I1105" s="98">
        <f ca="1"/>
        <v>3.7233248700560773E-4</v>
      </c>
      <c r="J1105" s="94" t="s">
        <v>4</v>
      </c>
      <c r="K1105" s="100">
        <f ca="1">_xll.meDateFromTenor(K1104,"1D","FOLLOWING",L$12)</f>
        <v>44070</v>
      </c>
      <c r="L1105" s="13">
        <f ca="1">_xll.meDateFromTenor(K1105,L$14,L$11,L$12)</f>
        <v>44162</v>
      </c>
      <c r="M1105" s="98">
        <f ca="1"/>
        <v>1.5501178637902378E-3</v>
      </c>
      <c r="N1105" s="5" t="s">
        <v>4</v>
      </c>
      <c r="O1105" s="100">
        <f ca="1">_xll.meDateFromTenor(O1104,"1D","FOLLOWING",P$12)</f>
        <v>44070</v>
      </c>
      <c r="P1105" s="13">
        <f ca="1">_xll.meDateFromTenor(O1105,P$14,P$11,P$12)</f>
        <v>44253</v>
      </c>
      <c r="Q1105" s="98">
        <f ca="1"/>
        <v>3.4213532141891666E-3</v>
      </c>
      <c r="R1105" s="5" t="s">
        <v>4</v>
      </c>
      <c r="S1105" s="100">
        <f ca="1">_xll.meDateFromTenor(S1104,"1D","FOLLOWING",T$12)</f>
        <v>44070</v>
      </c>
      <c r="T1105" s="13">
        <f ca="1">_xll.meDateFromTenor(S1105,T$14,T$11,T$12)</f>
        <v>44435</v>
      </c>
      <c r="U1105" s="98">
        <f ca="1"/>
        <v>5.410192426682719E-3</v>
      </c>
      <c r="V1105" s="5" t="s">
        <v>4</v>
      </c>
      <c r="W1105" s="84" t="s">
        <v>4</v>
      </c>
    </row>
    <row r="1106" spans="1:23" x14ac:dyDescent="0.25">
      <c r="A1106" s="90">
        <v>1087</v>
      </c>
      <c r="B1106" s="83"/>
      <c r="C1106" s="100">
        <f ca="1">_xll.meDateFromTenor(C1105,"1D","FOLLOWING",D$12)</f>
        <v>44071</v>
      </c>
      <c r="D1106" s="13">
        <f ca="1">_xll.meDateFromTenor(C1106,D$14,D$11,D$12)</f>
        <v>44074</v>
      </c>
      <c r="E1106" s="98">
        <f ca="1"/>
        <v>-5.5761660791461831E-4</v>
      </c>
      <c r="F1106" s="94"/>
      <c r="G1106" s="100">
        <f ca="1">_xll.meDateFromTenor(G1105,"1D","FOLLOWING",H$12)</f>
        <v>44071</v>
      </c>
      <c r="H1106" s="13">
        <f ca="1">_xll.meDateFromTenor(G1106,H$14,H$11,H$12)</f>
        <v>44102</v>
      </c>
      <c r="I1106" s="98">
        <f ca="1"/>
        <v>3.7934439401386493E-4</v>
      </c>
      <c r="J1106" s="94" t="s">
        <v>4</v>
      </c>
      <c r="K1106" s="100">
        <f ca="1">_xll.meDateFromTenor(K1105,"1D","FOLLOWING",L$12)</f>
        <v>44071</v>
      </c>
      <c r="L1106" s="13">
        <f ca="1">_xll.meDateFromTenor(K1106,L$14,L$11,L$12)</f>
        <v>44165</v>
      </c>
      <c r="M1106" s="98">
        <f ca="1"/>
        <v>1.5569049112682085E-3</v>
      </c>
      <c r="N1106" s="5" t="s">
        <v>4</v>
      </c>
      <c r="O1106" s="100">
        <f ca="1">_xll.meDateFromTenor(O1105,"1D","FOLLOWING",P$12)</f>
        <v>44071</v>
      </c>
      <c r="P1106" s="13">
        <f ca="1">_xll.meDateFromTenor(O1106,P$14,P$11,P$12)</f>
        <v>44253</v>
      </c>
      <c r="Q1106" s="98">
        <f ca="1"/>
        <v>3.4278538561118396E-3</v>
      </c>
      <c r="R1106" s="5" t="s">
        <v>4</v>
      </c>
      <c r="S1106" s="100">
        <f ca="1">_xll.meDateFromTenor(S1105,"1D","FOLLOWING",T$12)</f>
        <v>44071</v>
      </c>
      <c r="T1106" s="13">
        <f ca="1">_xll.meDateFromTenor(S1106,T$14,T$11,T$12)</f>
        <v>44438</v>
      </c>
      <c r="U1106" s="98">
        <f ca="1"/>
        <v>5.4168991464758559E-3</v>
      </c>
      <c r="V1106" s="5" t="s">
        <v>4</v>
      </c>
      <c r="W1106" s="84" t="s">
        <v>4</v>
      </c>
    </row>
    <row r="1107" spans="1:23" x14ac:dyDescent="0.25">
      <c r="A1107" s="90">
        <v>1088</v>
      </c>
      <c r="B1107" s="83"/>
      <c r="C1107" s="100">
        <f ca="1">_xll.meDateFromTenor(C1106,"1D","FOLLOWING",D$12)</f>
        <v>44074</v>
      </c>
      <c r="D1107" s="13">
        <f ca="1">_xll.meDateFromTenor(C1107,D$14,D$11,D$12)</f>
        <v>44075</v>
      </c>
      <c r="E1107" s="98">
        <f ca="1"/>
        <v>-5.4144132697340162E-4</v>
      </c>
      <c r="F1107" s="94"/>
      <c r="G1107" s="100">
        <f ca="1">_xll.meDateFromTenor(G1106,"1D","FOLLOWING",H$12)</f>
        <v>44074</v>
      </c>
      <c r="H1107" s="13">
        <f ca="1">_xll.meDateFromTenor(G1107,H$14,H$11,H$12)</f>
        <v>44104</v>
      </c>
      <c r="I1107" s="98">
        <f ca="1"/>
        <v>4.0044586784115786E-4</v>
      </c>
      <c r="J1107" s="94" t="s">
        <v>4</v>
      </c>
      <c r="K1107" s="100">
        <f ca="1">_xll.meDateFromTenor(K1106,"1D","FOLLOWING",L$12)</f>
        <v>44074</v>
      </c>
      <c r="L1107" s="13">
        <f ca="1">_xll.meDateFromTenor(K1107,L$14,L$11,L$12)</f>
        <v>44165</v>
      </c>
      <c r="M1107" s="98">
        <f ca="1"/>
        <v>1.5772861782117234E-3</v>
      </c>
      <c r="N1107" s="5" t="s">
        <v>4</v>
      </c>
      <c r="O1107" s="100">
        <f ca="1">_xll.meDateFromTenor(O1106,"1D","FOLLOWING",P$12)</f>
        <v>44074</v>
      </c>
      <c r="P1107" s="13">
        <f ca="1">_xll.meDateFromTenor(O1107,P$14,P$11,P$12)</f>
        <v>44253</v>
      </c>
      <c r="Q1107" s="98">
        <f ca="1"/>
        <v>3.4473776022618174E-3</v>
      </c>
      <c r="R1107" s="5" t="s">
        <v>4</v>
      </c>
      <c r="S1107" s="100">
        <f ca="1">_xll.meDateFromTenor(S1106,"1D","FOLLOWING",T$12)</f>
        <v>44074</v>
      </c>
      <c r="T1107" s="13">
        <f ca="1">_xll.meDateFromTenor(S1107,T$14,T$11,T$12)</f>
        <v>44439</v>
      </c>
      <c r="U1107" s="98">
        <f ca="1"/>
        <v>5.4370462498457674E-3</v>
      </c>
      <c r="V1107" s="5" t="s">
        <v>4</v>
      </c>
      <c r="W1107" s="84" t="s">
        <v>4</v>
      </c>
    </row>
    <row r="1108" spans="1:23" x14ac:dyDescent="0.25">
      <c r="A1108" s="90">
        <v>1089</v>
      </c>
      <c r="B1108" s="83"/>
      <c r="C1108" s="100">
        <f ca="1">_xll.meDateFromTenor(C1107,"1D","FOLLOWING",D$12)</f>
        <v>44075</v>
      </c>
      <c r="D1108" s="13">
        <f ca="1">_xll.meDateFromTenor(C1108,D$14,D$11,D$12)</f>
        <v>44076</v>
      </c>
      <c r="E1108" s="98">
        <f ca="1"/>
        <v>-5.3336303257980877E-4</v>
      </c>
      <c r="F1108" s="94"/>
      <c r="G1108" s="100">
        <f ca="1">_xll.meDateFromTenor(G1107,"1D","FOLLOWING",H$12)</f>
        <v>44075</v>
      </c>
      <c r="H1108" s="13">
        <f ca="1">_xll.meDateFromTenor(G1108,H$14,H$11,H$12)</f>
        <v>44105</v>
      </c>
      <c r="I1108" s="98">
        <f ca="1"/>
        <v>4.0750078542563814E-4</v>
      </c>
      <c r="J1108" s="94" t="s">
        <v>4</v>
      </c>
      <c r="K1108" s="100">
        <f ca="1">_xll.meDateFromTenor(K1107,"1D","FOLLOWING",L$12)</f>
        <v>44075</v>
      </c>
      <c r="L1108" s="13">
        <f ca="1">_xll.meDateFromTenor(K1108,L$14,L$11,L$12)</f>
        <v>44166</v>
      </c>
      <c r="M1108" s="98">
        <f ca="1"/>
        <v>1.5840866763283438E-3</v>
      </c>
      <c r="N1108" s="5" t="s">
        <v>4</v>
      </c>
      <c r="O1108" s="100">
        <f ca="1">_xll.meDateFromTenor(O1107,"1D","FOLLOWING",P$12)</f>
        <v>44075</v>
      </c>
      <c r="P1108" s="13">
        <f ca="1">_xll.meDateFromTenor(O1108,P$14,P$11,P$12)</f>
        <v>44256</v>
      </c>
      <c r="Q1108" s="98">
        <f ca="1"/>
        <v>3.4538927873240129E-3</v>
      </c>
      <c r="R1108" s="5" t="s">
        <v>4</v>
      </c>
      <c r="S1108" s="100">
        <f ca="1">_xll.meDateFromTenor(S1107,"1D","FOLLOWING",T$12)</f>
        <v>44075</v>
      </c>
      <c r="T1108" s="13">
        <f ca="1">_xll.meDateFromTenor(S1108,T$14,T$11,T$12)</f>
        <v>44440</v>
      </c>
      <c r="U1108" s="98">
        <f ca="1"/>
        <v>5.4437708759906347E-3</v>
      </c>
      <c r="V1108" s="5" t="s">
        <v>4</v>
      </c>
      <c r="W1108" s="84" t="s">
        <v>4</v>
      </c>
    </row>
    <row r="1109" spans="1:23" x14ac:dyDescent="0.25">
      <c r="A1109" s="90">
        <v>1090</v>
      </c>
      <c r="B1109" s="83"/>
      <c r="C1109" s="100">
        <f ca="1">_xll.meDateFromTenor(C1108,"1D","FOLLOWING",D$12)</f>
        <v>44076</v>
      </c>
      <c r="D1109" s="13">
        <f ca="1">_xll.meDateFromTenor(C1109,D$14,D$11,D$12)</f>
        <v>44077</v>
      </c>
      <c r="E1109" s="98">
        <f ca="1"/>
        <v>-5.252904319120481E-4</v>
      </c>
      <c r="F1109" s="94"/>
      <c r="G1109" s="100">
        <f ca="1">_xll.meDateFromTenor(G1108,"1D","FOLLOWING",H$12)</f>
        <v>44076</v>
      </c>
      <c r="H1109" s="13">
        <f ca="1">_xll.meDateFromTenor(G1109,H$14,H$11,H$12)</f>
        <v>44106</v>
      </c>
      <c r="I1109" s="98">
        <f ca="1"/>
        <v>4.1456583718508443E-4</v>
      </c>
      <c r="J1109" s="94" t="s">
        <v>4</v>
      </c>
      <c r="K1109" s="100">
        <f ca="1">_xll.meDateFromTenor(K1108,"1D","FOLLOWING",L$12)</f>
        <v>44076</v>
      </c>
      <c r="L1109" s="13">
        <f ca="1">_xll.meDateFromTenor(K1109,L$14,L$11,L$12)</f>
        <v>44167</v>
      </c>
      <c r="M1109" s="98">
        <f ca="1"/>
        <v>1.5908905628288161E-3</v>
      </c>
      <c r="N1109" s="5" t="s">
        <v>4</v>
      </c>
      <c r="O1109" s="100">
        <f ca="1">_xll.meDateFromTenor(O1108,"1D","FOLLOWING",P$12)</f>
        <v>44076</v>
      </c>
      <c r="P1109" s="13">
        <f ca="1">_xll.meDateFromTenor(O1109,P$14,P$11,P$12)</f>
        <v>44257</v>
      </c>
      <c r="Q1109" s="98">
        <f ca="1"/>
        <v>3.4604116053347542E-3</v>
      </c>
      <c r="R1109" s="5" t="s">
        <v>4</v>
      </c>
      <c r="S1109" s="100">
        <f ca="1">_xll.meDateFromTenor(S1108,"1D","FOLLOWING",T$12)</f>
        <v>44076</v>
      </c>
      <c r="T1109" s="13">
        <f ca="1">_xll.meDateFromTenor(S1109,T$14,T$11,T$12)</f>
        <v>44441</v>
      </c>
      <c r="U1109" s="98">
        <f ca="1"/>
        <v>5.4504999364919839E-3</v>
      </c>
      <c r="V1109" s="5" t="s">
        <v>4</v>
      </c>
      <c r="W1109" s="84" t="s">
        <v>4</v>
      </c>
    </row>
    <row r="1110" spans="1:23" x14ac:dyDescent="0.25">
      <c r="A1110" s="90">
        <v>1091</v>
      </c>
      <c r="B1110" s="83"/>
      <c r="C1110" s="100">
        <f ca="1">_xll.meDateFromTenor(C1109,"1D","FOLLOWING",D$12)</f>
        <v>44077</v>
      </c>
      <c r="D1110" s="13">
        <f ca="1">_xll.meDateFromTenor(C1110,D$14,D$11,D$12)</f>
        <v>44078</v>
      </c>
      <c r="E1110" s="98">
        <f ca="1"/>
        <v>-5.1722283624036874E-4</v>
      </c>
      <c r="F1110" s="94"/>
      <c r="G1110" s="100">
        <f ca="1">_xll.meDateFromTenor(G1109,"1D","FOLLOWING",H$12)</f>
        <v>44077</v>
      </c>
      <c r="H1110" s="13">
        <f ca="1">_xll.meDateFromTenor(G1110,H$14,H$11,H$12)</f>
        <v>44109</v>
      </c>
      <c r="I1110" s="98">
        <f ca="1"/>
        <v>4.216406430632714E-4</v>
      </c>
      <c r="J1110" s="94" t="s">
        <v>4</v>
      </c>
      <c r="K1110" s="100">
        <f ca="1">_xll.meDateFromTenor(K1109,"1D","FOLLOWING",L$12)</f>
        <v>44077</v>
      </c>
      <c r="L1110" s="13">
        <f ca="1">_xll.meDateFromTenor(K1110,L$14,L$11,L$12)</f>
        <v>44168</v>
      </c>
      <c r="M1110" s="98">
        <f ca="1"/>
        <v>1.5976978500136223E-3</v>
      </c>
      <c r="N1110" s="5" t="s">
        <v>4</v>
      </c>
      <c r="O1110" s="100">
        <f ca="1">_xll.meDateFromTenor(O1109,"1D","FOLLOWING",P$12)</f>
        <v>44077</v>
      </c>
      <c r="P1110" s="13">
        <f ca="1">_xll.meDateFromTenor(O1110,P$14,P$11,P$12)</f>
        <v>44258</v>
      </c>
      <c r="Q1110" s="98">
        <f ca="1"/>
        <v>3.4669340551595033E-3</v>
      </c>
      <c r="R1110" s="5" t="s">
        <v>4</v>
      </c>
      <c r="S1110" s="100">
        <f ca="1">_xll.meDateFromTenor(S1109,"1D","FOLLOWING",T$12)</f>
        <v>44077</v>
      </c>
      <c r="T1110" s="13">
        <f ca="1">_xll.meDateFromTenor(S1110,T$14,T$11,T$12)</f>
        <v>44442</v>
      </c>
      <c r="U1110" s="98">
        <f ca="1"/>
        <v>5.4572334144572339E-3</v>
      </c>
      <c r="V1110" s="5" t="s">
        <v>4</v>
      </c>
      <c r="W1110" s="84" t="s">
        <v>4</v>
      </c>
    </row>
    <row r="1111" spans="1:23" x14ac:dyDescent="0.25">
      <c r="A1111" s="90">
        <v>1092</v>
      </c>
      <c r="B1111" s="83"/>
      <c r="C1111" s="100">
        <f ca="1">_xll.meDateFromTenor(C1110,"1D","FOLLOWING",D$12)</f>
        <v>44078</v>
      </c>
      <c r="D1111" s="13">
        <f ca="1">_xll.meDateFromTenor(C1111,D$14,D$11,D$12)</f>
        <v>44081</v>
      </c>
      <c r="E1111" s="98">
        <f ca="1"/>
        <v>-5.011030557034176E-4</v>
      </c>
      <c r="F1111" s="94"/>
      <c r="G1111" s="100">
        <f ca="1">_xll.meDateFromTenor(G1110,"1D","FOLLOWING",H$12)</f>
        <v>44078</v>
      </c>
      <c r="H1111" s="13">
        <f ca="1">_xll.meDateFromTenor(G1111,H$14,H$11,H$12)</f>
        <v>44109</v>
      </c>
      <c r="I1111" s="98">
        <f ca="1"/>
        <v>4.287242923296477E-4</v>
      </c>
      <c r="J1111" s="94" t="s">
        <v>4</v>
      </c>
      <c r="K1111" s="100">
        <f ca="1">_xll.meDateFromTenor(K1110,"1D","FOLLOWING",L$12)</f>
        <v>44078</v>
      </c>
      <c r="L1111" s="13">
        <f ca="1">_xll.meDateFromTenor(K1111,L$14,L$11,L$12)</f>
        <v>44169</v>
      </c>
      <c r="M1111" s="98">
        <f ca="1"/>
        <v>1.6045085582265027E-3</v>
      </c>
      <c r="N1111" s="5" t="s">
        <v>4</v>
      </c>
      <c r="O1111" s="100">
        <f ca="1">_xll.meDateFromTenor(O1110,"1D","FOLLOWING",P$12)</f>
        <v>44078</v>
      </c>
      <c r="P1111" s="13">
        <f ca="1">_xll.meDateFromTenor(O1111,P$14,P$11,P$12)</f>
        <v>44259</v>
      </c>
      <c r="Q1111" s="98">
        <f ca="1"/>
        <v>3.4734601356637296E-3</v>
      </c>
      <c r="R1111" s="5" t="s">
        <v>4</v>
      </c>
      <c r="S1111" s="100">
        <f ca="1">_xll.meDateFromTenor(S1110,"1D","FOLLOWING",T$12)</f>
        <v>44078</v>
      </c>
      <c r="T1111" s="13">
        <f ca="1">_xll.meDateFromTenor(S1111,T$14,T$11,T$12)</f>
        <v>44445</v>
      </c>
      <c r="U1111" s="98">
        <f ca="1"/>
        <v>5.4639712929938043E-3</v>
      </c>
      <c r="V1111" s="5" t="s">
        <v>4</v>
      </c>
      <c r="W1111" s="84" t="s">
        <v>4</v>
      </c>
    </row>
    <row r="1112" spans="1:23" x14ac:dyDescent="0.25">
      <c r="A1112" s="90">
        <v>1093</v>
      </c>
      <c r="B1112" s="83"/>
      <c r="C1112" s="100">
        <f ca="1">_xll.meDateFromTenor(C1111,"1D","FOLLOWING",D$12)</f>
        <v>44081</v>
      </c>
      <c r="D1112" s="13">
        <f ca="1">_xll.meDateFromTenor(C1112,D$14,D$11,D$12)</f>
        <v>44082</v>
      </c>
      <c r="E1112" s="98">
        <f ca="1"/>
        <v>-4.8500077482131109E-4</v>
      </c>
      <c r="F1112" s="94"/>
      <c r="G1112" s="100">
        <f ca="1">_xll.meDateFromTenor(G1111,"1D","FOLLOWING",H$12)</f>
        <v>44081</v>
      </c>
      <c r="H1112" s="13">
        <f ca="1">_xll.meDateFromTenor(G1112,H$14,H$11,H$12)</f>
        <v>44111</v>
      </c>
      <c r="I1112" s="98">
        <f ca="1"/>
        <v>4.5001786646649755E-4</v>
      </c>
      <c r="J1112" s="94" t="s">
        <v>4</v>
      </c>
      <c r="K1112" s="100">
        <f ca="1">_xll.meDateFromTenor(K1111,"1D","FOLLOWING",L$12)</f>
        <v>44081</v>
      </c>
      <c r="L1112" s="13">
        <f ca="1">_xll.meDateFromTenor(K1112,L$14,L$11,L$12)</f>
        <v>44172</v>
      </c>
      <c r="M1112" s="98">
        <f ca="1"/>
        <v>1.6249614325790462E-3</v>
      </c>
      <c r="N1112" s="5" t="s">
        <v>4</v>
      </c>
      <c r="O1112" s="100">
        <f ca="1">_xll.meDateFromTenor(O1111,"1D","FOLLOWING",P$12)</f>
        <v>44081</v>
      </c>
      <c r="P1112" s="13">
        <f ca="1">_xll.meDateFromTenor(O1112,P$14,P$11,P$12)</f>
        <v>44263</v>
      </c>
      <c r="Q1112" s="98">
        <f ca="1"/>
        <v>3.4930601499079087E-3</v>
      </c>
      <c r="R1112" s="5" t="s">
        <v>4</v>
      </c>
      <c r="S1112" s="100">
        <f ca="1">_xll.meDateFromTenor(S1111,"1D","FOLLOWING",T$12)</f>
        <v>44081</v>
      </c>
      <c r="T1112" s="13">
        <f ca="1">_xll.meDateFromTenor(S1112,T$14,T$11,T$12)</f>
        <v>44446</v>
      </c>
      <c r="U1112" s="98">
        <f ca="1"/>
        <v>5.4842111631056255E-3</v>
      </c>
      <c r="V1112" s="5" t="s">
        <v>4</v>
      </c>
      <c r="W1112" s="84" t="s">
        <v>4</v>
      </c>
    </row>
    <row r="1113" spans="1:23" x14ac:dyDescent="0.25">
      <c r="A1113" s="90">
        <v>1094</v>
      </c>
      <c r="B1113" s="83"/>
      <c r="C1113" s="100">
        <f ca="1">_xll.meDateFromTenor(C1112,"1D","FOLLOWING",D$12)</f>
        <v>44082</v>
      </c>
      <c r="D1113" s="13">
        <f ca="1">_xll.meDateFromTenor(C1113,D$14,D$11,D$12)</f>
        <v>44083</v>
      </c>
      <c r="E1113" s="98">
        <f ca="1"/>
        <v>-4.7695733666593988E-4</v>
      </c>
      <c r="F1113" s="94"/>
      <c r="G1113" s="100">
        <f ca="1">_xll.meDateFromTenor(G1112,"1D","FOLLOWING",H$12)</f>
        <v>44082</v>
      </c>
      <c r="H1113" s="13">
        <f ca="1">_xll.meDateFromTenor(G1113,H$14,H$11,H$12)</f>
        <v>44112</v>
      </c>
      <c r="I1113" s="98">
        <f ca="1"/>
        <v>4.5712645529422292E-4</v>
      </c>
      <c r="J1113" s="94" t="s">
        <v>4</v>
      </c>
      <c r="K1113" s="100">
        <f ca="1">_xll.meDateFromTenor(K1112,"1D","FOLLOWING",L$12)</f>
        <v>44082</v>
      </c>
      <c r="L1113" s="13">
        <f ca="1">_xll.meDateFromTenor(K1113,L$14,L$11,L$12)</f>
        <v>44173</v>
      </c>
      <c r="M1113" s="98">
        <f ca="1"/>
        <v>1.6317860484496875E-3</v>
      </c>
      <c r="N1113" s="5" t="s">
        <v>4</v>
      </c>
      <c r="O1113" s="100">
        <f ca="1">_xll.meDateFromTenor(O1112,"1D","FOLLOWING",P$12)</f>
        <v>44082</v>
      </c>
      <c r="P1113" s="13">
        <f ca="1">_xll.meDateFromTenor(O1113,P$14,P$11,P$12)</f>
        <v>44263</v>
      </c>
      <c r="Q1113" s="98">
        <f ca="1"/>
        <v>3.4996007417846878E-3</v>
      </c>
      <c r="R1113" s="5" t="s">
        <v>4</v>
      </c>
      <c r="S1113" s="100">
        <f ca="1">_xll.meDateFromTenor(S1112,"1D","FOLLOWING",T$12)</f>
        <v>44082</v>
      </c>
      <c r="T1113" s="13">
        <f ca="1">_xll.meDateFromTenor(S1113,T$14,T$11,T$12)</f>
        <v>44447</v>
      </c>
      <c r="U1113" s="98">
        <f ca="1"/>
        <v>5.4909664750016681E-3</v>
      </c>
      <c r="V1113" s="5" t="s">
        <v>4</v>
      </c>
      <c r="W1113" s="84" t="s">
        <v>4</v>
      </c>
    </row>
    <row r="1114" spans="1:23" x14ac:dyDescent="0.25">
      <c r="A1114" s="90">
        <v>1095</v>
      </c>
      <c r="B1114" s="83"/>
      <c r="C1114" s="100">
        <f ca="1">_xll.meDateFromTenor(C1113,"1D","FOLLOWING",D$12)</f>
        <v>44083</v>
      </c>
      <c r="D1114" s="13">
        <f ca="1">_xll.meDateFromTenor(C1114,D$14,D$11,D$12)</f>
        <v>44084</v>
      </c>
      <c r="E1114" s="98">
        <f ca="1"/>
        <v>-4.6891872848668246E-4</v>
      </c>
      <c r="F1114" s="94"/>
      <c r="G1114" s="100">
        <f ca="1">_xll.meDateFromTenor(G1113,"1D","FOLLOWING",H$12)</f>
        <v>44083</v>
      </c>
      <c r="H1114" s="13">
        <f ca="1">_xll.meDateFromTenor(G1114,H$14,H$11,H$12)</f>
        <v>44113</v>
      </c>
      <c r="I1114" s="98">
        <f ca="1"/>
        <v>4.6423867051443923E-4</v>
      </c>
      <c r="J1114" s="94" t="s">
        <v>4</v>
      </c>
      <c r="K1114" s="100">
        <f ca="1">_xll.meDateFromTenor(K1113,"1D","FOLLOWING",L$12)</f>
        <v>44083</v>
      </c>
      <c r="L1114" s="13">
        <f ca="1">_xll.meDateFromTenor(K1114,L$14,L$11,L$12)</f>
        <v>44174</v>
      </c>
      <c r="M1114" s="98">
        <f ca="1"/>
        <v>1.6386141971211409E-3</v>
      </c>
      <c r="N1114" s="5" t="s">
        <v>4</v>
      </c>
      <c r="O1114" s="100">
        <f ca="1">_xll.meDateFromTenor(O1113,"1D","FOLLOWING",P$12)</f>
        <v>44083</v>
      </c>
      <c r="P1114" s="13">
        <f ca="1">_xll.meDateFromTenor(O1114,P$14,P$11,P$12)</f>
        <v>44264</v>
      </c>
      <c r="Q1114" s="98">
        <f ca="1"/>
        <v>3.5061449586682712E-3</v>
      </c>
      <c r="R1114" s="5" t="s">
        <v>4</v>
      </c>
      <c r="S1114" s="100">
        <f ca="1">_xll.meDateFromTenor(S1113,"1D","FOLLOWING",T$12)</f>
        <v>44083</v>
      </c>
      <c r="T1114" s="13">
        <f ca="1">_xll.meDateFromTenor(S1114,T$14,T$11,T$12)</f>
        <v>44448</v>
      </c>
      <c r="U1114" s="98">
        <f ca="1"/>
        <v>5.4977261030061302E-3</v>
      </c>
      <c r="V1114" s="5" t="s">
        <v>4</v>
      </c>
      <c r="W1114" s="84" t="s">
        <v>4</v>
      </c>
    </row>
    <row r="1115" spans="1:23" x14ac:dyDescent="0.25">
      <c r="A1115" s="90">
        <v>1096</v>
      </c>
      <c r="B1115" s="83"/>
      <c r="C1115" s="100">
        <f ca="1">_xll.meDateFromTenor(C1114,"1D","FOLLOWING",D$12)</f>
        <v>44084</v>
      </c>
      <c r="D1115" s="13">
        <f ca="1">_xll.meDateFromTenor(C1115,D$14,D$11,D$12)</f>
        <v>44085</v>
      </c>
      <c r="E1115" s="98">
        <f ca="1"/>
        <v>-4.60884949324911E-4</v>
      </c>
      <c r="F1115" s="94"/>
      <c r="G1115" s="100">
        <f ca="1">_xll.meDateFromTenor(G1114,"1D","FOLLOWING",H$12)</f>
        <v>44084</v>
      </c>
      <c r="H1115" s="13">
        <f ca="1">_xll.meDateFromTenor(G1115,H$14,H$11,H$12)</f>
        <v>44116</v>
      </c>
      <c r="I1115" s="98">
        <f ca="1"/>
        <v>4.7135346872800198E-4</v>
      </c>
      <c r="J1115" s="94" t="s">
        <v>4</v>
      </c>
      <c r="K1115" s="100">
        <f ca="1">_xll.meDateFromTenor(K1114,"1D","FOLLOWING",L$12)</f>
        <v>44084</v>
      </c>
      <c r="L1115" s="13">
        <f ca="1">_xll.meDateFromTenor(K1115,L$14,L$11,L$12)</f>
        <v>44175</v>
      </c>
      <c r="M1115" s="98">
        <f ca="1"/>
        <v>1.6454459009479492E-3</v>
      </c>
      <c r="N1115" s="5" t="s">
        <v>4</v>
      </c>
      <c r="O1115" s="100">
        <f ca="1">_xll.meDateFromTenor(O1114,"1D","FOLLOWING",P$12)</f>
        <v>44084</v>
      </c>
      <c r="P1115" s="13">
        <f ca="1">_xll.meDateFromTenor(O1115,P$14,P$11,P$12)</f>
        <v>44265</v>
      </c>
      <c r="Q1115" s="98">
        <f ca="1"/>
        <v>3.5126927994241206E-3</v>
      </c>
      <c r="R1115" s="5" t="s">
        <v>4</v>
      </c>
      <c r="S1115" s="100">
        <f ca="1">_xll.meDateFromTenor(S1114,"1D","FOLLOWING",T$12)</f>
        <v>44084</v>
      </c>
      <c r="T1115" s="13">
        <f ca="1">_xll.meDateFromTenor(S1115,T$14,T$11,T$12)</f>
        <v>44449</v>
      </c>
      <c r="U1115" s="98">
        <f ca="1"/>
        <v>5.5044900302264254E-3</v>
      </c>
      <c r="V1115" s="5" t="s">
        <v>4</v>
      </c>
      <c r="W1115" s="84" t="s">
        <v>4</v>
      </c>
    </row>
    <row r="1116" spans="1:23" x14ac:dyDescent="0.25">
      <c r="A1116" s="90">
        <v>1097</v>
      </c>
      <c r="B1116" s="83"/>
      <c r="C1116" s="100">
        <f ca="1">_xll.meDateFromTenor(C1115,"1D","FOLLOWING",D$12)</f>
        <v>44085</v>
      </c>
      <c r="D1116" s="13">
        <f ca="1">_xll.meDateFromTenor(C1116,D$14,D$11,D$12)</f>
        <v>44088</v>
      </c>
      <c r="E1116" s="98">
        <f ca="1"/>
        <v>-4.4483293612616057E-4</v>
      </c>
      <c r="F1116" s="94"/>
      <c r="G1116" s="100">
        <f ca="1">_xll.meDateFromTenor(G1115,"1D","FOLLOWING",H$12)</f>
        <v>44085</v>
      </c>
      <c r="H1116" s="13">
        <f ca="1">_xll.meDateFromTenor(G1116,H$14,H$11,H$12)</f>
        <v>44116</v>
      </c>
      <c r="I1116" s="98">
        <f ca="1"/>
        <v>4.7846980653577407E-4</v>
      </c>
      <c r="J1116" s="94" t="s">
        <v>4</v>
      </c>
      <c r="K1116" s="100">
        <f ca="1">_xll.meDateFromTenor(K1115,"1D","FOLLOWING",L$12)</f>
        <v>44085</v>
      </c>
      <c r="L1116" s="13">
        <f ca="1">_xll.meDateFromTenor(K1116,L$14,L$11,L$12)</f>
        <v>44176</v>
      </c>
      <c r="M1116" s="98">
        <f ca="1"/>
        <v>1.6522811822846626E-3</v>
      </c>
      <c r="N1116" s="5" t="s">
        <v>4</v>
      </c>
      <c r="O1116" s="100">
        <f ca="1">_xll.meDateFromTenor(O1115,"1D","FOLLOWING",P$12)</f>
        <v>44085</v>
      </c>
      <c r="P1116" s="13">
        <f ca="1">_xll.meDateFromTenor(O1116,P$14,P$11,P$12)</f>
        <v>44266</v>
      </c>
      <c r="Q1116" s="98">
        <f ca="1"/>
        <v>3.519244262917704E-3</v>
      </c>
      <c r="R1116" s="5" t="s">
        <v>4</v>
      </c>
      <c r="S1116" s="100">
        <f ca="1">_xll.meDateFromTenor(S1115,"1D","FOLLOWING",T$12)</f>
        <v>44085</v>
      </c>
      <c r="T1116" s="13">
        <f ca="1">_xll.meDateFromTenor(S1116,T$14,T$11,T$12)</f>
        <v>44452</v>
      </c>
      <c r="U1116" s="98">
        <f ca="1"/>
        <v>5.5112582397699771E-3</v>
      </c>
      <c r="V1116" s="5" t="s">
        <v>4</v>
      </c>
      <c r="W1116" s="84" t="s">
        <v>4</v>
      </c>
    </row>
    <row r="1117" spans="1:23" x14ac:dyDescent="0.25">
      <c r="A1117" s="90">
        <v>1098</v>
      </c>
      <c r="B1117" s="83"/>
      <c r="C1117" s="100">
        <f ca="1">_xll.meDateFromTenor(C1116,"1D","FOLLOWING",D$12)</f>
        <v>44088</v>
      </c>
      <c r="D1117" s="13">
        <f ca="1">_xll.meDateFromTenor(C1117,D$14,D$11,D$12)</f>
        <v>44089</v>
      </c>
      <c r="E1117" s="98">
        <f ca="1"/>
        <v>-4.2879811385628034E-4</v>
      </c>
      <c r="F1117" s="94"/>
      <c r="G1117" s="100">
        <f ca="1">_xll.meDateFromTenor(G1116,"1D","FOLLOWING",H$12)</f>
        <v>44088</v>
      </c>
      <c r="H1117" s="13">
        <f ca="1">_xll.meDateFromTenor(G1117,H$14,H$11,H$12)</f>
        <v>44118</v>
      </c>
      <c r="I1117" s="98">
        <f ca="1"/>
        <v>4.9981762353295276E-4</v>
      </c>
      <c r="J1117" s="94" t="s">
        <v>4</v>
      </c>
      <c r="K1117" s="100">
        <f ca="1">_xll.meDateFromTenor(K1116,"1D","FOLLOWING",L$12)</f>
        <v>44088</v>
      </c>
      <c r="L1117" s="13">
        <f ca="1">_xll.meDateFromTenor(K1117,L$14,L$11,L$12)</f>
        <v>44179</v>
      </c>
      <c r="M1117" s="98">
        <f ca="1"/>
        <v>1.6728087148997126E-3</v>
      </c>
      <c r="N1117" s="5" t="s">
        <v>4</v>
      </c>
      <c r="O1117" s="100">
        <f ca="1">_xll.meDateFromTenor(O1116,"1D","FOLLOWING",P$12)</f>
        <v>44088</v>
      </c>
      <c r="P1117" s="13">
        <f ca="1">_xll.meDateFromTenor(O1117,P$14,P$11,P$12)</f>
        <v>44270</v>
      </c>
      <c r="Q1117" s="98">
        <f ca="1"/>
        <v>3.5389203784795117E-3</v>
      </c>
      <c r="R1117" s="5" t="s">
        <v>4</v>
      </c>
      <c r="S1117" s="100">
        <f ca="1">_xll.meDateFromTenor(S1116,"1D","FOLLOWING",T$12)</f>
        <v>44088</v>
      </c>
      <c r="T1117" s="13">
        <f ca="1">_xll.meDateFromTenor(S1117,T$14,T$11,T$12)</f>
        <v>44453</v>
      </c>
      <c r="U1117" s="98">
        <f ca="1"/>
        <v>5.5315883934143632E-3</v>
      </c>
      <c r="V1117" s="5" t="s">
        <v>4</v>
      </c>
      <c r="W1117" s="84" t="s">
        <v>4</v>
      </c>
    </row>
    <row r="1118" spans="1:23" x14ac:dyDescent="0.25">
      <c r="A1118" s="90">
        <v>1099</v>
      </c>
      <c r="B1118" s="83"/>
      <c r="C1118" s="100">
        <f ca="1">_xll.meDateFromTenor(C1117,"1D","FOLLOWING",D$12)</f>
        <v>44089</v>
      </c>
      <c r="D1118" s="13">
        <f ca="1">_xll.meDateFromTenor(C1118,D$14,D$11,D$12)</f>
        <v>44090</v>
      </c>
      <c r="E1118" s="98">
        <f ca="1"/>
        <v>-4.2078847250597381E-4</v>
      </c>
      <c r="F1118" s="94"/>
      <c r="G1118" s="100">
        <f ca="1">_xll.meDateFromTenor(G1117,"1D","FOLLOWING",H$12)</f>
        <v>44089</v>
      </c>
      <c r="H1118" s="13">
        <f ca="1">_xll.meDateFromTenor(G1118,H$14,H$11,H$12)</f>
        <v>44119</v>
      </c>
      <c r="I1118" s="98">
        <f ca="1"/>
        <v>5.0692968572616458E-4</v>
      </c>
      <c r="J1118" s="94" t="s">
        <v>4</v>
      </c>
      <c r="K1118" s="100">
        <f ca="1">_xll.meDateFromTenor(K1117,"1D","FOLLOWING",L$12)</f>
        <v>44089</v>
      </c>
      <c r="L1118" s="13">
        <f ca="1">_xll.meDateFromTenor(K1118,L$14,L$11,L$12)</f>
        <v>44180</v>
      </c>
      <c r="M1118" s="98">
        <f ca="1"/>
        <v>1.679658529821522E-3</v>
      </c>
      <c r="N1118" s="5" t="s">
        <v>4</v>
      </c>
      <c r="O1118" s="100">
        <f ca="1">_xll.meDateFromTenor(O1117,"1D","FOLLOWING",P$12)</f>
        <v>44089</v>
      </c>
      <c r="P1118" s="13">
        <f ca="1">_xll.meDateFromTenor(O1118,P$14,P$11,P$12)</f>
        <v>44270</v>
      </c>
      <c r="Q1118" s="98">
        <f ca="1"/>
        <v>3.545486321578683E-3</v>
      </c>
      <c r="R1118" s="5" t="s">
        <v>4</v>
      </c>
      <c r="S1118" s="100">
        <f ca="1">_xll.meDateFromTenor(S1117,"1D","FOLLOWING",T$12)</f>
        <v>44089</v>
      </c>
      <c r="T1118" s="13">
        <f ca="1">_xll.meDateFromTenor(S1118,T$14,T$11,T$12)</f>
        <v>44454</v>
      </c>
      <c r="U1118" s="98">
        <f ca="1"/>
        <v>5.5383735633251331E-3</v>
      </c>
      <c r="V1118" s="5" t="s">
        <v>4</v>
      </c>
      <c r="W1118" s="84" t="s">
        <v>4</v>
      </c>
    </row>
    <row r="1119" spans="1:23" x14ac:dyDescent="0.25">
      <c r="A1119" s="90">
        <v>1100</v>
      </c>
      <c r="B1119" s="83"/>
      <c r="C1119" s="100">
        <f ca="1">_xll.meDateFromTenor(C1118,"1D","FOLLOWING",D$12)</f>
        <v>44090</v>
      </c>
      <c r="D1119" s="13">
        <f ca="1">_xll.meDateFromTenor(C1119,D$14,D$11,D$12)</f>
        <v>44091</v>
      </c>
      <c r="E1119" s="98">
        <f ca="1"/>
        <v>-4.1278365685577605E-4</v>
      </c>
      <c r="F1119" s="94"/>
      <c r="G1119" s="100">
        <f ca="1">_xll.meDateFromTenor(G1118,"1D","FOLLOWING",H$12)</f>
        <v>44090</v>
      </c>
      <c r="H1119" s="13">
        <f ca="1">_xll.meDateFromTenor(G1119,H$14,H$11,H$12)</f>
        <v>44120</v>
      </c>
      <c r="I1119" s="98">
        <f ca="1"/>
        <v>5.1403807051788708E-4</v>
      </c>
      <c r="J1119" s="94" t="s">
        <v>4</v>
      </c>
      <c r="K1119" s="100">
        <f ca="1">_xll.meDateFromTenor(K1118,"1D","FOLLOWING",L$12)</f>
        <v>44090</v>
      </c>
      <c r="L1119" s="13">
        <f ca="1">_xll.meDateFromTenor(K1119,L$14,L$11,L$12)</f>
        <v>44181</v>
      </c>
      <c r="M1119" s="98">
        <f ca="1"/>
        <v>1.6865120340259739E-3</v>
      </c>
      <c r="N1119" s="5" t="s">
        <v>4</v>
      </c>
      <c r="O1119" s="100">
        <f ca="1">_xll.meDateFromTenor(O1118,"1D","FOLLOWING",P$12)</f>
        <v>44090</v>
      </c>
      <c r="P1119" s="13">
        <f ca="1">_xll.meDateFromTenor(O1119,P$14,P$11,P$12)</f>
        <v>44271</v>
      </c>
      <c r="Q1119" s="98">
        <f ca="1"/>
        <v>3.5520558817429154E-3</v>
      </c>
      <c r="R1119" s="5" t="s">
        <v>4</v>
      </c>
      <c r="S1119" s="100">
        <f ca="1">_xll.meDateFromTenor(S1118,"1D","FOLLOWING",T$12)</f>
        <v>44090</v>
      </c>
      <c r="T1119" s="13">
        <f ca="1">_xll.meDateFromTenor(S1119,T$14,T$11,T$12)</f>
        <v>44455</v>
      </c>
      <c r="U1119" s="98">
        <f ca="1"/>
        <v>5.5451629310962541E-3</v>
      </c>
      <c r="V1119" s="5" t="s">
        <v>4</v>
      </c>
      <c r="W1119" s="84" t="s">
        <v>4</v>
      </c>
    </row>
    <row r="1120" spans="1:23" x14ac:dyDescent="0.25">
      <c r="A1120" s="90">
        <v>1101</v>
      </c>
      <c r="B1120" s="83"/>
      <c r="C1120" s="100">
        <f ca="1">_xll.meDateFromTenor(C1119,"1D","FOLLOWING",D$12)</f>
        <v>44091</v>
      </c>
      <c r="D1120" s="13">
        <f ca="1">_xll.meDateFromTenor(C1120,D$14,D$11,D$12)</f>
        <v>44092</v>
      </c>
      <c r="E1120" s="98">
        <f ca="1"/>
        <v>-4.0478366670531398E-4</v>
      </c>
      <c r="F1120" s="94"/>
      <c r="G1120" s="100">
        <f ca="1">_xll.meDateFromTenor(G1119,"1D","FOLLOWING",H$12)</f>
        <v>44091</v>
      </c>
      <c r="H1120" s="13">
        <f ca="1">_xll.meDateFromTenor(G1120,H$14,H$11,H$12)</f>
        <v>44123</v>
      </c>
      <c r="I1120" s="98">
        <f ca="1"/>
        <v>5.2114173450898047E-4</v>
      </c>
      <c r="J1120" s="94" t="s">
        <v>4</v>
      </c>
      <c r="K1120" s="100">
        <f ca="1">_xll.meDateFromTenor(K1119,"1D","FOLLOWING",L$12)</f>
        <v>44091</v>
      </c>
      <c r="L1120" s="13">
        <f ca="1">_xll.meDateFromTenor(K1120,L$14,L$11,L$12)</f>
        <v>44182</v>
      </c>
      <c r="M1120" s="98">
        <f ca="1"/>
        <v>1.6933692498676161E-3</v>
      </c>
      <c r="N1120" s="5" t="s">
        <v>4</v>
      </c>
      <c r="O1120" s="100">
        <f ca="1">_xll.meDateFromTenor(O1119,"1D","FOLLOWING",P$12)</f>
        <v>44091</v>
      </c>
      <c r="P1120" s="13">
        <f ca="1">_xll.meDateFromTenor(O1120,P$14,P$11,P$12)</f>
        <v>44272</v>
      </c>
      <c r="Q1120" s="98">
        <f ca="1"/>
        <v>3.5586290578376728E-3</v>
      </c>
      <c r="R1120" s="5" t="s">
        <v>4</v>
      </c>
      <c r="S1120" s="100">
        <f ca="1">_xll.meDateFromTenor(S1119,"1D","FOLLOWING",T$12)</f>
        <v>44091</v>
      </c>
      <c r="T1120" s="13">
        <f ca="1">_xll.meDateFromTenor(S1120,T$14,T$11,T$12)</f>
        <v>44456</v>
      </c>
      <c r="U1120" s="98">
        <f ca="1"/>
        <v>5.5519564798351476E-3</v>
      </c>
      <c r="V1120" s="5" t="s">
        <v>4</v>
      </c>
      <c r="W1120" s="84" t="s">
        <v>4</v>
      </c>
    </row>
    <row r="1121" spans="1:23" x14ac:dyDescent="0.25">
      <c r="A1121" s="90">
        <v>1102</v>
      </c>
      <c r="B1121" s="83"/>
      <c r="C1121" s="100">
        <f ca="1">_xll.meDateFromTenor(C1120,"1D","FOLLOWING",D$12)</f>
        <v>44092</v>
      </c>
      <c r="D1121" s="13">
        <f ca="1">_xll.meDateFromTenor(C1121,D$14,D$11,D$12)</f>
        <v>44095</v>
      </c>
      <c r="E1121" s="98">
        <f ca="1"/>
        <v>-3.8879934785021044E-4</v>
      </c>
      <c r="F1121" s="94"/>
      <c r="G1121" s="100">
        <f ca="1">_xll.meDateFromTenor(G1120,"1D","FOLLOWING",H$12)</f>
        <v>44092</v>
      </c>
      <c r="H1121" s="13">
        <f ca="1">_xll.meDateFromTenor(G1121,H$14,H$11,H$12)</f>
        <v>44123</v>
      </c>
      <c r="I1121" s="98">
        <f ca="1"/>
        <v>5.282396343003076E-4</v>
      </c>
      <c r="J1121" s="94" t="s">
        <v>4</v>
      </c>
      <c r="K1121" s="100">
        <f ca="1">_xll.meDateFromTenor(K1120,"1D","FOLLOWING",L$12)</f>
        <v>44092</v>
      </c>
      <c r="L1121" s="13">
        <f ca="1">_xll.meDateFromTenor(K1121,L$14,L$11,L$12)</f>
        <v>44183</v>
      </c>
      <c r="M1121" s="98">
        <f ca="1"/>
        <v>1.7002301997009991E-3</v>
      </c>
      <c r="N1121" s="5" t="s">
        <v>4</v>
      </c>
      <c r="O1121" s="100">
        <f ca="1">_xll.meDateFromTenor(O1120,"1D","FOLLOWING",P$12)</f>
        <v>44092</v>
      </c>
      <c r="P1121" s="13">
        <f ca="1">_xll.meDateFromTenor(O1121,P$14,P$11,P$12)</f>
        <v>44273</v>
      </c>
      <c r="Q1121" s="98">
        <f ca="1"/>
        <v>3.5652058487284249E-3</v>
      </c>
      <c r="R1121" s="5" t="s">
        <v>4</v>
      </c>
      <c r="S1121" s="100">
        <f ca="1">_xll.meDateFromTenor(S1120,"1D","FOLLOWING",T$12)</f>
        <v>44092</v>
      </c>
      <c r="T1121" s="13">
        <f ca="1">_xll.meDateFromTenor(S1121,T$14,T$11,T$12)</f>
        <v>44459</v>
      </c>
      <c r="U1121" s="98">
        <f ca="1"/>
        <v>5.5587541926492351E-3</v>
      </c>
      <c r="V1121" s="5" t="s">
        <v>4</v>
      </c>
      <c r="W1121" s="84" t="s">
        <v>4</v>
      </c>
    </row>
    <row r="1122" spans="1:23" x14ac:dyDescent="0.25">
      <c r="A1122" s="90">
        <v>1103</v>
      </c>
      <c r="B1122" s="83"/>
      <c r="C1122" s="100">
        <f ca="1">_xll.meDateFromTenor(C1121,"1D","FOLLOWING",D$12)</f>
        <v>44095</v>
      </c>
      <c r="D1122" s="13">
        <f ca="1">_xll.meDateFromTenor(C1122,D$14,D$11,D$12)</f>
        <v>44096</v>
      </c>
      <c r="E1122" s="98">
        <f ca="1"/>
        <v>-3.7283194755482752E-4</v>
      </c>
      <c r="F1122" s="94"/>
      <c r="G1122" s="100">
        <f ca="1">_xll.meDateFromTenor(G1121,"1D","FOLLOWING",H$12)</f>
        <v>44095</v>
      </c>
      <c r="H1122" s="13">
        <f ca="1">_xll.meDateFromTenor(G1122,H$14,H$11,H$12)</f>
        <v>44125</v>
      </c>
      <c r="I1122" s="98">
        <f ca="1"/>
        <v>5.4948831448427488E-4</v>
      </c>
      <c r="J1122" s="94" t="s">
        <v>4</v>
      </c>
      <c r="K1122" s="100">
        <f ca="1">_xll.meDateFromTenor(K1121,"1D","FOLLOWING",L$12)</f>
        <v>44095</v>
      </c>
      <c r="L1122" s="13">
        <f ca="1">_xll.meDateFromTenor(K1122,L$14,L$11,L$12)</f>
        <v>44186</v>
      </c>
      <c r="M1122" s="98">
        <f ca="1"/>
        <v>1.7208356766970476E-3</v>
      </c>
      <c r="N1122" s="5" t="s">
        <v>4</v>
      </c>
      <c r="O1122" s="100">
        <f ca="1">_xll.meDateFromTenor(O1121,"1D","FOLLOWING",P$12)</f>
        <v>44095</v>
      </c>
      <c r="P1122" s="13">
        <f ca="1">_xll.meDateFromTenor(O1122,P$14,P$11,P$12)</f>
        <v>44277</v>
      </c>
      <c r="Q1122" s="98">
        <f ca="1"/>
        <v>3.5849578988312826E-3</v>
      </c>
      <c r="R1122" s="5" t="s">
        <v>4</v>
      </c>
      <c r="S1122" s="100">
        <f ca="1">_xll.meDateFromTenor(S1121,"1D","FOLLOWING",T$12)</f>
        <v>44095</v>
      </c>
      <c r="T1122" s="13">
        <f ca="1">_xll.meDateFromTenor(S1122,T$14,T$11,T$12)</f>
        <v>44460</v>
      </c>
      <c r="U1122" s="98">
        <f ca="1"/>
        <v>5.5791721466168362E-3</v>
      </c>
      <c r="V1122" s="5" t="s">
        <v>4</v>
      </c>
      <c r="W1122" s="84" t="s">
        <v>4</v>
      </c>
    </row>
    <row r="1123" spans="1:23" x14ac:dyDescent="0.25">
      <c r="A1123" s="90">
        <v>1104</v>
      </c>
      <c r="B1123" s="83"/>
      <c r="C1123" s="100">
        <f ca="1">_xll.meDateFromTenor(C1122,"1D","FOLLOWING",D$12)</f>
        <v>44096</v>
      </c>
      <c r="D1123" s="13">
        <f ca="1">_xll.meDateFromTenor(C1123,D$14,D$11,D$12)</f>
        <v>44097</v>
      </c>
      <c r="E1123" s="98">
        <f ca="1"/>
        <v>-3.6485607559194459E-4</v>
      </c>
      <c r="F1123" s="94"/>
      <c r="G1123" s="100">
        <f ca="1">_xll.meDateFromTenor(G1122,"1D","FOLLOWING",H$12)</f>
        <v>44096</v>
      </c>
      <c r="H1123" s="13">
        <f ca="1">_xll.meDateFromTenor(G1123,H$14,H$11,H$12)</f>
        <v>44126</v>
      </c>
      <c r="I1123" s="98">
        <f ca="1"/>
        <v>5.5655272348512791E-4</v>
      </c>
      <c r="J1123" s="94" t="s">
        <v>4</v>
      </c>
      <c r="K1123" s="100">
        <f ca="1">_xll.meDateFromTenor(K1122,"1D","FOLLOWING",L$12)</f>
        <v>44096</v>
      </c>
      <c r="L1123" s="13">
        <f ca="1">_xll.meDateFromTenor(K1123,L$14,L$11,L$12)</f>
        <v>44187</v>
      </c>
      <c r="M1123" s="98">
        <f ca="1"/>
        <v>1.7277117860428561E-3</v>
      </c>
      <c r="N1123" s="5" t="s">
        <v>4</v>
      </c>
      <c r="O1123" s="100">
        <f ca="1">_xll.meDateFromTenor(O1122,"1D","FOLLOWING",P$12)</f>
        <v>44096</v>
      </c>
      <c r="P1123" s="13">
        <f ca="1">_xll.meDateFromTenor(O1123,P$14,P$11,P$12)</f>
        <v>44277</v>
      </c>
      <c r="Q1123" s="98">
        <f ca="1"/>
        <v>3.5915491375606541E-3</v>
      </c>
      <c r="R1123" s="5" t="s">
        <v>4</v>
      </c>
      <c r="S1123" s="100">
        <f ca="1">_xll.meDateFromTenor(S1122,"1D","FOLLOWING",T$12)</f>
        <v>44096</v>
      </c>
      <c r="T1123" s="13">
        <f ca="1">_xll.meDateFromTenor(S1123,T$14,T$11,T$12)</f>
        <v>44461</v>
      </c>
      <c r="U1123" s="98">
        <f ca="1"/>
        <v>5.585986346805882E-3</v>
      </c>
      <c r="V1123" s="5" t="s">
        <v>4</v>
      </c>
      <c r="W1123" s="84" t="s">
        <v>4</v>
      </c>
    </row>
    <row r="1124" spans="1:23" x14ac:dyDescent="0.25">
      <c r="A1124" s="90">
        <v>1105</v>
      </c>
      <c r="B1124" s="83"/>
      <c r="C1124" s="100">
        <f ca="1">_xll.meDateFromTenor(C1123,"1D","FOLLOWING",D$12)</f>
        <v>44097</v>
      </c>
      <c r="D1124" s="13">
        <f ca="1">_xll.meDateFromTenor(C1124,D$14,D$11,D$12)</f>
        <v>44098</v>
      </c>
      <c r="E1124" s="98">
        <f ca="1"/>
        <v>-3.5688502549208472E-4</v>
      </c>
      <c r="F1124" s="94"/>
      <c r="G1124" s="100">
        <f ca="1">_xll.meDateFromTenor(G1123,"1D","FOLLOWING",H$12)</f>
        <v>44097</v>
      </c>
      <c r="H1124" s="13">
        <f ca="1">_xll.meDateFromTenor(G1124,H$14,H$11,H$12)</f>
        <v>44127</v>
      </c>
      <c r="I1124" s="98">
        <f ca="1"/>
        <v>5.6360615129051584E-4</v>
      </c>
      <c r="J1124" s="94" t="s">
        <v>4</v>
      </c>
      <c r="K1124" s="100">
        <f ca="1">_xll.meDateFromTenor(K1123,"1D","FOLLOWING",L$12)</f>
        <v>44097</v>
      </c>
      <c r="L1124" s="13">
        <f ca="1">_xll.meDateFromTenor(K1124,L$14,L$11,L$12)</f>
        <v>44188</v>
      </c>
      <c r="M1124" s="98">
        <f ca="1"/>
        <v>1.7345917411531434E-3</v>
      </c>
      <c r="N1124" s="5" t="s">
        <v>4</v>
      </c>
      <c r="O1124" s="100">
        <f ca="1">_xll.meDateFromTenor(O1123,"1D","FOLLOWING",P$12)</f>
        <v>44097</v>
      </c>
      <c r="P1124" s="13">
        <f ca="1">_xll.meDateFromTenor(O1124,P$14,P$11,P$12)</f>
        <v>44278</v>
      </c>
      <c r="Q1124" s="98">
        <f ca="1"/>
        <v>3.5981439854133467E-3</v>
      </c>
      <c r="R1124" s="5" t="s">
        <v>4</v>
      </c>
      <c r="S1124" s="100">
        <f ca="1">_xll.meDateFromTenor(S1123,"1D","FOLLOWING",T$12)</f>
        <v>44097</v>
      </c>
      <c r="T1124" s="13">
        <f ca="1">_xll.meDateFromTenor(S1124,T$14,T$11,T$12)</f>
        <v>44462</v>
      </c>
      <c r="U1124" s="98">
        <f ca="1"/>
        <v>5.5928046266072191E-3</v>
      </c>
      <c r="V1124" s="5" t="s">
        <v>4</v>
      </c>
      <c r="W1124" s="84" t="s">
        <v>4</v>
      </c>
    </row>
    <row r="1125" spans="1:23" x14ac:dyDescent="0.25">
      <c r="A1125" s="90">
        <v>1106</v>
      </c>
      <c r="B1125" s="83"/>
      <c r="C1125" s="100">
        <f ca="1">_xll.meDateFromTenor(C1124,"1D","FOLLOWING",D$12)</f>
        <v>44098</v>
      </c>
      <c r="D1125" s="13">
        <f ca="1">_xll.meDateFromTenor(C1125,D$14,D$11,D$12)</f>
        <v>44099</v>
      </c>
      <c r="E1125" s="98">
        <f ca="1"/>
        <v>-3.4891879685522529E-4</v>
      </c>
      <c r="F1125" s="94"/>
      <c r="G1125" s="100">
        <f ca="1">_xll.meDateFromTenor(G1124,"1D","FOLLOWING",H$12)</f>
        <v>44098</v>
      </c>
      <c r="H1125" s="13">
        <f ca="1">_xll.meDateFromTenor(G1125,H$14,H$11,H$12)</f>
        <v>44130</v>
      </c>
      <c r="I1125" s="98">
        <f ca="1"/>
        <v>5.7064755450129468E-4</v>
      </c>
      <c r="J1125" s="94" t="s">
        <v>4</v>
      </c>
      <c r="K1125" s="100">
        <f ca="1">_xll.meDateFromTenor(K1124,"1D","FOLLOWING",L$12)</f>
        <v>44098</v>
      </c>
      <c r="L1125" s="13">
        <f ca="1">_xll.meDateFromTenor(K1125,L$14,L$11,L$12)</f>
        <v>44189</v>
      </c>
      <c r="M1125" s="98">
        <f ca="1"/>
        <v>1.7414755643824517E-3</v>
      </c>
      <c r="N1125" s="5" t="s">
        <v>4</v>
      </c>
      <c r="O1125" s="100">
        <f ca="1">_xll.meDateFromTenor(O1124,"1D","FOLLOWING",P$12)</f>
        <v>44098</v>
      </c>
      <c r="P1125" s="13">
        <f ca="1">_xll.meDateFromTenor(O1125,P$14,P$11,P$12)</f>
        <v>44279</v>
      </c>
      <c r="Q1125" s="98">
        <f ca="1"/>
        <v>3.6047424412548224E-3</v>
      </c>
      <c r="R1125" s="5" t="s">
        <v>4</v>
      </c>
      <c r="S1125" s="100">
        <f ca="1">_xll.meDateFromTenor(S1124,"1D","FOLLOWING",T$12)</f>
        <v>44098</v>
      </c>
      <c r="T1125" s="13">
        <f ca="1">_xll.meDateFromTenor(S1125,T$14,T$11,T$12)</f>
        <v>44463</v>
      </c>
      <c r="U1125" s="98">
        <f ca="1"/>
        <v>5.5996269691282602E-3</v>
      </c>
      <c r="V1125" s="5" t="s">
        <v>4</v>
      </c>
      <c r="W1125" s="84" t="s">
        <v>4</v>
      </c>
    </row>
    <row r="1126" spans="1:23" x14ac:dyDescent="0.25">
      <c r="A1126" s="90">
        <v>1107</v>
      </c>
      <c r="B1126" s="83"/>
      <c r="C1126" s="100">
        <f ca="1">_xll.meDateFromTenor(C1125,"1D","FOLLOWING",D$12)</f>
        <v>44099</v>
      </c>
      <c r="D1126" s="13">
        <f ca="1">_xll.meDateFromTenor(C1126,D$14,D$11,D$12)</f>
        <v>44102</v>
      </c>
      <c r="E1126" s="98">
        <f ca="1"/>
        <v>-3.330021004144446E-4</v>
      </c>
      <c r="F1126" s="94"/>
      <c r="G1126" s="100">
        <f ca="1">_xll.meDateFromTenor(G1125,"1D","FOLLOWING",H$12)</f>
        <v>44099</v>
      </c>
      <c r="H1126" s="13">
        <f ca="1">_xll.meDateFromTenor(G1126,H$14,H$11,H$12)</f>
        <v>44130</v>
      </c>
      <c r="I1126" s="98">
        <f ca="1"/>
        <v>5.7767588971832922E-4</v>
      </c>
      <c r="J1126" s="94" t="s">
        <v>4</v>
      </c>
      <c r="K1126" s="100">
        <f ca="1">_xll.meDateFromTenor(K1125,"1D","FOLLOWING",L$12)</f>
        <v>44099</v>
      </c>
      <c r="L1126" s="13">
        <f ca="1">_xll.meDateFromTenor(K1126,L$14,L$11,L$12)</f>
        <v>44193</v>
      </c>
      <c r="M1126" s="98">
        <f ca="1"/>
        <v>1.7483632780853336E-3</v>
      </c>
      <c r="N1126" s="5" t="s">
        <v>4</v>
      </c>
      <c r="O1126" s="100">
        <f ca="1">_xll.meDateFromTenor(O1125,"1D","FOLLOWING",P$12)</f>
        <v>44099</v>
      </c>
      <c r="P1126" s="13">
        <f ca="1">_xll.meDateFromTenor(O1126,P$14,P$11,P$12)</f>
        <v>44280</v>
      </c>
      <c r="Q1126" s="98">
        <f ca="1"/>
        <v>3.61134450395055E-3</v>
      </c>
      <c r="R1126" s="5" t="s">
        <v>4</v>
      </c>
      <c r="S1126" s="100">
        <f ca="1">_xll.meDateFromTenor(S1125,"1D","FOLLOWING",T$12)</f>
        <v>44099</v>
      </c>
      <c r="T1126" s="13">
        <f ca="1">_xll.meDateFromTenor(S1126,T$14,T$11,T$12)</f>
        <v>44466</v>
      </c>
      <c r="U1126" s="98">
        <f ca="1"/>
        <v>5.606453357476433E-3</v>
      </c>
      <c r="V1126" s="5" t="s">
        <v>4</v>
      </c>
      <c r="W1126" s="84" t="s">
        <v>4</v>
      </c>
    </row>
    <row r="1127" spans="1:23" x14ac:dyDescent="0.25">
      <c r="A1127" s="90">
        <v>1108</v>
      </c>
      <c r="B1127" s="83"/>
      <c r="C1127" s="100">
        <f ca="1">_xll.meDateFromTenor(C1126,"1D","FOLLOWING",D$12)</f>
        <v>44102</v>
      </c>
      <c r="D1127" s="13">
        <f ca="1">_xll.meDateFromTenor(C1127,D$14,D$11,D$12)</f>
        <v>44103</v>
      </c>
      <c r="E1127" s="98">
        <f ca="1"/>
        <v>-3.1710208602925879E-4</v>
      </c>
      <c r="F1127" s="94"/>
      <c r="G1127" s="100">
        <f ca="1">_xll.meDateFromTenor(G1126,"1D","FOLLOWING",H$12)</f>
        <v>44102</v>
      </c>
      <c r="H1127" s="13">
        <f ca="1">_xll.meDateFromTenor(G1127,H$14,H$11,H$12)</f>
        <v>44132</v>
      </c>
      <c r="I1127" s="98">
        <f ca="1"/>
        <v>5.986720534155494E-4</v>
      </c>
      <c r="J1127" s="94" t="s">
        <v>4</v>
      </c>
      <c r="K1127" s="100">
        <f ca="1">_xll.meDateFromTenor(K1126,"1D","FOLLOWING",L$12)</f>
        <v>44102</v>
      </c>
      <c r="L1127" s="13">
        <f ca="1">_xll.meDateFromTenor(K1127,L$14,L$11,L$12)</f>
        <v>44193</v>
      </c>
      <c r="M1127" s="98">
        <f ca="1"/>
        <v>1.769049985580876E-3</v>
      </c>
      <c r="N1127" s="5" t="s">
        <v>4</v>
      </c>
      <c r="O1127" s="100">
        <f ca="1">_xll.meDateFromTenor(O1126,"1D","FOLLOWING",P$12)</f>
        <v>44102</v>
      </c>
      <c r="P1127" s="13">
        <f ca="1">_xll.meDateFromTenor(O1127,P$14,P$11,P$12)</f>
        <v>44284</v>
      </c>
      <c r="Q1127" s="98">
        <f ca="1"/>
        <v>3.6311723218178807E-3</v>
      </c>
      <c r="R1127" s="5" t="s">
        <v>4</v>
      </c>
      <c r="S1127" s="100">
        <f ca="1">_xll.meDateFromTenor(S1126,"1D","FOLLOWING",T$12)</f>
        <v>44102</v>
      </c>
      <c r="T1127" s="13">
        <f ca="1">_xll.meDateFromTenor(S1127,T$14,T$11,T$12)</f>
        <v>44467</v>
      </c>
      <c r="U1127" s="98">
        <f ca="1"/>
        <v>5.6269566285579026E-3</v>
      </c>
      <c r="V1127" s="5" t="s">
        <v>4</v>
      </c>
      <c r="W1127" s="84" t="s">
        <v>4</v>
      </c>
    </row>
    <row r="1128" spans="1:23" x14ac:dyDescent="0.25">
      <c r="A1128" s="90">
        <v>1109</v>
      </c>
      <c r="B1128" s="83"/>
      <c r="C1128" s="100">
        <f ca="1">_xll.meDateFromTenor(C1127,"1D","FOLLOWING",D$12)</f>
        <v>44103</v>
      </c>
      <c r="D1128" s="13">
        <f ca="1">_xll.meDateFromTenor(C1128,D$14,D$11,D$12)</f>
        <v>44104</v>
      </c>
      <c r="E1128" s="98">
        <f ca="1"/>
        <v>-3.0915995639540562E-4</v>
      </c>
      <c r="F1128" s="94"/>
      <c r="G1128" s="100">
        <f ca="1">_xll.meDateFromTenor(G1127,"1D","FOLLOWING",H$12)</f>
        <v>44103</v>
      </c>
      <c r="H1128" s="13">
        <f ca="1">_xll.meDateFromTenor(G1128,H$14,H$11,H$12)</f>
        <v>44133</v>
      </c>
      <c r="I1128" s="98">
        <f ca="1"/>
        <v>6.0563768266620049E-4</v>
      </c>
      <c r="J1128" s="94" t="s">
        <v>4</v>
      </c>
      <c r="K1128" s="100">
        <f ca="1">_xll.meDateFromTenor(K1127,"1D","FOLLOWING",L$12)</f>
        <v>44103</v>
      </c>
      <c r="L1128" s="13">
        <f ca="1">_xll.meDateFromTenor(K1128,L$14,L$11,L$12)</f>
        <v>44194</v>
      </c>
      <c r="M1128" s="98">
        <f ca="1"/>
        <v>1.7759534847235187E-3</v>
      </c>
      <c r="N1128" s="5" t="s">
        <v>4</v>
      </c>
      <c r="O1128" s="100">
        <f ca="1">_xll.meDateFromTenor(O1127,"1D","FOLLOWING",P$12)</f>
        <v>44103</v>
      </c>
      <c r="P1128" s="13">
        <f ca="1">_xll.meDateFromTenor(O1128,P$14,P$11,P$12)</f>
        <v>44284</v>
      </c>
      <c r="Q1128" s="98">
        <f ca="1"/>
        <v>3.6377888005852638E-3</v>
      </c>
      <c r="R1128" s="5" t="s">
        <v>4</v>
      </c>
      <c r="S1128" s="100">
        <f ca="1">_xll.meDateFromTenor(S1127,"1D","FOLLOWING",T$12)</f>
        <v>44103</v>
      </c>
      <c r="T1128" s="13">
        <f ca="1">_xll.meDateFromTenor(S1128,T$14,T$11,T$12)</f>
        <v>44468</v>
      </c>
      <c r="U1128" s="98">
        <f ca="1"/>
        <v>5.6337990312887798E-3</v>
      </c>
      <c r="V1128" s="5" t="s">
        <v>4</v>
      </c>
      <c r="W1128" s="84" t="s">
        <v>4</v>
      </c>
    </row>
    <row r="1129" spans="1:23" x14ac:dyDescent="0.25">
      <c r="A1129" s="90">
        <v>1110</v>
      </c>
      <c r="B1129" s="83"/>
      <c r="C1129" s="100">
        <f ca="1">_xll.meDateFromTenor(C1128,"1D","FOLLOWING",D$12)</f>
        <v>44104</v>
      </c>
      <c r="D1129" s="13">
        <f ca="1">_xll.meDateFromTenor(C1129,D$14,D$11,D$12)</f>
        <v>44105</v>
      </c>
      <c r="E1129" s="98">
        <f ca="1"/>
        <v>-3.0122264486726898E-4</v>
      </c>
      <c r="F1129" s="94"/>
      <c r="G1129" s="100">
        <f ca="1">_xll.meDateFromTenor(G1128,"1D","FOLLOWING",H$12)</f>
        <v>44104</v>
      </c>
      <c r="H1129" s="13">
        <f ca="1">_xll.meDateFromTenor(G1129,H$14,H$11,H$12)</f>
        <v>44134</v>
      </c>
      <c r="I1129" s="98">
        <f ca="1"/>
        <v>6.1258502692740423E-4</v>
      </c>
      <c r="J1129" s="94" t="s">
        <v>4</v>
      </c>
      <c r="K1129" s="100">
        <f ca="1">_xll.meDateFromTenor(K1128,"1D","FOLLOWING",L$12)</f>
        <v>44104</v>
      </c>
      <c r="L1129" s="13">
        <f ca="1">_xll.meDateFromTenor(K1129,L$14,L$11,L$12)</f>
        <v>44195</v>
      </c>
      <c r="M1129" s="98">
        <f ca="1"/>
        <v>1.7828609861124684E-3</v>
      </c>
      <c r="N1129" s="5" t="s">
        <v>4</v>
      </c>
      <c r="O1129" s="100">
        <f ca="1">_xll.meDateFromTenor(O1128,"1D","FOLLOWING",P$12)</f>
        <v>44104</v>
      </c>
      <c r="P1129" s="13">
        <f ca="1">_xll.meDateFromTenor(O1129,P$14,P$11,P$12)</f>
        <v>44285</v>
      </c>
      <c r="Q1129" s="98">
        <f ca="1"/>
        <v>3.6444088805342211E-3</v>
      </c>
      <c r="R1129" s="5" t="s">
        <v>4</v>
      </c>
      <c r="S1129" s="100">
        <f ca="1">_xll.meDateFromTenor(S1128,"1D","FOLLOWING",T$12)</f>
        <v>44104</v>
      </c>
      <c r="T1129" s="13">
        <f ca="1">_xll.meDateFromTenor(S1129,T$14,T$11,T$12)</f>
        <v>44469</v>
      </c>
      <c r="U1129" s="98">
        <f ca="1"/>
        <v>5.6406453953838772E-3</v>
      </c>
      <c r="V1129" s="5" t="s">
        <v>4</v>
      </c>
      <c r="W1129" s="84" t="s">
        <v>4</v>
      </c>
    </row>
    <row r="1130" spans="1:23" x14ac:dyDescent="0.25">
      <c r="A1130" s="90">
        <v>1111</v>
      </c>
      <c r="B1130" s="83"/>
      <c r="C1130" s="100">
        <f ca="1">_xll.meDateFromTenor(C1129,"1D","FOLLOWING",D$12)</f>
        <v>44105</v>
      </c>
      <c r="D1130" s="13">
        <f ca="1">_xll.meDateFromTenor(C1130,D$14,D$11,D$12)</f>
        <v>44106</v>
      </c>
      <c r="E1130" s="98">
        <f ca="1"/>
        <v>-2.932901512453991E-4</v>
      </c>
      <c r="F1130" s="94"/>
      <c r="G1130" s="100">
        <f ca="1">_xll.meDateFromTenor(G1129,"1D","FOLLOWING",H$12)</f>
        <v>44105</v>
      </c>
      <c r="H1130" s="13">
        <f ca="1">_xll.meDateFromTenor(G1130,H$14,H$11,H$12)</f>
        <v>44137</v>
      </c>
      <c r="I1130" s="98">
        <f ca="1"/>
        <v>6.1951304280002538E-4</v>
      </c>
      <c r="J1130" s="94" t="s">
        <v>4</v>
      </c>
      <c r="K1130" s="100">
        <f ca="1">_xll.meDateFromTenor(K1129,"1D","FOLLOWING",L$12)</f>
        <v>44105</v>
      </c>
      <c r="L1130" s="13">
        <f ca="1">_xll.meDateFromTenor(K1130,L$14,L$11,L$12)</f>
        <v>44200</v>
      </c>
      <c r="M1130" s="98">
        <f ca="1"/>
        <v>1.7897725121022773E-3</v>
      </c>
      <c r="N1130" s="5" t="s">
        <v>4</v>
      </c>
      <c r="O1130" s="100">
        <f ca="1">_xll.meDateFromTenor(O1129,"1D","FOLLOWING",P$12)</f>
        <v>44105</v>
      </c>
      <c r="P1130" s="13">
        <f ca="1">_xll.meDateFromTenor(O1130,P$14,P$11,P$12)</f>
        <v>44287</v>
      </c>
      <c r="Q1130" s="98">
        <f ca="1"/>
        <v>3.651032560530224E-3</v>
      </c>
      <c r="R1130" s="5" t="s">
        <v>4</v>
      </c>
      <c r="S1130" s="100">
        <f ca="1">_xll.meDateFromTenor(S1129,"1D","FOLLOWING",T$12)</f>
        <v>44105</v>
      </c>
      <c r="T1130" s="13">
        <f ca="1">_xll.meDateFromTenor(S1130,T$14,T$11,T$12)</f>
        <v>44470</v>
      </c>
      <c r="U1130" s="98">
        <f ca="1"/>
        <v>5.6474957039506224E-3</v>
      </c>
      <c r="V1130" s="5" t="s">
        <v>4</v>
      </c>
      <c r="W1130" s="84" t="s">
        <v>4</v>
      </c>
    </row>
    <row r="1131" spans="1:23" x14ac:dyDescent="0.25">
      <c r="A1131" s="90">
        <v>1112</v>
      </c>
      <c r="B1131" s="83"/>
      <c r="C1131" s="100">
        <f ca="1">_xll.meDateFromTenor(C1130,"1D","FOLLOWING",D$12)</f>
        <v>44106</v>
      </c>
      <c r="D1131" s="13">
        <f ca="1">_xll.meDateFromTenor(C1131,D$14,D$11,D$12)</f>
        <v>44109</v>
      </c>
      <c r="E1131" s="98">
        <f ca="1"/>
        <v>-2.7744100594249982E-4</v>
      </c>
      <c r="F1131" s="94"/>
      <c r="G1131" s="100">
        <f ca="1">_xll.meDateFromTenor(G1130,"1D","FOLLOWING",H$12)</f>
        <v>44106</v>
      </c>
      <c r="H1131" s="13">
        <f ca="1">_xll.meDateFromTenor(G1131,H$14,H$11,H$12)</f>
        <v>44137</v>
      </c>
      <c r="I1131" s="98">
        <f ca="1"/>
        <v>6.2642068688491996E-4</v>
      </c>
      <c r="J1131" s="94" t="s">
        <v>4</v>
      </c>
      <c r="K1131" s="100">
        <f ca="1">_xll.meDateFromTenor(K1130,"1D","FOLLOWING",L$12)</f>
        <v>44106</v>
      </c>
      <c r="L1131" s="13">
        <f ca="1">_xll.meDateFromTenor(K1131,L$14,L$11,L$12)</f>
        <v>44200</v>
      </c>
      <c r="M1131" s="98">
        <f ca="1"/>
        <v>1.7966880850474882E-3</v>
      </c>
      <c r="N1131" s="5" t="s">
        <v>4</v>
      </c>
      <c r="O1131" s="100">
        <f ca="1">_xll.meDateFromTenor(O1130,"1D","FOLLOWING",P$12)</f>
        <v>44106</v>
      </c>
      <c r="P1131" s="13">
        <f ca="1">_xll.meDateFromTenor(O1131,P$14,P$11,P$12)</f>
        <v>44292</v>
      </c>
      <c r="Q1131" s="98">
        <f ca="1"/>
        <v>3.6576598394387331E-3</v>
      </c>
      <c r="R1131" s="5" t="s">
        <v>4</v>
      </c>
      <c r="S1131" s="100">
        <f ca="1">_xll.meDateFromTenor(S1130,"1D","FOLLOWING",T$12)</f>
        <v>44106</v>
      </c>
      <c r="T1131" s="13">
        <f ca="1">_xll.meDateFromTenor(S1131,T$14,T$11,T$12)</f>
        <v>44473</v>
      </c>
      <c r="U1131" s="98">
        <f ca="1"/>
        <v>5.6543499400964281E-3</v>
      </c>
      <c r="V1131" s="5" t="s">
        <v>4</v>
      </c>
      <c r="W1131" s="84" t="s">
        <v>4</v>
      </c>
    </row>
    <row r="1132" spans="1:23" x14ac:dyDescent="0.25">
      <c r="A1132" s="90">
        <v>1113</v>
      </c>
      <c r="B1132" s="83"/>
      <c r="C1132" s="100">
        <f ca="1">_xll.meDateFromTenor(C1131,"1D","FOLLOWING",D$12)</f>
        <v>44109</v>
      </c>
      <c r="D1132" s="13">
        <f ca="1">_xll.meDateFromTenor(C1132,D$14,D$11,D$12)</f>
        <v>44110</v>
      </c>
      <c r="E1132" s="98">
        <f ca="1"/>
        <v>-2.6160834158965698E-4</v>
      </c>
      <c r="F1132" s="94"/>
      <c r="G1132" s="100">
        <f ca="1">_xll.meDateFromTenor(G1131,"1D","FOLLOWING",H$12)</f>
        <v>44109</v>
      </c>
      <c r="H1132" s="13">
        <f ca="1">_xll.meDateFromTenor(G1132,H$14,H$11,H$12)</f>
        <v>44140</v>
      </c>
      <c r="I1132" s="98">
        <f ca="1"/>
        <v>6.4702490015915322E-4</v>
      </c>
      <c r="J1132" s="94" t="s">
        <v>4</v>
      </c>
      <c r="K1132" s="100">
        <f ca="1">_xll.meDateFromTenor(K1131,"1D","FOLLOWING",L$12)</f>
        <v>44109</v>
      </c>
      <c r="L1132" s="13">
        <f ca="1">_xll.meDateFromTenor(K1132,L$14,L$11,L$12)</f>
        <v>44201</v>
      </c>
      <c r="M1132" s="98">
        <f ca="1"/>
        <v>1.8174593091610249E-3</v>
      </c>
      <c r="N1132" s="5" t="s">
        <v>4</v>
      </c>
      <c r="O1132" s="100">
        <f ca="1">_xll.meDateFromTenor(O1131,"1D","FOLLOWING",P$12)</f>
        <v>44109</v>
      </c>
      <c r="P1132" s="13">
        <f ca="1">_xll.meDateFromTenor(O1132,P$14,P$11,P$12)</f>
        <v>44292</v>
      </c>
      <c r="Q1132" s="98">
        <f ca="1"/>
        <v>3.6775632582939674E-3</v>
      </c>
      <c r="R1132" s="5" t="s">
        <v>4</v>
      </c>
      <c r="S1132" s="100">
        <f ca="1">_xll.meDateFromTenor(S1131,"1D","FOLLOWING",T$12)</f>
        <v>44109</v>
      </c>
      <c r="T1132" s="13">
        <f ca="1">_xll.meDateFromTenor(S1132,T$14,T$11,T$12)</f>
        <v>44474</v>
      </c>
      <c r="U1132" s="98">
        <f ca="1"/>
        <v>5.6749360450824233E-3</v>
      </c>
      <c r="V1132" s="5" t="s">
        <v>4</v>
      </c>
      <c r="W1132" s="84" t="s">
        <v>4</v>
      </c>
    </row>
    <row r="1133" spans="1:23" x14ac:dyDescent="0.25">
      <c r="A1133" s="90">
        <v>1114</v>
      </c>
      <c r="B1133" s="83"/>
      <c r="C1133" s="100">
        <f ca="1">_xll.meDateFromTenor(C1132,"1D","FOLLOWING",D$12)</f>
        <v>44110</v>
      </c>
      <c r="D1133" s="13">
        <f ca="1">_xll.meDateFromTenor(C1133,D$14,D$11,D$12)</f>
        <v>44111</v>
      </c>
      <c r="E1133" s="98">
        <f ca="1"/>
        <v>-2.5369992802555725E-4</v>
      </c>
      <c r="F1133" s="94"/>
      <c r="G1133" s="100">
        <f ca="1">_xll.meDateFromTenor(G1132,"1D","FOLLOWING",H$12)</f>
        <v>44110</v>
      </c>
      <c r="H1133" s="13">
        <f ca="1">_xll.meDateFromTenor(G1133,H$14,H$11,H$12)</f>
        <v>44141</v>
      </c>
      <c r="I1133" s="98">
        <f ca="1"/>
        <v>6.5385973392693248E-4</v>
      </c>
      <c r="J1133" s="94" t="s">
        <v>4</v>
      </c>
      <c r="K1133" s="100">
        <f ca="1">_xll.meDateFromTenor(K1132,"1D","FOLLOWING",L$12)</f>
        <v>44110</v>
      </c>
      <c r="L1133" s="13">
        <f ca="1">_xll.meDateFromTenor(K1133,L$14,L$11,L$12)</f>
        <v>44202</v>
      </c>
      <c r="M1133" s="98">
        <f ca="1"/>
        <v>1.8243912934733314E-3</v>
      </c>
      <c r="N1133" s="5" t="s">
        <v>4</v>
      </c>
      <c r="O1133" s="100">
        <f ca="1">_xll.meDateFromTenor(O1132,"1D","FOLLOWING",P$12)</f>
        <v>44110</v>
      </c>
      <c r="P1133" s="13">
        <f ca="1">_xll.meDateFromTenor(O1133,P$14,P$11,P$12)</f>
        <v>44292</v>
      </c>
      <c r="Q1133" s="98">
        <f ca="1"/>
        <v>3.684204921507167E-3</v>
      </c>
      <c r="R1133" s="5" t="s">
        <v>4</v>
      </c>
      <c r="S1133" s="100">
        <f ca="1">_xll.meDateFromTenor(S1132,"1D","FOLLOWING",T$12)</f>
        <v>44110</v>
      </c>
      <c r="T1133" s="13">
        <f ca="1">_xll.meDateFromTenor(S1133,T$14,T$11,T$12)</f>
        <v>44475</v>
      </c>
      <c r="U1133" s="98">
        <f ca="1"/>
        <v>5.6818058226186779E-3</v>
      </c>
      <c r="V1133" s="5" t="s">
        <v>4</v>
      </c>
      <c r="W1133" s="84" t="s">
        <v>4</v>
      </c>
    </row>
    <row r="1134" spans="1:23" x14ac:dyDescent="0.25">
      <c r="A1134" s="90">
        <v>1115</v>
      </c>
      <c r="B1134" s="83"/>
      <c r="C1134" s="100">
        <f ca="1">_xll.meDateFromTenor(C1133,"1D","FOLLOWING",D$12)</f>
        <v>44111</v>
      </c>
      <c r="D1134" s="13">
        <f ca="1">_xll.meDateFromTenor(C1134,D$14,D$11,D$12)</f>
        <v>44112</v>
      </c>
      <c r="E1134" s="98">
        <f ca="1"/>
        <v>-2.4579632865066723E-4</v>
      </c>
      <c r="F1134" s="94"/>
      <c r="G1134" s="100">
        <f ca="1">_xll.meDateFromTenor(G1133,"1D","FOLLOWING",H$12)</f>
        <v>44111</v>
      </c>
      <c r="H1134" s="13">
        <f ca="1">_xll.meDateFromTenor(G1134,H$14,H$11,H$12)</f>
        <v>44144</v>
      </c>
      <c r="I1134" s="98">
        <f ca="1"/>
        <v>6.6068137512221225E-4</v>
      </c>
      <c r="J1134" s="94" t="s">
        <v>4</v>
      </c>
      <c r="K1134" s="100">
        <f ca="1">_xll.meDateFromTenor(K1133,"1D","FOLLOWING",L$12)</f>
        <v>44111</v>
      </c>
      <c r="L1134" s="13">
        <f ca="1">_xll.meDateFromTenor(K1134,L$14,L$11,L$12)</f>
        <v>44203</v>
      </c>
      <c r="M1134" s="98">
        <f ca="1"/>
        <v>1.8313274365137778E-3</v>
      </c>
      <c r="N1134" s="5" t="s">
        <v>4</v>
      </c>
      <c r="O1134" s="100">
        <f ca="1">_xll.meDateFromTenor(O1133,"1D","FOLLOWING",P$12)</f>
        <v>44111</v>
      </c>
      <c r="P1134" s="13">
        <f ca="1">_xll.meDateFromTenor(O1134,P$14,P$11,P$12)</f>
        <v>44293</v>
      </c>
      <c r="Q1134" s="98">
        <f ca="1"/>
        <v>3.6908501779601998E-3</v>
      </c>
      <c r="R1134" s="5" t="s">
        <v>4</v>
      </c>
      <c r="S1134" s="100">
        <f ca="1">_xll.meDateFromTenor(S1133,"1D","FOLLOWING",T$12)</f>
        <v>44111</v>
      </c>
      <c r="T1134" s="13">
        <f ca="1">_xll.meDateFromTenor(S1134,T$14,T$11,T$12)</f>
        <v>44476</v>
      </c>
      <c r="U1134" s="98">
        <f ca="1"/>
        <v>5.6886794432710929E-3</v>
      </c>
      <c r="V1134" s="5" t="s">
        <v>4</v>
      </c>
      <c r="W1134" s="84" t="s">
        <v>4</v>
      </c>
    </row>
    <row r="1135" spans="1:23" x14ac:dyDescent="0.25">
      <c r="A1135" s="90">
        <v>1116</v>
      </c>
      <c r="B1135" s="83"/>
      <c r="C1135" s="100">
        <f ca="1">_xll.meDateFromTenor(C1134,"1D","FOLLOWING",D$12)</f>
        <v>44112</v>
      </c>
      <c r="D1135" s="13">
        <f ca="1">_xll.meDateFromTenor(C1135,D$14,D$11,D$12)</f>
        <v>44113</v>
      </c>
      <c r="E1135" s="98">
        <f ca="1"/>
        <v>-2.3789754330479529E-4</v>
      </c>
      <c r="F1135" s="94"/>
      <c r="G1135" s="100">
        <f ca="1">_xll.meDateFromTenor(G1134,"1D","FOLLOWING",H$12)</f>
        <v>44112</v>
      </c>
      <c r="H1135" s="13">
        <f ca="1">_xll.meDateFromTenor(G1135,H$14,H$11,H$12)</f>
        <v>44144</v>
      </c>
      <c r="I1135" s="98">
        <f ca="1"/>
        <v>6.674918793985867E-4</v>
      </c>
      <c r="J1135" s="94" t="s">
        <v>4</v>
      </c>
      <c r="K1135" s="100">
        <f ca="1">_xll.meDateFromTenor(K1134,"1D","FOLLOWING",L$12)</f>
        <v>44112</v>
      </c>
      <c r="L1135" s="13">
        <f ca="1">_xll.meDateFromTenor(K1135,L$14,L$11,L$12)</f>
        <v>44204</v>
      </c>
      <c r="M1135" s="98">
        <f ca="1"/>
        <v>1.8382677606369143E-3</v>
      </c>
      <c r="N1135" s="5" t="s">
        <v>4</v>
      </c>
      <c r="O1135" s="100">
        <f ca="1">_xll.meDateFromTenor(O1134,"1D","FOLLOWING",P$12)</f>
        <v>44112</v>
      </c>
      <c r="P1135" s="13">
        <f ca="1">_xll.meDateFromTenor(O1135,P$14,P$11,P$12)</f>
        <v>44294</v>
      </c>
      <c r="Q1135" s="98">
        <f ca="1"/>
        <v>3.6974990265185338E-3</v>
      </c>
      <c r="R1135" s="5" t="s">
        <v>4</v>
      </c>
      <c r="S1135" s="100">
        <f ca="1">_xll.meDateFromTenor(S1134,"1D","FOLLOWING",T$12)</f>
        <v>44112</v>
      </c>
      <c r="T1135" s="13">
        <f ca="1">_xll.meDateFromTenor(S1135,T$14,T$11,T$12)</f>
        <v>44477</v>
      </c>
      <c r="U1135" s="98">
        <f ca="1"/>
        <v>5.6955568901470863E-3</v>
      </c>
      <c r="V1135" s="5" t="s">
        <v>4</v>
      </c>
      <c r="W1135" s="84" t="s">
        <v>4</v>
      </c>
    </row>
    <row r="1136" spans="1:23" x14ac:dyDescent="0.25">
      <c r="A1136" s="90">
        <v>1117</v>
      </c>
      <c r="B1136" s="83"/>
      <c r="C1136" s="100">
        <f ca="1">_xll.meDateFromTenor(C1135,"1D","FOLLOWING",D$12)</f>
        <v>44113</v>
      </c>
      <c r="D1136" s="13">
        <f ca="1">_xll.meDateFromTenor(C1136,D$14,D$11,D$12)</f>
        <v>44116</v>
      </c>
      <c r="E1136" s="98">
        <f ca="1"/>
        <v>-2.2211587904942418E-4</v>
      </c>
      <c r="F1136" s="94"/>
      <c r="G1136" s="100">
        <f ca="1">_xll.meDateFromTenor(G1135,"1D","FOLLOWING",H$12)</f>
        <v>44113</v>
      </c>
      <c r="H1136" s="13">
        <f ca="1">_xll.meDateFromTenor(G1136,H$14,H$11,H$12)</f>
        <v>44144</v>
      </c>
      <c r="I1136" s="98">
        <f ca="1"/>
        <v>6.7429330240964991E-4</v>
      </c>
      <c r="J1136" s="94" t="s">
        <v>4</v>
      </c>
      <c r="K1136" s="100">
        <f ca="1">_xll.meDateFromTenor(K1135,"1D","FOLLOWING",L$12)</f>
        <v>44113</v>
      </c>
      <c r="L1136" s="13">
        <f ca="1">_xll.meDateFromTenor(K1136,L$14,L$11,L$12)</f>
        <v>44207</v>
      </c>
      <c r="M1136" s="98">
        <f ca="1"/>
        <v>1.8452122881972904E-3</v>
      </c>
      <c r="N1136" s="5" t="s">
        <v>4</v>
      </c>
      <c r="O1136" s="100">
        <f ca="1">_xll.meDateFromTenor(O1135,"1D","FOLLOWING",P$12)</f>
        <v>44113</v>
      </c>
      <c r="P1136" s="13">
        <f ca="1">_xll.meDateFromTenor(O1136,P$14,P$11,P$12)</f>
        <v>44295</v>
      </c>
      <c r="Q1136" s="98">
        <f ca="1"/>
        <v>3.7041514660476368E-3</v>
      </c>
      <c r="R1136" s="5" t="s">
        <v>4</v>
      </c>
      <c r="S1136" s="100">
        <f ca="1">_xll.meDateFromTenor(S1135,"1D","FOLLOWING",T$12)</f>
        <v>44113</v>
      </c>
      <c r="T1136" s="13">
        <f ca="1">_xll.meDateFromTenor(S1136,T$14,T$11,T$12)</f>
        <v>44480</v>
      </c>
      <c r="U1136" s="98">
        <f ca="1"/>
        <v>5.7024381463540814E-3</v>
      </c>
      <c r="V1136" s="5" t="s">
        <v>4</v>
      </c>
      <c r="W1136" s="84" t="s">
        <v>4</v>
      </c>
    </row>
    <row r="1137" spans="1:23" x14ac:dyDescent="0.25">
      <c r="A1137" s="90">
        <v>1118</v>
      </c>
      <c r="B1137" s="83"/>
      <c r="C1137" s="100">
        <f ca="1">_xll.meDateFromTenor(C1136,"1D","FOLLOWING",D$12)</f>
        <v>44116</v>
      </c>
      <c r="D1137" s="13">
        <f ca="1">_xll.meDateFromTenor(C1137,D$14,D$11,D$12)</f>
        <v>44117</v>
      </c>
      <c r="E1137" s="98">
        <f ca="1"/>
        <v>-2.0635052978331786E-4</v>
      </c>
      <c r="F1137" s="94"/>
      <c r="G1137" s="100">
        <f ca="1">_xll.meDateFromTenor(G1136,"1D","FOLLOWING",H$12)</f>
        <v>44116</v>
      </c>
      <c r="H1137" s="13">
        <f ca="1">_xll.meDateFromTenor(G1137,H$14,H$11,H$12)</f>
        <v>44147</v>
      </c>
      <c r="I1137" s="98">
        <f ca="1"/>
        <v>6.946636403868709E-4</v>
      </c>
      <c r="J1137" s="94" t="s">
        <v>4</v>
      </c>
      <c r="K1137" s="100">
        <f ca="1">_xll.meDateFromTenor(K1136,"1D","FOLLOWING",L$12)</f>
        <v>44116</v>
      </c>
      <c r="L1137" s="13">
        <f ca="1">_xll.meDateFromTenor(K1137,L$14,L$11,L$12)</f>
        <v>44208</v>
      </c>
      <c r="M1137" s="98">
        <f ca="1"/>
        <v>1.8660713150473155E-3</v>
      </c>
      <c r="N1137" s="5" t="s">
        <v>4</v>
      </c>
      <c r="O1137" s="100">
        <f ca="1">_xll.meDateFromTenor(O1136,"1D","FOLLOWING",P$12)</f>
        <v>44116</v>
      </c>
      <c r="P1137" s="13">
        <f ca="1">_xll.meDateFromTenor(O1137,P$14,P$11,P$12)</f>
        <v>44298</v>
      </c>
      <c r="Q1137" s="98">
        <f ca="1"/>
        <v>3.7241303191141968E-3</v>
      </c>
      <c r="R1137" s="5" t="s">
        <v>4</v>
      </c>
      <c r="S1137" s="100">
        <f ca="1">_xll.meDateFromTenor(S1136,"1D","FOLLOWING",T$12)</f>
        <v>44116</v>
      </c>
      <c r="T1137" s="13">
        <f ca="1">_xll.meDateFromTenor(S1137,T$14,T$11,T$12)</f>
        <v>44481</v>
      </c>
      <c r="U1137" s="98">
        <f ca="1"/>
        <v>5.7231046020352521E-3</v>
      </c>
      <c r="V1137" s="5" t="s">
        <v>4</v>
      </c>
      <c r="W1137" s="84" t="s">
        <v>4</v>
      </c>
    </row>
    <row r="1138" spans="1:23" x14ac:dyDescent="0.25">
      <c r="A1138" s="90">
        <v>1119</v>
      </c>
      <c r="B1138" s="83"/>
      <c r="C1138" s="100">
        <f ca="1">_xll.meDateFromTenor(C1137,"1D","FOLLOWING",D$12)</f>
        <v>44117</v>
      </c>
      <c r="D1138" s="13">
        <f ca="1">_xll.meDateFromTenor(C1138,D$14,D$11,D$12)</f>
        <v>44118</v>
      </c>
      <c r="E1138" s="98">
        <f ca="1"/>
        <v>-1.9847580575053006E-4</v>
      </c>
      <c r="F1138" s="94"/>
      <c r="G1138" s="100">
        <f ca="1">_xll.meDateFromTenor(G1137,"1D","FOLLOWING",H$12)</f>
        <v>44117</v>
      </c>
      <c r="H1138" s="13">
        <f ca="1">_xll.meDateFromTenor(G1138,H$14,H$11,H$12)</f>
        <v>44148</v>
      </c>
      <c r="I1138" s="98">
        <f ca="1"/>
        <v>7.0144929487259535E-4</v>
      </c>
      <c r="J1138" s="94" t="s">
        <v>4</v>
      </c>
      <c r="K1138" s="100">
        <f ca="1">_xll.meDateFromTenor(K1137,"1D","FOLLOWING",L$12)</f>
        <v>44117</v>
      </c>
      <c r="L1138" s="13">
        <f ca="1">_xll.meDateFromTenor(K1138,L$14,L$11,L$12)</f>
        <v>44209</v>
      </c>
      <c r="M1138" s="98">
        <f ca="1"/>
        <v>1.8730328799021151E-3</v>
      </c>
      <c r="N1138" s="5" t="s">
        <v>4</v>
      </c>
      <c r="O1138" s="100">
        <f ca="1">_xll.meDateFromTenor(O1137,"1D","FOLLOWING",P$12)</f>
        <v>44117</v>
      </c>
      <c r="P1138" s="13">
        <f ca="1">_xll.meDateFromTenor(O1138,P$14,P$11,P$12)</f>
        <v>44299</v>
      </c>
      <c r="Q1138" s="98">
        <f ca="1"/>
        <v>3.7307971111810194E-3</v>
      </c>
      <c r="R1138" s="5" t="s">
        <v>4</v>
      </c>
      <c r="S1138" s="100">
        <f ca="1">_xll.meDateFromTenor(S1137,"1D","FOLLOWING",T$12)</f>
        <v>44117</v>
      </c>
      <c r="T1138" s="13">
        <f ca="1">_xll.meDateFromTenor(S1138,T$14,T$11,T$12)</f>
        <v>44482</v>
      </c>
      <c r="U1138" s="98">
        <f ca="1"/>
        <v>5.7300009266404361E-3</v>
      </c>
      <c r="V1138" s="5" t="s">
        <v>4</v>
      </c>
      <c r="W1138" s="84" t="s">
        <v>4</v>
      </c>
    </row>
    <row r="1139" spans="1:23" x14ac:dyDescent="0.25">
      <c r="A1139" s="90">
        <v>1120</v>
      </c>
      <c r="B1139" s="83"/>
      <c r="C1139" s="100">
        <f ca="1">_xll.meDateFromTenor(C1138,"1D","FOLLOWING",D$12)</f>
        <v>44118</v>
      </c>
      <c r="D1139" s="13">
        <f ca="1">_xll.meDateFromTenor(C1139,D$14,D$11,D$12)</f>
        <v>44119</v>
      </c>
      <c r="E1139" s="98">
        <f ca="1"/>
        <v>-1.9060589250938028E-4</v>
      </c>
      <c r="F1139" s="94"/>
      <c r="G1139" s="100">
        <f ca="1">_xll.meDateFromTenor(G1138,"1D","FOLLOWING",H$12)</f>
        <v>44118</v>
      </c>
      <c r="H1139" s="13">
        <f ca="1">_xll.meDateFromTenor(G1139,H$14,H$11,H$12)</f>
        <v>44151</v>
      </c>
      <c r="I1139" s="98">
        <f ca="1"/>
        <v>7.082361463609648E-4</v>
      </c>
      <c r="J1139" s="94" t="s">
        <v>4</v>
      </c>
      <c r="K1139" s="100">
        <f ca="1">_xll.meDateFromTenor(K1138,"1D","FOLLOWING",L$12)</f>
        <v>44118</v>
      </c>
      <c r="L1139" s="13">
        <f ca="1">_xll.meDateFromTenor(K1139,L$14,L$11,L$12)</f>
        <v>44210</v>
      </c>
      <c r="M1139" s="98">
        <f ca="1"/>
        <v>1.8799987599668903E-3</v>
      </c>
      <c r="N1139" s="5" t="s">
        <v>4</v>
      </c>
      <c r="O1139" s="100">
        <f ca="1">_xll.meDateFromTenor(O1138,"1D","FOLLOWING",P$12)</f>
        <v>44118</v>
      </c>
      <c r="P1139" s="13">
        <f ca="1">_xll.meDateFromTenor(O1139,P$14,P$11,P$12)</f>
        <v>44300</v>
      </c>
      <c r="Q1139" s="98">
        <f ca="1"/>
        <v>3.7374674885459363E-3</v>
      </c>
      <c r="R1139" s="5" t="s">
        <v>4</v>
      </c>
      <c r="S1139" s="100">
        <f ca="1">_xll.meDateFromTenor(S1138,"1D","FOLLOWING",T$12)</f>
        <v>44118</v>
      </c>
      <c r="T1139" s="13">
        <f ca="1">_xll.meDateFromTenor(S1139,T$14,T$11,T$12)</f>
        <v>44483</v>
      </c>
      <c r="U1139" s="98">
        <f ca="1"/>
        <v>5.7369009761137164E-3</v>
      </c>
      <c r="V1139" s="5" t="s">
        <v>4</v>
      </c>
      <c r="W1139" s="84" t="s">
        <v>4</v>
      </c>
    </row>
    <row r="1140" spans="1:23" x14ac:dyDescent="0.25">
      <c r="A1140" s="90">
        <v>1121</v>
      </c>
      <c r="B1140" s="83"/>
      <c r="C1140" s="100">
        <f ca="1">_xll.meDateFromTenor(C1139,"1D","FOLLOWING",D$12)</f>
        <v>44119</v>
      </c>
      <c r="D1140" s="13">
        <f ca="1">_xll.meDateFromTenor(C1140,D$14,D$11,D$12)</f>
        <v>44120</v>
      </c>
      <c r="E1140" s="98">
        <f ca="1"/>
        <v>-1.8274078942062888E-4</v>
      </c>
      <c r="F1140" s="94"/>
      <c r="G1140" s="100">
        <f ca="1">_xll.meDateFromTenor(G1139,"1D","FOLLOWING",H$12)</f>
        <v>44119</v>
      </c>
      <c r="H1140" s="13">
        <f ca="1">_xll.meDateFromTenor(G1140,H$14,H$11,H$12)</f>
        <v>44151</v>
      </c>
      <c r="I1140" s="98">
        <f ca="1"/>
        <v>7.1502625050557365E-4</v>
      </c>
      <c r="J1140" s="94" t="s">
        <v>4</v>
      </c>
      <c r="K1140" s="100">
        <f ca="1">_xll.meDateFromTenor(K1139,"1D","FOLLOWING",L$12)</f>
        <v>44119</v>
      </c>
      <c r="L1140" s="13">
        <f ca="1">_xll.meDateFromTenor(K1140,L$14,L$11,L$12)</f>
        <v>44211</v>
      </c>
      <c r="M1140" s="98">
        <f ca="1"/>
        <v>1.886968977596191E-3</v>
      </c>
      <c r="N1140" s="5" t="s">
        <v>4</v>
      </c>
      <c r="O1140" s="100">
        <f ca="1">_xll.meDateFromTenor(O1139,"1D","FOLLOWING",P$12)</f>
        <v>44119</v>
      </c>
      <c r="P1140" s="13">
        <f ca="1">_xll.meDateFromTenor(O1140,P$14,P$11,P$12)</f>
        <v>44301</v>
      </c>
      <c r="Q1140" s="98">
        <f ca="1"/>
        <v>3.7441414500744142E-3</v>
      </c>
      <c r="R1140" s="5" t="s">
        <v>4</v>
      </c>
      <c r="S1140" s="100">
        <f ca="1">_xll.meDateFromTenor(S1139,"1D","FOLLOWING",T$12)</f>
        <v>44119</v>
      </c>
      <c r="T1140" s="13">
        <f ca="1">_xll.meDateFromTenor(S1140,T$14,T$11,T$12)</f>
        <v>44484</v>
      </c>
      <c r="U1140" s="98">
        <f ca="1"/>
        <v>5.7438047335625145E-3</v>
      </c>
      <c r="V1140" s="5" t="s">
        <v>4</v>
      </c>
      <c r="W1140" s="84" t="s">
        <v>4</v>
      </c>
    </row>
    <row r="1141" spans="1:23" x14ac:dyDescent="0.25">
      <c r="A1141" s="90">
        <v>1122</v>
      </c>
      <c r="B1141" s="83"/>
      <c r="C1141" s="100">
        <f ca="1">_xll.meDateFromTenor(C1140,"1D","FOLLOWING",D$12)</f>
        <v>44120</v>
      </c>
      <c r="D1141" s="13">
        <f ca="1">_xll.meDateFromTenor(C1141,D$14,D$11,D$12)</f>
        <v>44123</v>
      </c>
      <c r="E1141" s="98">
        <f ca="1"/>
        <v>-1.670265369080243E-4</v>
      </c>
      <c r="F1141" s="94"/>
      <c r="G1141" s="100">
        <f ca="1">_xll.meDateFromTenor(G1140,"1D","FOLLOWING",H$12)</f>
        <v>44120</v>
      </c>
      <c r="H1141" s="13">
        <f ca="1">_xll.meDateFromTenor(G1141,H$14,H$11,H$12)</f>
        <v>44151</v>
      </c>
      <c r="I1141" s="98">
        <f ca="1"/>
        <v>7.2182166296000903E-4</v>
      </c>
      <c r="J1141" s="94" t="s">
        <v>4</v>
      </c>
      <c r="K1141" s="100">
        <f ca="1">_xll.meDateFromTenor(K1140,"1D","FOLLOWING",L$12)</f>
        <v>44120</v>
      </c>
      <c r="L1141" s="13">
        <f ca="1">_xll.meDateFromTenor(K1141,L$14,L$11,L$12)</f>
        <v>44214</v>
      </c>
      <c r="M1141" s="98">
        <f ca="1"/>
        <v>1.89394355514456E-3</v>
      </c>
      <c r="N1141" s="5" t="s">
        <v>4</v>
      </c>
      <c r="O1141" s="100">
        <f ca="1">_xll.meDateFromTenor(O1140,"1D","FOLLOWING",P$12)</f>
        <v>44120</v>
      </c>
      <c r="P1141" s="13">
        <f ca="1">_xll.meDateFromTenor(O1141,P$14,P$11,P$12)</f>
        <v>44302</v>
      </c>
      <c r="Q1141" s="98">
        <f ca="1"/>
        <v>3.7508189946319154E-3</v>
      </c>
      <c r="R1141" s="5" t="s">
        <v>4</v>
      </c>
      <c r="S1141" s="100">
        <f ca="1">_xll.meDateFromTenor(S1140,"1D","FOLLOWING",T$12)</f>
        <v>44120</v>
      </c>
      <c r="T1141" s="13">
        <f ca="1">_xll.meDateFromTenor(S1141,T$14,T$11,T$12)</f>
        <v>44487</v>
      </c>
      <c r="U1141" s="98">
        <f ca="1"/>
        <v>5.7507121820942449E-3</v>
      </c>
      <c r="V1141" s="5" t="s">
        <v>4</v>
      </c>
      <c r="W1141" s="84" t="s">
        <v>4</v>
      </c>
    </row>
    <row r="1142" spans="1:23" x14ac:dyDescent="0.25">
      <c r="A1142" s="90">
        <v>1123</v>
      </c>
      <c r="B1142" s="83"/>
      <c r="C1142" s="100">
        <f ca="1">_xll.meDateFromTenor(C1141,"1D","FOLLOWING",D$12)</f>
        <v>44123</v>
      </c>
      <c r="D1142" s="13">
        <f ca="1">_xll.meDateFromTenor(C1142,D$14,D$11,D$12)</f>
        <v>44124</v>
      </c>
      <c r="E1142" s="98">
        <f ca="1"/>
        <v>-1.5132846815648889E-4</v>
      </c>
      <c r="F1142" s="94"/>
      <c r="G1142" s="100">
        <f ca="1">_xll.meDateFromTenor(G1141,"1D","FOLLOWING",H$12)</f>
        <v>44123</v>
      </c>
      <c r="H1142" s="13">
        <f ca="1">_xll.meDateFromTenor(G1142,H$14,H$11,H$12)</f>
        <v>44154</v>
      </c>
      <c r="I1142" s="98">
        <f ca="1"/>
        <v>7.4226030671820803E-4</v>
      </c>
      <c r="J1142" s="94" t="s">
        <v>4</v>
      </c>
      <c r="K1142" s="100">
        <f ca="1">_xll.meDateFromTenor(K1141,"1D","FOLLOWING",L$12)</f>
        <v>44123</v>
      </c>
      <c r="L1142" s="13">
        <f ca="1">_xll.meDateFromTenor(K1142,L$14,L$11,L$12)</f>
        <v>44215</v>
      </c>
      <c r="M1142" s="98">
        <f ca="1"/>
        <v>1.9148936708495686E-3</v>
      </c>
      <c r="N1142" s="5" t="s">
        <v>4</v>
      </c>
      <c r="O1142" s="100">
        <f ca="1">_xll.meDateFromTenor(O1141,"1D","FOLLOWING",P$12)</f>
        <v>44123</v>
      </c>
      <c r="P1142" s="13">
        <f ca="1">_xll.meDateFromTenor(O1142,P$14,P$11,P$12)</f>
        <v>44305</v>
      </c>
      <c r="Q1142" s="98">
        <f ca="1"/>
        <v>3.7708731151332251E-3</v>
      </c>
      <c r="R1142" s="5" t="s">
        <v>4</v>
      </c>
      <c r="S1142" s="100">
        <f ca="1">_xll.meDateFromTenor(S1141,"1D","FOLLOWING",T$12)</f>
        <v>44123</v>
      </c>
      <c r="T1142" s="13">
        <f ca="1">_xll.meDateFromTenor(S1142,T$14,T$11,T$12)</f>
        <v>44488</v>
      </c>
      <c r="U1142" s="98">
        <f ca="1"/>
        <v>5.7714565052612446E-3</v>
      </c>
      <c r="V1142" s="5" t="s">
        <v>4</v>
      </c>
      <c r="W1142" s="84" t="s">
        <v>4</v>
      </c>
    </row>
    <row r="1143" spans="1:23" x14ac:dyDescent="0.25">
      <c r="A1143" s="90">
        <v>1124</v>
      </c>
      <c r="B1143" s="83"/>
      <c r="C1143" s="100">
        <f ca="1">_xll.meDateFromTenor(C1142,"1D","FOLLOWING",D$12)</f>
        <v>44124</v>
      </c>
      <c r="D1143" s="13">
        <f ca="1">_xll.meDateFromTenor(C1143,D$14,D$11,D$12)</f>
        <v>44125</v>
      </c>
      <c r="E1143" s="98">
        <f ca="1"/>
        <v>-1.4348740795531144E-4</v>
      </c>
      <c r="F1143" s="94"/>
      <c r="G1143" s="100">
        <f ca="1">_xll.meDateFromTenor(G1142,"1D","FOLLOWING",H$12)</f>
        <v>44124</v>
      </c>
      <c r="H1143" s="13">
        <f ca="1">_xll.meDateFromTenor(G1143,H$14,H$11,H$12)</f>
        <v>44155</v>
      </c>
      <c r="I1143" s="98">
        <f ca="1"/>
        <v>7.4909750894787863E-4</v>
      </c>
      <c r="J1143" s="94" t="s">
        <v>4</v>
      </c>
      <c r="K1143" s="100">
        <f ca="1">_xll.meDateFromTenor(K1142,"1D","FOLLOWING",L$12)</f>
        <v>44124</v>
      </c>
      <c r="L1143" s="13">
        <f ca="1">_xll.meDateFromTenor(K1143,L$14,L$11,L$12)</f>
        <v>44216</v>
      </c>
      <c r="M1143" s="98">
        <f ca="1"/>
        <v>1.9218859116196985E-3</v>
      </c>
      <c r="N1143" s="5" t="s">
        <v>4</v>
      </c>
      <c r="O1143" s="100">
        <f ca="1">_xll.meDateFromTenor(O1142,"1D","FOLLOWING",P$12)</f>
        <v>44124</v>
      </c>
      <c r="P1143" s="13">
        <f ca="1">_xll.meDateFromTenor(O1143,P$14,P$11,P$12)</f>
        <v>44306</v>
      </c>
      <c r="Q1143" s="98">
        <f ca="1"/>
        <v>3.7775649804614839E-3</v>
      </c>
      <c r="R1143" s="5" t="s">
        <v>4</v>
      </c>
      <c r="S1143" s="100">
        <f ca="1">_xll.meDateFromTenor(S1142,"1D","FOLLOWING",T$12)</f>
        <v>44124</v>
      </c>
      <c r="T1143" s="13">
        <f ca="1">_xll.meDateFromTenor(S1143,T$14,T$11,T$12)</f>
        <v>44489</v>
      </c>
      <c r="U1143" s="98">
        <f ca="1"/>
        <v>5.7783785491989127E-3</v>
      </c>
      <c r="V1143" s="5" t="s">
        <v>4</v>
      </c>
      <c r="W1143" s="84" t="s">
        <v>4</v>
      </c>
    </row>
    <row r="1144" spans="1:23" x14ac:dyDescent="0.25">
      <c r="A1144" s="90">
        <v>1125</v>
      </c>
      <c r="B1144" s="83"/>
      <c r="C1144" s="100">
        <f ca="1">_xll.meDateFromTenor(C1143,"1D","FOLLOWING",D$12)</f>
        <v>44125</v>
      </c>
      <c r="D1144" s="13">
        <f ca="1">_xll.meDateFromTenor(C1144,D$14,D$11,D$12)</f>
        <v>44126</v>
      </c>
      <c r="E1144" s="98">
        <f ca="1"/>
        <v>-1.3565115490890009E-4</v>
      </c>
      <c r="F1144" s="94"/>
      <c r="G1144" s="100">
        <f ca="1">_xll.meDateFromTenor(G1143,"1D","FOLLOWING",H$12)</f>
        <v>44125</v>
      </c>
      <c r="H1144" s="13">
        <f ca="1">_xll.meDateFromTenor(G1144,H$14,H$11,H$12)</f>
        <v>44158</v>
      </c>
      <c r="I1144" s="98">
        <f ca="1"/>
        <v>7.5595029775533463E-4</v>
      </c>
      <c r="J1144" s="94" t="s">
        <v>4</v>
      </c>
      <c r="K1144" s="100">
        <f ca="1">_xll.meDateFromTenor(K1143,"1D","FOLLOWING",L$12)</f>
        <v>44125</v>
      </c>
      <c r="L1144" s="13">
        <f ca="1">_xll.meDateFromTenor(K1144,L$14,L$11,L$12)</f>
        <v>44217</v>
      </c>
      <c r="M1144" s="98">
        <f ca="1"/>
        <v>1.9288826240816345E-3</v>
      </c>
      <c r="N1144" s="5" t="s">
        <v>4</v>
      </c>
      <c r="O1144" s="100">
        <f ca="1">_xll.meDateFromTenor(O1143,"1D","FOLLOWING",P$12)</f>
        <v>44125</v>
      </c>
      <c r="P1144" s="13">
        <f ca="1">_xll.meDateFromTenor(O1144,P$14,P$11,P$12)</f>
        <v>44307</v>
      </c>
      <c r="Q1144" s="98">
        <f ca="1"/>
        <v>3.7842604231460917E-3</v>
      </c>
      <c r="R1144" s="5" t="s">
        <v>4</v>
      </c>
      <c r="S1144" s="100">
        <f ca="1">_xll.meDateFromTenor(S1143,"1D","FOLLOWING",T$12)</f>
        <v>44125</v>
      </c>
      <c r="T1144" s="13">
        <f ca="1">_xll.meDateFromTenor(S1144,T$14,T$11,T$12)</f>
        <v>44490</v>
      </c>
      <c r="U1144" s="98">
        <f ca="1"/>
        <v>5.7853041997566112E-3</v>
      </c>
      <c r="V1144" s="5" t="s">
        <v>4</v>
      </c>
      <c r="W1144" s="84" t="s">
        <v>4</v>
      </c>
    </row>
    <row r="1145" spans="1:23" x14ac:dyDescent="0.25">
      <c r="A1145" s="90">
        <v>1126</v>
      </c>
      <c r="B1145" s="83"/>
      <c r="C1145" s="100">
        <f ca="1">_xll.meDateFromTenor(C1144,"1D","FOLLOWING",D$12)</f>
        <v>44126</v>
      </c>
      <c r="D1145" s="13">
        <f ca="1">_xll.meDateFromTenor(C1145,D$14,D$11,D$12)</f>
        <v>44127</v>
      </c>
      <c r="E1145" s="98">
        <f ca="1"/>
        <v>-1.2781970817774769E-4</v>
      </c>
      <c r="F1145" s="94"/>
      <c r="G1145" s="100">
        <f ca="1">_xll.meDateFromTenor(G1144,"1D","FOLLOWING",H$12)</f>
        <v>44126</v>
      </c>
      <c r="H1145" s="13">
        <f ca="1">_xll.meDateFromTenor(G1145,H$14,H$11,H$12)</f>
        <v>44158</v>
      </c>
      <c r="I1145" s="98">
        <f ca="1"/>
        <v>7.6282072879417225E-4</v>
      </c>
      <c r="J1145" s="94" t="s">
        <v>4</v>
      </c>
      <c r="K1145" s="100">
        <f ca="1">_xll.meDateFromTenor(K1144,"1D","FOLLOWING",L$12)</f>
        <v>44126</v>
      </c>
      <c r="L1145" s="13">
        <f ca="1">_xll.meDateFromTenor(K1145,L$14,L$11,L$12)</f>
        <v>44218</v>
      </c>
      <c r="M1145" s="98">
        <f ca="1"/>
        <v>1.9358838305899291E-3</v>
      </c>
      <c r="N1145" s="5" t="s">
        <v>4</v>
      </c>
      <c r="O1145" s="100">
        <f ca="1">_xll.meDateFromTenor(O1144,"1D","FOLLOWING",P$12)</f>
        <v>44126</v>
      </c>
      <c r="P1145" s="13">
        <f ca="1">_xll.meDateFromTenor(O1145,P$14,P$11,P$12)</f>
        <v>44308</v>
      </c>
      <c r="Q1145" s="98">
        <f ca="1"/>
        <v>3.79095944205252E-3</v>
      </c>
      <c r="R1145" s="5" t="s">
        <v>4</v>
      </c>
      <c r="S1145" s="100">
        <f ca="1">_xll.meDateFromTenor(S1144,"1D","FOLLOWING",T$12)</f>
        <v>44126</v>
      </c>
      <c r="T1145" s="13">
        <f ca="1">_xll.meDateFromTenor(S1145,T$14,T$11,T$12)</f>
        <v>44491</v>
      </c>
      <c r="U1145" s="98">
        <f ca="1"/>
        <v>5.7922334400417616E-3</v>
      </c>
      <c r="V1145" s="5" t="s">
        <v>4</v>
      </c>
      <c r="W1145" s="84" t="s">
        <v>4</v>
      </c>
    </row>
    <row r="1146" spans="1:23" x14ac:dyDescent="0.25">
      <c r="A1146" s="90">
        <v>1127</v>
      </c>
      <c r="B1146" s="83"/>
      <c r="C1146" s="100">
        <f ca="1">_xll.meDateFromTenor(C1145,"1D","FOLLOWING",D$12)</f>
        <v>44127</v>
      </c>
      <c r="D1146" s="13">
        <f ca="1">_xll.meDateFromTenor(C1146,D$14,D$11,D$12)</f>
        <v>44130</v>
      </c>
      <c r="E1146" s="98">
        <f ca="1"/>
        <v>-1.1217279938247697E-4</v>
      </c>
      <c r="F1146" s="94"/>
      <c r="G1146" s="100">
        <f ca="1">_xll.meDateFromTenor(G1145,"1D","FOLLOWING",H$12)</f>
        <v>44127</v>
      </c>
      <c r="H1146" s="13">
        <f ca="1">_xll.meDateFromTenor(G1146,H$14,H$11,H$12)</f>
        <v>44158</v>
      </c>
      <c r="I1146" s="98">
        <f ca="1"/>
        <v>7.6971085771797884E-4</v>
      </c>
      <c r="J1146" s="94" t="s">
        <v>4</v>
      </c>
      <c r="K1146" s="100">
        <f ca="1">_xll.meDateFromTenor(K1145,"1D","FOLLOWING",L$12)</f>
        <v>44127</v>
      </c>
      <c r="L1146" s="13">
        <f ca="1">_xll.meDateFromTenor(K1146,L$14,L$11,L$12)</f>
        <v>44221</v>
      </c>
      <c r="M1146" s="98">
        <f ca="1"/>
        <v>1.9428895534991249E-3</v>
      </c>
      <c r="N1146" s="5" t="s">
        <v>4</v>
      </c>
      <c r="O1146" s="100">
        <f ca="1">_xll.meDateFromTenor(O1145,"1D","FOLLOWING",P$12)</f>
        <v>44127</v>
      </c>
      <c r="P1146" s="13">
        <f ca="1">_xll.meDateFromTenor(O1146,P$14,P$11,P$12)</f>
        <v>44309</v>
      </c>
      <c r="Q1146" s="98">
        <f ca="1"/>
        <v>3.7976620360462296E-3</v>
      </c>
      <c r="R1146" s="5" t="s">
        <v>4</v>
      </c>
      <c r="S1146" s="100">
        <f ca="1">_xll.meDateFromTenor(S1145,"1D","FOLLOWING",T$12)</f>
        <v>44127</v>
      </c>
      <c r="T1146" s="13">
        <f ca="1">_xll.meDateFromTenor(S1146,T$14,T$11,T$12)</f>
        <v>44494</v>
      </c>
      <c r="U1146" s="98">
        <f ca="1"/>
        <v>5.799166253161782E-3</v>
      </c>
      <c r="V1146" s="5" t="s">
        <v>4</v>
      </c>
      <c r="W1146" s="84" t="s">
        <v>4</v>
      </c>
    </row>
    <row r="1147" spans="1:23" x14ac:dyDescent="0.25">
      <c r="A1147" s="90">
        <v>1128</v>
      </c>
      <c r="B1147" s="83"/>
      <c r="C1147" s="100">
        <f ca="1">_xll.meDateFromTenor(C1146,"1D","FOLLOWING",D$12)</f>
        <v>44130</v>
      </c>
      <c r="D1147" s="13">
        <f ca="1">_xll.meDateFromTenor(C1147,D$14,D$11,D$12)</f>
        <v>44131</v>
      </c>
      <c r="E1147" s="98">
        <f ca="1"/>
        <v>-9.6541976812843268E-5</v>
      </c>
      <c r="F1147" s="94"/>
      <c r="G1147" s="100">
        <f ca="1">_xll.meDateFromTenor(G1146,"1D","FOLLOWING",H$12)</f>
        <v>44130</v>
      </c>
      <c r="H1147" s="13">
        <f ca="1">_xll.meDateFromTenor(G1147,H$14,H$11,H$12)</f>
        <v>44161</v>
      </c>
      <c r="I1147" s="98">
        <f ca="1"/>
        <v>7.9051998833514587E-4</v>
      </c>
      <c r="J1147" s="94" t="s">
        <v>4</v>
      </c>
      <c r="K1147" s="100">
        <f ca="1">_xll.meDateFromTenor(K1146,"1D","FOLLOWING",L$12)</f>
        <v>44130</v>
      </c>
      <c r="L1147" s="13">
        <f ca="1">_xll.meDateFromTenor(K1147,L$14,L$11,L$12)</f>
        <v>44222</v>
      </c>
      <c r="M1147" s="98">
        <f ca="1"/>
        <v>1.9639340441776135E-3</v>
      </c>
      <c r="N1147" s="5" t="s">
        <v>4</v>
      </c>
      <c r="O1147" s="100">
        <f ca="1">_xll.meDateFromTenor(O1146,"1D","FOLLOWING",P$12)</f>
        <v>44130</v>
      </c>
      <c r="P1147" s="13">
        <f ca="1">_xll.meDateFromTenor(O1147,P$14,P$11,P$12)</f>
        <v>44312</v>
      </c>
      <c r="Q1147" s="98">
        <f ca="1"/>
        <v>3.8177912572057156E-3</v>
      </c>
      <c r="R1147" s="5" t="s">
        <v>4</v>
      </c>
      <c r="S1147" s="100">
        <f ca="1">_xll.meDateFromTenor(S1146,"1D","FOLLOWING",T$12)</f>
        <v>44130</v>
      </c>
      <c r="T1147" s="13">
        <f ca="1">_xll.meDateFromTenor(S1147,T$14,T$11,T$12)</f>
        <v>44495</v>
      </c>
      <c r="U1147" s="98">
        <f ca="1"/>
        <v>5.8199859606052652E-3</v>
      </c>
      <c r="V1147" s="5" t="s">
        <v>4</v>
      </c>
      <c r="W1147" s="84" t="s">
        <v>4</v>
      </c>
    </row>
    <row r="1148" spans="1:23" x14ac:dyDescent="0.25">
      <c r="A1148" s="90">
        <v>1129</v>
      </c>
      <c r="B1148" s="83"/>
      <c r="C1148" s="100">
        <f ca="1">_xll.meDateFromTenor(C1147,"1D","FOLLOWING",D$12)</f>
        <v>44131</v>
      </c>
      <c r="D1148" s="13">
        <f ca="1">_xll.meDateFromTenor(C1148,D$14,D$11,D$12)</f>
        <v>44132</v>
      </c>
      <c r="E1148" s="98">
        <f ca="1"/>
        <v>-8.8734555103734471E-5</v>
      </c>
      <c r="F1148" s="94"/>
      <c r="G1148" s="100">
        <f ca="1">_xll.meDateFromTenor(G1147,"1D","FOLLOWING",H$12)</f>
        <v>44131</v>
      </c>
      <c r="H1148" s="13">
        <f ca="1">_xll.meDateFromTenor(G1148,H$14,H$11,H$12)</f>
        <v>44162</v>
      </c>
      <c r="I1148" s="98">
        <f ca="1"/>
        <v>7.9750946533475484E-4</v>
      </c>
      <c r="J1148" s="94" t="s">
        <v>4</v>
      </c>
      <c r="K1148" s="100">
        <f ca="1">_xll.meDateFromTenor(K1147,"1D","FOLLOWING",L$12)</f>
        <v>44131</v>
      </c>
      <c r="L1148" s="13">
        <f ca="1">_xll.meDateFromTenor(K1148,L$14,L$11,L$12)</f>
        <v>44223</v>
      </c>
      <c r="M1148" s="98">
        <f ca="1"/>
        <v>1.970958056235901E-3</v>
      </c>
      <c r="N1148" s="5" t="s">
        <v>4</v>
      </c>
      <c r="O1148" s="100">
        <f ca="1">_xll.meDateFromTenor(O1147,"1D","FOLLOWING",P$12)</f>
        <v>44131</v>
      </c>
      <c r="P1148" s="13">
        <f ca="1">_xll.meDateFromTenor(O1148,P$14,P$11,P$12)</f>
        <v>44313</v>
      </c>
      <c r="Q1148" s="98">
        <f ca="1"/>
        <v>3.8245081402032131E-3</v>
      </c>
      <c r="R1148" s="5" t="s">
        <v>4</v>
      </c>
      <c r="S1148" s="100">
        <f ca="1">_xll.meDateFromTenor(S1147,"1D","FOLLOWING",T$12)</f>
        <v>44131</v>
      </c>
      <c r="T1148" s="13">
        <f ca="1">_xll.meDateFromTenor(S1148,T$14,T$11,T$12)</f>
        <v>44496</v>
      </c>
      <c r="U1148" s="98">
        <f ca="1"/>
        <v>5.8269328961389633E-3</v>
      </c>
      <c r="V1148" s="5" t="s">
        <v>4</v>
      </c>
      <c r="W1148" s="84" t="s">
        <v>4</v>
      </c>
    </row>
    <row r="1149" spans="1:23" x14ac:dyDescent="0.25">
      <c r="A1149" s="90">
        <v>1130</v>
      </c>
      <c r="B1149" s="83"/>
      <c r="C1149" s="100">
        <f ca="1">_xll.meDateFromTenor(C1148,"1D","FOLLOWING",D$12)</f>
        <v>44132</v>
      </c>
      <c r="D1149" s="13">
        <f ca="1">_xll.meDateFromTenor(C1149,D$14,D$11,D$12)</f>
        <v>44133</v>
      </c>
      <c r="E1149" s="98">
        <f ca="1"/>
        <v>-8.0931936712312481E-5</v>
      </c>
      <c r="F1149" s="94"/>
      <c r="G1149" s="100">
        <f ca="1">_xll.meDateFromTenor(G1148,"1D","FOLLOWING",H$12)</f>
        <v>44132</v>
      </c>
      <c r="H1149" s="13">
        <f ca="1">_xll.meDateFromTenor(G1149,H$14,H$11,H$12)</f>
        <v>44165</v>
      </c>
      <c r="I1149" s="98">
        <f ca="1"/>
        <v>8.045289184872963E-4</v>
      </c>
      <c r="J1149" s="94" t="s">
        <v>4</v>
      </c>
      <c r="K1149" s="100">
        <f ca="1">_xll.meDateFromTenor(K1148,"1D","FOLLOWING",L$12)</f>
        <v>44132</v>
      </c>
      <c r="L1149" s="13">
        <f ca="1">_xll.meDateFromTenor(K1149,L$14,L$11,L$12)</f>
        <v>44224</v>
      </c>
      <c r="M1149" s="98">
        <f ca="1"/>
        <v>1.9779866964678315E-3</v>
      </c>
      <c r="N1149" s="5" t="s">
        <v>4</v>
      </c>
      <c r="O1149" s="100">
        <f ca="1">_xll.meDateFromTenor(O1148,"1D","FOLLOWING",P$12)</f>
        <v>44132</v>
      </c>
      <c r="P1149" s="13">
        <f ca="1">_xll.meDateFromTenor(O1149,P$14,P$11,P$12)</f>
        <v>44314</v>
      </c>
      <c r="Q1149" s="98">
        <f ca="1"/>
        <v>3.8312285926153239E-3</v>
      </c>
      <c r="R1149" s="5" t="s">
        <v>4</v>
      </c>
      <c r="S1149" s="100">
        <f ca="1">_xll.meDateFromTenor(S1148,"1D","FOLLOWING",T$12)</f>
        <v>44132</v>
      </c>
      <c r="T1149" s="13">
        <f ca="1">_xll.meDateFromTenor(S1149,T$14,T$11,T$12)</f>
        <v>44497</v>
      </c>
      <c r="U1149" s="98">
        <f ca="1"/>
        <v>5.8338833200446312E-3</v>
      </c>
      <c r="V1149" s="5" t="s">
        <v>4</v>
      </c>
      <c r="W1149" s="84" t="s">
        <v>4</v>
      </c>
    </row>
    <row r="1150" spans="1:23" x14ac:dyDescent="0.25">
      <c r="A1150" s="90">
        <v>1131</v>
      </c>
      <c r="B1150" s="83"/>
      <c r="C1150" s="100">
        <f ca="1">_xll.meDateFromTenor(C1149,"1D","FOLLOWING",D$12)</f>
        <v>44133</v>
      </c>
      <c r="D1150" s="13">
        <f ca="1">_xll.meDateFromTenor(C1150,D$14,D$11,D$12)</f>
        <v>44134</v>
      </c>
      <c r="E1150" s="98">
        <f ca="1"/>
        <v>-7.3134121398877612E-5</v>
      </c>
      <c r="F1150" s="94"/>
      <c r="G1150" s="100">
        <f ca="1">_xll.meDateFromTenor(G1149,"1D","FOLLOWING",H$12)</f>
        <v>44133</v>
      </c>
      <c r="H1150" s="13">
        <f ca="1">_xll.meDateFromTenor(G1150,H$14,H$11,H$12)</f>
        <v>44165</v>
      </c>
      <c r="I1150" s="98">
        <f ca="1"/>
        <v>8.1158040344635717E-4</v>
      </c>
      <c r="J1150" s="94" t="s">
        <v>4</v>
      </c>
      <c r="K1150" s="100">
        <f ca="1">_xll.meDateFromTenor(K1149,"1D","FOLLOWING",L$12)</f>
        <v>44133</v>
      </c>
      <c r="L1150" s="13">
        <f ca="1">_xll.meDateFromTenor(K1150,L$14,L$11,L$12)</f>
        <v>44225</v>
      </c>
      <c r="M1150" s="98">
        <f ca="1"/>
        <v>1.9850199872279498E-3</v>
      </c>
      <c r="N1150" s="5" t="s">
        <v>4</v>
      </c>
      <c r="O1150" s="100">
        <f ca="1">_xll.meDateFromTenor(O1149,"1D","FOLLOWING",P$12)</f>
        <v>44133</v>
      </c>
      <c r="P1150" s="13">
        <f ca="1">_xll.meDateFromTenor(O1150,P$14,P$11,P$12)</f>
        <v>44315</v>
      </c>
      <c r="Q1150" s="98">
        <f ca="1"/>
        <v>3.837952613307508E-3</v>
      </c>
      <c r="R1150" s="5" t="s">
        <v>4</v>
      </c>
      <c r="S1150" s="100">
        <f ca="1">_xll.meDateFromTenor(S1149,"1D","FOLLOWING",T$12)</f>
        <v>44133</v>
      </c>
      <c r="T1150" s="13">
        <f ca="1">_xll.meDateFromTenor(S1150,T$14,T$11,T$12)</f>
        <v>44498</v>
      </c>
      <c r="U1150" s="98">
        <f ca="1"/>
        <v>5.8408372154296851E-3</v>
      </c>
      <c r="V1150" s="5" t="s">
        <v>4</v>
      </c>
      <c r="W1150" s="84" t="s">
        <v>4</v>
      </c>
    </row>
    <row r="1151" spans="1:23" x14ac:dyDescent="0.25">
      <c r="A1151" s="90">
        <v>1132</v>
      </c>
      <c r="B1151" s="83"/>
      <c r="C1151" s="100">
        <f ca="1">_xll.meDateFromTenor(C1150,"1D","FOLLOWING",D$12)</f>
        <v>44134</v>
      </c>
      <c r="D1151" s="13">
        <f ca="1">_xll.meDateFromTenor(C1151,D$14,D$11,D$12)</f>
        <v>44137</v>
      </c>
      <c r="E1151" s="98">
        <f ca="1"/>
        <v>-5.7554488575026124E-5</v>
      </c>
      <c r="F1151" s="94"/>
      <c r="G1151" s="100">
        <f ca="1">_xll.meDateFromTenor(G1150,"1D","FOLLOWING",H$12)</f>
        <v>44134</v>
      </c>
      <c r="H1151" s="13">
        <f ca="1">_xll.meDateFromTenor(G1151,H$14,H$11,H$12)</f>
        <v>44165</v>
      </c>
      <c r="I1151" s="98">
        <f ca="1"/>
        <v>8.1866597586553182E-4</v>
      </c>
      <c r="J1151" s="94" t="s">
        <v>4</v>
      </c>
      <c r="K1151" s="100">
        <f ca="1">_xll.meDateFromTenor(K1150,"1D","FOLLOWING",L$12)</f>
        <v>44134</v>
      </c>
      <c r="L1151" s="13">
        <f ca="1">_xll.meDateFromTenor(K1151,L$14,L$11,L$12)</f>
        <v>44225</v>
      </c>
      <c r="M1151" s="98">
        <f ca="1"/>
        <v>1.9920579508708046E-3</v>
      </c>
      <c r="N1151" s="5" t="s">
        <v>4</v>
      </c>
      <c r="O1151" s="100">
        <f ca="1">_xll.meDateFromTenor(O1150,"1D","FOLLOWING",P$12)</f>
        <v>44134</v>
      </c>
      <c r="P1151" s="13">
        <f ca="1">_xll.meDateFromTenor(O1151,P$14,P$11,P$12)</f>
        <v>44316</v>
      </c>
      <c r="Q1151" s="98">
        <f ca="1"/>
        <v>3.8446802011452346E-3</v>
      </c>
      <c r="R1151" s="5" t="s">
        <v>4</v>
      </c>
      <c r="S1151" s="100">
        <f ca="1">_xll.meDateFromTenor(S1150,"1D","FOLLOWING",T$12)</f>
        <v>44134</v>
      </c>
      <c r="T1151" s="13">
        <f ca="1">_xll.meDateFromTenor(S1151,T$14,T$11,T$12)</f>
        <v>44498</v>
      </c>
      <c r="U1151" s="98">
        <f ca="1"/>
        <v>5.8477945654015458E-3</v>
      </c>
      <c r="V1151" s="5" t="s">
        <v>4</v>
      </c>
      <c r="W1151" s="84" t="s">
        <v>4</v>
      </c>
    </row>
    <row r="1152" spans="1:23" x14ac:dyDescent="0.25">
      <c r="A1152" s="90">
        <v>1133</v>
      </c>
      <c r="B1152" s="83"/>
      <c r="C1152" s="100">
        <f ca="1">_xll.meDateFromTenor(C1151,"1D","FOLLOWING",D$12)</f>
        <v>44137</v>
      </c>
      <c r="D1152" s="13">
        <f ca="1">_xll.meDateFromTenor(C1152,D$14,D$11,D$12)</f>
        <v>44138</v>
      </c>
      <c r="E1152" s="98">
        <f ca="1"/>
        <v>-4.1990878614235542E-5</v>
      </c>
      <c r="F1152" s="94"/>
      <c r="G1152" s="100">
        <f ca="1">_xll.meDateFromTenor(G1151,"1D","FOLLOWING",H$12)</f>
        <v>44137</v>
      </c>
      <c r="H1152" s="13">
        <f ca="1">_xll.meDateFromTenor(G1152,H$14,H$11,H$12)</f>
        <v>44167</v>
      </c>
      <c r="I1152" s="98">
        <f ca="1"/>
        <v>8.4014777441965911E-4</v>
      </c>
      <c r="J1152" s="94" t="s">
        <v>4</v>
      </c>
      <c r="K1152" s="100">
        <f ca="1">_xll.meDateFromTenor(K1151,"1D","FOLLOWING",L$12)</f>
        <v>44137</v>
      </c>
      <c r="L1152" s="13">
        <f ca="1">_xll.meDateFromTenor(K1152,L$14,L$11,L$12)</f>
        <v>44229</v>
      </c>
      <c r="M1152" s="98">
        <f ca="1"/>
        <v>2.0132001026412711E-3</v>
      </c>
      <c r="N1152" s="5" t="s">
        <v>4</v>
      </c>
      <c r="O1152" s="100">
        <f ca="1">_xll.meDateFromTenor(O1151,"1D","FOLLOWING",P$12)</f>
        <v>44137</v>
      </c>
      <c r="P1152" s="13">
        <f ca="1">_xll.meDateFromTenor(O1152,P$14,P$11,P$12)</f>
        <v>44319</v>
      </c>
      <c r="Q1152" s="98">
        <f ca="1"/>
        <v>3.864884356186322E-3</v>
      </c>
      <c r="R1152" s="5" t="s">
        <v>4</v>
      </c>
      <c r="S1152" s="100">
        <f ca="1">_xll.meDateFromTenor(S1151,"1D","FOLLOWING",T$12)</f>
        <v>44137</v>
      </c>
      <c r="T1152" s="13">
        <f ca="1">_xll.meDateFromTenor(S1152,T$14,T$11,T$12)</f>
        <v>44502</v>
      </c>
      <c r="U1152" s="98">
        <f ca="1"/>
        <v>5.8686871739121651E-3</v>
      </c>
      <c r="V1152" s="5" t="s">
        <v>4</v>
      </c>
      <c r="W1152" s="84" t="s">
        <v>4</v>
      </c>
    </row>
    <row r="1153" spans="1:23" x14ac:dyDescent="0.25">
      <c r="A1153" s="90">
        <v>1134</v>
      </c>
      <c r="B1153" s="83"/>
      <c r="C1153" s="100">
        <f ca="1">_xll.meDateFromTenor(C1152,"1D","FOLLOWING",D$12)</f>
        <v>44138</v>
      </c>
      <c r="D1153" s="13">
        <f ca="1">_xll.meDateFromTenor(C1153,D$14,D$11,D$12)</f>
        <v>44139</v>
      </c>
      <c r="E1153" s="98">
        <f ca="1"/>
        <v>-3.4217070297154688E-5</v>
      </c>
      <c r="F1153" s="94"/>
      <c r="G1153" s="100">
        <f ca="1">_xll.meDateFromTenor(G1152,"1D","FOLLOWING",H$12)</f>
        <v>44138</v>
      </c>
      <c r="H1153" s="13">
        <f ca="1">_xll.meDateFromTenor(G1153,H$14,H$11,H$12)</f>
        <v>44168</v>
      </c>
      <c r="I1153" s="98">
        <f ca="1"/>
        <v>8.4738944621326571E-4</v>
      </c>
      <c r="J1153" s="94" t="s">
        <v>4</v>
      </c>
      <c r="K1153" s="100">
        <f ca="1">_xll.meDateFromTenor(K1152,"1D","FOLLOWING",L$12)</f>
        <v>44138</v>
      </c>
      <c r="L1153" s="13">
        <f ca="1">_xll.meDateFromTenor(K1153,L$14,L$11,L$12)</f>
        <v>44230</v>
      </c>
      <c r="M1153" s="98">
        <f ca="1"/>
        <v>2.0202569813605499E-3</v>
      </c>
      <c r="N1153" s="5" t="s">
        <v>4</v>
      </c>
      <c r="O1153" s="100">
        <f ca="1">_xll.meDateFromTenor(O1152,"1D","FOLLOWING",P$12)</f>
        <v>44138</v>
      </c>
      <c r="P1153" s="13">
        <f ca="1">_xll.meDateFromTenor(O1153,P$14,P$11,P$12)</f>
        <v>44319</v>
      </c>
      <c r="Q1153" s="98">
        <f ca="1"/>
        <v>3.8716262012608699E-3</v>
      </c>
      <c r="R1153" s="5" t="s">
        <v>4</v>
      </c>
      <c r="S1153" s="100">
        <f ca="1">_xll.meDateFromTenor(S1152,"1D","FOLLOWING",T$12)</f>
        <v>44138</v>
      </c>
      <c r="T1153" s="13">
        <f ca="1">_xll.meDateFromTenor(S1153,T$14,T$11,T$12)</f>
        <v>44503</v>
      </c>
      <c r="U1153" s="98">
        <f ca="1"/>
        <v>5.8756581733054479E-3</v>
      </c>
      <c r="V1153" s="5" t="s">
        <v>4</v>
      </c>
      <c r="W1153" s="84" t="s">
        <v>4</v>
      </c>
    </row>
    <row r="1154" spans="1:23" x14ac:dyDescent="0.25">
      <c r="A1154" s="90">
        <v>1135</v>
      </c>
      <c r="B1154" s="83"/>
      <c r="C1154" s="100">
        <f ca="1">_xll.meDateFromTenor(C1153,"1D","FOLLOWING",D$12)</f>
        <v>44139</v>
      </c>
      <c r="D1154" s="13">
        <f ca="1">_xll.meDateFromTenor(C1154,D$14,D$11,D$12)</f>
        <v>44140</v>
      </c>
      <c r="E1154" s="98">
        <f ca="1"/>
        <v>-2.6448061460908494E-5</v>
      </c>
      <c r="F1154" s="94"/>
      <c r="G1154" s="100">
        <f ca="1">_xll.meDateFromTenor(G1153,"1D","FOLLOWING",H$12)</f>
        <v>44139</v>
      </c>
      <c r="H1154" s="13">
        <f ca="1">_xll.meDateFromTenor(G1154,H$14,H$11,H$12)</f>
        <v>44169</v>
      </c>
      <c r="I1154" s="98">
        <f ca="1"/>
        <v>8.5467064172330446E-4</v>
      </c>
      <c r="J1154" s="94" t="s">
        <v>4</v>
      </c>
      <c r="K1154" s="100">
        <f ca="1">_xll.meDateFromTenor(K1153,"1D","FOLLOWING",L$12)</f>
        <v>44139</v>
      </c>
      <c r="L1154" s="13">
        <f ca="1">_xll.meDateFromTenor(K1154,L$14,L$11,L$12)</f>
        <v>44231</v>
      </c>
      <c r="M1154" s="98">
        <f ca="1"/>
        <v>2.0273186447353031E-3</v>
      </c>
      <c r="N1154" s="5" t="s">
        <v>4</v>
      </c>
      <c r="O1154" s="100">
        <f ca="1">_xll.meDateFromTenor(O1153,"1D","FOLLOWING",P$12)</f>
        <v>44139</v>
      </c>
      <c r="P1154" s="13">
        <f ca="1">_xll.meDateFromTenor(O1154,P$14,P$11,P$12)</f>
        <v>44320</v>
      </c>
      <c r="Q1154" s="98">
        <f ca="1"/>
        <v>3.8783716078082866E-3</v>
      </c>
      <c r="R1154" s="5" t="s">
        <v>4</v>
      </c>
      <c r="S1154" s="100">
        <f ca="1">_xll.meDateFromTenor(S1153,"1D","FOLLOWING",T$12)</f>
        <v>44139</v>
      </c>
      <c r="T1154" s="13">
        <f ca="1">_xll.meDateFromTenor(S1154,T$14,T$11,T$12)</f>
        <v>44504</v>
      </c>
      <c r="U1154" s="98">
        <f ca="1"/>
        <v>5.8826325428226328E-3</v>
      </c>
      <c r="V1154" s="5" t="s">
        <v>4</v>
      </c>
      <c r="W1154" s="84" t="s">
        <v>4</v>
      </c>
    </row>
    <row r="1155" spans="1:23" x14ac:dyDescent="0.25">
      <c r="A1155" s="90">
        <v>1136</v>
      </c>
      <c r="B1155" s="83"/>
      <c r="C1155" s="100">
        <f ca="1">_xll.meDateFromTenor(C1154,"1D","FOLLOWING",D$12)</f>
        <v>44140</v>
      </c>
      <c r="D1155" s="13">
        <f ca="1">_xll.meDateFromTenor(C1155,D$14,D$11,D$12)</f>
        <v>44141</v>
      </c>
      <c r="E1155" s="98">
        <f ca="1"/>
        <v>-1.8683852505138453E-5</v>
      </c>
      <c r="F1155" s="94"/>
      <c r="G1155" s="100">
        <f ca="1">_xll.meDateFromTenor(G1154,"1D","FOLLOWING",H$12)</f>
        <v>44140</v>
      </c>
      <c r="H1155" s="13">
        <f ca="1">_xll.meDateFromTenor(G1155,H$14,H$11,H$12)</f>
        <v>44172</v>
      </c>
      <c r="I1155" s="98">
        <f ca="1"/>
        <v>8.6198857459172994E-4</v>
      </c>
      <c r="J1155" s="94" t="s">
        <v>4</v>
      </c>
      <c r="K1155" s="100">
        <f ca="1">_xll.meDateFromTenor(K1154,"1D","FOLLOWING",L$12)</f>
        <v>44140</v>
      </c>
      <c r="L1155" s="13">
        <f ca="1">_xll.meDateFromTenor(K1155,L$14,L$11,L$12)</f>
        <v>44232</v>
      </c>
      <c r="M1155" s="98">
        <f ca="1"/>
        <v>2.0343851151200811E-3</v>
      </c>
      <c r="N1155" s="5" t="s">
        <v>4</v>
      </c>
      <c r="O1155" s="100">
        <f ca="1">_xll.meDateFromTenor(O1154,"1D","FOLLOWING",P$12)</f>
        <v>44140</v>
      </c>
      <c r="P1155" s="13">
        <f ca="1">_xll.meDateFromTenor(O1155,P$14,P$11,P$12)</f>
        <v>44321</v>
      </c>
      <c r="Q1155" s="98">
        <f ca="1"/>
        <v>3.8851205746940403E-3</v>
      </c>
      <c r="R1155" s="5" t="s">
        <v>4</v>
      </c>
      <c r="S1155" s="100">
        <f ca="1">_xll.meDateFromTenor(S1154,"1D","FOLLOWING",T$12)</f>
        <v>44140</v>
      </c>
      <c r="T1155" s="13">
        <f ca="1">_xll.meDateFromTenor(S1155,T$14,T$11,T$12)</f>
        <v>44505</v>
      </c>
      <c r="U1155" s="98">
        <f ca="1"/>
        <v>5.8896102655711449E-3</v>
      </c>
      <c r="V1155" s="5" t="s">
        <v>4</v>
      </c>
      <c r="W1155" s="84" t="s">
        <v>4</v>
      </c>
    </row>
    <row r="1156" spans="1:23" x14ac:dyDescent="0.25">
      <c r="A1156" s="90">
        <v>1137</v>
      </c>
      <c r="B1156" s="83"/>
      <c r="C1156" s="100">
        <f ca="1">_xll.meDateFromTenor(C1155,"1D","FOLLOWING",D$12)</f>
        <v>44141</v>
      </c>
      <c r="D1156" s="13">
        <f ca="1">_xll.meDateFromTenor(C1156,D$14,D$11,D$12)</f>
        <v>44144</v>
      </c>
      <c r="E1156" s="98">
        <f ca="1"/>
        <v>-3.1714292259009215E-6</v>
      </c>
      <c r="F1156" s="94"/>
      <c r="G1156" s="100">
        <f ca="1">_xll.meDateFromTenor(G1155,"1D","FOLLOWING",H$12)</f>
        <v>44141</v>
      </c>
      <c r="H1156" s="13">
        <f ca="1">_xll.meDateFromTenor(G1156,H$14,H$11,H$12)</f>
        <v>44172</v>
      </c>
      <c r="I1156" s="98">
        <f ca="1"/>
        <v>8.6934045846048867E-4</v>
      </c>
      <c r="J1156" s="94" t="s">
        <v>4</v>
      </c>
      <c r="K1156" s="100">
        <f ca="1">_xll.meDateFromTenor(K1155,"1D","FOLLOWING",L$12)</f>
        <v>44141</v>
      </c>
      <c r="L1156" s="13">
        <f ca="1">_xll.meDateFromTenor(K1156,L$14,L$11,L$12)</f>
        <v>44235</v>
      </c>
      <c r="M1156" s="98">
        <f ca="1"/>
        <v>2.0414564148694271E-3</v>
      </c>
      <c r="N1156" s="5" t="s">
        <v>4</v>
      </c>
      <c r="O1156" s="100">
        <f ca="1">_xll.meDateFromTenor(O1155,"1D","FOLLOWING",P$12)</f>
        <v>44141</v>
      </c>
      <c r="P1156" s="13">
        <f ca="1">_xll.meDateFromTenor(O1156,P$14,P$11,P$12)</f>
        <v>44322</v>
      </c>
      <c r="Q1156" s="98">
        <f ca="1"/>
        <v>3.8918731007835912E-3</v>
      </c>
      <c r="R1156" s="5" t="s">
        <v>4</v>
      </c>
      <c r="S1156" s="100">
        <f ca="1">_xll.meDateFromTenor(S1155,"1D","FOLLOWING",T$12)</f>
        <v>44141</v>
      </c>
      <c r="T1156" s="13">
        <f ca="1">_xll.meDateFromTenor(S1156,T$14,T$11,T$12)</f>
        <v>44508</v>
      </c>
      <c r="U1156" s="98">
        <f ca="1"/>
        <v>5.8965913246583962E-3</v>
      </c>
      <c r="V1156" s="5" t="s">
        <v>4</v>
      </c>
      <c r="W1156" s="84" t="s">
        <v>4</v>
      </c>
    </row>
    <row r="1157" spans="1:23" x14ac:dyDescent="0.25">
      <c r="A1157" s="90">
        <v>1138</v>
      </c>
      <c r="B1157" s="83"/>
      <c r="C1157" s="100">
        <f ca="1">_xll.meDateFromTenor(C1156,"1D","FOLLOWING",D$12)</f>
        <v>44144</v>
      </c>
      <c r="D1157" s="13">
        <f ca="1">_xll.meDateFromTenor(C1157,D$14,D$11,D$12)</f>
        <v>44145</v>
      </c>
      <c r="E1157" s="98">
        <f ca="1"/>
        <v>1.2325001019777087E-5</v>
      </c>
      <c r="F1157" s="94"/>
      <c r="G1157" s="100">
        <f ca="1">_xll.meDateFromTenor(G1156,"1D","FOLLOWING",H$12)</f>
        <v>44144</v>
      </c>
      <c r="H1157" s="13">
        <f ca="1">_xll.meDateFromTenor(G1157,H$14,H$11,H$12)</f>
        <v>44174</v>
      </c>
      <c r="I1157" s="98">
        <f ca="1"/>
        <v>8.9157195248829979E-4</v>
      </c>
      <c r="J1157" s="94" t="s">
        <v>4</v>
      </c>
      <c r="K1157" s="100">
        <f ca="1">_xll.meDateFromTenor(K1156,"1D","FOLLOWING",L$12)</f>
        <v>44144</v>
      </c>
      <c r="L1157" s="13">
        <f ca="1">_xll.meDateFromTenor(K1157,L$14,L$11,L$12)</f>
        <v>44236</v>
      </c>
      <c r="M1157" s="98">
        <f ca="1"/>
        <v>2.0626995138503636E-3</v>
      </c>
      <c r="N1157" s="5" t="s">
        <v>4</v>
      </c>
      <c r="O1157" s="100">
        <f ca="1">_xll.meDateFromTenor(O1156,"1D","FOLLOWING",P$12)</f>
        <v>44144</v>
      </c>
      <c r="P1157" s="13">
        <f ca="1">_xll.meDateFromTenor(O1157,P$14,P$11,P$12)</f>
        <v>44326</v>
      </c>
      <c r="Q1157" s="98">
        <f ca="1"/>
        <v>3.912152022929701E-3</v>
      </c>
      <c r="R1157" s="5" t="s">
        <v>4</v>
      </c>
      <c r="S1157" s="100">
        <f ca="1">_xll.meDateFromTenor(S1156,"1D","FOLLOWING",T$12)</f>
        <v>44144</v>
      </c>
      <c r="T1157" s="13">
        <f ca="1">_xll.meDateFromTenor(S1157,T$14,T$11,T$12)</f>
        <v>44509</v>
      </c>
      <c r="U1157" s="98">
        <f ca="1"/>
        <v>5.9175543510268025E-3</v>
      </c>
      <c r="V1157" s="5" t="s">
        <v>4</v>
      </c>
      <c r="W1157" s="84" t="s">
        <v>4</v>
      </c>
    </row>
    <row r="1158" spans="1:23" x14ac:dyDescent="0.25">
      <c r="A1158" s="90">
        <v>1139</v>
      </c>
      <c r="B1158" s="83"/>
      <c r="C1158" s="100">
        <f ca="1">_xll.meDateFromTenor(C1157,"1D","FOLLOWING",D$12)</f>
        <v>44145</v>
      </c>
      <c r="D1158" s="13">
        <f ca="1">_xll.meDateFromTenor(C1158,D$14,D$11,D$12)</f>
        <v>44146</v>
      </c>
      <c r="E1158" s="98">
        <f ca="1"/>
        <v>2.0065221004724936E-5</v>
      </c>
      <c r="F1158" s="94"/>
      <c r="G1158" s="100">
        <f ca="1">_xll.meDateFromTenor(G1157,"1D","FOLLOWING",H$12)</f>
        <v>44145</v>
      </c>
      <c r="H1158" s="13">
        <f ca="1">_xll.meDateFromTenor(G1158,H$14,H$11,H$12)</f>
        <v>44175</v>
      </c>
      <c r="I1158" s="98">
        <f ca="1"/>
        <v>8.9903177677791912E-4</v>
      </c>
      <c r="J1158" s="94" t="s">
        <v>4</v>
      </c>
      <c r="K1158" s="100">
        <f ca="1">_xll.meDateFromTenor(K1157,"1D","FOLLOWING",L$12)</f>
        <v>44145</v>
      </c>
      <c r="L1158" s="13">
        <f ca="1">_xll.meDateFromTenor(K1158,L$14,L$11,L$12)</f>
        <v>44237</v>
      </c>
      <c r="M1158" s="98">
        <f ca="1"/>
        <v>2.0697903546034653E-3</v>
      </c>
      <c r="N1158" s="5" t="s">
        <v>4</v>
      </c>
      <c r="O1158" s="100">
        <f ca="1">_xll.meDateFromTenor(O1157,"1D","FOLLOWING",P$12)</f>
        <v>44145</v>
      </c>
      <c r="P1158" s="13">
        <f ca="1">_xll.meDateFromTenor(O1158,P$14,P$11,P$12)</f>
        <v>44326</v>
      </c>
      <c r="Q1158" s="98">
        <f ca="1"/>
        <v>3.9189187744891078E-3</v>
      </c>
      <c r="R1158" s="5" t="s">
        <v>4</v>
      </c>
      <c r="S1158" s="100">
        <f ca="1">_xll.meDateFromTenor(S1157,"1D","FOLLOWING",T$12)</f>
        <v>44145</v>
      </c>
      <c r="T1158" s="13">
        <f ca="1">_xll.meDateFromTenor(S1158,T$14,T$11,T$12)</f>
        <v>44510</v>
      </c>
      <c r="U1158" s="98">
        <f ca="1"/>
        <v>5.9245485865432193E-3</v>
      </c>
      <c r="V1158" s="5" t="s">
        <v>4</v>
      </c>
      <c r="W1158" s="84" t="s">
        <v>4</v>
      </c>
    </row>
    <row r="1159" spans="1:23" x14ac:dyDescent="0.25">
      <c r="A1159" s="90">
        <v>1140</v>
      </c>
      <c r="B1159" s="83"/>
      <c r="C1159" s="100">
        <f ca="1">_xll.meDateFromTenor(C1158,"1D","FOLLOWING",D$12)</f>
        <v>44146</v>
      </c>
      <c r="D1159" s="13">
        <f ca="1">_xll.meDateFromTenor(C1159,D$14,D$11,D$12)</f>
        <v>44147</v>
      </c>
      <c r="E1159" s="98">
        <f ca="1"/>
        <v>2.7800644586411063E-5</v>
      </c>
      <c r="F1159" s="94"/>
      <c r="G1159" s="100">
        <f ca="1">_xll.meDateFromTenor(G1158,"1D","FOLLOWING",H$12)</f>
        <v>44146</v>
      </c>
      <c r="H1159" s="13">
        <f ca="1">_xll.meDateFromTenor(G1159,H$14,H$11,H$12)</f>
        <v>44176</v>
      </c>
      <c r="I1159" s="98">
        <f ca="1"/>
        <v>9.065116202776355E-4</v>
      </c>
      <c r="J1159" s="94" t="s">
        <v>4</v>
      </c>
      <c r="K1159" s="100">
        <f ca="1">_xll.meDateFromTenor(K1158,"1D","FOLLOWING",L$12)</f>
        <v>44146</v>
      </c>
      <c r="L1159" s="13">
        <f ca="1">_xll.meDateFromTenor(K1159,L$14,L$11,L$12)</f>
        <v>44238</v>
      </c>
      <c r="M1159" s="98">
        <f ca="1"/>
        <v>2.0768861364938774E-3</v>
      </c>
      <c r="N1159" s="5" t="s">
        <v>4</v>
      </c>
      <c r="O1159" s="100">
        <f ca="1">_xll.meDateFromTenor(O1158,"1D","FOLLOWING",P$12)</f>
        <v>44146</v>
      </c>
      <c r="P1159" s="13">
        <f ca="1">_xll.meDateFromTenor(O1159,P$14,P$11,P$12)</f>
        <v>44327</v>
      </c>
      <c r="Q1159" s="98">
        <f ca="1"/>
        <v>3.9256890795796428E-3</v>
      </c>
      <c r="R1159" s="5" t="s">
        <v>4</v>
      </c>
      <c r="S1159" s="100">
        <f ca="1">_xll.meDateFromTenor(S1158,"1D","FOLLOWING",T$12)</f>
        <v>44146</v>
      </c>
      <c r="T1159" s="13">
        <f ca="1">_xll.meDateFromTenor(S1159,T$14,T$11,T$12)</f>
        <v>44511</v>
      </c>
      <c r="U1159" s="98">
        <f ca="1"/>
        <v>5.9315460739354777E-3</v>
      </c>
      <c r="V1159" s="5" t="s">
        <v>4</v>
      </c>
      <c r="W1159" s="84" t="s">
        <v>4</v>
      </c>
    </row>
    <row r="1160" spans="1:23" x14ac:dyDescent="0.25">
      <c r="A1160" s="90">
        <v>1141</v>
      </c>
      <c r="B1160" s="83"/>
      <c r="C1160" s="100">
        <f ca="1">_xll.meDateFromTenor(C1159,"1D","FOLLOWING",D$12)</f>
        <v>44147</v>
      </c>
      <c r="D1160" s="13">
        <f ca="1">_xll.meDateFromTenor(C1160,D$14,D$11,D$12)</f>
        <v>44148</v>
      </c>
      <c r="E1160" s="98">
        <f ca="1"/>
        <v>3.553127232435726E-5</v>
      </c>
      <c r="F1160" s="94"/>
      <c r="G1160" s="100">
        <f ca="1">_xll.meDateFromTenor(G1159,"1D","FOLLOWING",H$12)</f>
        <v>44147</v>
      </c>
      <c r="H1160" s="13">
        <f ca="1">_xll.meDateFromTenor(G1160,H$14,H$11,H$12)</f>
        <v>44179</v>
      </c>
      <c r="I1160" s="98">
        <f ca="1"/>
        <v>9.1400869662939534E-4</v>
      </c>
      <c r="J1160" s="94" t="s">
        <v>4</v>
      </c>
      <c r="K1160" s="100">
        <f ca="1">_xll.meDateFromTenor(K1159,"1D","FOLLOWING",L$12)</f>
        <v>44147</v>
      </c>
      <c r="L1160" s="13">
        <f ca="1">_xll.meDateFromTenor(K1160,L$14,L$11,L$12)</f>
        <v>44239</v>
      </c>
      <c r="M1160" s="98">
        <f ca="1"/>
        <v>2.0839868818761432E-3</v>
      </c>
      <c r="N1160" s="5" t="s">
        <v>4</v>
      </c>
      <c r="O1160" s="100">
        <f ca="1">_xll.meDateFromTenor(O1159,"1D","FOLLOWING",P$12)</f>
        <v>44147</v>
      </c>
      <c r="P1160" s="13">
        <f ca="1">_xll.meDateFromTenor(O1160,P$14,P$11,P$12)</f>
        <v>44328</v>
      </c>
      <c r="Q1160" s="98">
        <f ca="1"/>
        <v>3.9324629370667691E-3</v>
      </c>
      <c r="R1160" s="5" t="s">
        <v>4</v>
      </c>
      <c r="S1160" s="100">
        <f ca="1">_xll.meDateFromTenor(S1159,"1D","FOLLOWING",T$12)</f>
        <v>44147</v>
      </c>
      <c r="T1160" s="13">
        <f ca="1">_xll.meDateFromTenor(S1160,T$14,T$11,T$12)</f>
        <v>44512</v>
      </c>
      <c r="U1160" s="98">
        <f ca="1"/>
        <v>5.9385467963109931E-3</v>
      </c>
      <c r="V1160" s="5" t="s">
        <v>4</v>
      </c>
      <c r="W1160" s="84" t="s">
        <v>4</v>
      </c>
    </row>
    <row r="1161" spans="1:23" x14ac:dyDescent="0.25">
      <c r="A1161" s="90">
        <v>1142</v>
      </c>
      <c r="B1161" s="83"/>
      <c r="C1161" s="100">
        <f ca="1">_xll.meDateFromTenor(C1160,"1D","FOLLOWING",D$12)</f>
        <v>44148</v>
      </c>
      <c r="D1161" s="13">
        <f ca="1">_xll.meDateFromTenor(C1161,D$14,D$11,D$12)</f>
        <v>44151</v>
      </c>
      <c r="E1161" s="98">
        <f ca="1"/>
        <v>5.0976551300155451E-5</v>
      </c>
      <c r="F1161" s="94"/>
      <c r="G1161" s="100">
        <f ca="1">_xll.meDateFromTenor(G1160,"1D","FOLLOWING",H$12)</f>
        <v>44148</v>
      </c>
      <c r="H1161" s="13">
        <f ca="1">_xll.meDateFromTenor(G1161,H$14,H$11,H$12)</f>
        <v>44179</v>
      </c>
      <c r="I1161" s="98">
        <f ca="1"/>
        <v>9.2152021947515571E-4</v>
      </c>
      <c r="J1161" s="94" t="s">
        <v>4</v>
      </c>
      <c r="K1161" s="100">
        <f ca="1">_xll.meDateFromTenor(K1160,"1D","FOLLOWING",L$12)</f>
        <v>44148</v>
      </c>
      <c r="L1161" s="13">
        <f ca="1">_xll.meDateFromTenor(K1161,L$14,L$11,L$12)</f>
        <v>44242</v>
      </c>
      <c r="M1161" s="98">
        <f ca="1"/>
        <v>2.0910926131048144E-3</v>
      </c>
      <c r="N1161" s="5" t="s">
        <v>4</v>
      </c>
      <c r="O1161" s="100">
        <f ca="1">_xll.meDateFromTenor(O1160,"1D","FOLLOWING",P$12)</f>
        <v>44148</v>
      </c>
      <c r="P1161" s="13">
        <f ca="1">_xll.meDateFromTenor(O1161,P$14,P$11,P$12)</f>
        <v>44329</v>
      </c>
      <c r="Q1161" s="98">
        <f ca="1"/>
        <v>3.9392403458159558E-3</v>
      </c>
      <c r="R1161" s="5" t="s">
        <v>4</v>
      </c>
      <c r="S1161" s="100">
        <f ca="1">_xll.meDateFromTenor(S1160,"1D","FOLLOWING",T$12)</f>
        <v>44148</v>
      </c>
      <c r="T1161" s="13">
        <f ca="1">_xll.meDateFromTenor(S1161,T$14,T$11,T$12)</f>
        <v>44515</v>
      </c>
      <c r="U1161" s="98">
        <f ca="1"/>
        <v>5.9455507367771896E-3</v>
      </c>
      <c r="V1161" s="5" t="s">
        <v>4</v>
      </c>
      <c r="W1161" s="84" t="s">
        <v>4</v>
      </c>
    </row>
    <row r="1162" spans="1:23" x14ac:dyDescent="0.25">
      <c r="A1162" s="90">
        <v>1143</v>
      </c>
      <c r="B1162" s="83"/>
      <c r="C1162" s="100">
        <f ca="1">_xll.meDateFromTenor(C1161,"1D","FOLLOWING",D$12)</f>
        <v>44151</v>
      </c>
      <c r="D1162" s="13">
        <f ca="1">_xll.meDateFromTenor(C1162,D$14,D$11,D$12)</f>
        <v>44152</v>
      </c>
      <c r="E1162" s="98">
        <f ca="1"/>
        <v>6.6405834591155177E-5</v>
      </c>
      <c r="F1162" s="94"/>
      <c r="G1162" s="100">
        <f ca="1">_xll.meDateFromTenor(G1161,"1D","FOLLOWING",H$12)</f>
        <v>44151</v>
      </c>
      <c r="H1162" s="13">
        <f ca="1">_xll.meDateFromTenor(G1162,H$14,H$11,H$12)</f>
        <v>44181</v>
      </c>
      <c r="I1162" s="98">
        <f ca="1"/>
        <v>9.4411360339593641E-4</v>
      </c>
      <c r="J1162" s="94" t="s">
        <v>4</v>
      </c>
      <c r="K1162" s="100">
        <f ca="1">_xll.meDateFromTenor(K1161,"1D","FOLLOWING",L$12)</f>
        <v>44151</v>
      </c>
      <c r="L1162" s="13">
        <f ca="1">_xll.meDateFromTenor(K1162,L$14,L$11,L$12)</f>
        <v>44243</v>
      </c>
      <c r="M1162" s="98">
        <f ca="1"/>
        <v>2.1124399454147177E-3</v>
      </c>
      <c r="N1162" s="5" t="s">
        <v>4</v>
      </c>
      <c r="O1162" s="100">
        <f ca="1">_xll.meDateFromTenor(O1161,"1D","FOLLOWING",P$12)</f>
        <v>44151</v>
      </c>
      <c r="P1162" s="13">
        <f ca="1">_xll.meDateFromTenor(O1162,P$14,P$11,P$12)</f>
        <v>44333</v>
      </c>
      <c r="Q1162" s="98">
        <f ca="1"/>
        <v>3.9595938682905158E-3</v>
      </c>
      <c r="R1162" s="5" t="s">
        <v>4</v>
      </c>
      <c r="S1162" s="100">
        <f ca="1">_xll.meDateFromTenor(S1161,"1D","FOLLOWING",T$12)</f>
        <v>44151</v>
      </c>
      <c r="T1162" s="13">
        <f ca="1">_xll.meDateFromTenor(S1162,T$14,T$11,T$12)</f>
        <v>44516</v>
      </c>
      <c r="U1162" s="98">
        <f ca="1"/>
        <v>5.9665816977940399E-3</v>
      </c>
      <c r="V1162" s="5" t="s">
        <v>4</v>
      </c>
      <c r="W1162" s="84" t="s">
        <v>4</v>
      </c>
    </row>
    <row r="1163" spans="1:23" x14ac:dyDescent="0.25">
      <c r="A1163" s="90">
        <v>1144</v>
      </c>
      <c r="B1163" s="83"/>
      <c r="C1163" s="100">
        <f ca="1">_xll.meDateFromTenor(C1162,"1D","FOLLOWING",D$12)</f>
        <v>44152</v>
      </c>
      <c r="D1163" s="13">
        <f ca="1">_xll.meDateFromTenor(C1163,D$14,D$11,D$12)</f>
        <v>44153</v>
      </c>
      <c r="E1163" s="98">
        <f ca="1"/>
        <v>7.4112490464640538E-5</v>
      </c>
      <c r="F1163" s="94"/>
      <c r="G1163" s="100">
        <f ca="1">_xll.meDateFromTenor(G1162,"1D","FOLLOWING",H$12)</f>
        <v>44152</v>
      </c>
      <c r="H1163" s="13">
        <f ca="1">_xll.meDateFromTenor(G1163,H$14,H$11,H$12)</f>
        <v>44182</v>
      </c>
      <c r="I1163" s="98">
        <f ca="1"/>
        <v>9.5165504863720302E-4</v>
      </c>
      <c r="J1163" s="94" t="s">
        <v>4</v>
      </c>
      <c r="K1163" s="100">
        <f ca="1">_xll.meDateFromTenor(K1162,"1D","FOLLOWING",L$12)</f>
        <v>44152</v>
      </c>
      <c r="L1163" s="13">
        <f ca="1">_xll.meDateFromTenor(K1163,L$14,L$11,L$12)</f>
        <v>44244</v>
      </c>
      <c r="M1163" s="98">
        <f ca="1"/>
        <v>2.1195658435744754E-3</v>
      </c>
      <c r="N1163" s="5" t="s">
        <v>4</v>
      </c>
      <c r="O1163" s="100">
        <f ca="1">_xll.meDateFromTenor(O1162,"1D","FOLLOWING",P$12)</f>
        <v>44152</v>
      </c>
      <c r="P1163" s="13">
        <f ca="1">_xll.meDateFromTenor(O1163,P$14,P$11,P$12)</f>
        <v>44333</v>
      </c>
      <c r="Q1163" s="98">
        <f ca="1"/>
        <v>3.9663854707425884E-3</v>
      </c>
      <c r="R1163" s="5" t="s">
        <v>4</v>
      </c>
      <c r="S1163" s="100">
        <f ca="1">_xll.meDateFromTenor(S1162,"1D","FOLLOWING",T$12)</f>
        <v>44152</v>
      </c>
      <c r="T1163" s="13">
        <f ca="1">_xll.meDateFromTenor(S1163,T$14,T$11,T$12)</f>
        <v>44517</v>
      </c>
      <c r="U1163" s="98">
        <f ca="1"/>
        <v>5.973598341697142E-3</v>
      </c>
      <c r="V1163" s="5" t="s">
        <v>4</v>
      </c>
      <c r="W1163" s="84" t="s">
        <v>4</v>
      </c>
    </row>
    <row r="1164" spans="1:23" x14ac:dyDescent="0.25">
      <c r="A1164" s="90">
        <v>1145</v>
      </c>
      <c r="B1164" s="83"/>
      <c r="C1164" s="100">
        <f ca="1">_xll.meDateFromTenor(C1163,"1D","FOLLOWING",D$12)</f>
        <v>44153</v>
      </c>
      <c r="D1164" s="13">
        <f ca="1">_xll.meDateFromTenor(C1164,D$14,D$11,D$12)</f>
        <v>44154</v>
      </c>
      <c r="E1164" s="98">
        <f ca="1"/>
        <v>8.1814353451990481E-5</v>
      </c>
      <c r="F1164" s="94"/>
      <c r="G1164" s="100">
        <f ca="1">_xll.meDateFromTenor(G1163,"1D","FOLLOWING",H$12)</f>
        <v>44153</v>
      </c>
      <c r="H1164" s="13">
        <f ca="1">_xll.meDateFromTenor(G1164,H$14,H$11,H$12)</f>
        <v>44183</v>
      </c>
      <c r="I1164" s="98">
        <f ca="1"/>
        <v>9.5919700858222864E-4</v>
      </c>
      <c r="J1164" s="94" t="s">
        <v>4</v>
      </c>
      <c r="K1164" s="100">
        <f ca="1">_xll.meDateFromTenor(K1163,"1D","FOLLOWING",L$12)</f>
        <v>44153</v>
      </c>
      <c r="L1164" s="13">
        <f ca="1">_xll.meDateFromTenor(K1164,L$14,L$11,L$12)</f>
        <v>44245</v>
      </c>
      <c r="M1164" s="98">
        <f ca="1"/>
        <v>2.1266968393533767E-3</v>
      </c>
      <c r="N1164" s="5" t="s">
        <v>4</v>
      </c>
      <c r="O1164" s="100">
        <f ca="1">_xll.meDateFromTenor(O1163,"1D","FOLLOWING",P$12)</f>
        <v>44153</v>
      </c>
      <c r="P1164" s="13">
        <f ca="1">_xll.meDateFromTenor(O1164,P$14,P$11,P$12)</f>
        <v>44334</v>
      </c>
      <c r="Q1164" s="98">
        <f ca="1"/>
        <v>3.9731806187840481E-3</v>
      </c>
      <c r="R1164" s="5" t="s">
        <v>4</v>
      </c>
      <c r="S1164" s="100">
        <f ca="1">_xll.meDateFromTenor(S1163,"1D","FOLLOWING",T$12)</f>
        <v>44153</v>
      </c>
      <c r="T1164" s="13">
        <f ca="1">_xll.meDateFromTenor(S1164,T$14,T$11,T$12)</f>
        <v>44518</v>
      </c>
      <c r="U1164" s="98">
        <f ca="1"/>
        <v>5.9806181192280225E-3</v>
      </c>
      <c r="V1164" s="5" t="s">
        <v>4</v>
      </c>
      <c r="W1164" s="84" t="s">
        <v>4</v>
      </c>
    </row>
    <row r="1165" spans="1:23" x14ac:dyDescent="0.25">
      <c r="A1165" s="90">
        <v>1146</v>
      </c>
      <c r="B1165" s="83"/>
      <c r="C1165" s="100">
        <f ca="1">_xll.meDateFromTenor(C1164,"1D","FOLLOWING",D$12)</f>
        <v>44154</v>
      </c>
      <c r="D1165" s="13">
        <f ca="1">_xll.meDateFromTenor(C1165,D$14,D$11,D$12)</f>
        <v>44155</v>
      </c>
      <c r="E1165" s="98">
        <f ca="1"/>
        <v>8.9511424032921085E-5</v>
      </c>
      <c r="F1165" s="94"/>
      <c r="G1165" s="100">
        <f ca="1">_xll.meDateFromTenor(G1164,"1D","FOLLOWING",H$12)</f>
        <v>44154</v>
      </c>
      <c r="H1165" s="13">
        <f ca="1">_xll.meDateFromTenor(G1165,H$14,H$11,H$12)</f>
        <v>44186</v>
      </c>
      <c r="I1165" s="98">
        <f ca="1"/>
        <v>9.667366968729601E-4</v>
      </c>
      <c r="J1165" s="94" t="s">
        <v>4</v>
      </c>
      <c r="K1165" s="100">
        <f ca="1">_xll.meDateFromTenor(K1164,"1D","FOLLOWING",L$12)</f>
        <v>44154</v>
      </c>
      <c r="L1165" s="13">
        <f ca="1">_xll.meDateFromTenor(K1165,L$14,L$11,L$12)</f>
        <v>44246</v>
      </c>
      <c r="M1165" s="98">
        <f ca="1"/>
        <v>2.1338329551059635E-3</v>
      </c>
      <c r="N1165" s="5" t="s">
        <v>4</v>
      </c>
      <c r="O1165" s="100">
        <f ca="1">_xll.meDateFromTenor(O1164,"1D","FOLLOWING",P$12)</f>
        <v>44154</v>
      </c>
      <c r="P1165" s="13">
        <f ca="1">_xll.meDateFromTenor(O1165,P$14,P$11,P$12)</f>
        <v>44335</v>
      </c>
      <c r="Q1165" s="98">
        <f ca="1"/>
        <v>3.9799793112803581E-3</v>
      </c>
      <c r="R1165" s="5" t="s">
        <v>4</v>
      </c>
      <c r="S1165" s="100">
        <f ca="1">_xll.meDateFromTenor(S1164,"1D","FOLLOWING",T$12)</f>
        <v>44154</v>
      </c>
      <c r="T1165" s="13">
        <f ca="1">_xll.meDateFromTenor(S1165,T$14,T$11,T$12)</f>
        <v>44519</v>
      </c>
      <c r="U1165" s="98">
        <f ca="1"/>
        <v>5.987641013494094E-3</v>
      </c>
      <c r="V1165" s="5" t="s">
        <v>4</v>
      </c>
      <c r="W1165" s="84" t="s">
        <v>4</v>
      </c>
    </row>
    <row r="1166" spans="1:23" x14ac:dyDescent="0.25">
      <c r="A1166" s="90">
        <v>1147</v>
      </c>
      <c r="B1166" s="83"/>
      <c r="C1166" s="100">
        <f ca="1">_xll.meDateFromTenor(C1165,"1D","FOLLOWING",D$12)</f>
        <v>44155</v>
      </c>
      <c r="D1166" s="13">
        <f ca="1">_xll.meDateFromTenor(C1166,D$14,D$11,D$12)</f>
        <v>44158</v>
      </c>
      <c r="E1166" s="98">
        <f ca="1"/>
        <v>1.0488962336018848E-4</v>
      </c>
      <c r="F1166" s="94"/>
      <c r="G1166" s="100">
        <f ca="1">_xll.meDateFromTenor(G1165,"1D","FOLLOWING",H$12)</f>
        <v>44155</v>
      </c>
      <c r="H1166" s="13">
        <f ca="1">_xll.meDateFromTenor(G1166,H$14,H$11,H$12)</f>
        <v>44186</v>
      </c>
      <c r="I1166" s="98">
        <f ca="1"/>
        <v>9.7427132715135144E-4</v>
      </c>
      <c r="J1166" s="94" t="s">
        <v>4</v>
      </c>
      <c r="K1166" s="100">
        <f ca="1">_xll.meDateFromTenor(K1165,"1D","FOLLOWING",L$12)</f>
        <v>44155</v>
      </c>
      <c r="L1166" s="13">
        <f ca="1">_xll.meDateFromTenor(K1166,L$14,L$11,L$12)</f>
        <v>44249</v>
      </c>
      <c r="M1166" s="98">
        <f ca="1"/>
        <v>2.1409742131867867E-3</v>
      </c>
      <c r="N1166" s="5" t="s">
        <v>4</v>
      </c>
      <c r="O1166" s="100">
        <f ca="1">_xll.meDateFromTenor(O1165,"1D","FOLLOWING",P$12)</f>
        <v>44155</v>
      </c>
      <c r="P1166" s="13">
        <f ca="1">_xll.meDateFromTenor(O1166,P$14,P$11,P$12)</f>
        <v>44336</v>
      </c>
      <c r="Q1166" s="98">
        <f ca="1"/>
        <v>3.986781547096984E-3</v>
      </c>
      <c r="R1166" s="5" t="s">
        <v>4</v>
      </c>
      <c r="S1166" s="100">
        <f ca="1">_xll.meDateFromTenor(S1165,"1D","FOLLOWING",T$12)</f>
        <v>44155</v>
      </c>
      <c r="T1166" s="13">
        <f ca="1">_xll.meDateFromTenor(S1166,T$14,T$11,T$12)</f>
        <v>44522</v>
      </c>
      <c r="U1166" s="98">
        <f ca="1"/>
        <v>5.9946670076027825E-3</v>
      </c>
      <c r="V1166" s="5" t="s">
        <v>4</v>
      </c>
      <c r="W1166" s="84" t="s">
        <v>4</v>
      </c>
    </row>
    <row r="1167" spans="1:23" x14ac:dyDescent="0.25">
      <c r="A1167" s="90">
        <v>1148</v>
      </c>
      <c r="B1167" s="83"/>
      <c r="C1167" s="100">
        <f ca="1">_xll.meDateFromTenor(C1166,"1D","FOLLOWING",D$12)</f>
        <v>44158</v>
      </c>
      <c r="D1167" s="13">
        <f ca="1">_xll.meDateFromTenor(C1167,D$14,D$11,D$12)</f>
        <v>44159</v>
      </c>
      <c r="E1167" s="98">
        <f ca="1"/>
        <v>1.2025179180421308E-4</v>
      </c>
      <c r="F1167" s="94"/>
      <c r="G1167" s="100">
        <f ca="1">_xll.meDateFromTenor(G1166,"1D","FOLLOWING",H$12)</f>
        <v>44158</v>
      </c>
      <c r="H1167" s="13">
        <f ca="1">_xll.meDateFromTenor(G1167,H$14,H$11,H$12)</f>
        <v>44188</v>
      </c>
      <c r="I1167" s="98">
        <f ca="1"/>
        <v>9.9681700633200772E-4</v>
      </c>
      <c r="J1167" s="94" t="s">
        <v>4</v>
      </c>
      <c r="K1167" s="100">
        <f ca="1">_xll.meDateFromTenor(K1166,"1D","FOLLOWING",L$12)</f>
        <v>44158</v>
      </c>
      <c r="L1167" s="13">
        <f ca="1">_xll.meDateFromTenor(K1167,L$14,L$11,L$12)</f>
        <v>44250</v>
      </c>
      <c r="M1167" s="98">
        <f ca="1"/>
        <v>2.1624290649441564E-3</v>
      </c>
      <c r="N1167" s="5" t="s">
        <v>4</v>
      </c>
      <c r="O1167" s="100">
        <f ca="1">_xll.meDateFromTenor(O1166,"1D","FOLLOWING",P$12)</f>
        <v>44158</v>
      </c>
      <c r="P1167" s="13">
        <f ca="1">_xll.meDateFromTenor(O1167,P$14,P$11,P$12)</f>
        <v>44340</v>
      </c>
      <c r="Q1167" s="98">
        <f ca="1"/>
        <v>4.00720950312342E-3</v>
      </c>
      <c r="R1167" s="5" t="s">
        <v>4</v>
      </c>
      <c r="S1167" s="100">
        <f ca="1">_xll.meDateFromTenor(S1166,"1D","FOLLOWING",T$12)</f>
        <v>44158</v>
      </c>
      <c r="T1167" s="13">
        <f ca="1">_xll.meDateFromTenor(S1167,T$14,T$11,T$12)</f>
        <v>44523</v>
      </c>
      <c r="U1167" s="98">
        <f ca="1"/>
        <v>6.0157634200587286E-3</v>
      </c>
      <c r="V1167" s="5" t="s">
        <v>4</v>
      </c>
      <c r="W1167" s="84" t="s">
        <v>4</v>
      </c>
    </row>
    <row r="1168" spans="1:23" x14ac:dyDescent="0.25">
      <c r="A1168" s="90">
        <v>1149</v>
      </c>
      <c r="B1168" s="83"/>
      <c r="C1168" s="100">
        <f ca="1">_xll.meDateFromTenor(C1167,"1D","FOLLOWING",D$12)</f>
        <v>44159</v>
      </c>
      <c r="D1168" s="13">
        <f ca="1">_xll.meDateFromTenor(C1168,D$14,D$11,D$12)</f>
        <v>44160</v>
      </c>
      <c r="E1168" s="98">
        <f ca="1"/>
        <v>1.2792490778677166E-4</v>
      </c>
      <c r="F1168" s="94"/>
      <c r="G1168" s="100">
        <f ca="1">_xll.meDateFromTenor(G1167,"1D","FOLLOWING",H$12)</f>
        <v>44159</v>
      </c>
      <c r="H1168" s="13">
        <f ca="1">_xll.meDateFromTenor(G1168,H$14,H$11,H$12)</f>
        <v>44189</v>
      </c>
      <c r="I1168" s="98">
        <f ca="1"/>
        <v>1.0043035409805562E-3</v>
      </c>
      <c r="J1168" s="94" t="s">
        <v>4</v>
      </c>
      <c r="K1168" s="100">
        <f ca="1">_xll.meDateFromTenor(K1167,"1D","FOLLOWING",L$12)</f>
        <v>44159</v>
      </c>
      <c r="L1168" s="13">
        <f ca="1">_xll.meDateFromTenor(K1168,L$14,L$11,L$12)</f>
        <v>44251</v>
      </c>
      <c r="M1168" s="98">
        <f ca="1"/>
        <v>2.1695911158834012E-3</v>
      </c>
      <c r="N1168" s="5" t="s">
        <v>4</v>
      </c>
      <c r="O1168" s="100">
        <f ca="1">_xll.meDateFromTenor(O1167,"1D","FOLLOWING",P$12)</f>
        <v>44159</v>
      </c>
      <c r="P1168" s="13">
        <f ca="1">_xll.meDateFromTenor(O1168,P$14,P$11,P$12)</f>
        <v>44340</v>
      </c>
      <c r="Q1168" s="98">
        <f ca="1"/>
        <v>4.0140259008759676E-3</v>
      </c>
      <c r="R1168" s="5" t="s">
        <v>4</v>
      </c>
      <c r="S1168" s="100">
        <f ca="1">_xll.meDateFromTenor(S1167,"1D","FOLLOWING",T$12)</f>
        <v>44159</v>
      </c>
      <c r="T1168" s="13">
        <f ca="1">_xll.meDateFromTenor(S1168,T$14,T$11,T$12)</f>
        <v>44524</v>
      </c>
      <c r="U1168" s="98">
        <f ca="1"/>
        <v>6.0228016446120681E-3</v>
      </c>
      <c r="V1168" s="5" t="s">
        <v>4</v>
      </c>
      <c r="W1168" s="84" t="s">
        <v>4</v>
      </c>
    </row>
    <row r="1169" spans="1:23" x14ac:dyDescent="0.25">
      <c r="A1169" s="90">
        <v>1150</v>
      </c>
      <c r="B1169" s="83"/>
      <c r="C1169" s="100">
        <f ca="1">_xll.meDateFromTenor(C1168,"1D","FOLLOWING",D$12)</f>
        <v>44160</v>
      </c>
      <c r="D1169" s="13">
        <f ca="1">_xll.meDateFromTenor(C1169,D$14,D$11,D$12)</f>
        <v>44161</v>
      </c>
      <c r="E1169" s="98">
        <f ca="1"/>
        <v>1.3559323400083031E-4</v>
      </c>
      <c r="F1169" s="94"/>
      <c r="G1169" s="100">
        <f ca="1">_xll.meDateFromTenor(G1168,"1D","FOLLOWING",H$12)</f>
        <v>44160</v>
      </c>
      <c r="H1169" s="13">
        <f ca="1">_xll.meDateFromTenor(G1169,H$14,H$11,H$12)</f>
        <v>44193</v>
      </c>
      <c r="I1169" s="98">
        <f ca="1"/>
        <v>1.011771085826523E-3</v>
      </c>
      <c r="J1169" s="94" t="s">
        <v>4</v>
      </c>
      <c r="K1169" s="100">
        <f ca="1">_xll.meDateFromTenor(K1168,"1D","FOLLOWING",L$12)</f>
        <v>44160</v>
      </c>
      <c r="L1169" s="13">
        <f ca="1">_xll.meDateFromTenor(K1169,L$14,L$11,L$12)</f>
        <v>44252</v>
      </c>
      <c r="M1169" s="98">
        <f ca="1"/>
        <v>2.1767584209236206E-3</v>
      </c>
      <c r="N1169" s="5" t="s">
        <v>4</v>
      </c>
      <c r="O1169" s="100">
        <f ca="1">_xll.meDateFromTenor(O1168,"1D","FOLLOWING",P$12)</f>
        <v>44160</v>
      </c>
      <c r="P1169" s="13">
        <f ca="1">_xll.meDateFromTenor(O1169,P$14,P$11,P$12)</f>
        <v>44341</v>
      </c>
      <c r="Q1169" s="98">
        <f ca="1"/>
        <v>4.0208458362761589E-3</v>
      </c>
      <c r="R1169" s="5" t="s">
        <v>4</v>
      </c>
      <c r="S1169" s="100">
        <f ca="1">_xll.meDateFromTenor(S1168,"1D","FOLLOWING",T$12)</f>
        <v>44160</v>
      </c>
      <c r="T1169" s="13">
        <f ca="1">_xll.meDateFromTenor(S1169,T$14,T$11,T$12)</f>
        <v>44525</v>
      </c>
      <c r="U1169" s="98">
        <f ca="1"/>
        <v>6.0298428845451182E-3</v>
      </c>
      <c r="V1169" s="5" t="s">
        <v>4</v>
      </c>
      <c r="W1169" s="84" t="s">
        <v>4</v>
      </c>
    </row>
    <row r="1170" spans="1:23" x14ac:dyDescent="0.25">
      <c r="A1170" s="90">
        <v>1151</v>
      </c>
      <c r="B1170" s="83"/>
      <c r="C1170" s="100">
        <f ca="1">_xll.meDateFromTenor(C1169,"1D","FOLLOWING",D$12)</f>
        <v>44161</v>
      </c>
      <c r="D1170" s="13">
        <f ca="1">_xll.meDateFromTenor(C1170,D$14,D$11,D$12)</f>
        <v>44162</v>
      </c>
      <c r="E1170" s="98">
        <f ca="1"/>
        <v>1.4325677124558104E-4</v>
      </c>
      <c r="F1170" s="94"/>
      <c r="G1170" s="100">
        <f ca="1">_xll.meDateFromTenor(G1169,"1D","FOLLOWING",H$12)</f>
        <v>44161</v>
      </c>
      <c r="H1170" s="13">
        <f ca="1">_xll.meDateFromTenor(G1170,H$14,H$11,H$12)</f>
        <v>44193</v>
      </c>
      <c r="I1170" s="98">
        <f ca="1"/>
        <v>1.0192168545118604E-3</v>
      </c>
      <c r="J1170" s="94" t="s">
        <v>4</v>
      </c>
      <c r="K1170" s="100">
        <f ca="1">_xll.meDateFromTenor(K1169,"1D","FOLLOWING",L$12)</f>
        <v>44161</v>
      </c>
      <c r="L1170" s="13">
        <f ca="1">_xll.meDateFromTenor(K1170,L$14,L$11,L$12)</f>
        <v>44253</v>
      </c>
      <c r="M1170" s="98">
        <f ca="1"/>
        <v>2.1839310024193617E-3</v>
      </c>
      <c r="N1170" s="5" t="s">
        <v>4</v>
      </c>
      <c r="O1170" s="100">
        <f ca="1">_xll.meDateFromTenor(O1169,"1D","FOLLOWING",P$12)</f>
        <v>44161</v>
      </c>
      <c r="P1170" s="13">
        <f ca="1">_xll.meDateFromTenor(O1170,P$14,P$11,P$12)</f>
        <v>44342</v>
      </c>
      <c r="Q1170" s="98">
        <f ca="1"/>
        <v>4.0276693081894585E-3</v>
      </c>
      <c r="R1170" s="5" t="s">
        <v>4</v>
      </c>
      <c r="S1170" s="100">
        <f ca="1">_xll.meDateFromTenor(S1169,"1D","FOLLOWING",T$12)</f>
        <v>44161</v>
      </c>
      <c r="T1170" s="13">
        <f ca="1">_xll.meDateFromTenor(S1170,T$14,T$11,T$12)</f>
        <v>44526</v>
      </c>
      <c r="U1170" s="98">
        <f ca="1"/>
        <v>6.0368871229652997E-3</v>
      </c>
      <c r="V1170" s="5" t="s">
        <v>4</v>
      </c>
      <c r="W1170" s="84" t="s">
        <v>4</v>
      </c>
    </row>
    <row r="1171" spans="1:23" x14ac:dyDescent="0.25">
      <c r="A1171" s="90">
        <v>1152</v>
      </c>
      <c r="B1171" s="83"/>
      <c r="C1171" s="100">
        <f ca="1">_xll.meDateFromTenor(C1170,"1D","FOLLOWING",D$12)</f>
        <v>44162</v>
      </c>
      <c r="D1171" s="13">
        <f ca="1">_xll.meDateFromTenor(C1171,D$14,D$11,D$12)</f>
        <v>44165</v>
      </c>
      <c r="E1171" s="98">
        <f ca="1"/>
        <v>1.5856795474001665E-4</v>
      </c>
      <c r="F1171" s="94"/>
      <c r="G1171" s="100">
        <f ca="1">_xll.meDateFromTenor(G1170,"1D","FOLLOWING",H$12)</f>
        <v>44162</v>
      </c>
      <c r="H1171" s="13">
        <f ca="1">_xll.meDateFromTenor(G1171,H$14,H$11,H$12)</f>
        <v>44193</v>
      </c>
      <c r="I1171" s="98">
        <f ca="1"/>
        <v>1.0266380606785224E-3</v>
      </c>
      <c r="J1171" s="94" t="s">
        <v>4</v>
      </c>
      <c r="K1171" s="100">
        <f ca="1">_xll.meDateFromTenor(K1170,"1D","FOLLOWING",L$12)</f>
        <v>44162</v>
      </c>
      <c r="L1171" s="13">
        <f ca="1">_xll.meDateFromTenor(K1171,L$14,L$11,L$12)</f>
        <v>44253</v>
      </c>
      <c r="M1171" s="98">
        <f ca="1"/>
        <v>2.1911088827251744E-3</v>
      </c>
      <c r="N1171" s="5" t="s">
        <v>4</v>
      </c>
      <c r="O1171" s="100">
        <f ca="1">_xll.meDateFromTenor(O1170,"1D","FOLLOWING",P$12)</f>
        <v>44162</v>
      </c>
      <c r="P1171" s="13">
        <f ca="1">_xll.meDateFromTenor(O1171,P$14,P$11,P$12)</f>
        <v>44343</v>
      </c>
      <c r="Q1171" s="98">
        <f ca="1"/>
        <v>4.0344963154813375E-3</v>
      </c>
      <c r="R1171" s="5" t="s">
        <v>4</v>
      </c>
      <c r="S1171" s="100">
        <f ca="1">_xll.meDateFromTenor(S1170,"1D","FOLLOWING",T$12)</f>
        <v>44162</v>
      </c>
      <c r="T1171" s="13">
        <f ca="1">_xll.meDateFromTenor(S1171,T$14,T$11,T$12)</f>
        <v>44529</v>
      </c>
      <c r="U1171" s="98">
        <f ca="1"/>
        <v>6.0439343429800341E-3</v>
      </c>
      <c r="V1171" s="5" t="s">
        <v>4</v>
      </c>
      <c r="W1171" s="84" t="s">
        <v>4</v>
      </c>
    </row>
    <row r="1172" spans="1:23" x14ac:dyDescent="0.25">
      <c r="A1172" s="90">
        <v>1153</v>
      </c>
      <c r="B1172" s="83"/>
      <c r="C1172" s="100">
        <f ca="1">_xll.meDateFromTenor(C1171,"1D","FOLLOWING",D$12)</f>
        <v>44165</v>
      </c>
      <c r="D1172" s="13">
        <f ca="1">_xll.meDateFromTenor(C1172,D$14,D$11,D$12)</f>
        <v>44166</v>
      </c>
      <c r="E1172" s="98">
        <f ca="1"/>
        <v>1.7386304012487254E-4</v>
      </c>
      <c r="F1172" s="94"/>
      <c r="G1172" s="100">
        <f ca="1">_xll.meDateFromTenor(G1171,"1D","FOLLOWING",H$12)</f>
        <v>44165</v>
      </c>
      <c r="H1172" s="13">
        <f ca="1">_xll.meDateFromTenor(G1172,H$14,H$11,H$12)</f>
        <v>44195</v>
      </c>
      <c r="I1172" s="98">
        <f ca="1"/>
        <v>1.048726440485952E-3</v>
      </c>
      <c r="J1172" s="94" t="s">
        <v>4</v>
      </c>
      <c r="K1172" s="100">
        <f ca="1">_xll.meDateFromTenor(K1171,"1D","FOLLOWING",L$12)</f>
        <v>44165</v>
      </c>
      <c r="L1172" s="13">
        <f ca="1">_xll.meDateFromTenor(K1172,L$14,L$11,L$12)</f>
        <v>44253</v>
      </c>
      <c r="M1172" s="98">
        <f ca="1"/>
        <v>2.2126745400485003E-3</v>
      </c>
      <c r="N1172" s="5" t="s">
        <v>4</v>
      </c>
      <c r="O1172" s="100">
        <f ca="1">_xll.meDateFromTenor(O1171,"1D","FOLLOWING",P$12)</f>
        <v>44165</v>
      </c>
      <c r="P1172" s="13">
        <f ca="1">_xll.meDateFromTenor(O1172,P$14,P$11,P$12)</f>
        <v>44347</v>
      </c>
      <c r="Q1172" s="98">
        <f ca="1"/>
        <v>4.0549985382830707E-3</v>
      </c>
      <c r="R1172" s="5" t="s">
        <v>4</v>
      </c>
      <c r="S1172" s="100">
        <f ca="1">_xll.meDateFromTenor(S1171,"1D","FOLLOWING",T$12)</f>
        <v>44165</v>
      </c>
      <c r="T1172" s="13">
        <f ca="1">_xll.meDateFromTenor(S1172,T$14,T$11,T$12)</f>
        <v>44530</v>
      </c>
      <c r="U1172" s="98">
        <f ca="1"/>
        <v>6.0650937236657269E-3</v>
      </c>
      <c r="V1172" s="5" t="s">
        <v>4</v>
      </c>
      <c r="W1172" s="84" t="s">
        <v>4</v>
      </c>
    </row>
    <row r="1173" spans="1:23" x14ac:dyDescent="0.25">
      <c r="A1173" s="90">
        <v>1154</v>
      </c>
      <c r="B1173" s="83"/>
      <c r="C1173" s="100">
        <f ca="1">_xll.meDateFromTenor(C1172,"1D","FOLLOWING",D$12)</f>
        <v>44166</v>
      </c>
      <c r="D1173" s="13">
        <f ca="1">_xll.meDateFromTenor(C1173,D$14,D$11,D$12)</f>
        <v>44167</v>
      </c>
      <c r="E1173" s="98">
        <f ca="1"/>
        <v>1.8150263947805579E-4</v>
      </c>
      <c r="F1173" s="94"/>
      <c r="G1173" s="100">
        <f ca="1">_xll.meDateFromTenor(G1172,"1D","FOLLOWING",H$12)</f>
        <v>44166</v>
      </c>
      <c r="H1173" s="13">
        <f ca="1">_xll.meDateFromTenor(G1173,H$14,H$11,H$12)</f>
        <v>44200</v>
      </c>
      <c r="I1173" s="98">
        <f ca="1"/>
        <v>1.0560215329974169E-3</v>
      </c>
      <c r="J1173" s="94" t="s">
        <v>4</v>
      </c>
      <c r="K1173" s="100">
        <f ca="1">_xll.meDateFromTenor(K1172,"1D","FOLLOWING",L$12)</f>
        <v>44166</v>
      </c>
      <c r="L1173" s="13">
        <f ca="1">_xll.meDateFromTenor(K1173,L$14,L$11,L$12)</f>
        <v>44256</v>
      </c>
      <c r="M1173" s="98">
        <f ca="1"/>
        <v>2.219873839140065E-3</v>
      </c>
      <c r="N1173" s="5" t="s">
        <v>4</v>
      </c>
      <c r="O1173" s="100">
        <f ca="1">_xll.meDateFromTenor(O1172,"1D","FOLLOWING",P$12)</f>
        <v>44166</v>
      </c>
      <c r="P1173" s="13">
        <f ca="1">_xll.meDateFromTenor(O1173,P$14,P$11,P$12)</f>
        <v>44348</v>
      </c>
      <c r="Q1173" s="98">
        <f ca="1"/>
        <v>4.0618396757439003E-3</v>
      </c>
      <c r="R1173" s="5" t="s">
        <v>4</v>
      </c>
      <c r="S1173" s="100">
        <f ca="1">_xll.meDateFromTenor(S1172,"1D","FOLLOWING",T$12)</f>
        <v>44166</v>
      </c>
      <c r="T1173" s="13">
        <f ca="1">_xll.meDateFromTenor(S1173,T$14,T$11,T$12)</f>
        <v>44531</v>
      </c>
      <c r="U1173" s="98">
        <f ca="1"/>
        <v>6.072152701132854E-3</v>
      </c>
      <c r="V1173" s="5" t="s">
        <v>4</v>
      </c>
      <c r="W1173" s="84" t="s">
        <v>4</v>
      </c>
    </row>
    <row r="1174" spans="1:23" x14ac:dyDescent="0.25">
      <c r="A1174" s="90">
        <v>1155</v>
      </c>
      <c r="B1174" s="83"/>
      <c r="C1174" s="100">
        <f ca="1">_xll.meDateFromTenor(C1173,"1D","FOLLOWING",D$12)</f>
        <v>44167</v>
      </c>
      <c r="D1174" s="13">
        <f ca="1">_xll.meDateFromTenor(C1174,D$14,D$11,D$12)</f>
        <v>44168</v>
      </c>
      <c r="E1174" s="98">
        <f ca="1"/>
        <v>1.8913250981353143E-4</v>
      </c>
      <c r="F1174" s="94"/>
      <c r="G1174" s="100">
        <f ca="1">_xll.meDateFromTenor(G1173,"1D","FOLLOWING",H$12)</f>
        <v>44167</v>
      </c>
      <c r="H1174" s="13">
        <f ca="1">_xll.meDateFromTenor(G1174,H$14,H$11,H$12)</f>
        <v>44200</v>
      </c>
      <c r="I1174" s="98">
        <f ca="1"/>
        <v>1.0632781311999647E-3</v>
      </c>
      <c r="J1174" s="94" t="s">
        <v>4</v>
      </c>
      <c r="K1174" s="100">
        <f ca="1">_xll.meDateFromTenor(K1173,"1D","FOLLOWING",L$12)</f>
        <v>44167</v>
      </c>
      <c r="L1174" s="13">
        <f ca="1">_xll.meDateFromTenor(K1174,L$14,L$11,L$12)</f>
        <v>44257</v>
      </c>
      <c r="M1174" s="98">
        <f ca="1"/>
        <v>2.2270785488144387E-3</v>
      </c>
      <c r="N1174" s="5" t="s">
        <v>4</v>
      </c>
      <c r="O1174" s="100">
        <f ca="1">_xll.meDateFromTenor(O1173,"1D","FOLLOWING",P$12)</f>
        <v>44167</v>
      </c>
      <c r="P1174" s="13">
        <f ca="1">_xll.meDateFromTenor(O1174,P$14,P$11,P$12)</f>
        <v>44349</v>
      </c>
      <c r="Q1174" s="98">
        <f ca="1"/>
        <v>4.068684342910636E-3</v>
      </c>
      <c r="R1174" s="5" t="s">
        <v>4</v>
      </c>
      <c r="S1174" s="100">
        <f ca="1">_xll.meDateFromTenor(S1173,"1D","FOLLOWING",T$12)</f>
        <v>44167</v>
      </c>
      <c r="T1174" s="13">
        <f ca="1">_xll.meDateFromTenor(S1174,T$14,T$11,T$12)</f>
        <v>44532</v>
      </c>
      <c r="U1174" s="98">
        <f ca="1"/>
        <v>6.0792145757316311E-3</v>
      </c>
      <c r="V1174" s="5" t="s">
        <v>4</v>
      </c>
      <c r="W1174" s="84" t="s">
        <v>4</v>
      </c>
    </row>
    <row r="1175" spans="1:23" x14ac:dyDescent="0.25">
      <c r="A1175" s="90">
        <v>1156</v>
      </c>
      <c r="B1175" s="83"/>
      <c r="C1175" s="100">
        <f ca="1">_xll.meDateFromTenor(C1174,"1D","FOLLOWING",D$12)</f>
        <v>44168</v>
      </c>
      <c r="D1175" s="13">
        <f ca="1">_xll.meDateFromTenor(C1175,D$14,D$11,D$12)</f>
        <v>44169</v>
      </c>
      <c r="E1175" s="98">
        <f ca="1"/>
        <v>1.967328795071987E-4</v>
      </c>
      <c r="F1175" s="94"/>
      <c r="G1175" s="100">
        <f ca="1">_xll.meDateFromTenor(G1174,"1D","FOLLOWING",H$12)</f>
        <v>44168</v>
      </c>
      <c r="H1175" s="13">
        <f ca="1">_xll.meDateFromTenor(G1175,H$14,H$11,H$12)</f>
        <v>44200</v>
      </c>
      <c r="I1175" s="98">
        <f ca="1"/>
        <v>1.0704941415795512E-3</v>
      </c>
      <c r="J1175" s="94" t="s">
        <v>4</v>
      </c>
      <c r="K1175" s="100">
        <f ca="1">_xll.meDateFromTenor(K1174,"1D","FOLLOWING",L$12)</f>
        <v>44168</v>
      </c>
      <c r="L1175" s="13">
        <f ca="1">_xll.meDateFromTenor(K1175,L$14,L$11,L$12)</f>
        <v>44258</v>
      </c>
      <c r="M1175" s="98">
        <f ca="1"/>
        <v>2.2342886789972565E-3</v>
      </c>
      <c r="N1175" s="5" t="s">
        <v>4</v>
      </c>
      <c r="O1175" s="100">
        <f ca="1">_xll.meDateFromTenor(O1174,"1D","FOLLOWING",P$12)</f>
        <v>44168</v>
      </c>
      <c r="P1175" s="13">
        <f ca="1">_xll.meDateFromTenor(O1175,P$14,P$11,P$12)</f>
        <v>44350</v>
      </c>
      <c r="Q1175" s="98">
        <f ca="1"/>
        <v>4.0755325378799574E-3</v>
      </c>
      <c r="R1175" s="5" t="s">
        <v>4</v>
      </c>
      <c r="S1175" s="100">
        <f ca="1">_xll.meDateFromTenor(S1174,"1D","FOLLOWING",T$12)</f>
        <v>44168</v>
      </c>
      <c r="T1175" s="13">
        <f ca="1">_xll.meDateFromTenor(S1175,T$14,T$11,T$12)</f>
        <v>44533</v>
      </c>
      <c r="U1175" s="98">
        <f ca="1"/>
        <v>6.086279330569472E-3</v>
      </c>
      <c r="V1175" s="5" t="s">
        <v>4</v>
      </c>
      <c r="W1175" s="84" t="s">
        <v>4</v>
      </c>
    </row>
    <row r="1176" spans="1:23" x14ac:dyDescent="0.25">
      <c r="A1176" s="90">
        <v>1157</v>
      </c>
      <c r="B1176" s="83"/>
      <c r="C1176" s="100">
        <f ca="1">_xll.meDateFromTenor(C1175,"1D","FOLLOWING",D$12)</f>
        <v>44169</v>
      </c>
      <c r="D1176" s="13">
        <f ca="1">_xll.meDateFromTenor(C1176,D$14,D$11,D$12)</f>
        <v>44172</v>
      </c>
      <c r="E1176" s="98">
        <f ca="1"/>
        <v>2.118189327138148E-4</v>
      </c>
      <c r="F1176" s="94"/>
      <c r="G1176" s="100">
        <f ca="1">_xll.meDateFromTenor(G1175,"1D","FOLLOWING",H$12)</f>
        <v>44169</v>
      </c>
      <c r="H1176" s="13">
        <f ca="1">_xll.meDateFromTenor(G1176,H$14,H$11,H$12)</f>
        <v>44200</v>
      </c>
      <c r="I1176" s="98">
        <f ca="1"/>
        <v>1.0776702419981765E-3</v>
      </c>
      <c r="J1176" s="94" t="s">
        <v>4</v>
      </c>
      <c r="K1176" s="100">
        <f ca="1">_xll.meDateFromTenor(K1175,"1D","FOLLOWING",L$12)</f>
        <v>44169</v>
      </c>
      <c r="L1176" s="13">
        <f ca="1">_xll.meDateFromTenor(K1176,L$14,L$11,L$12)</f>
        <v>44259</v>
      </c>
      <c r="M1176" s="98">
        <f ca="1"/>
        <v>2.2415041898985245E-3</v>
      </c>
      <c r="N1176" s="5" t="s">
        <v>4</v>
      </c>
      <c r="O1176" s="100">
        <f ca="1">_xll.meDateFromTenor(O1175,"1D","FOLLOWING",P$12)</f>
        <v>44169</v>
      </c>
      <c r="P1176" s="13">
        <f ca="1">_xll.meDateFromTenor(O1176,P$14,P$11,P$12)</f>
        <v>44351</v>
      </c>
      <c r="Q1176" s="98">
        <f ca="1"/>
        <v>4.0823842556734404E-3</v>
      </c>
      <c r="R1176" s="5" t="s">
        <v>4</v>
      </c>
      <c r="S1176" s="100">
        <f ca="1">_xll.meDateFromTenor(S1175,"1D","FOLLOWING",T$12)</f>
        <v>44169</v>
      </c>
      <c r="T1176" s="13">
        <f ca="1">_xll.meDateFromTenor(S1176,T$14,T$11,T$12)</f>
        <v>44536</v>
      </c>
      <c r="U1176" s="98">
        <f ca="1"/>
        <v>6.0933469487538016E-3</v>
      </c>
      <c r="V1176" s="5" t="s">
        <v>4</v>
      </c>
      <c r="W1176" s="84" t="s">
        <v>4</v>
      </c>
    </row>
    <row r="1177" spans="1:23" x14ac:dyDescent="0.25">
      <c r="A1177" s="90">
        <v>1158</v>
      </c>
      <c r="B1177" s="83"/>
      <c r="C1177" s="100">
        <f ca="1">_xll.meDateFromTenor(C1176,"1D","FOLLOWING",D$12)</f>
        <v>44172</v>
      </c>
      <c r="D1177" s="13">
        <f ca="1">_xll.meDateFromTenor(C1177,D$14,D$11,D$12)</f>
        <v>44173</v>
      </c>
      <c r="E1177" s="98">
        <f ca="1"/>
        <v>2.2678992827710839E-4</v>
      </c>
      <c r="F1177" s="94"/>
      <c r="G1177" s="100">
        <f ca="1">_xll.meDateFromTenor(G1176,"1D","FOLLOWING",H$12)</f>
        <v>44172</v>
      </c>
      <c r="H1177" s="13">
        <f ca="1">_xll.meDateFromTenor(G1177,H$14,H$11,H$12)</f>
        <v>44203</v>
      </c>
      <c r="I1177" s="98">
        <f ca="1"/>
        <v>1.098972790548303E-3</v>
      </c>
      <c r="J1177" s="94" t="s">
        <v>4</v>
      </c>
      <c r="K1177" s="100">
        <f ca="1">_xll.meDateFromTenor(K1176,"1D","FOLLOWING",L$12)</f>
        <v>44172</v>
      </c>
      <c r="L1177" s="13">
        <f ca="1">_xll.meDateFromTenor(K1177,L$14,L$11,L$12)</f>
        <v>44263</v>
      </c>
      <c r="M1177" s="98">
        <f ca="1"/>
        <v>2.2631824847239466E-3</v>
      </c>
      <c r="N1177" s="5" t="s">
        <v>4</v>
      </c>
      <c r="O1177" s="100">
        <f ca="1">_xll.meDateFromTenor(O1176,"1D","FOLLOWING",P$12)</f>
        <v>44172</v>
      </c>
      <c r="P1177" s="13">
        <f ca="1">_xll.meDateFromTenor(O1177,P$14,P$11,P$12)</f>
        <v>44354</v>
      </c>
      <c r="Q1177" s="98">
        <f ca="1"/>
        <v>4.1029604885267539E-3</v>
      </c>
      <c r="R1177" s="5" t="s">
        <v>4</v>
      </c>
      <c r="S1177" s="100">
        <f ca="1">_xll.meDateFromTenor(S1176,"1D","FOLLOWING",T$12)</f>
        <v>44172</v>
      </c>
      <c r="T1177" s="13">
        <f ca="1">_xll.meDateFromTenor(S1177,T$14,T$11,T$12)</f>
        <v>44537</v>
      </c>
      <c r="U1177" s="98">
        <f ca="1"/>
        <v>6.1145668144598946E-3</v>
      </c>
      <c r="V1177" s="5" t="s">
        <v>4</v>
      </c>
      <c r="W1177" s="84" t="s">
        <v>4</v>
      </c>
    </row>
    <row r="1178" spans="1:23" x14ac:dyDescent="0.25">
      <c r="A1178" s="90">
        <v>1159</v>
      </c>
      <c r="B1178" s="83"/>
      <c r="C1178" s="100">
        <f ca="1">_xll.meDateFromTenor(C1177,"1D","FOLLOWING",D$12)</f>
        <v>44173</v>
      </c>
      <c r="D1178" s="13">
        <f ca="1">_xll.meDateFromTenor(C1178,D$14,D$11,D$12)</f>
        <v>44174</v>
      </c>
      <c r="E1178" s="98">
        <f ca="1"/>
        <v>2.3421808516662314E-4</v>
      </c>
      <c r="F1178" s="94"/>
      <c r="G1178" s="100">
        <f ca="1">_xll.meDateFromTenor(G1177,"1D","FOLLOWING",H$12)</f>
        <v>44173</v>
      </c>
      <c r="H1178" s="13">
        <f ca="1">_xll.meDateFromTenor(G1178,H$14,H$11,H$12)</f>
        <v>44204</v>
      </c>
      <c r="I1178" s="98">
        <f ca="1"/>
        <v>1.1060029581831136E-3</v>
      </c>
      <c r="J1178" s="94" t="s">
        <v>4</v>
      </c>
      <c r="K1178" s="100">
        <f ca="1">_xll.meDateFromTenor(K1177,"1D","FOLLOWING",L$12)</f>
        <v>44173</v>
      </c>
      <c r="L1178" s="13">
        <f ca="1">_xll.meDateFromTenor(K1178,L$14,L$11,L$12)</f>
        <v>44263</v>
      </c>
      <c r="M1178" s="98">
        <f ca="1"/>
        <v>2.2704189963099423E-3</v>
      </c>
      <c r="N1178" s="5" t="s">
        <v>4</v>
      </c>
      <c r="O1178" s="100">
        <f ca="1">_xll.meDateFromTenor(O1177,"1D","FOLLOWING",P$12)</f>
        <v>44173</v>
      </c>
      <c r="P1178" s="13">
        <f ca="1">_xll.meDateFromTenor(O1178,P$14,P$11,P$12)</f>
        <v>44355</v>
      </c>
      <c r="Q1178" s="98">
        <f ca="1"/>
        <v>4.1098262401447899E-3</v>
      </c>
      <c r="R1178" s="5" t="s">
        <v>4</v>
      </c>
      <c r="S1178" s="100">
        <f ca="1">_xll.meDateFromTenor(S1177,"1D","FOLLOWING",T$12)</f>
        <v>44173</v>
      </c>
      <c r="T1178" s="13">
        <f ca="1">_xll.meDateFromTenor(S1178,T$14,T$11,T$12)</f>
        <v>44538</v>
      </c>
      <c r="U1178" s="98">
        <f ca="1"/>
        <v>6.1216457171043622E-3</v>
      </c>
      <c r="V1178" s="5" t="s">
        <v>4</v>
      </c>
      <c r="W1178" s="84" t="s">
        <v>4</v>
      </c>
    </row>
    <row r="1179" spans="1:23" x14ac:dyDescent="0.25">
      <c r="A1179" s="90">
        <v>1160</v>
      </c>
      <c r="B1179" s="83"/>
      <c r="C1179" s="100">
        <f ca="1">_xll.meDateFromTenor(C1178,"1D","FOLLOWING",D$12)</f>
        <v>44174</v>
      </c>
      <c r="D1179" s="13">
        <f ca="1">_xll.meDateFromTenor(C1179,D$14,D$11,D$12)</f>
        <v>44175</v>
      </c>
      <c r="E1179" s="98">
        <f ca="1"/>
        <v>2.4161180048669137E-4</v>
      </c>
      <c r="F1179" s="94"/>
      <c r="G1179" s="100">
        <f ca="1">_xll.meDateFromTenor(G1178,"1D","FOLLOWING",H$12)</f>
        <v>44174</v>
      </c>
      <c r="H1179" s="13">
        <f ca="1">_xll.meDateFromTenor(G1179,H$14,H$11,H$12)</f>
        <v>44207</v>
      </c>
      <c r="I1179" s="98">
        <f ca="1"/>
        <v>1.1130000693869782E-3</v>
      </c>
      <c r="J1179" s="94" t="s">
        <v>4</v>
      </c>
      <c r="K1179" s="100">
        <f ca="1">_xll.meDateFromTenor(K1178,"1D","FOLLOWING",L$12)</f>
        <v>44174</v>
      </c>
      <c r="L1179" s="13">
        <f ca="1">_xll.meDateFromTenor(K1179,L$14,L$11,L$12)</f>
        <v>44264</v>
      </c>
      <c r="M1179" s="98">
        <f ca="1"/>
        <v>2.2776606275198511E-3</v>
      </c>
      <c r="N1179" s="5" t="s">
        <v>4</v>
      </c>
      <c r="O1179" s="100">
        <f ca="1">_xll.meDateFromTenor(O1178,"1D","FOLLOWING",P$12)</f>
        <v>44174</v>
      </c>
      <c r="P1179" s="13">
        <f ca="1">_xll.meDateFromTenor(O1179,P$14,P$11,P$12)</f>
        <v>44356</v>
      </c>
      <c r="Q1179" s="98">
        <f ca="1"/>
        <v>4.1166954858509403E-3</v>
      </c>
      <c r="R1179" s="5" t="s">
        <v>4</v>
      </c>
      <c r="S1179" s="100">
        <f ca="1">_xll.meDateFromTenor(S1178,"1D","FOLLOWING",T$12)</f>
        <v>44174</v>
      </c>
      <c r="T1179" s="13">
        <f ca="1">_xll.meDateFromTenor(S1179,T$14,T$11,T$12)</f>
        <v>44539</v>
      </c>
      <c r="U1179" s="98">
        <f ca="1"/>
        <v>6.1287273986324123E-3</v>
      </c>
      <c r="V1179" s="5" t="s">
        <v>4</v>
      </c>
      <c r="W1179" s="84" t="s">
        <v>4</v>
      </c>
    </row>
    <row r="1180" spans="1:23" x14ac:dyDescent="0.25">
      <c r="A1180" s="90">
        <v>1161</v>
      </c>
      <c r="B1180" s="83"/>
      <c r="C1180" s="100">
        <f ca="1">_xll.meDateFromTenor(C1179,"1D","FOLLOWING",D$12)</f>
        <v>44175</v>
      </c>
      <c r="D1180" s="13">
        <f ca="1">_xll.meDateFromTenor(C1180,D$14,D$11,D$12)</f>
        <v>44176</v>
      </c>
      <c r="E1180" s="98">
        <f ca="1"/>
        <v>2.4897107487649721E-4</v>
      </c>
      <c r="F1180" s="94"/>
      <c r="G1180" s="100">
        <f ca="1">_xll.meDateFromTenor(G1179,"1D","FOLLOWING",H$12)</f>
        <v>44175</v>
      </c>
      <c r="H1180" s="13">
        <f ca="1">_xll.meDateFromTenor(G1180,H$14,H$11,H$12)</f>
        <v>44207</v>
      </c>
      <c r="I1180" s="98">
        <f ca="1"/>
        <v>1.1199654948659055E-3</v>
      </c>
      <c r="J1180" s="94" t="s">
        <v>4</v>
      </c>
      <c r="K1180" s="100">
        <f ca="1">_xll.meDateFromTenor(K1179,"1D","FOLLOWING",L$12)</f>
        <v>44175</v>
      </c>
      <c r="L1180" s="13">
        <f ca="1">_xll.meDateFromTenor(K1180,L$14,L$11,L$12)</f>
        <v>44265</v>
      </c>
      <c r="M1180" s="98">
        <f ca="1"/>
        <v>2.2849073261347707E-3</v>
      </c>
      <c r="N1180" s="5" t="s">
        <v>4</v>
      </c>
      <c r="O1180" s="100">
        <f ca="1">_xll.meDateFromTenor(O1179,"1D","FOLLOWING",P$12)</f>
        <v>44175</v>
      </c>
      <c r="P1180" s="13">
        <f ca="1">_xll.meDateFromTenor(O1180,P$14,P$11,P$12)</f>
        <v>44357</v>
      </c>
      <c r="Q1180" s="98">
        <f ca="1"/>
        <v>4.123568219898001E-3</v>
      </c>
      <c r="R1180" s="5" t="s">
        <v>4</v>
      </c>
      <c r="S1180" s="100">
        <f ca="1">_xll.meDateFromTenor(S1179,"1D","FOLLOWING",T$12)</f>
        <v>44175</v>
      </c>
      <c r="T1180" s="13">
        <f ca="1">_xll.meDateFromTenor(S1180,T$14,T$11,T$12)</f>
        <v>44540</v>
      </c>
      <c r="U1180" s="98">
        <f ca="1"/>
        <v>6.1358118421514654E-3</v>
      </c>
      <c r="V1180" s="5" t="s">
        <v>4</v>
      </c>
      <c r="W1180" s="84" t="s">
        <v>4</v>
      </c>
    </row>
    <row r="1181" spans="1:23" x14ac:dyDescent="0.25">
      <c r="A1181" s="90">
        <v>1162</v>
      </c>
      <c r="B1181" s="83"/>
      <c r="C1181" s="100">
        <f ca="1">_xll.meDateFromTenor(C1180,"1D","FOLLOWING",D$12)</f>
        <v>44176</v>
      </c>
      <c r="D1181" s="13">
        <f ca="1">_xll.meDateFromTenor(C1181,D$14,D$11,D$12)</f>
        <v>44179</v>
      </c>
      <c r="E1181" s="98">
        <f ca="1"/>
        <v>2.635750146407084E-4</v>
      </c>
      <c r="F1181" s="94"/>
      <c r="G1181" s="100">
        <f ca="1">_xll.meDateFromTenor(G1180,"1D","FOLLOWING",H$12)</f>
        <v>44176</v>
      </c>
      <c r="H1181" s="13">
        <f ca="1">_xll.meDateFromTenor(G1181,H$14,H$11,H$12)</f>
        <v>44207</v>
      </c>
      <c r="I1181" s="98">
        <f ca="1"/>
        <v>1.126900605325895E-3</v>
      </c>
      <c r="J1181" s="94" t="s">
        <v>4</v>
      </c>
      <c r="K1181" s="100">
        <f ca="1">_xll.meDateFromTenor(K1180,"1D","FOLLOWING",L$12)</f>
        <v>44176</v>
      </c>
      <c r="L1181" s="13">
        <f ca="1">_xll.meDateFromTenor(K1181,L$14,L$11,L$12)</f>
        <v>44266</v>
      </c>
      <c r="M1181" s="98">
        <f ca="1"/>
        <v>2.2921590399357897E-3</v>
      </c>
      <c r="N1181" s="5" t="s">
        <v>4</v>
      </c>
      <c r="O1181" s="100">
        <f ca="1">_xll.meDateFromTenor(O1180,"1D","FOLLOWING",P$12)</f>
        <v>44176</v>
      </c>
      <c r="P1181" s="13">
        <f ca="1">_xll.meDateFromTenor(O1181,P$14,P$11,P$12)</f>
        <v>44358</v>
      </c>
      <c r="Q1181" s="98">
        <f ca="1"/>
        <v>4.1304444365387605E-3</v>
      </c>
      <c r="R1181" s="5" t="s">
        <v>4</v>
      </c>
      <c r="S1181" s="100">
        <f ca="1">_xll.meDateFromTenor(S1180,"1D","FOLLOWING",T$12)</f>
        <v>44176</v>
      </c>
      <c r="T1181" s="13">
        <f ca="1">_xll.meDateFromTenor(S1181,T$14,T$11,T$12)</f>
        <v>44543</v>
      </c>
      <c r="U1181" s="98">
        <f ca="1"/>
        <v>6.1428990307689398E-3</v>
      </c>
      <c r="V1181" s="5" t="s">
        <v>4</v>
      </c>
      <c r="W1181" s="84" t="s">
        <v>4</v>
      </c>
    </row>
    <row r="1182" spans="1:23" x14ac:dyDescent="0.25">
      <c r="A1182" s="90">
        <v>1163</v>
      </c>
      <c r="B1182" s="83"/>
      <c r="C1182" s="100">
        <f ca="1">_xll.meDateFromTenor(C1181,"1D","FOLLOWING",D$12)</f>
        <v>44179</v>
      </c>
      <c r="D1182" s="13">
        <f ca="1">_xll.meDateFromTenor(C1182,D$14,D$11,D$12)</f>
        <v>44180</v>
      </c>
      <c r="E1182" s="98">
        <f ca="1"/>
        <v>2.7806376865053921E-4</v>
      </c>
      <c r="F1182" s="94"/>
      <c r="G1182" s="100">
        <f ca="1">_xll.meDateFromTenor(G1181,"1D","FOLLOWING",H$12)</f>
        <v>44179</v>
      </c>
      <c r="H1182" s="13">
        <f ca="1">_xll.meDateFromTenor(G1182,H$14,H$11,H$12)</f>
        <v>44210</v>
      </c>
      <c r="I1182" s="98">
        <f ca="1"/>
        <v>1.1475377536522915E-3</v>
      </c>
      <c r="J1182" s="94" t="s">
        <v>4</v>
      </c>
      <c r="K1182" s="100">
        <f ca="1">_xll.meDateFromTenor(K1181,"1D","FOLLOWING",L$12)</f>
        <v>44179</v>
      </c>
      <c r="L1182" s="13">
        <f ca="1">_xll.meDateFromTenor(K1182,L$14,L$11,L$12)</f>
        <v>44270</v>
      </c>
      <c r="M1182" s="98">
        <f ca="1"/>
        <v>2.313943750266396E-3</v>
      </c>
      <c r="N1182" s="5" t="s">
        <v>4</v>
      </c>
      <c r="O1182" s="100">
        <f ca="1">_xll.meDateFromTenor(O1181,"1D","FOLLOWING",P$12)</f>
        <v>44179</v>
      </c>
      <c r="P1182" s="13">
        <f ca="1">_xll.meDateFromTenor(O1182,P$14,P$11,P$12)</f>
        <v>44361</v>
      </c>
      <c r="Q1182" s="98">
        <f ca="1"/>
        <v>4.1510939245511559E-3</v>
      </c>
      <c r="R1182" s="5" t="s">
        <v>4</v>
      </c>
      <c r="S1182" s="100">
        <f ca="1">_xll.meDateFromTenor(S1181,"1D","FOLLOWING",T$12)</f>
        <v>44179</v>
      </c>
      <c r="T1182" s="13">
        <f ca="1">_xll.meDateFromTenor(S1182,T$14,T$11,T$12)</f>
        <v>44544</v>
      </c>
      <c r="U1182" s="98">
        <f ca="1"/>
        <v>6.1641768982860891E-3</v>
      </c>
      <c r="V1182" s="5" t="s">
        <v>4</v>
      </c>
      <c r="W1182" s="84" t="s">
        <v>4</v>
      </c>
    </row>
    <row r="1183" spans="1:23" x14ac:dyDescent="0.25">
      <c r="A1183" s="90">
        <v>1164</v>
      </c>
      <c r="B1183" s="83"/>
      <c r="C1183" s="100">
        <f ca="1">_xll.meDateFromTenor(C1182,"1D","FOLLOWING",D$12)</f>
        <v>44180</v>
      </c>
      <c r="D1183" s="13">
        <f ca="1">_xll.meDateFromTenor(C1183,D$14,D$11,D$12)</f>
        <v>44181</v>
      </c>
      <c r="E1183" s="98">
        <f ca="1"/>
        <v>2.8525084278645751E-4</v>
      </c>
      <c r="F1183" s="94"/>
      <c r="G1183" s="100">
        <f ca="1">_xll.meDateFromTenor(G1182,"1D","FOLLOWING",H$12)</f>
        <v>44180</v>
      </c>
      <c r="H1183" s="13">
        <f ca="1">_xll.meDateFromTenor(G1183,H$14,H$11,H$12)</f>
        <v>44211</v>
      </c>
      <c r="I1183" s="98">
        <f ca="1"/>
        <v>1.1543653110965804E-3</v>
      </c>
      <c r="J1183" s="94" t="s">
        <v>4</v>
      </c>
      <c r="K1183" s="100">
        <f ca="1">_xll.meDateFromTenor(K1182,"1D","FOLLOWING",L$12)</f>
        <v>44180</v>
      </c>
      <c r="L1183" s="13">
        <f ca="1">_xll.meDateFromTenor(K1183,L$14,L$11,L$12)</f>
        <v>44270</v>
      </c>
      <c r="M1183" s="98">
        <f ca="1"/>
        <v>2.3212150026227594E-3</v>
      </c>
      <c r="N1183" s="5" t="s">
        <v>4</v>
      </c>
      <c r="O1183" s="100">
        <f ca="1">_xll.meDateFromTenor(O1182,"1D","FOLLOWING",P$12)</f>
        <v>44180</v>
      </c>
      <c r="P1183" s="13">
        <f ca="1">_xll.meDateFromTenor(O1183,P$14,P$11,P$12)</f>
        <v>44362</v>
      </c>
      <c r="Q1183" s="98">
        <f ca="1"/>
        <v>4.1579840140946326E-3</v>
      </c>
      <c r="R1183" s="5" t="s">
        <v>4</v>
      </c>
      <c r="S1183" s="100">
        <f ca="1">_xll.meDateFromTenor(S1182,"1D","FOLLOWING",T$12)</f>
        <v>44180</v>
      </c>
      <c r="T1183" s="13">
        <f ca="1">_xll.meDateFromTenor(S1183,T$14,T$11,T$12)</f>
        <v>44545</v>
      </c>
      <c r="U1183" s="98">
        <f ca="1"/>
        <v>6.1712748983714467E-3</v>
      </c>
      <c r="V1183" s="5" t="s">
        <v>4</v>
      </c>
      <c r="W1183" s="84" t="s">
        <v>4</v>
      </c>
    </row>
    <row r="1184" spans="1:23" x14ac:dyDescent="0.25">
      <c r="A1184" s="90">
        <v>1165</v>
      </c>
      <c r="B1184" s="83"/>
      <c r="C1184" s="100">
        <f ca="1">_xll.meDateFromTenor(C1183,"1D","FOLLOWING",D$12)</f>
        <v>44181</v>
      </c>
      <c r="D1184" s="13">
        <f ca="1">_xll.meDateFromTenor(C1184,D$14,D$11,D$12)</f>
        <v>44182</v>
      </c>
      <c r="E1184" s="98">
        <f ca="1"/>
        <v>2.9240347799048698E-4</v>
      </c>
      <c r="F1184" s="94"/>
      <c r="G1184" s="100">
        <f ca="1">_xll.meDateFromTenor(G1183,"1D","FOLLOWING",H$12)</f>
        <v>44181</v>
      </c>
      <c r="H1184" s="13">
        <f ca="1">_xll.meDateFromTenor(G1184,H$14,H$11,H$12)</f>
        <v>44214</v>
      </c>
      <c r="I1184" s="98">
        <f ca="1"/>
        <v>1.1611694070519517E-3</v>
      </c>
      <c r="J1184" s="94" t="s">
        <v>4</v>
      </c>
      <c r="K1184" s="100">
        <f ca="1">_xll.meDateFromTenor(K1183,"1D","FOLLOWING",L$12)</f>
        <v>44181</v>
      </c>
      <c r="L1184" s="13">
        <f ca="1">_xll.meDateFromTenor(K1184,L$14,L$11,L$12)</f>
        <v>44271</v>
      </c>
      <c r="M1184" s="98">
        <f ca="1"/>
        <v>2.3284910090706898E-3</v>
      </c>
      <c r="N1184" s="5" t="s">
        <v>4</v>
      </c>
      <c r="O1184" s="100">
        <f ca="1">_xll.meDateFromTenor(O1183,"1D","FOLLOWING",P$12)</f>
        <v>44181</v>
      </c>
      <c r="P1184" s="13">
        <f ca="1">_xll.meDateFromTenor(O1184,P$14,P$11,P$12)</f>
        <v>44363</v>
      </c>
      <c r="Q1184" s="98">
        <f ca="1"/>
        <v>4.1648775574957657E-3</v>
      </c>
      <c r="R1184" s="5" t="s">
        <v>4</v>
      </c>
      <c r="S1184" s="100">
        <f ca="1">_xll.meDateFromTenor(S1183,"1D","FOLLOWING",T$12)</f>
        <v>44181</v>
      </c>
      <c r="T1184" s="13">
        <f ca="1">_xll.meDateFromTenor(S1184,T$14,T$11,T$12)</f>
        <v>44546</v>
      </c>
      <c r="U1184" s="98">
        <f ca="1"/>
        <v>6.1783755590923235E-3</v>
      </c>
      <c r="V1184" s="5" t="s">
        <v>4</v>
      </c>
      <c r="W1184" s="84" t="s">
        <v>4</v>
      </c>
    </row>
    <row r="1185" spans="1:23" x14ac:dyDescent="0.25">
      <c r="A1185" s="90">
        <v>1166</v>
      </c>
      <c r="B1185" s="83"/>
      <c r="C1185" s="100">
        <f ca="1">_xll.meDateFromTenor(C1184,"1D","FOLLOWING",D$12)</f>
        <v>44182</v>
      </c>
      <c r="D1185" s="13">
        <f ca="1">_xll.meDateFromTenor(C1185,D$14,D$11,D$12)</f>
        <v>44183</v>
      </c>
      <c r="E1185" s="98">
        <f ca="1"/>
        <v>2.9952167450280519E-4</v>
      </c>
      <c r="F1185" s="94"/>
      <c r="G1185" s="100">
        <f ca="1">_xll.meDateFromTenor(G1184,"1D","FOLLOWING",H$12)</f>
        <v>44182</v>
      </c>
      <c r="H1185" s="13">
        <f ca="1">_xll.meDateFromTenor(G1185,H$14,H$11,H$12)</f>
        <v>44214</v>
      </c>
      <c r="I1185" s="98">
        <f ca="1"/>
        <v>1.1679514122244113E-3</v>
      </c>
      <c r="J1185" s="94" t="s">
        <v>4</v>
      </c>
      <c r="K1185" s="100">
        <f ca="1">_xll.meDateFromTenor(K1184,"1D","FOLLOWING",L$12)</f>
        <v>44182</v>
      </c>
      <c r="L1185" s="13">
        <f ca="1">_xll.meDateFromTenor(K1185,L$14,L$11,L$12)</f>
        <v>44272</v>
      </c>
      <c r="M1185" s="98">
        <f ca="1"/>
        <v>2.3357717173912817E-3</v>
      </c>
      <c r="N1185" s="5" t="s">
        <v>4</v>
      </c>
      <c r="O1185" s="100">
        <f ca="1">_xll.meDateFromTenor(O1184,"1D","FOLLOWING",P$12)</f>
        <v>44182</v>
      </c>
      <c r="P1185" s="13">
        <f ca="1">_xll.meDateFromTenor(O1185,P$14,P$11,P$12)</f>
        <v>44364</v>
      </c>
      <c r="Q1185" s="98">
        <f ca="1"/>
        <v>4.171774549007347E-3</v>
      </c>
      <c r="R1185" s="5" t="s">
        <v>4</v>
      </c>
      <c r="S1185" s="100">
        <f ca="1">_xll.meDateFromTenor(S1184,"1D","FOLLOWING",T$12)</f>
        <v>44182</v>
      </c>
      <c r="T1185" s="13">
        <f ca="1">_xll.meDateFromTenor(S1185,T$14,T$11,T$12)</f>
        <v>44547</v>
      </c>
      <c r="U1185" s="98">
        <f ca="1"/>
        <v>6.1854788635561367E-3</v>
      </c>
      <c r="V1185" s="5" t="s">
        <v>4</v>
      </c>
      <c r="W1185" s="84" t="s">
        <v>4</v>
      </c>
    </row>
    <row r="1186" spans="1:23" x14ac:dyDescent="0.25">
      <c r="A1186" s="90">
        <v>1167</v>
      </c>
      <c r="B1186" s="83"/>
      <c r="C1186" s="100">
        <f ca="1">_xll.meDateFromTenor(C1185,"1D","FOLLOWING",D$12)</f>
        <v>44183</v>
      </c>
      <c r="D1186" s="13">
        <f ca="1">_xll.meDateFromTenor(C1186,D$14,D$11,D$12)</f>
        <v>44186</v>
      </c>
      <c r="E1186" s="98">
        <f ca="1"/>
        <v>3.1364354654782149E-4</v>
      </c>
      <c r="F1186" s="94"/>
      <c r="G1186" s="100">
        <f ca="1">_xll.meDateFromTenor(G1185,"1D","FOLLOWING",H$12)</f>
        <v>44183</v>
      </c>
      <c r="H1186" s="13">
        <f ca="1">_xll.meDateFromTenor(G1186,H$14,H$11,H$12)</f>
        <v>44214</v>
      </c>
      <c r="I1186" s="98">
        <f ca="1"/>
        <v>1.1747126973199655E-3</v>
      </c>
      <c r="J1186" s="94" t="s">
        <v>4</v>
      </c>
      <c r="K1186" s="100">
        <f ca="1">_xll.meDateFromTenor(K1185,"1D","FOLLOWING",L$12)</f>
        <v>44183</v>
      </c>
      <c r="L1186" s="13">
        <f ca="1">_xll.meDateFromTenor(K1186,L$14,L$11,L$12)</f>
        <v>44273</v>
      </c>
      <c r="M1186" s="98">
        <f ca="1"/>
        <v>2.3430570753656321E-3</v>
      </c>
      <c r="N1186" s="5" t="s">
        <v>4</v>
      </c>
      <c r="O1186" s="100">
        <f ca="1">_xll.meDateFromTenor(O1185,"1D","FOLLOWING",P$12)</f>
        <v>44183</v>
      </c>
      <c r="P1186" s="13">
        <f ca="1">_xll.meDateFromTenor(O1186,P$14,P$11,P$12)</f>
        <v>44365</v>
      </c>
      <c r="Q1186" s="98">
        <f ca="1"/>
        <v>4.1786749828821718E-3</v>
      </c>
      <c r="R1186" s="5" t="s">
        <v>4</v>
      </c>
      <c r="S1186" s="100">
        <f ca="1">_xll.meDateFromTenor(S1185,"1D","FOLLOWING",T$12)</f>
        <v>44183</v>
      </c>
      <c r="T1186" s="13">
        <f ca="1">_xll.meDateFromTenor(S1186,T$14,T$11,T$12)</f>
        <v>44550</v>
      </c>
      <c r="U1186" s="98">
        <f ca="1"/>
        <v>6.1925847948703103E-3</v>
      </c>
      <c r="V1186" s="5" t="s">
        <v>4</v>
      </c>
      <c r="W1186" s="84" t="s">
        <v>4</v>
      </c>
    </row>
    <row r="1187" spans="1:23" x14ac:dyDescent="0.25">
      <c r="A1187" s="90">
        <v>1168</v>
      </c>
      <c r="B1187" s="83"/>
      <c r="C1187" s="100">
        <f ca="1">_xll.meDateFromTenor(C1186,"1D","FOLLOWING",D$12)</f>
        <v>44186</v>
      </c>
      <c r="D1187" s="13">
        <f ca="1">_xll.meDateFromTenor(C1187,D$14,D$11,D$12)</f>
        <v>44187</v>
      </c>
      <c r="E1187" s="98">
        <f ca="1"/>
        <v>3.2765007938801311E-4</v>
      </c>
      <c r="F1187" s="94"/>
      <c r="G1187" s="100">
        <f ca="1">_xll.meDateFromTenor(G1186,"1D","FOLLOWING",H$12)</f>
        <v>44186</v>
      </c>
      <c r="H1187" s="13">
        <f ca="1">_xll.meDateFromTenor(G1187,H$14,H$11,H$12)</f>
        <v>44217</v>
      </c>
      <c r="I1187" s="98">
        <f ca="1"/>
        <v>1.1948859392052174E-3</v>
      </c>
      <c r="J1187" s="94" t="s">
        <v>4</v>
      </c>
      <c r="K1187" s="100">
        <f ca="1">_xll.meDateFromTenor(K1186,"1D","FOLLOWING",L$12)</f>
        <v>44186</v>
      </c>
      <c r="L1187" s="13">
        <f ca="1">_xll.meDateFromTenor(K1187,L$14,L$11,L$12)</f>
        <v>44277</v>
      </c>
      <c r="M1187" s="98">
        <f ca="1"/>
        <v>2.3649405250221463E-3</v>
      </c>
      <c r="N1187" s="5" t="s">
        <v>4</v>
      </c>
      <c r="O1187" s="100">
        <f ca="1">_xll.meDateFromTenor(O1186,"1D","FOLLOWING",P$12)</f>
        <v>44186</v>
      </c>
      <c r="P1187" s="13">
        <f ca="1">_xll.meDateFromTenor(O1187,P$14,P$11,P$12)</f>
        <v>44368</v>
      </c>
      <c r="Q1187" s="98">
        <f ca="1"/>
        <v>4.1993968812140021E-3</v>
      </c>
      <c r="R1187" s="5" t="s">
        <v>4</v>
      </c>
      <c r="S1187" s="100">
        <f ca="1">_xll.meDateFromTenor(S1186,"1D","FOLLOWING",T$12)</f>
        <v>44186</v>
      </c>
      <c r="T1187" s="13">
        <f ca="1">_xll.meDateFromTenor(S1187,T$14,T$11,T$12)</f>
        <v>44551</v>
      </c>
      <c r="U1187" s="98">
        <f ca="1"/>
        <v>6.2139181809891687E-3</v>
      </c>
      <c r="V1187" s="5" t="s">
        <v>4</v>
      </c>
      <c r="W1187" s="84" t="s">
        <v>4</v>
      </c>
    </row>
    <row r="1188" spans="1:23" x14ac:dyDescent="0.25">
      <c r="A1188" s="90">
        <v>1169</v>
      </c>
      <c r="B1188" s="83"/>
      <c r="C1188" s="100">
        <f ca="1">_xll.meDateFromTenor(C1187,"1D","FOLLOWING",D$12)</f>
        <v>44187</v>
      </c>
      <c r="D1188" s="13">
        <f ca="1">_xll.meDateFromTenor(C1188,D$14,D$11,D$12)</f>
        <v>44188</v>
      </c>
      <c r="E1188" s="98">
        <f ca="1"/>
        <v>3.3459608675739857E-4</v>
      </c>
      <c r="F1188" s="94"/>
      <c r="G1188" s="100">
        <f ca="1">_xll.meDateFromTenor(G1187,"1D","FOLLOWING",H$12)</f>
        <v>44187</v>
      </c>
      <c r="H1188" s="13">
        <f ca="1">_xll.meDateFromTenor(G1188,H$14,H$11,H$12)</f>
        <v>44218</v>
      </c>
      <c r="I1188" s="98">
        <f ca="1"/>
        <v>1.2015780510531786E-3</v>
      </c>
      <c r="J1188" s="94" t="s">
        <v>4</v>
      </c>
      <c r="K1188" s="100">
        <f ca="1">_xll.meDateFromTenor(K1187,"1D","FOLLOWING",L$12)</f>
        <v>44187</v>
      </c>
      <c r="L1188" s="13">
        <f ca="1">_xll.meDateFromTenor(K1188,L$14,L$11,L$12)</f>
        <v>44277</v>
      </c>
      <c r="M1188" s="98">
        <f ca="1"/>
        <v>2.3722439594224512E-3</v>
      </c>
      <c r="N1188" s="5" t="s">
        <v>4</v>
      </c>
      <c r="O1188" s="100">
        <f ca="1">_xll.meDateFromTenor(O1187,"1D","FOLLOWING",P$12)</f>
        <v>44187</v>
      </c>
      <c r="P1188" s="13">
        <f ca="1">_xll.meDateFromTenor(O1188,P$14,P$11,P$12)</f>
        <v>44369</v>
      </c>
      <c r="Q1188" s="98">
        <f ca="1"/>
        <v>4.206311027069704E-3</v>
      </c>
      <c r="R1188" s="5" t="s">
        <v>4</v>
      </c>
      <c r="S1188" s="100">
        <f ca="1">_xll.meDateFromTenor(S1187,"1D","FOLLOWING",T$12)</f>
        <v>44187</v>
      </c>
      <c r="T1188" s="13">
        <f ca="1">_xll.meDateFromTenor(S1188,T$14,T$11,T$12)</f>
        <v>44552</v>
      </c>
      <c r="U1188" s="98">
        <f ca="1"/>
        <v>6.2210344507789648E-3</v>
      </c>
      <c r="V1188" s="5" t="s">
        <v>4</v>
      </c>
      <c r="W1188" s="84" t="s">
        <v>4</v>
      </c>
    </row>
    <row r="1189" spans="1:23" x14ac:dyDescent="0.25">
      <c r="A1189" s="90">
        <v>1170</v>
      </c>
      <c r="B1189" s="83"/>
      <c r="C1189" s="100">
        <f ca="1">_xll.meDateFromTenor(C1188,"1D","FOLLOWING",D$12)</f>
        <v>44188</v>
      </c>
      <c r="D1189" s="13">
        <f ca="1">_xll.meDateFromTenor(C1189,D$14,D$11,D$12)</f>
        <v>44189</v>
      </c>
      <c r="E1189" s="98">
        <f ca="1"/>
        <v>3.4150765711332898E-4</v>
      </c>
      <c r="F1189" s="94"/>
      <c r="G1189" s="100">
        <f ca="1">_xll.meDateFromTenor(G1188,"1D","FOLLOWING",H$12)</f>
        <v>44188</v>
      </c>
      <c r="H1189" s="13">
        <f ca="1">_xll.meDateFromTenor(G1189,H$14,H$11,H$12)</f>
        <v>44221</v>
      </c>
      <c r="I1189" s="98">
        <f ca="1"/>
        <v>1.2082562963542526E-3</v>
      </c>
      <c r="J1189" s="94" t="s">
        <v>4</v>
      </c>
      <c r="K1189" s="100">
        <f ca="1">_xll.meDateFromTenor(K1188,"1D","FOLLOWING",L$12)</f>
        <v>44188</v>
      </c>
      <c r="L1189" s="13">
        <f ca="1">_xll.meDateFromTenor(K1189,L$14,L$11,L$12)</f>
        <v>44278</v>
      </c>
      <c r="M1189" s="98">
        <f ca="1"/>
        <v>2.3795517823819779E-3</v>
      </c>
      <c r="N1189" s="5" t="s">
        <v>4</v>
      </c>
      <c r="O1189" s="100">
        <f ca="1">_xll.meDateFromTenor(O1188,"1D","FOLLOWING",P$12)</f>
        <v>44188</v>
      </c>
      <c r="P1189" s="13">
        <f ca="1">_xll.meDateFromTenor(O1189,P$14,P$11,P$12)</f>
        <v>44370</v>
      </c>
      <c r="Q1189" s="98">
        <f ca="1"/>
        <v>4.2132285865526036E-3</v>
      </c>
      <c r="R1189" s="5" t="s">
        <v>4</v>
      </c>
      <c r="S1189" s="100">
        <f ca="1">_xll.meDateFromTenor(S1188,"1D","FOLLOWING",T$12)</f>
        <v>44188</v>
      </c>
      <c r="T1189" s="13">
        <f ca="1">_xll.meDateFromTenor(S1189,T$14,T$11,T$12)</f>
        <v>44553</v>
      </c>
      <c r="U1189" s="98">
        <f ca="1"/>
        <v>6.2281532629562177E-3</v>
      </c>
      <c r="V1189" s="5" t="s">
        <v>4</v>
      </c>
      <c r="W1189" s="84" t="s">
        <v>4</v>
      </c>
    </row>
    <row r="1190" spans="1:23" x14ac:dyDescent="0.25">
      <c r="A1190" s="90">
        <v>1171</v>
      </c>
      <c r="B1190" s="83"/>
      <c r="C1190" s="100">
        <f ca="1">_xll.meDateFromTenor(C1189,"1D","FOLLOWING",D$12)</f>
        <v>44189</v>
      </c>
      <c r="D1190" s="13">
        <f ca="1">_xll.meDateFromTenor(C1190,D$14,D$11,D$12)</f>
        <v>44193</v>
      </c>
      <c r="E1190" s="98">
        <f ca="1"/>
        <v>3.5861493638656003E-4</v>
      </c>
      <c r="F1190" s="94"/>
      <c r="G1190" s="100">
        <f ca="1">_xll.meDateFromTenor(G1189,"1D","FOLLOWING",H$12)</f>
        <v>44189</v>
      </c>
      <c r="H1190" s="13">
        <f ca="1">_xll.meDateFromTenor(G1190,H$14,H$11,H$12)</f>
        <v>44221</v>
      </c>
      <c r="I1190" s="98">
        <f ca="1"/>
        <v>1.2149220458144447E-3</v>
      </c>
      <c r="J1190" s="94" t="s">
        <v>4</v>
      </c>
      <c r="K1190" s="100">
        <f ca="1">_xll.meDateFromTenor(K1189,"1D","FOLLOWING",L$12)</f>
        <v>44189</v>
      </c>
      <c r="L1190" s="13">
        <f ca="1">_xll.meDateFromTenor(K1190,L$14,L$11,L$12)</f>
        <v>44279</v>
      </c>
      <c r="M1190" s="98">
        <f ca="1"/>
        <v>2.3868639416818227E-3</v>
      </c>
      <c r="N1190" s="5" t="s">
        <v>4</v>
      </c>
      <c r="O1190" s="100">
        <f ca="1">_xll.meDateFromTenor(O1189,"1D","FOLLOWING",P$12)</f>
        <v>44189</v>
      </c>
      <c r="P1190" s="13">
        <f ca="1">_xll.meDateFromTenor(O1190,P$14,P$11,P$12)</f>
        <v>44371</v>
      </c>
      <c r="Q1190" s="98">
        <f ca="1"/>
        <v>4.2201495539154954E-3</v>
      </c>
      <c r="R1190" s="5" t="s">
        <v>4</v>
      </c>
      <c r="S1190" s="100">
        <f ca="1">_xll.meDateFromTenor(S1189,"1D","FOLLOWING",T$12)</f>
        <v>44189</v>
      </c>
      <c r="T1190" s="13">
        <f ca="1">_xll.meDateFromTenor(S1190,T$14,T$11,T$12)</f>
        <v>44554</v>
      </c>
      <c r="U1190" s="98">
        <f ca="1"/>
        <v>6.2352746006283464E-3</v>
      </c>
      <c r="V1190" s="5" t="s">
        <v>4</v>
      </c>
      <c r="W1190" s="84" t="s">
        <v>4</v>
      </c>
    </row>
    <row r="1191" spans="1:23" x14ac:dyDescent="0.25">
      <c r="A1191" s="90">
        <v>1172</v>
      </c>
      <c r="B1191" s="83"/>
      <c r="C1191" s="100">
        <f ca="1">_xll.meDateFromTenor(C1190,"1D","FOLLOWING",D$12)</f>
        <v>44193</v>
      </c>
      <c r="D1191" s="13">
        <f ca="1">_xll.meDateFromTenor(C1191,D$14,D$11,D$12)</f>
        <v>44194</v>
      </c>
      <c r="E1191" s="98">
        <f ca="1"/>
        <v>3.7554896368702825E-4</v>
      </c>
      <c r="F1191" s="94"/>
      <c r="G1191" s="100">
        <f ca="1">_xll.meDateFromTenor(G1190,"1D","FOLLOWING",H$12)</f>
        <v>44193</v>
      </c>
      <c r="H1191" s="13">
        <f ca="1">_xll.meDateFromTenor(G1191,H$14,H$11,H$12)</f>
        <v>44224</v>
      </c>
      <c r="I1191" s="98">
        <f ca="1"/>
        <v>1.2414874993664506E-3</v>
      </c>
      <c r="J1191" s="94" t="s">
        <v>4</v>
      </c>
      <c r="K1191" s="100">
        <f ca="1">_xll.meDateFromTenor(K1190,"1D","FOLLOWING",L$12)</f>
        <v>44193</v>
      </c>
      <c r="L1191" s="13">
        <f ca="1">_xll.meDateFromTenor(K1191,L$14,L$11,L$12)</f>
        <v>44284</v>
      </c>
      <c r="M1191" s="98">
        <f ca="1"/>
        <v>2.416154897906224E-3</v>
      </c>
      <c r="N1191" s="5" t="s">
        <v>4</v>
      </c>
      <c r="O1191" s="100">
        <f ca="1">_xll.meDateFromTenor(O1190,"1D","FOLLOWING",P$12)</f>
        <v>44193</v>
      </c>
      <c r="P1191" s="13">
        <f ca="1">_xll.meDateFromTenor(O1191,P$14,P$11,P$12)</f>
        <v>44375</v>
      </c>
      <c r="Q1191" s="98">
        <f ca="1"/>
        <v>4.2478673872227883E-3</v>
      </c>
      <c r="R1191" s="5" t="s">
        <v>4</v>
      </c>
      <c r="S1191" s="100">
        <f ca="1">_xll.meDateFromTenor(S1190,"1D","FOLLOWING",T$12)</f>
        <v>44193</v>
      </c>
      <c r="T1191" s="13">
        <f ca="1">_xll.meDateFromTenor(S1191,T$14,T$11,T$12)</f>
        <v>44558</v>
      </c>
      <c r="U1191" s="98">
        <f ca="1"/>
        <v>6.2637848684139854E-3</v>
      </c>
      <c r="V1191" s="5" t="s">
        <v>4</v>
      </c>
      <c r="W1191" s="84" t="s">
        <v>4</v>
      </c>
    </row>
    <row r="1192" spans="1:23" x14ac:dyDescent="0.25">
      <c r="A1192" s="90">
        <v>1173</v>
      </c>
      <c r="B1192" s="83"/>
      <c r="C1192" s="100">
        <f ca="1">_xll.meDateFromTenor(C1191,"1D","FOLLOWING",D$12)</f>
        <v>44194</v>
      </c>
      <c r="D1192" s="13">
        <f ca="1">_xll.meDateFromTenor(C1192,D$14,D$11,D$12)</f>
        <v>44195</v>
      </c>
      <c r="E1192" s="98">
        <f ca="1"/>
        <v>3.8225391779883177E-4</v>
      </c>
      <c r="F1192" s="94"/>
      <c r="G1192" s="100">
        <f ca="1">_xll.meDateFromTenor(G1191,"1D","FOLLOWING",H$12)</f>
        <v>44194</v>
      </c>
      <c r="H1192" s="13">
        <f ca="1">_xll.meDateFromTenor(G1192,H$14,H$11,H$12)</f>
        <v>44225</v>
      </c>
      <c r="I1192" s="98">
        <f ca="1"/>
        <v>1.2481113302122845E-3</v>
      </c>
      <c r="J1192" s="94" t="s">
        <v>4</v>
      </c>
      <c r="K1192" s="100">
        <f ca="1">_xll.meDateFromTenor(K1191,"1D","FOLLOWING",L$12)</f>
        <v>44194</v>
      </c>
      <c r="L1192" s="13">
        <f ca="1">_xll.meDateFromTenor(K1192,L$14,L$11,L$12)</f>
        <v>44284</v>
      </c>
      <c r="M1192" s="98">
        <f ca="1"/>
        <v>2.4234879556240493E-3</v>
      </c>
      <c r="N1192" s="5" t="s">
        <v>4</v>
      </c>
      <c r="O1192" s="100">
        <f ca="1">_xll.meDateFromTenor(O1191,"1D","FOLLOWING",P$12)</f>
        <v>44194</v>
      </c>
      <c r="P1192" s="13">
        <f ca="1">_xll.meDateFromTenor(O1192,P$14,P$11,P$12)</f>
        <v>44376</v>
      </c>
      <c r="Q1192" s="98">
        <f ca="1"/>
        <v>4.2548053077775035E-3</v>
      </c>
      <c r="R1192" s="5" t="s">
        <v>4</v>
      </c>
      <c r="S1192" s="100">
        <f ca="1">_xll.meDateFromTenor(S1191,"1D","FOLLOWING",T$12)</f>
        <v>44194</v>
      </c>
      <c r="T1192" s="13">
        <f ca="1">_xll.meDateFromTenor(S1192,T$14,T$11,T$12)</f>
        <v>44559</v>
      </c>
      <c r="U1192" s="98">
        <f ca="1"/>
        <v>6.2709185801717773E-3</v>
      </c>
      <c r="V1192" s="5" t="s">
        <v>4</v>
      </c>
      <c r="W1192" s="84" t="s">
        <v>4</v>
      </c>
    </row>
    <row r="1193" spans="1:23" x14ac:dyDescent="0.25">
      <c r="A1193" s="90">
        <v>1174</v>
      </c>
      <c r="B1193" s="83"/>
      <c r="C1193" s="100">
        <f ca="1">_xll.meDateFromTenor(C1192,"1D","FOLLOWING",D$12)</f>
        <v>44195</v>
      </c>
      <c r="D1193" s="13">
        <f ca="1">_xll.meDateFromTenor(C1193,D$14,D$11,D$12)</f>
        <v>44196</v>
      </c>
      <c r="E1193" s="98">
        <f ca="1"/>
        <v>3.8892443633648769E-4</v>
      </c>
      <c r="F1193" s="94"/>
      <c r="G1193" s="100">
        <f ca="1">_xll.meDateFromTenor(G1192,"1D","FOLLOWING",H$12)</f>
        <v>44195</v>
      </c>
      <c r="H1193" s="13">
        <f ca="1">_xll.meDateFromTenor(G1193,H$14,H$11,H$12)</f>
        <v>44225</v>
      </c>
      <c r="I1193" s="98">
        <f ca="1"/>
        <v>1.2547308894532566E-3</v>
      </c>
      <c r="J1193" s="94" t="s">
        <v>4</v>
      </c>
      <c r="K1193" s="100">
        <f ca="1">_xll.meDateFromTenor(K1192,"1D","FOLLOWING",L$12)</f>
        <v>44195</v>
      </c>
      <c r="L1193" s="13">
        <f ca="1">_xll.meDateFromTenor(K1193,L$14,L$11,L$12)</f>
        <v>44285</v>
      </c>
      <c r="M1193" s="98">
        <f ca="1"/>
        <v>2.4308250363687485E-3</v>
      </c>
      <c r="N1193" s="5" t="s">
        <v>4</v>
      </c>
      <c r="O1193" s="100">
        <f ca="1">_xll.meDateFromTenor(O1192,"1D","FOLLOWING",P$12)</f>
        <v>44195</v>
      </c>
      <c r="P1193" s="13">
        <f ca="1">_xll.meDateFromTenor(O1193,P$14,P$11,P$12)</f>
        <v>44377</v>
      </c>
      <c r="Q1193" s="98">
        <f ca="1"/>
        <v>4.2617466017289569E-3</v>
      </c>
      <c r="R1193" s="5" t="s">
        <v>4</v>
      </c>
      <c r="S1193" s="100">
        <f ca="1">_xll.meDateFromTenor(S1192,"1D","FOLLOWING",T$12)</f>
        <v>44195</v>
      </c>
      <c r="T1193" s="13">
        <f ca="1">_xll.meDateFromTenor(S1193,T$14,T$11,T$12)</f>
        <v>44560</v>
      </c>
      <c r="U1193" s="98">
        <f ca="1"/>
        <v>6.2780547160689567E-3</v>
      </c>
      <c r="V1193" s="5" t="s">
        <v>4</v>
      </c>
      <c r="W1193" s="84" t="s">
        <v>4</v>
      </c>
    </row>
    <row r="1194" spans="1:23" x14ac:dyDescent="0.25">
      <c r="A1194" s="90">
        <v>1175</v>
      </c>
      <c r="B1194" s="83"/>
      <c r="C1194" s="100">
        <f ca="1">_xll.meDateFromTenor(C1193,"1D","FOLLOWING",D$12)</f>
        <v>44196</v>
      </c>
      <c r="D1194" s="13">
        <f ca="1">_xll.meDateFromTenor(C1194,D$14,D$11,D$12)</f>
        <v>44200</v>
      </c>
      <c r="E1194" s="98">
        <f ca="1"/>
        <v>4.0657596771298689E-4</v>
      </c>
      <c r="F1194" s="94"/>
      <c r="G1194" s="100">
        <f ca="1">_xll.meDateFromTenor(G1193,"1D","FOLLOWING",H$12)</f>
        <v>44196</v>
      </c>
      <c r="H1194" s="13">
        <f ca="1">_xll.meDateFromTenor(G1194,H$14,H$11,H$12)</f>
        <v>44225</v>
      </c>
      <c r="I1194" s="98">
        <f ca="1"/>
        <v>1.2613475477953752E-3</v>
      </c>
      <c r="J1194" s="94" t="s">
        <v>4</v>
      </c>
      <c r="K1194" s="100">
        <f ca="1">_xll.meDateFromTenor(K1193,"1D","FOLLOWING",L$12)</f>
        <v>44196</v>
      </c>
      <c r="L1194" s="13">
        <f ca="1">_xll.meDateFromTenor(K1194,L$14,L$11,L$12)</f>
        <v>44286</v>
      </c>
      <c r="M1194" s="98">
        <f ca="1"/>
        <v>2.4381660879214204E-3</v>
      </c>
      <c r="N1194" s="5" t="s">
        <v>4</v>
      </c>
      <c r="O1194" s="100">
        <f ca="1">_xll.meDateFromTenor(O1193,"1D","FOLLOWING",P$12)</f>
        <v>44196</v>
      </c>
      <c r="P1194" s="13">
        <f ca="1">_xll.meDateFromTenor(O1194,P$14,P$11,P$12)</f>
        <v>44377</v>
      </c>
      <c r="Q1194" s="98">
        <f ca="1"/>
        <v>4.268691263329941E-3</v>
      </c>
      <c r="R1194" s="5" t="s">
        <v>4</v>
      </c>
      <c r="S1194" s="100">
        <f ca="1">_xll.meDateFromTenor(S1193,"1D","FOLLOWING",T$12)</f>
        <v>44196</v>
      </c>
      <c r="T1194" s="13">
        <f ca="1">_xll.meDateFromTenor(S1194,T$14,T$11,T$12)</f>
        <v>44561</v>
      </c>
      <c r="U1194" s="98">
        <f ca="1"/>
        <v>6.2851932592129494E-3</v>
      </c>
      <c r="V1194" s="5" t="s">
        <v>4</v>
      </c>
      <c r="W1194" s="84" t="s">
        <v>4</v>
      </c>
    </row>
    <row r="1195" spans="1:23" x14ac:dyDescent="0.25">
      <c r="A1195" s="90">
        <v>1176</v>
      </c>
      <c r="B1195" s="83"/>
      <c r="C1195" s="100">
        <f ca="1">_xll.meDateFromTenor(C1194,"1D","FOLLOWING",D$12)</f>
        <v>44200</v>
      </c>
      <c r="D1195" s="13">
        <f ca="1">_xll.meDateFromTenor(C1195,D$14,D$11,D$12)</f>
        <v>44201</v>
      </c>
      <c r="E1195" s="98">
        <f ca="1"/>
        <v>4.2299613020262464E-4</v>
      </c>
      <c r="F1195" s="94"/>
      <c r="G1195" s="100">
        <f ca="1">_xll.meDateFromTenor(G1194,"1D","FOLLOWING",H$12)</f>
        <v>44200</v>
      </c>
      <c r="H1195" s="13">
        <f ca="1">_xll.meDateFromTenor(G1195,H$14,H$11,H$12)</f>
        <v>44231</v>
      </c>
      <c r="I1195" s="98">
        <f ca="1"/>
        <v>1.2878851400636626E-3</v>
      </c>
      <c r="J1195" s="94" t="s">
        <v>4</v>
      </c>
      <c r="K1195" s="100">
        <f ca="1">_xll.meDateFromTenor(K1194,"1D","FOLLOWING",L$12)</f>
        <v>44200</v>
      </c>
      <c r="L1195" s="13">
        <f ca="1">_xll.meDateFromTenor(K1195,L$14,L$11,L$12)</f>
        <v>44292</v>
      </c>
      <c r="M1195" s="98">
        <f ca="1"/>
        <v>2.4676495966992119E-3</v>
      </c>
      <c r="N1195" s="5" t="s">
        <v>4</v>
      </c>
      <c r="O1195" s="100">
        <f ca="1">_xll.meDateFromTenor(O1194,"1D","FOLLOWING",P$12)</f>
        <v>44200</v>
      </c>
      <c r="P1195" s="13">
        <f ca="1">_xll.meDateFromTenor(O1195,P$14,P$11,P$12)</f>
        <v>44382</v>
      </c>
      <c r="Q1195" s="98">
        <f ca="1"/>
        <v>4.2965797426651456E-3</v>
      </c>
      <c r="R1195" s="5" t="s">
        <v>4</v>
      </c>
      <c r="S1195" s="100">
        <f ca="1">_xll.meDateFromTenor(S1194,"1D","FOLLOWING",T$12)</f>
        <v>44200</v>
      </c>
      <c r="T1195" s="13">
        <f ca="1">_xll.meDateFromTenor(S1195,T$14,T$11,T$12)</f>
        <v>44565</v>
      </c>
      <c r="U1195" s="98">
        <f ca="1"/>
        <v>6.3138495135850207E-3</v>
      </c>
      <c r="V1195" s="5" t="s">
        <v>4</v>
      </c>
      <c r="W1195" s="84" t="s">
        <v>4</v>
      </c>
    </row>
    <row r="1196" spans="1:23" x14ac:dyDescent="0.25">
      <c r="A1196" s="90">
        <v>1177</v>
      </c>
      <c r="B1196" s="83"/>
      <c r="C1196" s="100">
        <f ca="1">_xll.meDateFromTenor(C1195,"1D","FOLLOWING",D$12)</f>
        <v>44201</v>
      </c>
      <c r="D1196" s="13">
        <f ca="1">_xll.meDateFromTenor(C1196,D$14,D$11,D$12)</f>
        <v>44202</v>
      </c>
      <c r="E1196" s="98">
        <f ca="1"/>
        <v>4.2949503481722132E-4</v>
      </c>
      <c r="F1196" s="94"/>
      <c r="G1196" s="100">
        <f ca="1">_xll.meDateFromTenor(G1195,"1D","FOLLOWING",H$12)</f>
        <v>44201</v>
      </c>
      <c r="H1196" s="13">
        <f ca="1">_xll.meDateFromTenor(G1196,H$14,H$11,H$12)</f>
        <v>44232</v>
      </c>
      <c r="I1196" s="98">
        <f ca="1"/>
        <v>1.2945263162845526E-3</v>
      </c>
      <c r="J1196" s="94" t="s">
        <v>4</v>
      </c>
      <c r="K1196" s="100">
        <f ca="1">_xll.meDateFromTenor(K1195,"1D","FOLLOWING",L$12)</f>
        <v>44201</v>
      </c>
      <c r="L1196" s="13">
        <f ca="1">_xll.meDateFromTenor(K1196,L$14,L$11,L$12)</f>
        <v>44292</v>
      </c>
      <c r="M1196" s="98">
        <f ca="1"/>
        <v>2.4750299292495529E-3</v>
      </c>
      <c r="N1196" s="5" t="s">
        <v>4</v>
      </c>
      <c r="O1196" s="100">
        <f ca="1">_xll.meDateFromTenor(O1195,"1D","FOLLOWING",P$12)</f>
        <v>44201</v>
      </c>
      <c r="P1196" s="13">
        <f ca="1">_xll.meDateFromTenor(O1196,P$14,P$11,P$12)</f>
        <v>44382</v>
      </c>
      <c r="Q1196" s="98">
        <f ca="1"/>
        <v>4.3035602699119813E-3</v>
      </c>
      <c r="R1196" s="5" t="s">
        <v>4</v>
      </c>
      <c r="S1196" s="100">
        <f ca="1">_xll.meDateFromTenor(S1195,"1D","FOLLOWING",T$12)</f>
        <v>44201</v>
      </c>
      <c r="T1196" s="13">
        <f ca="1">_xll.meDateFromTenor(S1196,T$14,T$11,T$12)</f>
        <v>44566</v>
      </c>
      <c r="U1196" s="98">
        <f ca="1"/>
        <v>6.3210194581145131E-3</v>
      </c>
      <c r="V1196" s="5" t="s">
        <v>4</v>
      </c>
      <c r="W1196" s="84" t="s">
        <v>4</v>
      </c>
    </row>
    <row r="1197" spans="1:23" x14ac:dyDescent="0.25">
      <c r="A1197" s="90">
        <v>1178</v>
      </c>
      <c r="B1197" s="83"/>
      <c r="C1197" s="100">
        <f ca="1">_xll.meDateFromTenor(C1196,"1D","FOLLOWING",D$12)</f>
        <v>44202</v>
      </c>
      <c r="D1197" s="13">
        <f ca="1">_xll.meDateFromTenor(C1197,D$14,D$11,D$12)</f>
        <v>44203</v>
      </c>
      <c r="E1197" s="98">
        <f ca="1"/>
        <v>4.3595922184273952E-4</v>
      </c>
      <c r="F1197" s="94"/>
      <c r="G1197" s="100">
        <f ca="1">_xll.meDateFromTenor(G1196,"1D","FOLLOWING",H$12)</f>
        <v>44202</v>
      </c>
      <c r="H1197" s="13">
        <f ca="1">_xll.meDateFromTenor(G1197,H$14,H$11,H$12)</f>
        <v>44235</v>
      </c>
      <c r="I1197" s="98">
        <f ca="1"/>
        <v>1.301174421554734E-3</v>
      </c>
      <c r="J1197" s="94" t="s">
        <v>4</v>
      </c>
      <c r="K1197" s="100">
        <f ca="1">_xll.meDateFromTenor(K1196,"1D","FOLLOWING",L$12)</f>
        <v>44202</v>
      </c>
      <c r="L1197" s="13">
        <f ca="1">_xll.meDateFromTenor(K1197,L$14,L$11,L$12)</f>
        <v>44292</v>
      </c>
      <c r="M1197" s="98">
        <f ca="1"/>
        <v>2.4824139386436907E-3</v>
      </c>
      <c r="N1197" s="5" t="s">
        <v>4</v>
      </c>
      <c r="O1197" s="100">
        <f ca="1">_xll.meDateFromTenor(O1196,"1D","FOLLOWING",P$12)</f>
        <v>44202</v>
      </c>
      <c r="P1197" s="13">
        <f ca="1">_xll.meDateFromTenor(O1197,P$14,P$11,P$12)</f>
        <v>44383</v>
      </c>
      <c r="Q1197" s="98">
        <f ca="1"/>
        <v>4.3105441485348792E-3</v>
      </c>
      <c r="R1197" s="5" t="s">
        <v>4</v>
      </c>
      <c r="S1197" s="100">
        <f ca="1">_xll.meDateFromTenor(S1196,"1D","FOLLOWING",T$12)</f>
        <v>44202</v>
      </c>
      <c r="T1197" s="13">
        <f ca="1">_xll.meDateFromTenor(S1197,T$14,T$11,T$12)</f>
        <v>44567</v>
      </c>
      <c r="U1197" s="98">
        <f ca="1"/>
        <v>6.3281917209549871E-3</v>
      </c>
      <c r="V1197" s="5" t="s">
        <v>4</v>
      </c>
      <c r="W1197" s="84" t="s">
        <v>4</v>
      </c>
    </row>
    <row r="1198" spans="1:23" x14ac:dyDescent="0.25">
      <c r="A1198" s="90">
        <v>1179</v>
      </c>
      <c r="B1198" s="83"/>
      <c r="C1198" s="100">
        <f ca="1">_xll.meDateFromTenor(C1197,"1D","FOLLOWING",D$12)</f>
        <v>44203</v>
      </c>
      <c r="D1198" s="13">
        <f ca="1">_xll.meDateFromTenor(C1198,D$14,D$11,D$12)</f>
        <v>44204</v>
      </c>
      <c r="E1198" s="98">
        <f ca="1"/>
        <v>4.4238869135966878E-4</v>
      </c>
      <c r="F1198" s="94"/>
      <c r="G1198" s="100">
        <f ca="1">_xll.meDateFromTenor(G1197,"1D","FOLLOWING",H$12)</f>
        <v>44203</v>
      </c>
      <c r="H1198" s="13">
        <f ca="1">_xll.meDateFromTenor(G1198,H$14,H$11,H$12)</f>
        <v>44235</v>
      </c>
      <c r="I1198" s="98">
        <f ca="1"/>
        <v>1.3078323955005545E-3</v>
      </c>
      <c r="J1198" s="94" t="s">
        <v>4</v>
      </c>
      <c r="K1198" s="100">
        <f ca="1">_xll.meDateFromTenor(K1197,"1D","FOLLOWING",L$12)</f>
        <v>44203</v>
      </c>
      <c r="L1198" s="13">
        <f ca="1">_xll.meDateFromTenor(K1198,L$14,L$11,L$12)</f>
        <v>44293</v>
      </c>
      <c r="M1198" s="98">
        <f ca="1"/>
        <v>2.4898015722323451E-3</v>
      </c>
      <c r="N1198" s="5" t="s">
        <v>4</v>
      </c>
      <c r="O1198" s="100">
        <f ca="1">_xll.meDateFromTenor(O1197,"1D","FOLLOWING",P$12)</f>
        <v>44203</v>
      </c>
      <c r="P1198" s="13">
        <f ca="1">_xll.meDateFromTenor(O1198,P$14,P$11,P$12)</f>
        <v>44384</v>
      </c>
      <c r="Q1198" s="98">
        <f ca="1"/>
        <v>4.317531372739266E-3</v>
      </c>
      <c r="R1198" s="5" t="s">
        <v>4</v>
      </c>
      <c r="S1198" s="100">
        <f ca="1">_xll.meDateFromTenor(S1197,"1D","FOLLOWING",T$12)</f>
        <v>44203</v>
      </c>
      <c r="T1198" s="13">
        <f ca="1">_xll.meDateFromTenor(S1198,T$14,T$11,T$12)</f>
        <v>44568</v>
      </c>
      <c r="U1198" s="98">
        <f ca="1"/>
        <v>6.3353662850746378E-3</v>
      </c>
      <c r="V1198" s="5" t="s">
        <v>4</v>
      </c>
      <c r="W1198" s="84" t="s">
        <v>4</v>
      </c>
    </row>
    <row r="1199" spans="1:23" x14ac:dyDescent="0.25">
      <c r="A1199" s="90">
        <v>1180</v>
      </c>
      <c r="B1199" s="83"/>
      <c r="C1199" s="100">
        <f ca="1">_xll.meDateFromTenor(C1198,"1D","FOLLOWING",D$12)</f>
        <v>44204</v>
      </c>
      <c r="D1199" s="13">
        <f ca="1">_xll.meDateFromTenor(C1199,D$14,D$11,D$12)</f>
        <v>44207</v>
      </c>
      <c r="E1199" s="98">
        <f ca="1"/>
        <v>4.5513248186244092E-4</v>
      </c>
      <c r="F1199" s="94"/>
      <c r="G1199" s="100">
        <f ca="1">_xll.meDateFromTenor(G1198,"1D","FOLLOWING",H$12)</f>
        <v>44204</v>
      </c>
      <c r="H1199" s="13">
        <f ca="1">_xll.meDateFromTenor(G1199,H$14,H$11,H$12)</f>
        <v>44235</v>
      </c>
      <c r="I1199" s="98">
        <f ca="1"/>
        <v>1.314503177748361E-3</v>
      </c>
      <c r="J1199" s="94" t="s">
        <v>4</v>
      </c>
      <c r="K1199" s="100">
        <f ca="1">_xll.meDateFromTenor(K1198,"1D","FOLLOWING",L$12)</f>
        <v>44204</v>
      </c>
      <c r="L1199" s="13">
        <f ca="1">_xll.meDateFromTenor(K1199,L$14,L$11,L$12)</f>
        <v>44294</v>
      </c>
      <c r="M1199" s="98">
        <f ca="1"/>
        <v>2.4971927773662366E-3</v>
      </c>
      <c r="N1199" s="5" t="s">
        <v>4</v>
      </c>
      <c r="O1199" s="100">
        <f ca="1">_xll.meDateFromTenor(O1198,"1D","FOLLOWING",P$12)</f>
        <v>44204</v>
      </c>
      <c r="P1199" s="13">
        <f ca="1">_xll.meDateFromTenor(O1199,P$14,P$11,P$12)</f>
        <v>44385</v>
      </c>
      <c r="Q1199" s="98">
        <f ca="1"/>
        <v>4.3245219367305642E-3</v>
      </c>
      <c r="R1199" s="5" t="s">
        <v>4</v>
      </c>
      <c r="S1199" s="100">
        <f ca="1">_xll.meDateFromTenor(S1198,"1D","FOLLOWING",T$12)</f>
        <v>44204</v>
      </c>
      <c r="T1199" s="13">
        <f ca="1">_xll.meDateFromTenor(S1199,T$14,T$11,T$12)</f>
        <v>44571</v>
      </c>
      <c r="U1199" s="98">
        <f ca="1"/>
        <v>6.3425431334416605E-3</v>
      </c>
      <c r="V1199" s="5" t="s">
        <v>4</v>
      </c>
      <c r="W1199" s="84" t="s">
        <v>4</v>
      </c>
    </row>
    <row r="1200" spans="1:23" x14ac:dyDescent="0.25">
      <c r="A1200" s="90">
        <v>1181</v>
      </c>
      <c r="B1200" s="83"/>
      <c r="C1200" s="100">
        <f ca="1">_xll.meDateFromTenor(C1199,"1D","FOLLOWING",D$12)</f>
        <v>44207</v>
      </c>
      <c r="D1200" s="13">
        <f ca="1">_xll.meDateFromTenor(C1200,D$14,D$11,D$12)</f>
        <v>44208</v>
      </c>
      <c r="E1200" s="98">
        <f ca="1"/>
        <v>4.6775939849482567E-4</v>
      </c>
      <c r="F1200" s="94"/>
      <c r="G1200" s="100">
        <f ca="1">_xll.meDateFromTenor(G1199,"1D","FOLLOWING",H$12)</f>
        <v>44207</v>
      </c>
      <c r="H1200" s="13">
        <f ca="1">_xll.meDateFromTenor(G1200,H$14,H$11,H$12)</f>
        <v>44238</v>
      </c>
      <c r="I1200" s="98">
        <f ca="1"/>
        <v>1.3346217705671732E-3</v>
      </c>
      <c r="J1200" s="94" t="s">
        <v>4</v>
      </c>
      <c r="K1200" s="100">
        <f ca="1">_xll.meDateFromTenor(K1199,"1D","FOLLOWING",L$12)</f>
        <v>44207</v>
      </c>
      <c r="L1200" s="13">
        <f ca="1">_xll.meDateFromTenor(K1200,L$14,L$11,L$12)</f>
        <v>44298</v>
      </c>
      <c r="M1200" s="98">
        <f ca="1"/>
        <v>2.519387295546527E-3</v>
      </c>
      <c r="N1200" s="5" t="s">
        <v>4</v>
      </c>
      <c r="O1200" s="100">
        <f ca="1">_xll.meDateFromTenor(O1199,"1D","FOLLOWING",P$12)</f>
        <v>44207</v>
      </c>
      <c r="P1200" s="13">
        <f ca="1">_xll.meDateFromTenor(O1200,P$14,P$11,P$12)</f>
        <v>44389</v>
      </c>
      <c r="Q1200" s="98">
        <f ca="1"/>
        <v>4.3455136094801786E-3</v>
      </c>
      <c r="R1200" s="5" t="s">
        <v>4</v>
      </c>
      <c r="S1200" s="100">
        <f ca="1">_xll.meDateFromTenor(S1199,"1D","FOLLOWING",T$12)</f>
        <v>44207</v>
      </c>
      <c r="T1200" s="13">
        <f ca="1">_xll.meDateFromTenor(S1200,T$14,T$11,T$12)</f>
        <v>44572</v>
      </c>
      <c r="U1200" s="98">
        <f ca="1"/>
        <v>6.3640872137089135E-3</v>
      </c>
      <c r="V1200" s="5" t="s">
        <v>4</v>
      </c>
      <c r="W1200" s="84" t="s">
        <v>4</v>
      </c>
    </row>
    <row r="1201" spans="1:23" x14ac:dyDescent="0.25">
      <c r="A1201" s="90">
        <v>1182</v>
      </c>
      <c r="B1201" s="83"/>
      <c r="C1201" s="100">
        <f ca="1">_xll.meDateFromTenor(C1200,"1D","FOLLOWING",D$12)</f>
        <v>44208</v>
      </c>
      <c r="D1201" s="13">
        <f ca="1">_xll.meDateFromTenor(C1201,D$14,D$11,D$12)</f>
        <v>44209</v>
      </c>
      <c r="E1201" s="98">
        <f ca="1"/>
        <v>4.7401528326488723E-4</v>
      </c>
      <c r="F1201" s="94"/>
      <c r="G1201" s="100">
        <f ca="1">_xll.meDateFromTenor(G1200,"1D","FOLLOWING",H$12)</f>
        <v>44208</v>
      </c>
      <c r="H1201" s="13">
        <f ca="1">_xll.meDateFromTenor(G1201,H$14,H$11,H$12)</f>
        <v>44239</v>
      </c>
      <c r="I1201" s="98">
        <f ca="1"/>
        <v>1.3413731822864011E-3</v>
      </c>
      <c r="J1201" s="94" t="s">
        <v>4</v>
      </c>
      <c r="K1201" s="100">
        <f ca="1">_xll.meDateFromTenor(K1200,"1D","FOLLOWING",L$12)</f>
        <v>44208</v>
      </c>
      <c r="L1201" s="13">
        <f ca="1">_xll.meDateFromTenor(K1201,L$14,L$11,L$12)</f>
        <v>44298</v>
      </c>
      <c r="M1201" s="98">
        <f ca="1"/>
        <v>2.5267922603685639E-3</v>
      </c>
      <c r="N1201" s="5" t="s">
        <v>4</v>
      </c>
      <c r="O1201" s="100">
        <f ca="1">_xll.meDateFromTenor(O1200,"1D","FOLLOWING",P$12)</f>
        <v>44208</v>
      </c>
      <c r="P1201" s="13">
        <f ca="1">_xll.meDateFromTenor(O1201,P$14,P$11,P$12)</f>
        <v>44389</v>
      </c>
      <c r="Q1201" s="98">
        <f ca="1"/>
        <v>4.3525174746733737E-3</v>
      </c>
      <c r="R1201" s="5" t="s">
        <v>4</v>
      </c>
      <c r="S1201" s="100">
        <f ca="1">_xll.meDateFromTenor(S1200,"1D","FOLLOWING",T$12)</f>
        <v>44208</v>
      </c>
      <c r="T1201" s="13">
        <f ca="1">_xll.meDateFromTenor(S1201,T$14,T$11,T$12)</f>
        <v>44573</v>
      </c>
      <c r="U1201" s="98">
        <f ca="1"/>
        <v>6.3712730287473797E-3</v>
      </c>
      <c r="V1201" s="5" t="s">
        <v>4</v>
      </c>
      <c r="W1201" s="84" t="s">
        <v>4</v>
      </c>
    </row>
    <row r="1202" spans="1:23" x14ac:dyDescent="0.25">
      <c r="A1202" s="90">
        <v>1183</v>
      </c>
      <c r="B1202" s="83"/>
      <c r="C1202" s="100">
        <f ca="1">_xll.meDateFromTenor(C1201,"1D","FOLLOWING",D$12)</f>
        <v>44209</v>
      </c>
      <c r="D1202" s="13">
        <f ca="1">_xll.meDateFromTenor(C1202,D$14,D$11,D$12)</f>
        <v>44210</v>
      </c>
      <c r="E1202" s="98">
        <f ca="1"/>
        <v>4.8023645156555295E-4</v>
      </c>
      <c r="F1202" s="94"/>
      <c r="G1202" s="100">
        <f ca="1">_xll.meDateFromTenor(G1201,"1D","FOLLOWING",H$12)</f>
        <v>44209</v>
      </c>
      <c r="H1202" s="13">
        <f ca="1">_xll.meDateFromTenor(G1202,H$14,H$11,H$12)</f>
        <v>44242</v>
      </c>
      <c r="I1202" s="98">
        <f ca="1"/>
        <v>1.3481521004393533E-3</v>
      </c>
      <c r="J1202" s="94" t="s">
        <v>4</v>
      </c>
      <c r="K1202" s="100">
        <f ca="1">_xll.meDateFromTenor(K1201,"1D","FOLLOWING",L$12)</f>
        <v>44209</v>
      </c>
      <c r="L1202" s="13">
        <f ca="1">_xll.meDateFromTenor(K1202,L$14,L$11,L$12)</f>
        <v>44299</v>
      </c>
      <c r="M1202" s="98">
        <f ca="1"/>
        <v>2.5342005334894374E-3</v>
      </c>
      <c r="N1202" s="5" t="s">
        <v>4</v>
      </c>
      <c r="O1202" s="100">
        <f ca="1">_xll.meDateFromTenor(O1201,"1D","FOLLOWING",P$12)</f>
        <v>44209</v>
      </c>
      <c r="P1202" s="13">
        <f ca="1">_xll.meDateFromTenor(O1202,P$14,P$11,P$12)</f>
        <v>44390</v>
      </c>
      <c r="Q1202" s="98">
        <f ca="1"/>
        <v>4.3595246506806041E-3</v>
      </c>
      <c r="R1202" s="5" t="s">
        <v>4</v>
      </c>
      <c r="S1202" s="100">
        <f ca="1">_xll.meDateFromTenor(S1201,"1D","FOLLOWING",T$12)</f>
        <v>44209</v>
      </c>
      <c r="T1202" s="13">
        <f ca="1">_xll.meDateFromTenor(S1202,T$14,T$11,T$12)</f>
        <v>44574</v>
      </c>
      <c r="U1202" s="98">
        <f ca="1"/>
        <v>6.3784610428741948E-3</v>
      </c>
      <c r="V1202" s="5" t="s">
        <v>4</v>
      </c>
      <c r="W1202" s="84" t="s">
        <v>4</v>
      </c>
    </row>
    <row r="1203" spans="1:23" x14ac:dyDescent="0.25">
      <c r="A1203" s="90">
        <v>1184</v>
      </c>
      <c r="B1203" s="83"/>
      <c r="C1203" s="100">
        <f ca="1">_xll.meDateFromTenor(C1202,"1D","FOLLOWING",D$12)</f>
        <v>44210</v>
      </c>
      <c r="D1203" s="13">
        <f ca="1">_xll.meDateFromTenor(C1203,D$14,D$11,D$12)</f>
        <v>44211</v>
      </c>
      <c r="E1203" s="98">
        <f ca="1"/>
        <v>4.8642290363602069E-4</v>
      </c>
      <c r="F1203" s="94"/>
      <c r="G1203" s="100">
        <f ca="1">_xll.meDateFromTenor(G1202,"1D","FOLLOWING",H$12)</f>
        <v>44210</v>
      </c>
      <c r="H1203" s="13">
        <f ca="1">_xll.meDateFromTenor(G1203,H$14,H$11,H$12)</f>
        <v>44242</v>
      </c>
      <c r="I1203" s="98">
        <f ca="1"/>
        <v>1.3549614646523769E-3</v>
      </c>
      <c r="J1203" s="94" t="s">
        <v>4</v>
      </c>
      <c r="K1203" s="100">
        <f ca="1">_xll.meDateFromTenor(K1202,"1D","FOLLOWING",L$12)</f>
        <v>44210</v>
      </c>
      <c r="L1203" s="13">
        <f ca="1">_xll.meDateFromTenor(K1203,L$14,L$11,L$12)</f>
        <v>44300</v>
      </c>
      <c r="M1203" s="98">
        <f ca="1"/>
        <v>2.5416120622598674E-3</v>
      </c>
      <c r="N1203" s="5" t="s">
        <v>4</v>
      </c>
      <c r="O1203" s="100">
        <f ca="1">_xll.meDateFromTenor(O1202,"1D","FOLLOWING",P$12)</f>
        <v>44210</v>
      </c>
      <c r="P1203" s="13">
        <f ca="1">_xll.meDateFromTenor(O1203,P$14,P$11,P$12)</f>
        <v>44391</v>
      </c>
      <c r="Q1203" s="98">
        <f ca="1"/>
        <v>4.3665351317072948E-3</v>
      </c>
      <c r="R1203" s="5" t="s">
        <v>4</v>
      </c>
      <c r="S1203" s="100">
        <f ca="1">_xll.meDateFromTenor(S1202,"1D","FOLLOWING",T$12)</f>
        <v>44210</v>
      </c>
      <c r="T1203" s="13">
        <f ca="1">_xll.meDateFromTenor(S1203,T$14,T$11,T$12)</f>
        <v>44575</v>
      </c>
      <c r="U1203" s="98">
        <f ca="1"/>
        <v>6.3856512390575567E-3</v>
      </c>
      <c r="V1203" s="5" t="s">
        <v>4</v>
      </c>
      <c r="W1203" s="84" t="s">
        <v>4</v>
      </c>
    </row>
    <row r="1204" spans="1:23" x14ac:dyDescent="0.25">
      <c r="A1204" s="90">
        <v>1185</v>
      </c>
      <c r="B1204" s="83"/>
      <c r="C1204" s="100">
        <f ca="1">_xll.meDateFromTenor(C1203,"1D","FOLLOWING",D$12)</f>
        <v>44211</v>
      </c>
      <c r="D1204" s="13">
        <f ca="1">_xll.meDateFromTenor(C1204,D$14,D$11,D$12)</f>
        <v>44214</v>
      </c>
      <c r="E1204" s="98">
        <f ca="1"/>
        <v>4.9868077768525142E-4</v>
      </c>
      <c r="F1204" s="94"/>
      <c r="G1204" s="100">
        <f ca="1">_xll.meDateFromTenor(G1203,"1D","FOLLOWING",H$12)</f>
        <v>44211</v>
      </c>
      <c r="H1204" s="13">
        <f ca="1">_xll.meDateFromTenor(G1204,H$14,H$11,H$12)</f>
        <v>44242</v>
      </c>
      <c r="I1204" s="98">
        <f ca="1"/>
        <v>1.36180421455182E-3</v>
      </c>
      <c r="J1204" s="94" t="s">
        <v>4</v>
      </c>
      <c r="K1204" s="100">
        <f ca="1">_xll.meDateFromTenor(K1203,"1D","FOLLOWING",L$12)</f>
        <v>44211</v>
      </c>
      <c r="L1204" s="13">
        <f ca="1">_xll.meDateFromTenor(K1204,L$14,L$11,L$12)</f>
        <v>44301</v>
      </c>
      <c r="M1204" s="98">
        <f ca="1"/>
        <v>2.5490267940305729E-3</v>
      </c>
      <c r="N1204" s="5" t="s">
        <v>4</v>
      </c>
      <c r="O1204" s="100">
        <f ca="1">_xll.meDateFromTenor(O1203,"1D","FOLLOWING",P$12)</f>
        <v>44211</v>
      </c>
      <c r="P1204" s="13">
        <f ca="1">_xll.meDateFromTenor(O1204,P$14,P$11,P$12)</f>
        <v>44392</v>
      </c>
      <c r="Q1204" s="98">
        <f ca="1"/>
        <v>4.3735489119588701E-3</v>
      </c>
      <c r="R1204" s="5" t="s">
        <v>4</v>
      </c>
      <c r="S1204" s="100">
        <f ca="1">_xll.meDateFromTenor(S1203,"1D","FOLLOWING",T$12)</f>
        <v>44211</v>
      </c>
      <c r="T1204" s="13">
        <f ca="1">_xll.meDateFromTenor(S1204,T$14,T$11,T$12)</f>
        <v>44578</v>
      </c>
      <c r="U1204" s="98">
        <f ca="1"/>
        <v>6.3928436002656588E-3</v>
      </c>
      <c r="V1204" s="5" t="s">
        <v>4</v>
      </c>
      <c r="W1204" s="84" t="s">
        <v>4</v>
      </c>
    </row>
    <row r="1205" spans="1:23" x14ac:dyDescent="0.25">
      <c r="A1205" s="90">
        <v>1186</v>
      </c>
      <c r="B1205" s="83"/>
      <c r="C1205" s="100">
        <f ca="1">_xll.meDateFromTenor(C1204,"1D","FOLLOWING",D$12)</f>
        <v>44214</v>
      </c>
      <c r="D1205" s="13">
        <f ca="1">_xll.meDateFromTenor(C1205,D$14,D$11,D$12)</f>
        <v>44215</v>
      </c>
      <c r="E1205" s="98">
        <f ca="1"/>
        <v>5.1082155041895852E-4</v>
      </c>
      <c r="F1205" s="94"/>
      <c r="G1205" s="100">
        <f ca="1">_xll.meDateFromTenor(G1204,"1D","FOLLOWING",H$12)</f>
        <v>44214</v>
      </c>
      <c r="H1205" s="13">
        <f ca="1">_xll.meDateFromTenor(G1205,H$14,H$11,H$12)</f>
        <v>44245</v>
      </c>
      <c r="I1205" s="98">
        <f ca="1"/>
        <v>1.3825621746321405E-3</v>
      </c>
      <c r="J1205" s="94" t="s">
        <v>4</v>
      </c>
      <c r="K1205" s="100">
        <f ca="1">_xll.meDateFromTenor(K1204,"1D","FOLLOWING",L$12)</f>
        <v>44214</v>
      </c>
      <c r="L1205" s="13">
        <f ca="1">_xll.meDateFromTenor(K1205,L$14,L$11,L$12)</f>
        <v>44305</v>
      </c>
      <c r="M1205" s="98">
        <f ca="1"/>
        <v>2.5712896808515466E-3</v>
      </c>
      <c r="N1205" s="5" t="s">
        <v>4</v>
      </c>
      <c r="O1205" s="100">
        <f ca="1">_xll.meDateFromTenor(O1204,"1D","FOLLOWING",P$12)</f>
        <v>44214</v>
      </c>
      <c r="P1205" s="13">
        <f ca="1">_xll.meDateFromTenor(O1205,P$14,P$11,P$12)</f>
        <v>44396</v>
      </c>
      <c r="Q1205" s="98">
        <f ca="1"/>
        <v>4.3946099901171548E-3</v>
      </c>
      <c r="R1205" s="5" t="s">
        <v>4</v>
      </c>
      <c r="S1205" s="100">
        <f ca="1">_xll.meDateFromTenor(S1204,"1D","FOLLOWING",T$12)</f>
        <v>44214</v>
      </c>
      <c r="T1205" s="13">
        <f ca="1">_xll.meDateFromTenor(S1205,T$14,T$11,T$12)</f>
        <v>44579</v>
      </c>
      <c r="U1205" s="98">
        <f ca="1"/>
        <v>6.4144335037203638E-3</v>
      </c>
      <c r="V1205" s="5" t="s">
        <v>4</v>
      </c>
      <c r="W1205" s="84" t="s">
        <v>4</v>
      </c>
    </row>
    <row r="1206" spans="1:23" x14ac:dyDescent="0.25">
      <c r="A1206" s="90">
        <v>1187</v>
      </c>
      <c r="B1206" s="83"/>
      <c r="C1206" s="100">
        <f ca="1">_xll.meDateFromTenor(C1205,"1D","FOLLOWING",D$12)</f>
        <v>44215</v>
      </c>
      <c r="D1206" s="13">
        <f ca="1">_xll.meDateFromTenor(C1206,D$14,D$11,D$12)</f>
        <v>44216</v>
      </c>
      <c r="E1206" s="98">
        <f ca="1"/>
        <v>5.1683442237945973E-4</v>
      </c>
      <c r="F1206" s="94"/>
      <c r="G1206" s="100">
        <f ca="1">_xll.meDateFromTenor(G1205,"1D","FOLLOWING",H$12)</f>
        <v>44215</v>
      </c>
      <c r="H1206" s="13">
        <f ca="1">_xll.meDateFromTenor(G1206,H$14,H$11,H$12)</f>
        <v>44246</v>
      </c>
      <c r="I1206" s="98">
        <f ca="1"/>
        <v>1.3895678635407341E-3</v>
      </c>
      <c r="J1206" s="94" t="s">
        <v>4</v>
      </c>
      <c r="K1206" s="100">
        <f ca="1">_xll.meDateFromTenor(K1205,"1D","FOLLOWING",L$12)</f>
        <v>44215</v>
      </c>
      <c r="L1206" s="13">
        <f ca="1">_xll.meDateFromTenor(K1206,L$14,L$11,L$12)</f>
        <v>44305</v>
      </c>
      <c r="M1206" s="98">
        <f ca="1"/>
        <v>2.5787166981305542E-3</v>
      </c>
      <c r="N1206" s="5" t="s">
        <v>4</v>
      </c>
      <c r="O1206" s="100">
        <f ca="1">_xll.meDateFromTenor(O1205,"1D","FOLLOWING",P$12)</f>
        <v>44215</v>
      </c>
      <c r="P1206" s="13">
        <f ca="1">_xll.meDateFromTenor(O1206,P$14,P$11,P$12)</f>
        <v>44396</v>
      </c>
      <c r="Q1206" s="98">
        <f ca="1"/>
        <v>4.4016369093225153E-3</v>
      </c>
      <c r="R1206" s="5" t="s">
        <v>4</v>
      </c>
      <c r="S1206" s="100">
        <f ca="1">_xll.meDateFromTenor(S1205,"1D","FOLLOWING",T$12)</f>
        <v>44215</v>
      </c>
      <c r="T1206" s="13">
        <f ca="1">_xll.meDateFromTenor(S1206,T$14,T$11,T$12)</f>
        <v>44580</v>
      </c>
      <c r="U1206" s="98">
        <f ca="1"/>
        <v>6.4216343547093824E-3</v>
      </c>
      <c r="V1206" s="5" t="s">
        <v>4</v>
      </c>
      <c r="W1206" s="84" t="s">
        <v>4</v>
      </c>
    </row>
    <row r="1207" spans="1:23" x14ac:dyDescent="0.25">
      <c r="A1207" s="90">
        <v>1188</v>
      </c>
      <c r="B1207" s="83"/>
      <c r="C1207" s="100">
        <f ca="1">_xll.meDateFromTenor(C1206,"1D","FOLLOWING",D$12)</f>
        <v>44216</v>
      </c>
      <c r="D1207" s="13">
        <f ca="1">_xll.meDateFromTenor(C1207,D$14,D$11,D$12)</f>
        <v>44217</v>
      </c>
      <c r="E1207" s="98">
        <f ca="1"/>
        <v>5.2281257874922812E-4</v>
      </c>
      <c r="F1207" s="94"/>
      <c r="G1207" s="100">
        <f ca="1">_xll.meDateFromTenor(G1206,"1D","FOLLOWING",H$12)</f>
        <v>44216</v>
      </c>
      <c r="H1207" s="13">
        <f ca="1">_xll.meDateFromTenor(G1207,H$14,H$11,H$12)</f>
        <v>44249</v>
      </c>
      <c r="I1207" s="98">
        <f ca="1"/>
        <v>1.3966216362674866E-3</v>
      </c>
      <c r="J1207" s="94" t="s">
        <v>4</v>
      </c>
      <c r="K1207" s="100">
        <f ca="1">_xll.meDateFromTenor(K1206,"1D","FOLLOWING",L$12)</f>
        <v>44216</v>
      </c>
      <c r="L1207" s="13">
        <f ca="1">_xll.meDateFromTenor(K1207,L$14,L$11,L$12)</f>
        <v>44306</v>
      </c>
      <c r="M1207" s="98">
        <f ca="1"/>
        <v>2.5861466551634401E-3</v>
      </c>
      <c r="N1207" s="5" t="s">
        <v>4</v>
      </c>
      <c r="O1207" s="100">
        <f ca="1">_xll.meDateFromTenor(O1206,"1D","FOLLOWING",P$12)</f>
        <v>44216</v>
      </c>
      <c r="P1207" s="13">
        <f ca="1">_xll.meDateFromTenor(O1207,P$14,P$11,P$12)</f>
        <v>44397</v>
      </c>
      <c r="Q1207" s="98">
        <f ca="1"/>
        <v>4.4086670987798868E-3</v>
      </c>
      <c r="R1207" s="5" t="s">
        <v>4</v>
      </c>
      <c r="S1207" s="100">
        <f ca="1">_xll.meDateFromTenor(S1206,"1D","FOLLOWING",T$12)</f>
        <v>44216</v>
      </c>
      <c r="T1207" s="13">
        <f ca="1">_xll.meDateFromTenor(S1207,T$14,T$11,T$12)</f>
        <v>44581</v>
      </c>
      <c r="U1207" s="98">
        <f ca="1"/>
        <v>6.4288372855641216E-3</v>
      </c>
      <c r="V1207" s="5" t="s">
        <v>4</v>
      </c>
      <c r="W1207" s="84" t="s">
        <v>4</v>
      </c>
    </row>
    <row r="1208" spans="1:23" x14ac:dyDescent="0.25">
      <c r="A1208" s="90">
        <v>1189</v>
      </c>
      <c r="B1208" s="83"/>
      <c r="C1208" s="100">
        <f ca="1">_xll.meDateFromTenor(C1207,"1D","FOLLOWING",D$12)</f>
        <v>44217</v>
      </c>
      <c r="D1208" s="13">
        <f ca="1">_xll.meDateFromTenor(C1208,D$14,D$11,D$12)</f>
        <v>44218</v>
      </c>
      <c r="E1208" s="98">
        <f ca="1"/>
        <v>5.2875601960886457E-4</v>
      </c>
      <c r="F1208" s="94"/>
      <c r="G1208" s="100">
        <f ca="1">_xll.meDateFromTenor(G1207,"1D","FOLLOWING",H$12)</f>
        <v>44217</v>
      </c>
      <c r="H1208" s="13">
        <f ca="1">_xll.meDateFromTenor(G1208,H$14,H$11,H$12)</f>
        <v>44249</v>
      </c>
      <c r="I1208" s="98">
        <f ca="1"/>
        <v>1.403726432438744E-3</v>
      </c>
      <c r="J1208" s="94" t="s">
        <v>4</v>
      </c>
      <c r="K1208" s="100">
        <f ca="1">_xll.meDateFromTenor(K1207,"1D","FOLLOWING",L$12)</f>
        <v>44217</v>
      </c>
      <c r="L1208" s="13">
        <f ca="1">_xll.meDateFromTenor(K1208,L$14,L$11,L$12)</f>
        <v>44307</v>
      </c>
      <c r="M1208" s="98">
        <f ca="1"/>
        <v>2.5935794993009213E-3</v>
      </c>
      <c r="N1208" s="5" t="s">
        <v>4</v>
      </c>
      <c r="O1208" s="100">
        <f ca="1">_xll.meDateFromTenor(O1207,"1D","FOLLOWING",P$12)</f>
        <v>44217</v>
      </c>
      <c r="P1208" s="13">
        <f ca="1">_xll.meDateFromTenor(O1208,P$14,P$11,P$12)</f>
        <v>44398</v>
      </c>
      <c r="Q1208" s="98">
        <f ca="1"/>
        <v>4.4157005526946911E-3</v>
      </c>
      <c r="R1208" s="5" t="s">
        <v>4</v>
      </c>
      <c r="S1208" s="100">
        <f ca="1">_xll.meDateFromTenor(S1207,"1D","FOLLOWING",T$12)</f>
        <v>44217</v>
      </c>
      <c r="T1208" s="13">
        <f ca="1">_xll.meDateFromTenor(S1208,T$14,T$11,T$12)</f>
        <v>44582</v>
      </c>
      <c r="U1208" s="98">
        <f ca="1"/>
        <v>6.4360422792527749E-3</v>
      </c>
      <c r="V1208" s="5" t="s">
        <v>4</v>
      </c>
      <c r="W1208" s="84" t="s">
        <v>4</v>
      </c>
    </row>
    <row r="1209" spans="1:23" x14ac:dyDescent="0.25">
      <c r="A1209" s="90">
        <v>1190</v>
      </c>
      <c r="B1209" s="83"/>
      <c r="C1209" s="100">
        <f ca="1">_xll.meDateFromTenor(C1208,"1D","FOLLOWING",D$12)</f>
        <v>44218</v>
      </c>
      <c r="D1209" s="13">
        <f ca="1">_xll.meDateFromTenor(C1209,D$14,D$11,D$12)</f>
        <v>44221</v>
      </c>
      <c r="E1209" s="98">
        <f ca="1"/>
        <v>5.4052799457690679E-4</v>
      </c>
      <c r="F1209" s="94"/>
      <c r="G1209" s="100">
        <f ca="1">_xll.meDateFromTenor(G1208,"1D","FOLLOWING",H$12)</f>
        <v>44218</v>
      </c>
      <c r="H1209" s="13">
        <f ca="1">_xll.meDateFromTenor(G1209,H$14,H$11,H$12)</f>
        <v>44249</v>
      </c>
      <c r="I1209" s="98">
        <f ca="1"/>
        <v>1.4108851916808532E-3</v>
      </c>
      <c r="J1209" s="94" t="s">
        <v>4</v>
      </c>
      <c r="K1209" s="100">
        <f ca="1">_xll.meDateFromTenor(K1208,"1D","FOLLOWING",L$12)</f>
        <v>44218</v>
      </c>
      <c r="L1209" s="13">
        <f ca="1">_xll.meDateFromTenor(K1209,L$14,L$11,L$12)</f>
        <v>44308</v>
      </c>
      <c r="M1209" s="98">
        <f ca="1"/>
        <v>2.6010151778937183E-3</v>
      </c>
      <c r="N1209" s="5" t="s">
        <v>4</v>
      </c>
      <c r="O1209" s="100">
        <f ca="1">_xll.meDateFromTenor(O1208,"1D","FOLLOWING",P$12)</f>
        <v>44218</v>
      </c>
      <c r="P1209" s="13">
        <f ca="1">_xll.meDateFromTenor(O1209,P$14,P$11,P$12)</f>
        <v>44399</v>
      </c>
      <c r="Q1209" s="98">
        <f ca="1"/>
        <v>4.4227372652723531E-3</v>
      </c>
      <c r="R1209" s="5" t="s">
        <v>4</v>
      </c>
      <c r="S1209" s="100">
        <f ca="1">_xll.meDateFromTenor(S1208,"1D","FOLLOWING",T$12)</f>
        <v>44218</v>
      </c>
      <c r="T1209" s="13">
        <f ca="1">_xll.meDateFromTenor(S1209,T$14,T$11,T$12)</f>
        <v>44585</v>
      </c>
      <c r="U1209" s="98">
        <f ca="1"/>
        <v>6.4432493187435384E-3</v>
      </c>
      <c r="V1209" s="5" t="s">
        <v>4</v>
      </c>
      <c r="W1209" s="84" t="s">
        <v>4</v>
      </c>
    </row>
    <row r="1210" spans="1:23" x14ac:dyDescent="0.25">
      <c r="A1210" s="90">
        <v>1191</v>
      </c>
      <c r="B1210" s="83"/>
      <c r="C1210" s="100">
        <f ca="1">_xll.meDateFromTenor(C1209,"1D","FOLLOWING",D$12)</f>
        <v>44221</v>
      </c>
      <c r="D1210" s="13">
        <f ca="1">_xll.meDateFromTenor(C1210,D$14,D$11,D$12)</f>
        <v>44222</v>
      </c>
      <c r="E1210" s="98">
        <f ca="1"/>
        <v>5.5218262874143914E-4</v>
      </c>
      <c r="F1210" s="94"/>
      <c r="G1210" s="100">
        <f ca="1">_xll.meDateFromTenor(G1209,"1D","FOLLOWING",H$12)</f>
        <v>44221</v>
      </c>
      <c r="H1210" s="13">
        <f ca="1">_xll.meDateFromTenor(G1210,H$14,H$11,H$12)</f>
        <v>44252</v>
      </c>
      <c r="I1210" s="98">
        <f ca="1"/>
        <v>1.4327146440957694E-3</v>
      </c>
      <c r="J1210" s="94" t="s">
        <v>4</v>
      </c>
      <c r="K1210" s="100">
        <f ca="1">_xll.meDateFromTenor(K1209,"1D","FOLLOWING",L$12)</f>
        <v>44221</v>
      </c>
      <c r="L1210" s="13">
        <f ca="1">_xll.meDateFromTenor(K1210,L$14,L$11,L$12)</f>
        <v>44312</v>
      </c>
      <c r="M1210" s="98">
        <f ca="1"/>
        <v>2.623338693911203E-3</v>
      </c>
      <c r="N1210" s="5" t="s">
        <v>4</v>
      </c>
      <c r="O1210" s="100">
        <f ca="1">_xll.meDateFromTenor(O1209,"1D","FOLLOWING",P$12)</f>
        <v>44221</v>
      </c>
      <c r="P1210" s="13">
        <f ca="1">_xll.meDateFromTenor(O1210,P$14,P$11,P$12)</f>
        <v>44403</v>
      </c>
      <c r="Q1210" s="98">
        <f ca="1"/>
        <v>4.4438668970367308E-3</v>
      </c>
      <c r="R1210" s="5" t="s">
        <v>4</v>
      </c>
      <c r="S1210" s="100">
        <f ca="1">_xll.meDateFromTenor(S1209,"1D","FOLLOWING",T$12)</f>
        <v>44221</v>
      </c>
      <c r="T1210" s="13">
        <f ca="1">_xll.meDateFromTenor(S1210,T$14,T$11,T$12)</f>
        <v>44586</v>
      </c>
      <c r="U1210" s="98">
        <f ca="1"/>
        <v>6.4648825417104403E-3</v>
      </c>
      <c r="V1210" s="5" t="s">
        <v>4</v>
      </c>
      <c r="W1210" s="84" t="s">
        <v>4</v>
      </c>
    </row>
    <row r="1211" spans="1:23" x14ac:dyDescent="0.25">
      <c r="A1211" s="90">
        <v>1192</v>
      </c>
      <c r="B1211" s="83"/>
      <c r="C1211" s="100">
        <f ca="1">_xll.meDateFromTenor(C1210,"1D","FOLLOWING",D$12)</f>
        <v>44222</v>
      </c>
      <c r="D1211" s="13">
        <f ca="1">_xll.meDateFromTenor(C1211,D$14,D$11,D$12)</f>
        <v>44223</v>
      </c>
      <c r="E1211" s="98">
        <f ca="1"/>
        <v>5.5795249308756732E-4</v>
      </c>
      <c r="F1211" s="94"/>
      <c r="G1211" s="100">
        <f ca="1">_xll.meDateFromTenor(G1210,"1D","FOLLOWING",H$12)</f>
        <v>44222</v>
      </c>
      <c r="H1211" s="13">
        <f ca="1">_xll.meDateFromTenor(G1211,H$14,H$11,H$12)</f>
        <v>44253</v>
      </c>
      <c r="I1211" s="98">
        <f ca="1"/>
        <v>1.4401186518847627E-3</v>
      </c>
      <c r="J1211" s="94" t="s">
        <v>4</v>
      </c>
      <c r="K1211" s="100">
        <f ca="1">_xll.meDateFromTenor(K1210,"1D","FOLLOWING",L$12)</f>
        <v>44222</v>
      </c>
      <c r="L1211" s="13">
        <f ca="1">_xll.meDateFromTenor(K1211,L$14,L$11,L$12)</f>
        <v>44312</v>
      </c>
      <c r="M1211" s="98">
        <f ca="1"/>
        <v>2.6307851838324619E-3</v>
      </c>
      <c r="N1211" s="5" t="s">
        <v>4</v>
      </c>
      <c r="O1211" s="100">
        <f ca="1">_xll.meDateFromTenor(O1210,"1D","FOLLOWING",P$12)</f>
        <v>44222</v>
      </c>
      <c r="P1211" s="13">
        <f ca="1">_xll.meDateFromTenor(O1211,P$14,P$11,P$12)</f>
        <v>44403</v>
      </c>
      <c r="Q1211" s="98">
        <f ca="1"/>
        <v>4.4509165863200707E-3</v>
      </c>
      <c r="R1211" s="5" t="s">
        <v>4</v>
      </c>
      <c r="S1211" s="100">
        <f ca="1">_xll.meDateFromTenor(S1210,"1D","FOLLOWING",T$12)</f>
        <v>44222</v>
      </c>
      <c r="T1211" s="13">
        <f ca="1">_xll.meDateFromTenor(S1211,T$14,T$11,T$12)</f>
        <v>44587</v>
      </c>
      <c r="U1211" s="98">
        <f ca="1"/>
        <v>6.4720975940915975E-3</v>
      </c>
      <c r="V1211" s="5" t="s">
        <v>4</v>
      </c>
      <c r="W1211" s="84" t="s">
        <v>4</v>
      </c>
    </row>
    <row r="1212" spans="1:23" x14ac:dyDescent="0.25">
      <c r="A1212" s="90">
        <v>1193</v>
      </c>
      <c r="B1212" s="83"/>
      <c r="C1212" s="100">
        <f ca="1">_xll.meDateFromTenor(C1211,"1D","FOLLOWING",D$12)</f>
        <v>44223</v>
      </c>
      <c r="D1212" s="13">
        <f ca="1">_xll.meDateFromTenor(C1212,D$14,D$11,D$12)</f>
        <v>44224</v>
      </c>
      <c r="E1212" s="98">
        <f ca="1"/>
        <v>5.6368764208345802E-4</v>
      </c>
      <c r="F1212" s="94"/>
      <c r="G1212" s="100">
        <f ca="1">_xll.meDateFromTenor(G1211,"1D","FOLLOWING",H$12)</f>
        <v>44223</v>
      </c>
      <c r="H1212" s="13">
        <f ca="1">_xll.meDateFromTenor(G1212,H$14,H$11,H$12)</f>
        <v>44253</v>
      </c>
      <c r="I1212" s="98">
        <f ca="1"/>
        <v>1.4475913208763459E-3</v>
      </c>
      <c r="J1212" s="94" t="s">
        <v>4</v>
      </c>
      <c r="K1212" s="100">
        <f ca="1">_xll.meDateFromTenor(K1211,"1D","FOLLOWING",L$12)</f>
        <v>44223</v>
      </c>
      <c r="L1212" s="13">
        <f ca="1">_xll.meDateFromTenor(K1212,L$14,L$11,L$12)</f>
        <v>44313</v>
      </c>
      <c r="M1212" s="98">
        <f ca="1"/>
        <v>2.6382342449626363E-3</v>
      </c>
      <c r="N1212" s="5" t="s">
        <v>4</v>
      </c>
      <c r="O1212" s="100">
        <f ca="1">_xll.meDateFromTenor(O1211,"1D","FOLLOWING",P$12)</f>
        <v>44223</v>
      </c>
      <c r="P1212" s="13">
        <f ca="1">_xll.meDateFromTenor(O1212,P$14,P$11,P$12)</f>
        <v>44404</v>
      </c>
      <c r="Q1212" s="98">
        <f ca="1"/>
        <v>4.4579695052933913E-3</v>
      </c>
      <c r="R1212" s="5" t="s">
        <v>4</v>
      </c>
      <c r="S1212" s="100">
        <f ca="1">_xll.meDateFromTenor(S1211,"1D","FOLLOWING",T$12)</f>
        <v>44223</v>
      </c>
      <c r="T1212" s="13">
        <f ca="1">_xll.meDateFromTenor(S1212,T$14,T$11,T$12)</f>
        <v>44588</v>
      </c>
      <c r="U1212" s="98">
        <f ca="1"/>
        <v>6.479314607115841E-3</v>
      </c>
      <c r="V1212" s="5" t="s">
        <v>4</v>
      </c>
      <c r="W1212" s="84" t="s">
        <v>4</v>
      </c>
    </row>
    <row r="1213" spans="1:23" x14ac:dyDescent="0.25">
      <c r="A1213" s="90">
        <v>1194</v>
      </c>
      <c r="B1213" s="83"/>
      <c r="C1213" s="100">
        <f ca="1">_xll.meDateFromTenor(C1212,"1D","FOLLOWING",D$12)</f>
        <v>44224</v>
      </c>
      <c r="D1213" s="13">
        <f ca="1">_xll.meDateFromTenor(C1213,D$14,D$11,D$12)</f>
        <v>44225</v>
      </c>
      <c r="E1213" s="98">
        <f ca="1"/>
        <v>5.6938807620801038E-4</v>
      </c>
      <c r="F1213" s="94"/>
      <c r="G1213" s="100">
        <f ca="1">_xll.meDateFromTenor(G1212,"1D","FOLLOWING",H$12)</f>
        <v>44224</v>
      </c>
      <c r="H1213" s="13">
        <f ca="1">_xll.meDateFromTenor(G1213,H$14,H$11,H$12)</f>
        <v>44253</v>
      </c>
      <c r="I1213" s="98">
        <f ca="1"/>
        <v>1.455135590696864E-3</v>
      </c>
      <c r="J1213" s="94" t="s">
        <v>4</v>
      </c>
      <c r="K1213" s="100">
        <f ca="1">_xll.meDateFromTenor(K1212,"1D","FOLLOWING",L$12)</f>
        <v>44224</v>
      </c>
      <c r="L1213" s="13">
        <f ca="1">_xll.meDateFromTenor(K1213,L$14,L$11,L$12)</f>
        <v>44314</v>
      </c>
      <c r="M1213" s="98">
        <f ca="1"/>
        <v>2.645685824652444E-3</v>
      </c>
      <c r="N1213" s="5" t="s">
        <v>4</v>
      </c>
      <c r="O1213" s="100">
        <f ca="1">_xll.meDateFromTenor(O1212,"1D","FOLLOWING",P$12)</f>
        <v>44224</v>
      </c>
      <c r="P1213" s="13">
        <f ca="1">_xll.meDateFromTenor(O1213,P$14,P$11,P$12)</f>
        <v>44405</v>
      </c>
      <c r="Q1213" s="98">
        <f ca="1"/>
        <v>4.4650256481621152E-3</v>
      </c>
      <c r="R1213" s="5" t="s">
        <v>4</v>
      </c>
      <c r="S1213" s="100">
        <f ca="1">_xll.meDateFromTenor(S1212,"1D","FOLLOWING",T$12)</f>
        <v>44224</v>
      </c>
      <c r="T1213" s="13">
        <f ca="1">_xll.meDateFromTenor(S1213,T$14,T$11,T$12)</f>
        <v>44589</v>
      </c>
      <c r="U1213" s="98">
        <f ca="1"/>
        <v>6.486533563751366E-3</v>
      </c>
      <c r="V1213" s="5" t="s">
        <v>4</v>
      </c>
      <c r="W1213" s="84" t="s">
        <v>4</v>
      </c>
    </row>
    <row r="1214" spans="1:23" x14ac:dyDescent="0.25">
      <c r="A1214" s="90">
        <v>1195</v>
      </c>
      <c r="B1214" s="83"/>
      <c r="C1214" s="100">
        <f ca="1">_xll.meDateFromTenor(C1213,"1D","FOLLOWING",D$12)</f>
        <v>44225</v>
      </c>
      <c r="D1214" s="13">
        <f ca="1">_xll.meDateFromTenor(C1214,D$14,D$11,D$12)</f>
        <v>44228</v>
      </c>
      <c r="E1214" s="98">
        <f ca="1"/>
        <v>5.8067416419230709E-4</v>
      </c>
      <c r="F1214" s="94"/>
      <c r="G1214" s="100">
        <f ca="1">_xll.meDateFromTenor(G1213,"1D","FOLLOWING",H$12)</f>
        <v>44225</v>
      </c>
      <c r="H1214" s="13">
        <f ca="1">_xll.meDateFromTenor(G1214,H$14,H$11,H$12)</f>
        <v>44253</v>
      </c>
      <c r="I1214" s="98">
        <f ca="1"/>
        <v>1.4627544009726695E-3</v>
      </c>
      <c r="J1214" s="94" t="s">
        <v>4</v>
      </c>
      <c r="K1214" s="100">
        <f ca="1">_xll.meDateFromTenor(K1213,"1D","FOLLOWING",L$12)</f>
        <v>44225</v>
      </c>
      <c r="L1214" s="13">
        <f ca="1">_xll.meDateFromTenor(K1214,L$14,L$11,L$12)</f>
        <v>44315</v>
      </c>
      <c r="M1214" s="98">
        <f ca="1"/>
        <v>2.6531398702526088E-3</v>
      </c>
      <c r="N1214" s="5" t="s">
        <v>4</v>
      </c>
      <c r="O1214" s="100">
        <f ca="1">_xll.meDateFromTenor(O1213,"1D","FOLLOWING",P$12)</f>
        <v>44225</v>
      </c>
      <c r="P1214" s="13">
        <f ca="1">_xll.meDateFromTenor(O1214,P$14,P$11,P$12)</f>
        <v>44406</v>
      </c>
      <c r="Q1214" s="98">
        <f ca="1"/>
        <v>4.4720850091316718E-3</v>
      </c>
      <c r="R1214" s="5" t="s">
        <v>4</v>
      </c>
      <c r="S1214" s="100">
        <f ca="1">_xll.meDateFromTenor(S1213,"1D","FOLLOWING",T$12)</f>
        <v>44225</v>
      </c>
      <c r="T1214" s="13">
        <f ca="1">_xll.meDateFromTenor(S1214,T$14,T$11,T$12)</f>
        <v>44592</v>
      </c>
      <c r="U1214" s="98">
        <f ca="1"/>
        <v>6.4937544469663719E-3</v>
      </c>
      <c r="V1214" s="5" t="s">
        <v>4</v>
      </c>
      <c r="W1214" s="84" t="s">
        <v>4</v>
      </c>
    </row>
    <row r="1215" spans="1:23" x14ac:dyDescent="0.25">
      <c r="A1215" s="90">
        <v>1196</v>
      </c>
      <c r="B1215" s="83"/>
      <c r="C1215" s="100">
        <f ca="1">_xll.meDateFromTenor(C1214,"1D","FOLLOWING",D$12)</f>
        <v>44228</v>
      </c>
      <c r="D1215" s="13">
        <f ca="1">_xll.meDateFromTenor(C1215,D$14,D$11,D$12)</f>
        <v>44229</v>
      </c>
      <c r="E1215" s="98">
        <f ca="1"/>
        <v>5.9184266263824969E-4</v>
      </c>
      <c r="F1215" s="94"/>
      <c r="G1215" s="100">
        <f ca="1">_xll.meDateFromTenor(G1214,"1D","FOLLOWING",H$12)</f>
        <v>44228</v>
      </c>
      <c r="H1215" s="13">
        <f ca="1">_xll.meDateFromTenor(G1215,H$14,H$11,H$12)</f>
        <v>44256</v>
      </c>
      <c r="I1215" s="98">
        <f ca="1"/>
        <v>1.4860874707952713E-3</v>
      </c>
      <c r="J1215" s="94" t="s">
        <v>4</v>
      </c>
      <c r="K1215" s="100">
        <f ca="1">_xll.meDateFromTenor(K1214,"1D","FOLLOWING",L$12)</f>
        <v>44228</v>
      </c>
      <c r="L1215" s="13">
        <f ca="1">_xll.meDateFromTenor(K1215,L$14,L$11,L$12)</f>
        <v>44319</v>
      </c>
      <c r="M1215" s="98">
        <f ca="1"/>
        <v>2.6755162760224334E-3</v>
      </c>
      <c r="N1215" s="5" t="s">
        <v>4</v>
      </c>
      <c r="O1215" s="100">
        <f ca="1">_xll.meDateFromTenor(O1214,"1D","FOLLOWING",P$12)</f>
        <v>44228</v>
      </c>
      <c r="P1215" s="13">
        <f ca="1">_xll.meDateFromTenor(O1215,P$14,P$11,P$12)</f>
        <v>44410</v>
      </c>
      <c r="Q1215" s="98">
        <f ca="1"/>
        <v>4.4932823426995705E-3</v>
      </c>
      <c r="R1215" s="5" t="s">
        <v>4</v>
      </c>
      <c r="S1215" s="100">
        <f ca="1">_xll.meDateFromTenor(S1214,"1D","FOLLOWING",T$12)</f>
        <v>44228</v>
      </c>
      <c r="T1215" s="13">
        <f ca="1">_xll.meDateFromTenor(S1215,T$14,T$11,T$12)</f>
        <v>44593</v>
      </c>
      <c r="U1215" s="98">
        <f ca="1"/>
        <v>6.5154284857702142E-3</v>
      </c>
      <c r="V1215" s="5" t="s">
        <v>4</v>
      </c>
      <c r="W1215" s="84" t="s">
        <v>4</v>
      </c>
    </row>
    <row r="1216" spans="1:23" x14ac:dyDescent="0.25">
      <c r="A1216" s="90">
        <v>1197</v>
      </c>
      <c r="B1216" s="83"/>
      <c r="C1216" s="100">
        <f ca="1">_xll.meDateFromTenor(C1215,"1D","FOLLOWING",D$12)</f>
        <v>44229</v>
      </c>
      <c r="D1216" s="13">
        <f ca="1">_xll.meDateFromTenor(C1216,D$14,D$11,D$12)</f>
        <v>44230</v>
      </c>
      <c r="E1216" s="98">
        <f ca="1"/>
        <v>5.9736952216847593E-4</v>
      </c>
      <c r="F1216" s="94"/>
      <c r="G1216" s="100">
        <f ca="1">_xll.meDateFromTenor(G1215,"1D","FOLLOWING",H$12)</f>
        <v>44229</v>
      </c>
      <c r="H1216" s="13">
        <f ca="1">_xll.meDateFromTenor(G1216,H$14,H$11,H$12)</f>
        <v>44257</v>
      </c>
      <c r="I1216" s="98">
        <f ca="1"/>
        <v>1.4940338391556921E-3</v>
      </c>
      <c r="J1216" s="94" t="s">
        <v>4</v>
      </c>
      <c r="K1216" s="100">
        <f ca="1">_xll.meDateFromTenor(K1215,"1D","FOLLOWING",L$12)</f>
        <v>44229</v>
      </c>
      <c r="L1216" s="13">
        <f ca="1">_xll.meDateFromTenor(K1216,L$14,L$11,L$12)</f>
        <v>44319</v>
      </c>
      <c r="M1216" s="98">
        <f ca="1"/>
        <v>2.682979658771218E-3</v>
      </c>
      <c r="N1216" s="5" t="s">
        <v>4</v>
      </c>
      <c r="O1216" s="100">
        <f ca="1">_xll.meDateFromTenor(O1215,"1D","FOLLOWING",P$12)</f>
        <v>44229</v>
      </c>
      <c r="P1216" s="13">
        <f ca="1">_xll.meDateFromTenor(O1216,P$14,P$11,P$12)</f>
        <v>44410</v>
      </c>
      <c r="Q1216" s="98">
        <f ca="1"/>
        <v>4.5003545181266959E-3</v>
      </c>
      <c r="R1216" s="5" t="s">
        <v>4</v>
      </c>
      <c r="S1216" s="100">
        <f ca="1">_xll.meDateFromTenor(S1215,"1D","FOLLOWING",T$12)</f>
        <v>44229</v>
      </c>
      <c r="T1216" s="13">
        <f ca="1">_xll.meDateFromTenor(S1216,T$14,T$11,T$12)</f>
        <v>44594</v>
      </c>
      <c r="U1216" s="98">
        <f ca="1"/>
        <v>6.5226569049850894E-3</v>
      </c>
      <c r="V1216" s="5" t="s">
        <v>4</v>
      </c>
      <c r="W1216" s="84" t="s">
        <v>4</v>
      </c>
    </row>
    <row r="1217" spans="1:23" x14ac:dyDescent="0.25">
      <c r="A1217" s="90">
        <v>1198</v>
      </c>
      <c r="B1217" s="83"/>
      <c r="C1217" s="100">
        <f ca="1">_xll.meDateFromTenor(C1216,"1D","FOLLOWING",D$12)</f>
        <v>44230</v>
      </c>
      <c r="D1217" s="13">
        <f ca="1">_xll.meDateFromTenor(C1217,D$14,D$11,D$12)</f>
        <v>44231</v>
      </c>
      <c r="E1217" s="98">
        <f ca="1"/>
        <v>6.0286166666747036E-4</v>
      </c>
      <c r="F1217" s="94"/>
      <c r="G1217" s="100">
        <f ca="1">_xll.meDateFromTenor(G1216,"1D","FOLLOWING",H$12)</f>
        <v>44230</v>
      </c>
      <c r="H1217" s="13">
        <f ca="1">_xll.meDateFromTenor(G1217,H$14,H$11,H$12)</f>
        <v>44258</v>
      </c>
      <c r="I1217" s="98">
        <f ca="1"/>
        <v>1.502067641328528E-3</v>
      </c>
      <c r="J1217" s="94" t="s">
        <v>4</v>
      </c>
      <c r="K1217" s="100">
        <f ca="1">_xll.meDateFromTenor(K1216,"1D","FOLLOWING",L$12)</f>
        <v>44230</v>
      </c>
      <c r="L1217" s="13">
        <f ca="1">_xll.meDateFromTenor(K1217,L$14,L$11,L$12)</f>
        <v>44319</v>
      </c>
      <c r="M1217" s="98">
        <f ca="1"/>
        <v>2.6904452441839583E-3</v>
      </c>
      <c r="N1217" s="5" t="s">
        <v>4</v>
      </c>
      <c r="O1217" s="100">
        <f ca="1">_xll.meDateFromTenor(O1216,"1D","FOLLOWING",P$12)</f>
        <v>44230</v>
      </c>
      <c r="P1217" s="13">
        <f ca="1">_xll.meDateFromTenor(O1217,P$14,P$11,P$12)</f>
        <v>44411</v>
      </c>
      <c r="Q1217" s="98">
        <f ca="1"/>
        <v>4.5074298826817743E-3</v>
      </c>
      <c r="R1217" s="5" t="s">
        <v>4</v>
      </c>
      <c r="S1217" s="100">
        <f ca="1">_xll.meDateFromTenor(S1216,"1D","FOLLOWING",T$12)</f>
        <v>44230</v>
      </c>
      <c r="T1217" s="13">
        <f ca="1">_xll.meDateFromTenor(S1217,T$14,T$11,T$12)</f>
        <v>44595</v>
      </c>
      <c r="U1217" s="98">
        <f ca="1"/>
        <v>6.5298871656204191E-3</v>
      </c>
      <c r="V1217" s="5" t="s">
        <v>4</v>
      </c>
      <c r="W1217" s="84" t="s">
        <v>4</v>
      </c>
    </row>
    <row r="1218" spans="1:23" x14ac:dyDescent="0.25">
      <c r="A1218" s="90">
        <v>1199</v>
      </c>
      <c r="B1218" s="83"/>
      <c r="C1218" s="100">
        <f ca="1">_xll.meDateFromTenor(C1217,"1D","FOLLOWING",D$12)</f>
        <v>44231</v>
      </c>
      <c r="D1218" s="13">
        <f ca="1">_xll.meDateFromTenor(C1218,D$14,D$11,D$12)</f>
        <v>44232</v>
      </c>
      <c r="E1218" s="98">
        <f ca="1"/>
        <v>6.0831909637561394E-4</v>
      </c>
      <c r="F1218" s="94"/>
      <c r="G1218" s="100">
        <f ca="1">_xll.meDateFromTenor(G1217,"1D","FOLLOWING",H$12)</f>
        <v>44231</v>
      </c>
      <c r="H1218" s="13">
        <f ca="1">_xll.meDateFromTenor(G1218,H$14,H$11,H$12)</f>
        <v>44259</v>
      </c>
      <c r="I1218" s="98">
        <f ca="1"/>
        <v>1.5101827930670891E-3</v>
      </c>
      <c r="J1218" s="94" t="s">
        <v>4</v>
      </c>
      <c r="K1218" s="100">
        <f ca="1">_xll.meDateFromTenor(K1217,"1D","FOLLOWING",L$12)</f>
        <v>44231</v>
      </c>
      <c r="L1218" s="13">
        <f ca="1">_xll.meDateFromTenor(K1218,L$14,L$11,L$12)</f>
        <v>44320</v>
      </c>
      <c r="M1218" s="98">
        <f ca="1"/>
        <v>2.6979129796113727E-3</v>
      </c>
      <c r="N1218" s="5" t="s">
        <v>4</v>
      </c>
      <c r="O1218" s="100">
        <f ca="1">_xll.meDateFromTenor(O1217,"1D","FOLLOWING",P$12)</f>
        <v>44231</v>
      </c>
      <c r="P1218" s="13">
        <f ca="1">_xll.meDateFromTenor(O1218,P$14,P$11,P$12)</f>
        <v>44412</v>
      </c>
      <c r="Q1218" s="98">
        <f ca="1"/>
        <v>4.5145084305702309E-3</v>
      </c>
      <c r="R1218" s="5" t="s">
        <v>4</v>
      </c>
      <c r="S1218" s="100">
        <f ca="1">_xll.meDateFromTenor(S1217,"1D","FOLLOWING",T$12)</f>
        <v>44231</v>
      </c>
      <c r="T1218" s="13">
        <f ca="1">_xll.meDateFromTenor(S1218,T$14,T$11,T$12)</f>
        <v>44596</v>
      </c>
      <c r="U1218" s="98">
        <f ca="1"/>
        <v>6.5371192506444029E-3</v>
      </c>
      <c r="V1218" s="5" t="s">
        <v>4</v>
      </c>
      <c r="W1218" s="84" t="s">
        <v>4</v>
      </c>
    </row>
    <row r="1219" spans="1:23" x14ac:dyDescent="0.25">
      <c r="A1219" s="90">
        <v>1200</v>
      </c>
      <c r="B1219" s="83"/>
      <c r="C1219" s="100">
        <f ca="1">_xll.meDateFromTenor(C1218,"1D","FOLLOWING",D$12)</f>
        <v>44232</v>
      </c>
      <c r="D1219" s="13">
        <f ca="1">_xll.meDateFromTenor(C1219,D$14,D$11,D$12)</f>
        <v>44235</v>
      </c>
      <c r="E1219" s="98">
        <f ca="1"/>
        <v>6.1911930465011948E-4</v>
      </c>
      <c r="F1219" s="94"/>
      <c r="G1219" s="100">
        <f ca="1">_xll.meDateFromTenor(G1218,"1D","FOLLOWING",H$12)</f>
        <v>44232</v>
      </c>
      <c r="H1219" s="13">
        <f ca="1">_xll.meDateFromTenor(G1219,H$14,H$11,H$12)</f>
        <v>44260</v>
      </c>
      <c r="I1219" s="98">
        <f ca="1"/>
        <v>1.5183714053500785E-3</v>
      </c>
      <c r="J1219" s="94" t="s">
        <v>4</v>
      </c>
      <c r="K1219" s="100">
        <f ca="1">_xll.meDateFromTenor(K1218,"1D","FOLLOWING",L$12)</f>
        <v>44232</v>
      </c>
      <c r="L1219" s="13">
        <f ca="1">_xll.meDateFromTenor(K1219,L$14,L$11,L$12)</f>
        <v>44321</v>
      </c>
      <c r="M1219" s="98">
        <f ca="1"/>
        <v>2.7053828124041814E-3</v>
      </c>
      <c r="N1219" s="5" t="s">
        <v>4</v>
      </c>
      <c r="O1219" s="100">
        <f ca="1">_xll.meDateFromTenor(O1218,"1D","FOLLOWING",P$12)</f>
        <v>44232</v>
      </c>
      <c r="P1219" s="13">
        <f ca="1">_xll.meDateFromTenor(O1219,P$14,P$11,P$12)</f>
        <v>44413</v>
      </c>
      <c r="Q1219" s="98">
        <f ca="1"/>
        <v>4.5215901559974908E-3</v>
      </c>
      <c r="R1219" s="5" t="s">
        <v>4</v>
      </c>
      <c r="S1219" s="100">
        <f ca="1">_xll.meDateFromTenor(S1218,"1D","FOLLOWING",T$12)</f>
        <v>44232</v>
      </c>
      <c r="T1219" s="13">
        <f ca="1">_xll.meDateFromTenor(S1219,T$14,T$11,T$12)</f>
        <v>44599</v>
      </c>
      <c r="U1219" s="98">
        <f ca="1"/>
        <v>6.5443531430252316E-3</v>
      </c>
      <c r="V1219" s="5" t="s">
        <v>4</v>
      </c>
      <c r="W1219" s="84" t="s">
        <v>4</v>
      </c>
    </row>
    <row r="1220" spans="1:23" x14ac:dyDescent="0.25">
      <c r="A1220" s="90">
        <v>1201</v>
      </c>
      <c r="B1220" s="83"/>
      <c r="C1220" s="100">
        <f ca="1">_xll.meDateFromTenor(C1219,"1D","FOLLOWING",D$12)</f>
        <v>44235</v>
      </c>
      <c r="D1220" s="13">
        <f ca="1">_xll.meDateFromTenor(C1220,D$14,D$11,D$12)</f>
        <v>44236</v>
      </c>
      <c r="E1220" s="98">
        <f ca="1"/>
        <v>6.2980166745764269E-4</v>
      </c>
      <c r="F1220" s="94"/>
      <c r="G1220" s="100">
        <f ca="1">_xll.meDateFromTenor(G1219,"1D","FOLLOWING",H$12)</f>
        <v>44235</v>
      </c>
      <c r="H1220" s="13">
        <f ca="1">_xll.meDateFromTenor(G1220,H$14,H$11,H$12)</f>
        <v>44263</v>
      </c>
      <c r="I1220" s="98">
        <f ca="1"/>
        <v>1.5432991152526348E-3</v>
      </c>
      <c r="J1220" s="94" t="s">
        <v>4</v>
      </c>
      <c r="K1220" s="100">
        <f ca="1">_xll.meDateFromTenor(K1219,"1D","FOLLOWING",L$12)</f>
        <v>44235</v>
      </c>
      <c r="L1220" s="13">
        <f ca="1">_xll.meDateFromTenor(K1220,L$14,L$11,L$12)</f>
        <v>44326</v>
      </c>
      <c r="M1220" s="98">
        <f ca="1"/>
        <v>2.7278043684821744E-3</v>
      </c>
      <c r="N1220" s="5" t="s">
        <v>4</v>
      </c>
      <c r="O1220" s="100">
        <f ca="1">_xll.meDateFromTenor(O1219,"1D","FOLLOWING",P$12)</f>
        <v>44235</v>
      </c>
      <c r="P1220" s="13">
        <f ca="1">_xll.meDateFromTenor(O1220,P$14,P$11,P$12)</f>
        <v>44417</v>
      </c>
      <c r="Q1220" s="98">
        <f ca="1"/>
        <v>4.5428543395663358E-3</v>
      </c>
      <c r="R1220" s="5" t="s">
        <v>4</v>
      </c>
      <c r="S1220" s="100">
        <f ca="1">_xll.meDateFromTenor(S1219,"1D","FOLLOWING",T$12)</f>
        <v>44235</v>
      </c>
      <c r="T1220" s="13">
        <f ca="1">_xll.meDateFromTenor(S1220,T$14,T$11,T$12)</f>
        <v>44600</v>
      </c>
      <c r="U1220" s="98">
        <f ca="1"/>
        <v>6.5660654939907574E-3</v>
      </c>
      <c r="V1220" s="5" t="s">
        <v>4</v>
      </c>
      <c r="W1220" s="84" t="s">
        <v>4</v>
      </c>
    </row>
    <row r="1221" spans="1:23" x14ac:dyDescent="0.25">
      <c r="A1221" s="90">
        <v>1202</v>
      </c>
      <c r="B1221" s="83"/>
      <c r="C1221" s="100">
        <f ca="1">_xll.meDateFromTenor(C1220,"1D","FOLLOWING",D$12)</f>
        <v>44236</v>
      </c>
      <c r="D1221" s="13">
        <f ca="1">_xll.meDateFromTenor(C1221,D$14,D$11,D$12)</f>
        <v>44237</v>
      </c>
      <c r="E1221" s="98">
        <f ca="1"/>
        <v>6.350855232907165E-4</v>
      </c>
      <c r="F1221" s="94"/>
      <c r="G1221" s="100">
        <f ca="1">_xll.meDateFromTenor(G1220,"1D","FOLLOWING",H$12)</f>
        <v>44236</v>
      </c>
      <c r="H1221" s="13">
        <f ca="1">_xll.meDateFromTenor(G1221,H$14,H$11,H$12)</f>
        <v>44264</v>
      </c>
      <c r="I1221" s="98">
        <f ca="1"/>
        <v>1.5517026795003606E-3</v>
      </c>
      <c r="J1221" s="94" t="s">
        <v>4</v>
      </c>
      <c r="K1221" s="100">
        <f ca="1">_xll.meDateFromTenor(K1220,"1D","FOLLOWING",L$12)</f>
        <v>44236</v>
      </c>
      <c r="L1221" s="13">
        <f ca="1">_xll.meDateFromTenor(K1221,L$14,L$11,L$12)</f>
        <v>44326</v>
      </c>
      <c r="M1221" s="98">
        <f ca="1"/>
        <v>2.7352820642437617E-3</v>
      </c>
      <c r="N1221" s="5" t="s">
        <v>4</v>
      </c>
      <c r="O1221" s="100">
        <f ca="1">_xll.meDateFromTenor(O1220,"1D","FOLLOWING",P$12)</f>
        <v>44236</v>
      </c>
      <c r="P1221" s="13">
        <f ca="1">_xll.meDateFromTenor(O1221,P$14,P$11,P$12)</f>
        <v>44417</v>
      </c>
      <c r="Q1221" s="98">
        <f ca="1"/>
        <v>4.5499487172030546E-3</v>
      </c>
      <c r="R1221" s="5" t="s">
        <v>4</v>
      </c>
      <c r="S1221" s="100">
        <f ca="1">_xll.meDateFromTenor(S1220,"1D","FOLLOWING",T$12)</f>
        <v>44236</v>
      </c>
      <c r="T1221" s="13">
        <f ca="1">_xll.meDateFromTenor(S1221,T$14,T$11,T$12)</f>
        <v>44601</v>
      </c>
      <c r="U1221" s="98">
        <f ca="1"/>
        <v>6.5733064454809326E-3</v>
      </c>
      <c r="V1221" s="5" t="s">
        <v>4</v>
      </c>
      <c r="W1221" s="84" t="s">
        <v>4</v>
      </c>
    </row>
    <row r="1222" spans="1:23" x14ac:dyDescent="0.25">
      <c r="A1222" s="90">
        <v>1203</v>
      </c>
      <c r="B1222" s="83"/>
      <c r="C1222" s="100">
        <f ca="1">_xll.meDateFromTenor(C1221,"1D","FOLLOWING",D$12)</f>
        <v>44237</v>
      </c>
      <c r="D1222" s="13">
        <f ca="1">_xll.meDateFromTenor(C1222,D$14,D$11,D$12)</f>
        <v>44238</v>
      </c>
      <c r="E1222" s="98">
        <f ca="1"/>
        <v>6.4033466417247038E-4</v>
      </c>
      <c r="F1222" s="94"/>
      <c r="G1222" s="100">
        <f ca="1">_xll.meDateFromTenor(G1221,"1D","FOLLOWING",H$12)</f>
        <v>44237</v>
      </c>
      <c r="H1222" s="13">
        <f ca="1">_xll.meDateFromTenor(G1222,H$14,H$11,H$12)</f>
        <v>44265</v>
      </c>
      <c r="I1222" s="98">
        <f ca="1"/>
        <v>1.5601402591860268E-3</v>
      </c>
      <c r="J1222" s="94" t="s">
        <v>4</v>
      </c>
      <c r="K1222" s="100">
        <f ca="1">_xll.meDateFromTenor(K1221,"1D","FOLLOWING",L$12)</f>
        <v>44237</v>
      </c>
      <c r="L1222" s="13">
        <f ca="1">_xll.meDateFromTenor(K1222,L$14,L$11,L$12)</f>
        <v>44326</v>
      </c>
      <c r="M1222" s="98">
        <f ca="1"/>
        <v>2.7427615941243433E-3</v>
      </c>
      <c r="N1222" s="5" t="s">
        <v>4</v>
      </c>
      <c r="O1222" s="100">
        <f ca="1">_xll.meDateFromTenor(O1221,"1D","FOLLOWING",P$12)</f>
        <v>44237</v>
      </c>
      <c r="P1222" s="13">
        <f ca="1">_xll.meDateFromTenor(O1222,P$14,P$11,P$12)</f>
        <v>44418</v>
      </c>
      <c r="Q1222" s="98">
        <f ca="1"/>
        <v>4.5570462434056996E-3</v>
      </c>
      <c r="R1222" s="5" t="s">
        <v>4</v>
      </c>
      <c r="S1222" s="100">
        <f ca="1">_xll.meDateFromTenor(S1221,"1D","FOLLOWING",T$12)</f>
        <v>44237</v>
      </c>
      <c r="T1222" s="13">
        <f ca="1">_xll.meDateFromTenor(S1222,T$14,T$11,T$12)</f>
        <v>44602</v>
      </c>
      <c r="U1222" s="98">
        <f ca="1"/>
        <v>6.5805491191689306E-3</v>
      </c>
      <c r="V1222" s="5" t="s">
        <v>4</v>
      </c>
      <c r="W1222" s="84" t="s">
        <v>4</v>
      </c>
    </row>
    <row r="1223" spans="1:23" x14ac:dyDescent="0.25">
      <c r="A1223" s="90">
        <v>1204</v>
      </c>
      <c r="B1223" s="83"/>
      <c r="C1223" s="100">
        <f ca="1">_xll.meDateFromTenor(C1222,"1D","FOLLOWING",D$12)</f>
        <v>44238</v>
      </c>
      <c r="D1223" s="13">
        <f ca="1">_xll.meDateFromTenor(C1223,D$14,D$11,D$12)</f>
        <v>44239</v>
      </c>
      <c r="E1223" s="98">
        <f ca="1"/>
        <v>6.4554909034352794E-4</v>
      </c>
      <c r="F1223" s="94"/>
      <c r="G1223" s="100">
        <f ca="1">_xll.meDateFromTenor(G1222,"1D","FOLLOWING",H$12)</f>
        <v>44238</v>
      </c>
      <c r="H1223" s="13">
        <f ca="1">_xll.meDateFromTenor(G1223,H$14,H$11,H$12)</f>
        <v>44266</v>
      </c>
      <c r="I1223" s="98">
        <f ca="1"/>
        <v>1.568603965288336E-3</v>
      </c>
      <c r="J1223" s="94" t="s">
        <v>4</v>
      </c>
      <c r="K1223" s="100">
        <f ca="1">_xll.meDateFromTenor(K1222,"1D","FOLLOWING",L$12)</f>
        <v>44238</v>
      </c>
      <c r="L1223" s="13">
        <f ca="1">_xll.meDateFromTenor(K1223,L$14,L$11,L$12)</f>
        <v>44327</v>
      </c>
      <c r="M1223" s="98">
        <f ca="1"/>
        <v>2.7502429054746392E-3</v>
      </c>
      <c r="N1223" s="5" t="s">
        <v>4</v>
      </c>
      <c r="O1223" s="100">
        <f ca="1">_xll.meDateFromTenor(O1222,"1D","FOLLOWING",P$12)</f>
        <v>44238</v>
      </c>
      <c r="P1223" s="13">
        <f ca="1">_xll.meDateFromTenor(O1223,P$14,P$11,P$12)</f>
        <v>44419</v>
      </c>
      <c r="Q1223" s="98">
        <f ca="1"/>
        <v>4.5641469123796968E-3</v>
      </c>
      <c r="R1223" s="5" t="s">
        <v>4</v>
      </c>
      <c r="S1223" s="100">
        <f ca="1">_xll.meDateFromTenor(S1222,"1D","FOLLOWING",T$12)</f>
        <v>44238</v>
      </c>
      <c r="T1223" s="13">
        <f ca="1">_xll.meDateFromTenor(S1223,T$14,T$11,T$12)</f>
        <v>44603</v>
      </c>
      <c r="U1223" s="98">
        <f ca="1"/>
        <v>6.5877934980229499E-3</v>
      </c>
      <c r="V1223" s="5" t="s">
        <v>4</v>
      </c>
      <c r="W1223" s="84" t="s">
        <v>4</v>
      </c>
    </row>
    <row r="1224" spans="1:23" x14ac:dyDescent="0.25">
      <c r="A1224" s="90">
        <v>1205</v>
      </c>
      <c r="B1224" s="83"/>
      <c r="C1224" s="100">
        <f ca="1">_xll.meDateFromTenor(C1223,"1D","FOLLOWING",D$12)</f>
        <v>44239</v>
      </c>
      <c r="D1224" s="13">
        <f ca="1">_xll.meDateFromTenor(C1224,D$14,D$11,D$12)</f>
        <v>44242</v>
      </c>
      <c r="E1224" s="98">
        <f ca="1"/>
        <v>6.5586342119946584E-4</v>
      </c>
      <c r="F1224" s="94"/>
      <c r="G1224" s="100">
        <f ca="1">_xll.meDateFromTenor(G1223,"1D","FOLLOWING",H$12)</f>
        <v>44239</v>
      </c>
      <c r="H1224" s="13">
        <f ca="1">_xll.meDateFromTenor(G1224,H$14,H$11,H$12)</f>
        <v>44267</v>
      </c>
      <c r="I1224" s="98">
        <f ca="1"/>
        <v>1.5770859087859913E-3</v>
      </c>
      <c r="J1224" s="94" t="s">
        <v>4</v>
      </c>
      <c r="K1224" s="100">
        <f ca="1">_xll.meDateFromTenor(K1223,"1D","FOLLOWING",L$12)</f>
        <v>44239</v>
      </c>
      <c r="L1224" s="13">
        <f ca="1">_xll.meDateFromTenor(K1224,L$14,L$11,L$12)</f>
        <v>44328</v>
      </c>
      <c r="M1224" s="98">
        <f ca="1"/>
        <v>2.7577259456453697E-3</v>
      </c>
      <c r="N1224" s="5" t="s">
        <v>4</v>
      </c>
      <c r="O1224" s="100">
        <f ca="1">_xll.meDateFromTenor(O1223,"1D","FOLLOWING",P$12)</f>
        <v>44239</v>
      </c>
      <c r="P1224" s="13">
        <f ca="1">_xll.meDateFromTenor(O1224,P$14,P$11,P$12)</f>
        <v>44420</v>
      </c>
      <c r="Q1224" s="98">
        <f ca="1"/>
        <v>4.5712507183304696E-3</v>
      </c>
      <c r="R1224" s="5" t="s">
        <v>4</v>
      </c>
      <c r="S1224" s="100">
        <f ca="1">_xll.meDateFromTenor(S1223,"1D","FOLLOWING",T$12)</f>
        <v>44239</v>
      </c>
      <c r="T1224" s="13">
        <f ca="1">_xll.meDateFromTenor(S1224,T$14,T$11,T$12)</f>
        <v>44606</v>
      </c>
      <c r="U1224" s="98">
        <f ca="1"/>
        <v>6.5950395650111859E-3</v>
      </c>
      <c r="V1224" s="5" t="s">
        <v>4</v>
      </c>
      <c r="W1224" s="84" t="s">
        <v>4</v>
      </c>
    </row>
    <row r="1225" spans="1:23" x14ac:dyDescent="0.25">
      <c r="A1225" s="90">
        <v>1206</v>
      </c>
      <c r="B1225" s="83"/>
      <c r="C1225" s="100">
        <f ca="1">_xll.meDateFromTenor(C1224,"1D","FOLLOWING",D$12)</f>
        <v>44242</v>
      </c>
      <c r="D1225" s="13">
        <f ca="1">_xll.meDateFromTenor(C1225,D$14,D$11,D$12)</f>
        <v>44243</v>
      </c>
      <c r="E1225" s="98">
        <f ca="1"/>
        <v>6.6605964599741668E-4</v>
      </c>
      <c r="F1225" s="94"/>
      <c r="G1225" s="100">
        <f ca="1">_xll.meDateFromTenor(G1224,"1D","FOLLOWING",H$12)</f>
        <v>44242</v>
      </c>
      <c r="H1225" s="13">
        <f ca="1">_xll.meDateFromTenor(G1225,H$14,H$11,H$12)</f>
        <v>44270</v>
      </c>
      <c r="I1225" s="98">
        <f ca="1"/>
        <v>1.6025622734380531E-3</v>
      </c>
      <c r="J1225" s="94" t="s">
        <v>4</v>
      </c>
      <c r="K1225" s="100">
        <f ca="1">_xll.meDateFromTenor(K1224,"1D","FOLLOWING",L$12)</f>
        <v>44242</v>
      </c>
      <c r="L1225" s="13">
        <f ca="1">_xll.meDateFromTenor(K1225,L$14,L$11,L$12)</f>
        <v>44333</v>
      </c>
      <c r="M1225" s="98">
        <f ca="1"/>
        <v>2.7801849125873614E-3</v>
      </c>
      <c r="N1225" s="5" t="s">
        <v>4</v>
      </c>
      <c r="O1225" s="100">
        <f ca="1">_xll.meDateFromTenor(O1224,"1D","FOLLOWING",P$12)</f>
        <v>44242</v>
      </c>
      <c r="P1225" s="13">
        <f ca="1">_xll.meDateFromTenor(O1225,P$14,P$11,P$12)</f>
        <v>44424</v>
      </c>
      <c r="Q1225" s="98">
        <f ca="1"/>
        <v>4.5925809000976862E-3</v>
      </c>
      <c r="R1225" s="5" t="s">
        <v>4</v>
      </c>
      <c r="S1225" s="100">
        <f ca="1">_xll.meDateFromTenor(S1224,"1D","FOLLOWING",T$12)</f>
        <v>44242</v>
      </c>
      <c r="T1225" s="13">
        <f ca="1">_xll.meDateFromTenor(S1225,T$14,T$11,T$12)</f>
        <v>44607</v>
      </c>
      <c r="U1225" s="98">
        <f ca="1"/>
        <v>6.6167877244631395E-3</v>
      </c>
      <c r="V1225" s="5" t="s">
        <v>4</v>
      </c>
      <c r="W1225" s="84" t="s">
        <v>4</v>
      </c>
    </row>
    <row r="1226" spans="1:23" x14ac:dyDescent="0.25">
      <c r="A1226" s="90">
        <v>1207</v>
      </c>
      <c r="B1226" s="83"/>
      <c r="C1226" s="100">
        <f ca="1">_xll.meDateFromTenor(C1225,"1D","FOLLOWING",D$12)</f>
        <v>44243</v>
      </c>
      <c r="D1226" s="13">
        <f ca="1">_xll.meDateFromTenor(C1226,D$14,D$11,D$12)</f>
        <v>44244</v>
      </c>
      <c r="E1226" s="98">
        <f ca="1"/>
        <v>6.7110049749342145E-4</v>
      </c>
      <c r="F1226" s="94"/>
      <c r="G1226" s="100">
        <f ca="1">_xll.meDateFromTenor(G1225,"1D","FOLLOWING",H$12)</f>
        <v>44243</v>
      </c>
      <c r="H1226" s="13">
        <f ca="1">_xll.meDateFromTenor(G1226,H$14,H$11,H$12)</f>
        <v>44271</v>
      </c>
      <c r="I1226" s="98">
        <f ca="1"/>
        <v>1.6110382763041163E-3</v>
      </c>
      <c r="J1226" s="94" t="s">
        <v>4</v>
      </c>
      <c r="K1226" s="100">
        <f ca="1">_xll.meDateFromTenor(K1225,"1D","FOLLOWING",L$12)</f>
        <v>44243</v>
      </c>
      <c r="L1226" s="13">
        <f ca="1">_xll.meDateFromTenor(K1226,L$14,L$11,L$12)</f>
        <v>44333</v>
      </c>
      <c r="M1226" s="98">
        <f ca="1"/>
        <v>2.787674341547028E-3</v>
      </c>
      <c r="N1226" s="5" t="s">
        <v>4</v>
      </c>
      <c r="O1226" s="100">
        <f ca="1">_xll.meDateFromTenor(O1225,"1D","FOLLOWING",P$12)</f>
        <v>44243</v>
      </c>
      <c r="P1226" s="13">
        <f ca="1">_xll.meDateFromTenor(O1226,P$14,P$11,P$12)</f>
        <v>44424</v>
      </c>
      <c r="Q1226" s="98">
        <f ca="1"/>
        <v>4.5996971960098089E-3</v>
      </c>
      <c r="R1226" s="5" t="s">
        <v>4</v>
      </c>
      <c r="S1226" s="100">
        <f ca="1">_xll.meDateFromTenor(S1225,"1D","FOLLOWING",T$12)</f>
        <v>44243</v>
      </c>
      <c r="T1226" s="13">
        <f ca="1">_xll.meDateFromTenor(S1226,T$14,T$11,T$12)</f>
        <v>44608</v>
      </c>
      <c r="U1226" s="98">
        <f ca="1"/>
        <v>6.6240403736701958E-3</v>
      </c>
      <c r="V1226" s="5" t="s">
        <v>4</v>
      </c>
      <c r="W1226" s="84" t="s">
        <v>4</v>
      </c>
    </row>
    <row r="1227" spans="1:23" x14ac:dyDescent="0.25">
      <c r="A1227" s="90">
        <v>1208</v>
      </c>
      <c r="B1227" s="83"/>
      <c r="C1227" s="100">
        <f ca="1">_xll.meDateFromTenor(C1226,"1D","FOLLOWING",D$12)</f>
        <v>44244</v>
      </c>
      <c r="D1227" s="13">
        <f ca="1">_xll.meDateFromTenor(C1227,D$14,D$11,D$12)</f>
        <v>44245</v>
      </c>
      <c r="E1227" s="98">
        <f ca="1"/>
        <v>6.7610663395900551E-4</v>
      </c>
      <c r="F1227" s="94"/>
      <c r="G1227" s="100">
        <f ca="1">_xll.meDateFromTenor(G1226,"1D","FOLLOWING",H$12)</f>
        <v>44244</v>
      </c>
      <c r="H1227" s="13">
        <f ca="1">_xll.meDateFromTenor(G1227,H$14,H$11,H$12)</f>
        <v>44272</v>
      </c>
      <c r="I1227" s="98">
        <f ca="1"/>
        <v>1.6194930714590377E-3</v>
      </c>
      <c r="J1227" s="94" t="s">
        <v>4</v>
      </c>
      <c r="K1227" s="100">
        <f ca="1">_xll.meDateFromTenor(K1226,"1D","FOLLOWING",L$12)</f>
        <v>44244</v>
      </c>
      <c r="L1227" s="13">
        <f ca="1">_xll.meDateFromTenor(K1227,L$14,L$11,L$12)</f>
        <v>44333</v>
      </c>
      <c r="M1227" s="98">
        <f ca="1"/>
        <v>2.7951652360807279E-3</v>
      </c>
      <c r="N1227" s="5" t="s">
        <v>4</v>
      </c>
      <c r="O1227" s="100">
        <f ca="1">_xll.meDateFromTenor(O1226,"1D","FOLLOWING",P$12)</f>
        <v>44244</v>
      </c>
      <c r="P1227" s="13">
        <f ca="1">_xll.meDateFromTenor(O1227,P$14,P$11,P$12)</f>
        <v>44425</v>
      </c>
      <c r="Q1227" s="98">
        <f ca="1"/>
        <v>4.6068165999258301E-3</v>
      </c>
      <c r="R1227" s="5" t="s">
        <v>4</v>
      </c>
      <c r="S1227" s="100">
        <f ca="1">_xll.meDateFromTenor(S1226,"1D","FOLLOWING",T$12)</f>
        <v>44244</v>
      </c>
      <c r="T1227" s="13">
        <f ca="1">_xll.meDateFromTenor(S1227,T$14,T$11,T$12)</f>
        <v>44609</v>
      </c>
      <c r="U1227" s="98">
        <f ca="1"/>
        <v>6.6312946258524439E-3</v>
      </c>
      <c r="V1227" s="5" t="s">
        <v>4</v>
      </c>
      <c r="W1227" s="84" t="s">
        <v>4</v>
      </c>
    </row>
    <row r="1228" spans="1:23" x14ac:dyDescent="0.25">
      <c r="A1228" s="90">
        <v>1209</v>
      </c>
      <c r="B1228" s="83"/>
      <c r="C1228" s="100">
        <f ca="1">_xll.meDateFromTenor(C1227,"1D","FOLLOWING",D$12)</f>
        <v>44245</v>
      </c>
      <c r="D1228" s="13">
        <f ca="1">_xll.meDateFromTenor(C1228,D$14,D$11,D$12)</f>
        <v>44246</v>
      </c>
      <c r="E1228" s="98">
        <f ca="1"/>
        <v>6.8107805531337118E-4</v>
      </c>
      <c r="F1228" s="94"/>
      <c r="G1228" s="100">
        <f ca="1">_xll.meDateFromTenor(G1227,"1D","FOLLOWING",H$12)</f>
        <v>44245</v>
      </c>
      <c r="H1228" s="13">
        <f ca="1">_xll.meDateFromTenor(G1228,H$14,H$11,H$12)</f>
        <v>44273</v>
      </c>
      <c r="I1228" s="98">
        <f ca="1"/>
        <v>1.6279187698815204E-3</v>
      </c>
      <c r="J1228" s="94" t="s">
        <v>4</v>
      </c>
      <c r="K1228" s="100">
        <f ca="1">_xll.meDateFromTenor(K1227,"1D","FOLLOWING",L$12)</f>
        <v>44245</v>
      </c>
      <c r="L1228" s="13">
        <f ca="1">_xll.meDateFromTenor(K1228,L$14,L$11,L$12)</f>
        <v>44334</v>
      </c>
      <c r="M1228" s="98">
        <f ca="1"/>
        <v>2.8026575435391816E-3</v>
      </c>
      <c r="N1228" s="5" t="s">
        <v>4</v>
      </c>
      <c r="O1228" s="100">
        <f ca="1">_xll.meDateFromTenor(O1227,"1D","FOLLOWING",P$12)</f>
        <v>44245</v>
      </c>
      <c r="P1228" s="13">
        <f ca="1">_xll.meDateFromTenor(O1228,P$14,P$11,P$12)</f>
        <v>44426</v>
      </c>
      <c r="Q1228" s="98">
        <f ca="1"/>
        <v>4.6139391060511748E-3</v>
      </c>
      <c r="R1228" s="5" t="s">
        <v>4</v>
      </c>
      <c r="S1228" s="100">
        <f ca="1">_xll.meDateFromTenor(S1227,"1D","FOLLOWING",T$12)</f>
        <v>44245</v>
      </c>
      <c r="T1228" s="13">
        <f ca="1">_xll.meDateFromTenor(S1228,T$14,T$11,T$12)</f>
        <v>44610</v>
      </c>
      <c r="U1228" s="98">
        <f ca="1"/>
        <v>6.6385504639780817E-3</v>
      </c>
      <c r="V1228" s="5" t="s">
        <v>4</v>
      </c>
      <c r="W1228" s="84" t="s">
        <v>4</v>
      </c>
    </row>
    <row r="1229" spans="1:23" x14ac:dyDescent="0.25">
      <c r="A1229" s="90">
        <v>1210</v>
      </c>
      <c r="B1229" s="83"/>
      <c r="C1229" s="100">
        <f ca="1">_xll.meDateFromTenor(C1228,"1D","FOLLOWING",D$12)</f>
        <v>44246</v>
      </c>
      <c r="D1229" s="13">
        <f ca="1">_xll.meDateFromTenor(C1229,D$14,D$11,D$12)</f>
        <v>44249</v>
      </c>
      <c r="E1229" s="98">
        <f ca="1"/>
        <v>6.9090650672624693E-4</v>
      </c>
      <c r="F1229" s="94"/>
      <c r="G1229" s="100">
        <f ca="1">_xll.meDateFromTenor(G1228,"1D","FOLLOWING",H$12)</f>
        <v>44246</v>
      </c>
      <c r="H1229" s="13">
        <f ca="1">_xll.meDateFromTenor(G1229,H$14,H$11,H$12)</f>
        <v>44274</v>
      </c>
      <c r="I1229" s="98">
        <f ca="1"/>
        <v>1.6363074825502665E-3</v>
      </c>
      <c r="J1229" s="94" t="s">
        <v>4</v>
      </c>
      <c r="K1229" s="100">
        <f ca="1">_xll.meDateFromTenor(K1228,"1D","FOLLOWING",L$12)</f>
        <v>44246</v>
      </c>
      <c r="L1229" s="13">
        <f ca="1">_xll.meDateFromTenor(K1229,L$14,L$11,L$12)</f>
        <v>44335</v>
      </c>
      <c r="M1229" s="98">
        <f ca="1"/>
        <v>2.8101512112731091E-3</v>
      </c>
      <c r="N1229" s="5" t="s">
        <v>4</v>
      </c>
      <c r="O1229" s="100">
        <f ca="1">_xll.meDateFromTenor(O1228,"1D","FOLLOWING",P$12)</f>
        <v>44246</v>
      </c>
      <c r="P1229" s="13">
        <f ca="1">_xll.meDateFromTenor(O1229,P$14,P$11,P$12)</f>
        <v>44427</v>
      </c>
      <c r="Q1229" s="98">
        <f ca="1"/>
        <v>4.6210647085912684E-3</v>
      </c>
      <c r="R1229" s="5" t="s">
        <v>4</v>
      </c>
      <c r="S1229" s="100">
        <f ca="1">_xll.meDateFromTenor(S1228,"1D","FOLLOWING",T$12)</f>
        <v>44246</v>
      </c>
      <c r="T1229" s="13">
        <f ca="1">_xll.meDateFromTenor(S1229,T$14,T$11,T$12)</f>
        <v>44613</v>
      </c>
      <c r="U1229" s="98">
        <f ca="1"/>
        <v>6.6458078710153043E-3</v>
      </c>
      <c r="V1229" s="5" t="s">
        <v>4</v>
      </c>
      <c r="W1229" s="84" t="s">
        <v>4</v>
      </c>
    </row>
    <row r="1230" spans="1:23" x14ac:dyDescent="0.25">
      <c r="A1230" s="90">
        <v>1211</v>
      </c>
      <c r="B1230" s="83"/>
      <c r="C1230" s="100">
        <f ca="1">_xll.meDateFromTenor(C1229,"1D","FOLLOWING",D$12)</f>
        <v>44249</v>
      </c>
      <c r="D1230" s="13">
        <f ca="1">_xll.meDateFromTenor(C1230,D$14,D$11,D$12)</f>
        <v>44250</v>
      </c>
      <c r="E1230" s="98">
        <f ca="1"/>
        <v>7.0061658858466976E-4</v>
      </c>
      <c r="F1230" s="94"/>
      <c r="G1230" s="100">
        <f ca="1">_xll.meDateFromTenor(G1229,"1D","FOLLOWING",H$12)</f>
        <v>44249</v>
      </c>
      <c r="H1230" s="13">
        <f ca="1">_xll.meDateFromTenor(G1230,H$14,H$11,H$12)</f>
        <v>44277</v>
      </c>
      <c r="I1230" s="98">
        <f ca="1"/>
        <v>1.6611728158211112E-3</v>
      </c>
      <c r="J1230" s="94" t="s">
        <v>4</v>
      </c>
      <c r="K1230" s="100">
        <f ca="1">_xll.meDateFromTenor(K1229,"1D","FOLLOWING",L$12)</f>
        <v>44249</v>
      </c>
      <c r="L1230" s="13">
        <f ca="1">_xll.meDateFromTenor(K1230,L$14,L$11,L$12)</f>
        <v>44340</v>
      </c>
      <c r="M1230" s="98">
        <f ca="1"/>
        <v>2.8326398496349332E-3</v>
      </c>
      <c r="N1230" s="5" t="s">
        <v>4</v>
      </c>
      <c r="O1230" s="100">
        <f ca="1">_xll.meDateFromTenor(O1229,"1D","FOLLOWING",P$12)</f>
        <v>44249</v>
      </c>
      <c r="P1230" s="13">
        <f ca="1">_xll.meDateFromTenor(O1230,P$14,P$11,P$12)</f>
        <v>44431</v>
      </c>
      <c r="Q1230" s="98">
        <f ca="1"/>
        <v>4.6424600367542864E-3</v>
      </c>
      <c r="R1230" s="5" t="s">
        <v>4</v>
      </c>
      <c r="S1230" s="100">
        <f ca="1">_xll.meDateFromTenor(S1229,"1D","FOLLOWING",T$12)</f>
        <v>44249</v>
      </c>
      <c r="T1230" s="13">
        <f ca="1">_xll.meDateFromTenor(S1230,T$14,T$11,T$12)</f>
        <v>44614</v>
      </c>
      <c r="U1230" s="98">
        <f ca="1"/>
        <v>6.6675893352784368E-3</v>
      </c>
      <c r="V1230" s="5" t="s">
        <v>4</v>
      </c>
      <c r="W1230" s="84" t="s">
        <v>4</v>
      </c>
    </row>
    <row r="1231" spans="1:23" x14ac:dyDescent="0.25">
      <c r="A1231" s="90">
        <v>1212</v>
      </c>
      <c r="B1231" s="83"/>
      <c r="C1231" s="100">
        <f ca="1">_xll.meDateFromTenor(C1230,"1D","FOLLOWING",D$12)</f>
        <v>44250</v>
      </c>
      <c r="D1231" s="13">
        <f ca="1">_xll.meDateFromTenor(C1231,D$14,D$11,D$12)</f>
        <v>44251</v>
      </c>
      <c r="E1231" s="98">
        <f ca="1"/>
        <v>7.0541443350625045E-4</v>
      </c>
      <c r="F1231" s="94"/>
      <c r="G1231" s="100">
        <f ca="1">_xll.meDateFromTenor(G1230,"1D","FOLLOWING",H$12)</f>
        <v>44250</v>
      </c>
      <c r="H1231" s="13">
        <f ca="1">_xll.meDateFromTenor(G1231,H$14,H$11,H$12)</f>
        <v>44278</v>
      </c>
      <c r="I1231" s="98">
        <f ca="1"/>
        <v>1.669334695261937E-3</v>
      </c>
      <c r="J1231" s="94" t="s">
        <v>4</v>
      </c>
      <c r="K1231" s="100">
        <f ca="1">_xll.meDateFromTenor(K1230,"1D","FOLLOWING",L$12)</f>
        <v>44250</v>
      </c>
      <c r="L1231" s="13">
        <f ca="1">_xll.meDateFromTenor(K1231,L$14,L$11,L$12)</f>
        <v>44340</v>
      </c>
      <c r="M1231" s="98">
        <f ca="1"/>
        <v>2.8401384319779554E-3</v>
      </c>
      <c r="N1231" s="5" t="s">
        <v>4</v>
      </c>
      <c r="O1231" s="100">
        <f ca="1">_xll.meDateFromTenor(O1230,"1D","FOLLOWING",P$12)</f>
        <v>44250</v>
      </c>
      <c r="P1231" s="13">
        <f ca="1">_xll.meDateFromTenor(O1231,P$14,P$11,P$12)</f>
        <v>44431</v>
      </c>
      <c r="Q1231" s="98">
        <f ca="1"/>
        <v>4.6495979670076208E-3</v>
      </c>
      <c r="R1231" s="5" t="s">
        <v>4</v>
      </c>
      <c r="S1231" s="100">
        <f ca="1">_xll.meDateFromTenor(S1230,"1D","FOLLOWING",T$12)</f>
        <v>44250</v>
      </c>
      <c r="T1231" s="13">
        <f ca="1">_xll.meDateFromTenor(S1231,T$14,T$11,T$12)</f>
        <v>44615</v>
      </c>
      <c r="U1231" s="98">
        <f ca="1"/>
        <v>6.6748528476439535E-3</v>
      </c>
      <c r="V1231" s="5" t="s">
        <v>4</v>
      </c>
      <c r="W1231" s="84" t="s">
        <v>4</v>
      </c>
    </row>
    <row r="1232" spans="1:23" x14ac:dyDescent="0.25">
      <c r="A1232" s="90">
        <v>1213</v>
      </c>
      <c r="B1232" s="83"/>
      <c r="C1232" s="100">
        <f ca="1">_xll.meDateFromTenor(C1231,"1D","FOLLOWING",D$12)</f>
        <v>44251</v>
      </c>
      <c r="D1232" s="13">
        <f ca="1">_xll.meDateFromTenor(C1232,D$14,D$11,D$12)</f>
        <v>44252</v>
      </c>
      <c r="E1232" s="98">
        <f ca="1"/>
        <v>7.1017756299684986E-4</v>
      </c>
      <c r="F1232" s="94"/>
      <c r="G1232" s="100">
        <f ca="1">_xll.meDateFromTenor(G1231,"1D","FOLLOWING",H$12)</f>
        <v>44251</v>
      </c>
      <c r="H1232" s="13">
        <f ca="1">_xll.meDateFromTenor(G1232,H$14,H$11,H$12)</f>
        <v>44279</v>
      </c>
      <c r="I1232" s="98">
        <f ca="1"/>
        <v>1.6774201438425362E-3</v>
      </c>
      <c r="J1232" s="94" t="s">
        <v>4</v>
      </c>
      <c r="K1232" s="100">
        <f ca="1">_xll.meDateFromTenor(K1231,"1D","FOLLOWING",L$12)</f>
        <v>44251</v>
      </c>
      <c r="L1232" s="13">
        <f ca="1">_xll.meDateFromTenor(K1232,L$14,L$11,L$12)</f>
        <v>44340</v>
      </c>
      <c r="M1232" s="98">
        <f ca="1"/>
        <v>2.8476381113500477E-3</v>
      </c>
      <c r="N1232" s="5" t="s">
        <v>4</v>
      </c>
      <c r="O1232" s="100">
        <f ca="1">_xll.meDateFromTenor(O1231,"1D","FOLLOWING",P$12)</f>
        <v>44251</v>
      </c>
      <c r="P1232" s="13">
        <f ca="1">_xll.meDateFromTenor(O1232,P$14,P$11,P$12)</f>
        <v>44432</v>
      </c>
      <c r="Q1232" s="98">
        <f ca="1"/>
        <v>4.6567389647028251E-3</v>
      </c>
      <c r="R1232" s="5" t="s">
        <v>4</v>
      </c>
      <c r="S1232" s="100">
        <f ca="1">_xll.meDateFromTenor(S1231,"1D","FOLLOWING",T$12)</f>
        <v>44251</v>
      </c>
      <c r="T1232" s="13">
        <f ca="1">_xll.meDateFromTenor(S1232,T$14,T$11,T$12)</f>
        <v>44616</v>
      </c>
      <c r="U1232" s="98">
        <f ca="1"/>
        <v>6.6821178437620303E-3</v>
      </c>
      <c r="V1232" s="5" t="s">
        <v>4</v>
      </c>
      <c r="W1232" s="84" t="s">
        <v>4</v>
      </c>
    </row>
    <row r="1233" spans="1:23" x14ac:dyDescent="0.25">
      <c r="A1233" s="90">
        <v>1214</v>
      </c>
      <c r="B1233" s="83"/>
      <c r="C1233" s="100">
        <f ca="1">_xll.meDateFromTenor(C1232,"1D","FOLLOWING",D$12)</f>
        <v>44252</v>
      </c>
      <c r="D1233" s="13">
        <f ca="1">_xll.meDateFromTenor(C1233,D$14,D$11,D$12)</f>
        <v>44253</v>
      </c>
      <c r="E1233" s="98">
        <f ca="1"/>
        <v>7.1490597673762898E-4</v>
      </c>
      <c r="F1233" s="94"/>
      <c r="G1233" s="100">
        <f ca="1">_xll.meDateFromTenor(G1232,"1D","FOLLOWING",H$12)</f>
        <v>44252</v>
      </c>
      <c r="H1233" s="13">
        <f ca="1">_xll.meDateFromTenor(G1233,H$14,H$11,H$12)</f>
        <v>44280</v>
      </c>
      <c r="I1233" s="98">
        <f ca="1"/>
        <v>1.6854212725416168E-3</v>
      </c>
      <c r="J1233" s="94" t="s">
        <v>4</v>
      </c>
      <c r="K1233" s="100">
        <f ca="1">_xll.meDateFromTenor(K1232,"1D","FOLLOWING",L$12)</f>
        <v>44252</v>
      </c>
      <c r="L1233" s="13">
        <f ca="1">_xll.meDateFromTenor(K1233,L$14,L$11,L$12)</f>
        <v>44341</v>
      </c>
      <c r="M1233" s="98">
        <f ca="1"/>
        <v>2.8551388351019361E-3</v>
      </c>
      <c r="N1233" s="5" t="s">
        <v>4</v>
      </c>
      <c r="O1233" s="100">
        <f ca="1">_xll.meDateFromTenor(O1232,"1D","FOLLOWING",P$12)</f>
        <v>44252</v>
      </c>
      <c r="P1233" s="13">
        <f ca="1">_xll.meDateFromTenor(O1233,P$14,P$11,P$12)</f>
        <v>44433</v>
      </c>
      <c r="Q1233" s="98">
        <f ca="1"/>
        <v>4.6638830240453271E-3</v>
      </c>
      <c r="R1233" s="5" t="s">
        <v>4</v>
      </c>
      <c r="S1233" s="100">
        <f ca="1">_xll.meDateFromTenor(S1232,"1D","FOLLOWING",T$12)</f>
        <v>44252</v>
      </c>
      <c r="T1233" s="13">
        <f ca="1">_xll.meDateFromTenor(S1233,T$14,T$11,T$12)</f>
        <v>44617</v>
      </c>
      <c r="U1233" s="98">
        <f ca="1"/>
        <v>6.6893843066008684E-3</v>
      </c>
      <c r="V1233" s="5" t="s">
        <v>4</v>
      </c>
      <c r="W1233" s="84" t="s">
        <v>4</v>
      </c>
    </row>
    <row r="1234" spans="1:23" x14ac:dyDescent="0.25">
      <c r="A1234" s="90">
        <v>1215</v>
      </c>
      <c r="B1234" s="83"/>
      <c r="C1234" s="100">
        <f ca="1">_xll.meDateFromTenor(C1233,"1D","FOLLOWING",D$12)</f>
        <v>44253</v>
      </c>
      <c r="D1234" s="13">
        <f ca="1">_xll.meDateFromTenor(C1234,D$14,D$11,D$12)</f>
        <v>44256</v>
      </c>
      <c r="E1234" s="98">
        <f ca="1"/>
        <v>7.2424854225868482E-4</v>
      </c>
      <c r="F1234" s="94"/>
      <c r="G1234" s="100">
        <f ca="1">_xll.meDateFromTenor(G1233,"1D","FOLLOWING",H$12)</f>
        <v>44253</v>
      </c>
      <c r="H1234" s="13">
        <f ca="1">_xll.meDateFromTenor(G1234,H$14,H$11,H$12)</f>
        <v>44281</v>
      </c>
      <c r="I1234" s="98">
        <f ca="1"/>
        <v>1.693330192337879E-3</v>
      </c>
      <c r="J1234" s="94" t="s">
        <v>4</v>
      </c>
      <c r="K1234" s="100">
        <f ca="1">_xll.meDateFromTenor(K1233,"1D","FOLLOWING",L$12)</f>
        <v>44253</v>
      </c>
      <c r="L1234" s="13">
        <f ca="1">_xll.meDateFromTenor(K1234,L$14,L$11,L$12)</f>
        <v>44342</v>
      </c>
      <c r="M1234" s="98">
        <f ca="1"/>
        <v>2.8626405505843369E-3</v>
      </c>
      <c r="N1234" s="5" t="s">
        <v>4</v>
      </c>
      <c r="O1234" s="100">
        <f ca="1">_xll.meDateFromTenor(O1233,"1D","FOLLOWING",P$12)</f>
        <v>44253</v>
      </c>
      <c r="P1234" s="13">
        <f ca="1">_xll.meDateFromTenor(O1234,P$14,P$11,P$12)</f>
        <v>44434</v>
      </c>
      <c r="Q1234" s="98">
        <f ca="1"/>
        <v>4.6710301392405501E-3</v>
      </c>
      <c r="R1234" s="5" t="s">
        <v>4</v>
      </c>
      <c r="S1234" s="100">
        <f ca="1">_xll.meDateFromTenor(S1233,"1D","FOLLOWING",T$12)</f>
        <v>44253</v>
      </c>
      <c r="T1234" s="13">
        <f ca="1">_xll.meDateFromTenor(S1234,T$14,T$11,T$12)</f>
        <v>44620</v>
      </c>
      <c r="U1234" s="98">
        <f ca="1"/>
        <v>6.6966522191286596E-3</v>
      </c>
      <c r="V1234" s="5" t="s">
        <v>4</v>
      </c>
      <c r="W1234" s="84" t="s">
        <v>4</v>
      </c>
    </row>
    <row r="1235" spans="1:23" x14ac:dyDescent="0.25">
      <c r="A1235" s="90">
        <v>1216</v>
      </c>
      <c r="B1235" s="83"/>
      <c r="C1235" s="100">
        <f ca="1">_xll.meDateFromTenor(C1234,"1D","FOLLOWING",D$12)</f>
        <v>44256</v>
      </c>
      <c r="D1235" s="13">
        <f ca="1">_xll.meDateFromTenor(C1235,D$14,D$11,D$12)</f>
        <v>44257</v>
      </c>
      <c r="E1235" s="98">
        <f ca="1"/>
        <v>7.3347247411715611E-4</v>
      </c>
      <c r="F1235" s="94"/>
      <c r="G1235" s="100">
        <f ca="1">_xll.meDateFromTenor(G1234,"1D","FOLLOWING",H$12)</f>
        <v>44256</v>
      </c>
      <c r="H1235" s="13">
        <f ca="1">_xll.meDateFromTenor(G1235,H$14,H$11,H$12)</f>
        <v>44287</v>
      </c>
      <c r="I1235" s="98">
        <f ca="1"/>
        <v>1.716424808096779E-3</v>
      </c>
      <c r="J1235" s="94" t="s">
        <v>4</v>
      </c>
      <c r="K1235" s="100">
        <f ca="1">_xll.meDateFromTenor(K1234,"1D","FOLLOWING",L$12)</f>
        <v>44256</v>
      </c>
      <c r="L1235" s="13">
        <f ca="1">_xll.meDateFromTenor(K1235,L$14,L$11,L$12)</f>
        <v>44348</v>
      </c>
      <c r="M1235" s="98">
        <f ca="1"/>
        <v>2.8851511209218206E-3</v>
      </c>
      <c r="N1235" s="5" t="s">
        <v>4</v>
      </c>
      <c r="O1235" s="100">
        <f ca="1">_xll.meDateFromTenor(O1234,"1D","FOLLOWING",P$12)</f>
        <v>44256</v>
      </c>
      <c r="P1235" s="13">
        <f ca="1">_xll.meDateFromTenor(O1235,P$14,P$11,P$12)</f>
        <v>44440</v>
      </c>
      <c r="Q1235" s="98">
        <f ca="1"/>
        <v>4.6924897619967949E-3</v>
      </c>
      <c r="R1235" s="5" t="s">
        <v>4</v>
      </c>
      <c r="S1235" s="100">
        <f ca="1">_xll.meDateFromTenor(S1234,"1D","FOLLOWING",T$12)</f>
        <v>44256</v>
      </c>
      <c r="T1235" s="13">
        <f ca="1">_xll.meDateFromTenor(S1235,T$14,T$11,T$12)</f>
        <v>44621</v>
      </c>
      <c r="U1235" s="98">
        <f ca="1"/>
        <v>6.7184644845277109E-3</v>
      </c>
      <c r="V1235" s="5" t="s">
        <v>4</v>
      </c>
      <c r="W1235" s="84" t="s">
        <v>4</v>
      </c>
    </row>
    <row r="1236" spans="1:23" x14ac:dyDescent="0.25">
      <c r="A1236" s="90">
        <v>1217</v>
      </c>
      <c r="B1236" s="83"/>
      <c r="C1236" s="100">
        <f ca="1">_xll.meDateFromTenor(C1235,"1D","FOLLOWING",D$12)</f>
        <v>44257</v>
      </c>
      <c r="D1236" s="13">
        <f ca="1">_xll.meDateFromTenor(C1236,D$14,D$11,D$12)</f>
        <v>44258</v>
      </c>
      <c r="E1236" s="98">
        <f ca="1"/>
        <v>7.3804275594990375E-4</v>
      </c>
      <c r="F1236" s="94"/>
      <c r="G1236" s="100">
        <f ca="1">_xll.meDateFromTenor(G1235,"1D","FOLLOWING",H$12)</f>
        <v>44257</v>
      </c>
      <c r="H1236" s="13">
        <f ca="1">_xll.meDateFromTenor(G1236,H$14,H$11,H$12)</f>
        <v>44292</v>
      </c>
      <c r="I1236" s="98">
        <f ca="1"/>
        <v>1.7238860020687922E-3</v>
      </c>
      <c r="J1236" s="94" t="s">
        <v>4</v>
      </c>
      <c r="K1236" s="100">
        <f ca="1">_xll.meDateFromTenor(K1235,"1D","FOLLOWING",L$12)</f>
        <v>44257</v>
      </c>
      <c r="L1236" s="13">
        <f ca="1">_xll.meDateFromTenor(K1236,L$14,L$11,L$12)</f>
        <v>44349</v>
      </c>
      <c r="M1236" s="98">
        <f ca="1"/>
        <v>2.8926562768334741E-3</v>
      </c>
      <c r="N1236" s="5" t="s">
        <v>4</v>
      </c>
      <c r="O1236" s="100">
        <f ca="1">_xll.meDateFromTenor(O1235,"1D","FOLLOWING",P$12)</f>
        <v>44257</v>
      </c>
      <c r="P1236" s="13">
        <f ca="1">_xll.meDateFromTenor(O1236,P$14,P$11,P$12)</f>
        <v>44441</v>
      </c>
      <c r="Q1236" s="98">
        <f ca="1"/>
        <v>4.6996490426571497E-3</v>
      </c>
      <c r="R1236" s="5" t="s">
        <v>4</v>
      </c>
      <c r="S1236" s="100">
        <f ca="1">_xll.meDateFromTenor(S1235,"1D","FOLLOWING",T$12)</f>
        <v>44257</v>
      </c>
      <c r="T1236" s="13">
        <f ca="1">_xll.meDateFromTenor(S1236,T$14,T$11,T$12)</f>
        <v>44622</v>
      </c>
      <c r="U1236" s="98">
        <f ca="1"/>
        <v>6.7257380254932718E-3</v>
      </c>
      <c r="V1236" s="5" t="s">
        <v>4</v>
      </c>
      <c r="W1236" s="84" t="s">
        <v>4</v>
      </c>
    </row>
    <row r="1237" spans="1:23" x14ac:dyDescent="0.25">
      <c r="A1237" s="90">
        <v>1218</v>
      </c>
      <c r="B1237" s="83"/>
      <c r="C1237" s="100">
        <f ca="1">_xll.meDateFromTenor(C1236,"1D","FOLLOWING",D$12)</f>
        <v>44258</v>
      </c>
      <c r="D1237" s="13">
        <f ca="1">_xll.meDateFromTenor(C1237,D$14,D$11,D$12)</f>
        <v>44259</v>
      </c>
      <c r="E1237" s="98">
        <f ca="1"/>
        <v>7.426555592095033E-4</v>
      </c>
      <c r="F1237" s="94"/>
      <c r="G1237" s="100">
        <f ca="1">_xll.meDateFromTenor(G1236,"1D","FOLLOWING",H$12)</f>
        <v>44258</v>
      </c>
      <c r="H1237" s="13">
        <f ca="1">_xll.meDateFromTenor(G1237,H$14,H$11,H$12)</f>
        <v>44292</v>
      </c>
      <c r="I1237" s="98">
        <f ca="1"/>
        <v>1.7312180182521533E-3</v>
      </c>
      <c r="J1237" s="94" t="s">
        <v>4</v>
      </c>
      <c r="K1237" s="100">
        <f ca="1">_xll.meDateFromTenor(K1236,"1D","FOLLOWING",L$12)</f>
        <v>44258</v>
      </c>
      <c r="L1237" s="13">
        <f ca="1">_xll.meDateFromTenor(K1237,L$14,L$11,L$12)</f>
        <v>44350</v>
      </c>
      <c r="M1237" s="98">
        <f ca="1"/>
        <v>2.9001621737294492E-3</v>
      </c>
      <c r="N1237" s="5" t="s">
        <v>4</v>
      </c>
      <c r="O1237" s="100">
        <f ca="1">_xll.meDateFromTenor(O1236,"1D","FOLLOWING",P$12)</f>
        <v>44258</v>
      </c>
      <c r="P1237" s="13">
        <f ca="1">_xll.meDateFromTenor(O1237,P$14,P$11,P$12)</f>
        <v>44442</v>
      </c>
      <c r="Q1237" s="98">
        <f ca="1"/>
        <v>4.7068113501973459E-3</v>
      </c>
      <c r="R1237" s="5" t="s">
        <v>4</v>
      </c>
      <c r="S1237" s="100">
        <f ca="1">_xll.meDateFromTenor(S1236,"1D","FOLLOWING",T$12)</f>
        <v>44258</v>
      </c>
      <c r="T1237" s="13">
        <f ca="1">_xll.meDateFromTenor(S1237,T$14,T$11,T$12)</f>
        <v>44623</v>
      </c>
      <c r="U1237" s="98">
        <f ca="1"/>
        <v>6.7330129309887627E-3</v>
      </c>
      <c r="V1237" s="5" t="s">
        <v>4</v>
      </c>
      <c r="W1237" s="84" t="s">
        <v>4</v>
      </c>
    </row>
    <row r="1238" spans="1:23" x14ac:dyDescent="0.25">
      <c r="A1238" s="90">
        <v>1219</v>
      </c>
      <c r="B1238" s="83"/>
      <c r="C1238" s="100">
        <f ca="1">_xll.meDateFromTenor(C1237,"1D","FOLLOWING",D$12)</f>
        <v>44259</v>
      </c>
      <c r="D1238" s="13">
        <f ca="1">_xll.meDateFromTenor(C1238,D$14,D$11,D$12)</f>
        <v>44260</v>
      </c>
      <c r="E1238" s="98">
        <f ca="1"/>
        <v>7.4732633217766112E-4</v>
      </c>
      <c r="F1238" s="94"/>
      <c r="G1238" s="100">
        <f ca="1">_xll.meDateFromTenor(G1237,"1D","FOLLOWING",H$12)</f>
        <v>44259</v>
      </c>
      <c r="H1238" s="13">
        <f ca="1">_xll.meDateFromTenor(G1238,H$14,H$11,H$12)</f>
        <v>44292</v>
      </c>
      <c r="I1238" s="98">
        <f ca="1"/>
        <v>1.7384253487288533E-3</v>
      </c>
      <c r="J1238" s="94" t="s">
        <v>4</v>
      </c>
      <c r="K1238" s="100">
        <f ca="1">_xll.meDateFromTenor(K1237,"1D","FOLLOWING",L$12)</f>
        <v>44259</v>
      </c>
      <c r="L1238" s="13">
        <f ca="1">_xll.meDateFromTenor(K1238,L$14,L$11,L$12)</f>
        <v>44351</v>
      </c>
      <c r="M1238" s="98">
        <f ca="1"/>
        <v>2.9076688214615264E-3</v>
      </c>
      <c r="N1238" s="5" t="s">
        <v>4</v>
      </c>
      <c r="O1238" s="100">
        <f ca="1">_xll.meDateFromTenor(O1237,"1D","FOLLOWING",P$12)</f>
        <v>44259</v>
      </c>
      <c r="P1238" s="13">
        <f ca="1">_xll.meDateFromTenor(O1238,P$14,P$11,P$12)</f>
        <v>44445</v>
      </c>
      <c r="Q1238" s="98">
        <f ca="1"/>
        <v>4.7139766788228182E-3</v>
      </c>
      <c r="R1238" s="5" t="s">
        <v>4</v>
      </c>
      <c r="S1238" s="100">
        <f ca="1">_xll.meDateFromTenor(S1237,"1D","FOLLOWING",T$12)</f>
        <v>44259</v>
      </c>
      <c r="T1238" s="13">
        <f ca="1">_xll.meDateFromTenor(S1238,T$14,T$11,T$12)</f>
        <v>44624</v>
      </c>
      <c r="U1238" s="98">
        <f ca="1"/>
        <v>6.740289183982384E-3</v>
      </c>
      <c r="V1238" s="5" t="s">
        <v>4</v>
      </c>
      <c r="W1238" s="84" t="s">
        <v>4</v>
      </c>
    </row>
    <row r="1239" spans="1:23" x14ac:dyDescent="0.25">
      <c r="A1239" s="90">
        <v>1220</v>
      </c>
      <c r="B1239" s="83"/>
      <c r="C1239" s="100">
        <f ca="1">_xll.meDateFromTenor(C1238,"1D","FOLLOWING",D$12)</f>
        <v>44260</v>
      </c>
      <c r="D1239" s="13">
        <f ca="1">_xll.meDateFromTenor(C1239,D$14,D$11,D$12)</f>
        <v>44263</v>
      </c>
      <c r="E1239" s="98">
        <f ca="1"/>
        <v>7.5686270403001329E-4</v>
      </c>
      <c r="F1239" s="94"/>
      <c r="G1239" s="100">
        <f ca="1">_xll.meDateFromTenor(G1238,"1D","FOLLOWING",H$12)</f>
        <v>44260</v>
      </c>
      <c r="H1239" s="13">
        <f ca="1">_xll.meDateFromTenor(G1239,H$14,H$11,H$12)</f>
        <v>44292</v>
      </c>
      <c r="I1239" s="98">
        <f ca="1"/>
        <v>1.7455149618015229E-3</v>
      </c>
      <c r="J1239" s="94" t="s">
        <v>4</v>
      </c>
      <c r="K1239" s="100">
        <f ca="1">_xll.meDateFromTenor(K1238,"1D","FOLLOWING",L$12)</f>
        <v>44260</v>
      </c>
      <c r="L1239" s="13">
        <f ca="1">_xll.meDateFromTenor(K1239,L$14,L$11,L$12)</f>
        <v>44354</v>
      </c>
      <c r="M1239" s="98">
        <f ca="1"/>
        <v>2.9151762423816814E-3</v>
      </c>
      <c r="N1239" s="5" t="s">
        <v>4</v>
      </c>
      <c r="O1239" s="100">
        <f ca="1">_xll.meDateFromTenor(O1238,"1D","FOLLOWING",P$12)</f>
        <v>44260</v>
      </c>
      <c r="P1239" s="13">
        <f ca="1">_xll.meDateFromTenor(O1239,P$14,P$11,P$12)</f>
        <v>44445</v>
      </c>
      <c r="Q1239" s="98">
        <f ca="1"/>
        <v>4.7211450227389777E-3</v>
      </c>
      <c r="R1239" s="5" t="s">
        <v>4</v>
      </c>
      <c r="S1239" s="100">
        <f ca="1">_xll.meDateFromTenor(S1238,"1D","FOLLOWING",T$12)</f>
        <v>44260</v>
      </c>
      <c r="T1239" s="13">
        <f ca="1">_xll.meDateFromTenor(S1239,T$14,T$11,T$12)</f>
        <v>44627</v>
      </c>
      <c r="U1239" s="98">
        <f ca="1"/>
        <v>6.7475667674423232E-3</v>
      </c>
      <c r="V1239" s="5" t="s">
        <v>4</v>
      </c>
      <c r="W1239" s="84" t="s">
        <v>4</v>
      </c>
    </row>
    <row r="1240" spans="1:23" x14ac:dyDescent="0.25">
      <c r="A1240" s="90">
        <v>1221</v>
      </c>
      <c r="B1240" s="83"/>
      <c r="C1240" s="100">
        <f ca="1">_xll.meDateFromTenor(C1239,"1D","FOLLOWING",D$12)</f>
        <v>44263</v>
      </c>
      <c r="D1240" s="13">
        <f ca="1">_xll.meDateFromTenor(C1240,D$14,D$11,D$12)</f>
        <v>44264</v>
      </c>
      <c r="E1240" s="98">
        <f ca="1"/>
        <v>7.6658913201287603E-4</v>
      </c>
      <c r="F1240" s="94"/>
      <c r="G1240" s="100">
        <f ca="1">_xll.meDateFromTenor(G1239,"1D","FOLLOWING",H$12)</f>
        <v>44263</v>
      </c>
      <c r="H1240" s="13">
        <f ca="1">_xll.meDateFromTenor(G1240,H$14,H$11,H$12)</f>
        <v>44294</v>
      </c>
      <c r="I1240" s="98">
        <f ca="1"/>
        <v>1.7661471796217841E-3</v>
      </c>
      <c r="J1240" s="94" t="s">
        <v>4</v>
      </c>
      <c r="K1240" s="100">
        <f ca="1">_xll.meDateFromTenor(K1239,"1D","FOLLOWING",L$12)</f>
        <v>44263</v>
      </c>
      <c r="L1240" s="13">
        <f ca="1">_xll.meDateFromTenor(K1240,L$14,L$11,L$12)</f>
        <v>44355</v>
      </c>
      <c r="M1240" s="98">
        <f ca="1"/>
        <v>2.9377033677904932E-3</v>
      </c>
      <c r="N1240" s="5" t="s">
        <v>4</v>
      </c>
      <c r="O1240" s="100">
        <f ca="1">_xll.meDateFromTenor(O1239,"1D","FOLLOWING",P$12)</f>
        <v>44263</v>
      </c>
      <c r="P1240" s="13">
        <f ca="1">_xll.meDateFromTenor(O1240,P$14,P$11,P$12)</f>
        <v>44447</v>
      </c>
      <c r="Q1240" s="98">
        <f ca="1"/>
        <v>4.7426680882858736E-3</v>
      </c>
      <c r="R1240" s="5" t="s">
        <v>4</v>
      </c>
      <c r="S1240" s="100">
        <f ca="1">_xll.meDateFromTenor(S1239,"1D","FOLLOWING",T$12)</f>
        <v>44263</v>
      </c>
      <c r="T1240" s="13">
        <f ca="1">_xll.meDateFromTenor(S1240,T$14,T$11,T$12)</f>
        <v>44628</v>
      </c>
      <c r="U1240" s="98">
        <f ca="1"/>
        <v>6.769407330302039E-3</v>
      </c>
      <c r="V1240" s="5" t="s">
        <v>4</v>
      </c>
      <c r="W1240" s="84" t="s">
        <v>4</v>
      </c>
    </row>
    <row r="1241" spans="1:23" x14ac:dyDescent="0.25">
      <c r="A1241" s="90">
        <v>1222</v>
      </c>
      <c r="B1241" s="83"/>
      <c r="C1241" s="100">
        <f ca="1">_xll.meDateFromTenor(C1240,"1D","FOLLOWING",D$12)</f>
        <v>44264</v>
      </c>
      <c r="D1241" s="13">
        <f ca="1">_xll.meDateFromTenor(C1241,D$14,D$11,D$12)</f>
        <v>44265</v>
      </c>
      <c r="E1241" s="98">
        <f ca="1"/>
        <v>7.7154976255945759E-4</v>
      </c>
      <c r="F1241" s="94"/>
      <c r="G1241" s="100">
        <f ca="1">_xll.meDateFromTenor(G1240,"1D","FOLLOWING",H$12)</f>
        <v>44264</v>
      </c>
      <c r="H1241" s="13">
        <f ca="1">_xll.meDateFromTenor(G1241,H$14,H$11,H$12)</f>
        <v>44295</v>
      </c>
      <c r="I1241" s="98">
        <f ca="1"/>
        <v>1.7728356061047531E-3</v>
      </c>
      <c r="J1241" s="94" t="s">
        <v>4</v>
      </c>
      <c r="K1241" s="100">
        <f ca="1">_xll.meDateFromTenor(K1240,"1D","FOLLOWING",L$12)</f>
        <v>44264</v>
      </c>
      <c r="L1241" s="13">
        <f ca="1">_xll.meDateFromTenor(K1241,L$14,L$11,L$12)</f>
        <v>44356</v>
      </c>
      <c r="M1241" s="98">
        <f ca="1"/>
        <v>2.9452141049828269E-3</v>
      </c>
      <c r="N1241" s="5" t="s">
        <v>4</v>
      </c>
      <c r="O1241" s="100">
        <f ca="1">_xll.meDateFromTenor(O1240,"1D","FOLLOWING",P$12)</f>
        <v>44264</v>
      </c>
      <c r="P1241" s="13">
        <f ca="1">_xll.meDateFromTenor(O1241,P$14,P$11,P$12)</f>
        <v>44448</v>
      </c>
      <c r="Q1241" s="98">
        <f ca="1"/>
        <v>4.7498484354190585E-3</v>
      </c>
      <c r="R1241" s="5" t="s">
        <v>4</v>
      </c>
      <c r="S1241" s="100">
        <f ca="1">_xll.meDateFromTenor(S1240,"1D","FOLLOWING",T$12)</f>
        <v>44264</v>
      </c>
      <c r="T1241" s="13">
        <f ca="1">_xll.meDateFromTenor(S1241,T$14,T$11,T$12)</f>
        <v>44629</v>
      </c>
      <c r="U1241" s="98">
        <f ca="1"/>
        <v>6.7766900653092243E-3</v>
      </c>
      <c r="V1241" s="5" t="s">
        <v>4</v>
      </c>
      <c r="W1241" s="84" t="s">
        <v>4</v>
      </c>
    </row>
    <row r="1242" spans="1:23" x14ac:dyDescent="0.25">
      <c r="A1242" s="90">
        <v>1223</v>
      </c>
      <c r="B1242" s="83"/>
      <c r="C1242" s="100">
        <f ca="1">_xll.meDateFromTenor(C1241,"1D","FOLLOWING",D$12)</f>
        <v>44265</v>
      </c>
      <c r="D1242" s="13">
        <f ca="1">_xll.meDateFromTenor(C1242,D$14,D$11,D$12)</f>
        <v>44266</v>
      </c>
      <c r="E1242" s="98">
        <f ca="1"/>
        <v>7.7656836673144561E-4</v>
      </c>
      <c r="F1242" s="94"/>
      <c r="G1242" s="100">
        <f ca="1">_xll.meDateFromTenor(G1241,"1D","FOLLOWING",H$12)</f>
        <v>44265</v>
      </c>
      <c r="H1242" s="13">
        <f ca="1">_xll.meDateFromTenor(G1242,H$14,H$11,H$12)</f>
        <v>44298</v>
      </c>
      <c r="I1242" s="98">
        <f ca="1"/>
        <v>1.7794411566968969E-3</v>
      </c>
      <c r="J1242" s="94" t="s">
        <v>4</v>
      </c>
      <c r="K1242" s="100">
        <f ca="1">_xll.meDateFromTenor(K1241,"1D","FOLLOWING",L$12)</f>
        <v>44265</v>
      </c>
      <c r="L1242" s="13">
        <f ca="1">_xll.meDateFromTenor(K1242,L$14,L$11,L$12)</f>
        <v>44357</v>
      </c>
      <c r="M1242" s="98">
        <f ca="1"/>
        <v>2.9527257271231657E-3</v>
      </c>
      <c r="N1242" s="5" t="s">
        <v>4</v>
      </c>
      <c r="O1242" s="100">
        <f ca="1">_xll.meDateFromTenor(O1241,"1D","FOLLOWING",P$12)</f>
        <v>44265</v>
      </c>
      <c r="P1242" s="13">
        <f ca="1">_xll.meDateFromTenor(O1242,P$14,P$11,P$12)</f>
        <v>44449</v>
      </c>
      <c r="Q1242" s="98">
        <f ca="1"/>
        <v>4.7570317688700597E-3</v>
      </c>
      <c r="R1242" s="5" t="s">
        <v>4</v>
      </c>
      <c r="S1242" s="100">
        <f ca="1">_xll.meDateFromTenor(S1241,"1D","FOLLOWING",T$12)</f>
        <v>44265</v>
      </c>
      <c r="T1242" s="13">
        <f ca="1">_xll.meDateFromTenor(S1242,T$14,T$11,T$12)</f>
        <v>44630</v>
      </c>
      <c r="U1242" s="98">
        <f ca="1"/>
        <v>6.7839740456237122E-3</v>
      </c>
      <c r="V1242" s="5" t="s">
        <v>4</v>
      </c>
      <c r="W1242" s="84" t="s">
        <v>4</v>
      </c>
    </row>
    <row r="1243" spans="1:23" x14ac:dyDescent="0.25">
      <c r="A1243" s="90">
        <v>1224</v>
      </c>
      <c r="B1243" s="83"/>
      <c r="C1243" s="100">
        <f ca="1">_xll.meDateFromTenor(C1242,"1D","FOLLOWING",D$12)</f>
        <v>44266</v>
      </c>
      <c r="D1243" s="13">
        <f ca="1">_xll.meDateFromTenor(C1243,D$14,D$11,D$12)</f>
        <v>44267</v>
      </c>
      <c r="E1243" s="98">
        <f ca="1"/>
        <v>7.816449452492547E-4</v>
      </c>
      <c r="F1243" s="94"/>
      <c r="G1243" s="100">
        <f ca="1">_xll.meDateFromTenor(G1242,"1D","FOLLOWING",H$12)</f>
        <v>44266</v>
      </c>
      <c r="H1243" s="13">
        <f ca="1">_xll.meDateFromTenor(G1243,H$14,H$11,H$12)</f>
        <v>44298</v>
      </c>
      <c r="I1243" s="98">
        <f ca="1"/>
        <v>1.7859707997008548E-3</v>
      </c>
      <c r="J1243" s="94" t="s">
        <v>4</v>
      </c>
      <c r="K1243" s="100">
        <f ca="1">_xll.meDateFromTenor(K1242,"1D","FOLLOWING",L$12)</f>
        <v>44266</v>
      </c>
      <c r="L1243" s="13">
        <f ca="1">_xll.meDateFromTenor(K1243,L$14,L$11,L$12)</f>
        <v>44358</v>
      </c>
      <c r="M1243" s="98">
        <f ca="1"/>
        <v>2.9602382565634957E-3</v>
      </c>
      <c r="N1243" s="5" t="s">
        <v>4</v>
      </c>
      <c r="O1243" s="100">
        <f ca="1">_xll.meDateFromTenor(O1242,"1D","FOLLOWING",P$12)</f>
        <v>44266</v>
      </c>
      <c r="P1243" s="13">
        <f ca="1">_xll.meDateFromTenor(O1243,P$14,P$11,P$12)</f>
        <v>44452</v>
      </c>
      <c r="Q1243" s="98">
        <f ca="1"/>
        <v>4.7642180828443032E-3</v>
      </c>
      <c r="R1243" s="5" t="s">
        <v>4</v>
      </c>
      <c r="S1243" s="100">
        <f ca="1">_xll.meDateFromTenor(S1242,"1D","FOLLOWING",T$12)</f>
        <v>44266</v>
      </c>
      <c r="T1243" s="13">
        <f ca="1">_xll.meDateFromTenor(S1243,T$14,T$11,T$12)</f>
        <v>44631</v>
      </c>
      <c r="U1243" s="98">
        <f ca="1"/>
        <v>6.7912592542136944E-3</v>
      </c>
      <c r="V1243" s="5" t="s">
        <v>4</v>
      </c>
      <c r="W1243" s="84" t="s">
        <v>4</v>
      </c>
    </row>
    <row r="1244" spans="1:23" x14ac:dyDescent="0.25">
      <c r="A1244" s="90">
        <v>1225</v>
      </c>
      <c r="B1244" s="83"/>
      <c r="C1244" s="100">
        <f ca="1">_xll.meDateFromTenor(C1243,"1D","FOLLOWING",D$12)</f>
        <v>44267</v>
      </c>
      <c r="D1244" s="13">
        <f ca="1">_xll.meDateFromTenor(C1244,D$14,D$11,D$12)</f>
        <v>44270</v>
      </c>
      <c r="E1244" s="98">
        <f ca="1"/>
        <v>7.919930959853933E-4</v>
      </c>
      <c r="F1244" s="94"/>
      <c r="G1244" s="100">
        <f ca="1">_xll.meDateFromTenor(G1243,"1D","FOLLOWING",H$12)</f>
        <v>44267</v>
      </c>
      <c r="H1244" s="13">
        <f ca="1">_xll.meDateFromTenor(G1244,H$14,H$11,H$12)</f>
        <v>44298</v>
      </c>
      <c r="I1244" s="98">
        <f ca="1"/>
        <v>1.7924315034192652E-3</v>
      </c>
      <c r="J1244" s="94" t="s">
        <v>4</v>
      </c>
      <c r="K1244" s="100">
        <f ca="1">_xll.meDateFromTenor(K1243,"1D","FOLLOWING",L$12)</f>
        <v>44267</v>
      </c>
      <c r="L1244" s="13">
        <f ca="1">_xll.meDateFromTenor(K1244,L$14,L$11,L$12)</f>
        <v>44361</v>
      </c>
      <c r="M1244" s="98">
        <f ca="1"/>
        <v>2.9677517156557979E-3</v>
      </c>
      <c r="N1244" s="5" t="s">
        <v>4</v>
      </c>
      <c r="O1244" s="100">
        <f ca="1">_xll.meDateFromTenor(O1243,"1D","FOLLOWING",P$12)</f>
        <v>44267</v>
      </c>
      <c r="P1244" s="13">
        <f ca="1">_xll.meDateFromTenor(O1244,P$14,P$11,P$12)</f>
        <v>44452</v>
      </c>
      <c r="Q1244" s="98">
        <f ca="1"/>
        <v>4.7714073715472106E-3</v>
      </c>
      <c r="R1244" s="5" t="s">
        <v>4</v>
      </c>
      <c r="S1244" s="100">
        <f ca="1">_xll.meDateFromTenor(S1243,"1D","FOLLOWING",T$12)</f>
        <v>44267</v>
      </c>
      <c r="T1244" s="13">
        <f ca="1">_xll.meDateFromTenor(S1244,T$14,T$11,T$12)</f>
        <v>44634</v>
      </c>
      <c r="U1244" s="98">
        <f ca="1"/>
        <v>6.7985456740473661E-3</v>
      </c>
      <c r="V1244" s="5" t="s">
        <v>4</v>
      </c>
      <c r="W1244" s="84" t="s">
        <v>4</v>
      </c>
    </row>
    <row r="1245" spans="1:23" x14ac:dyDescent="0.25">
      <c r="A1245" s="90">
        <v>1226</v>
      </c>
      <c r="B1245" s="83"/>
      <c r="C1245" s="100">
        <f ca="1">_xll.meDateFromTenor(C1244,"1D","FOLLOWING",D$12)</f>
        <v>44270</v>
      </c>
      <c r="D1245" s="13">
        <f ca="1">_xll.meDateFromTenor(C1245,D$14,D$11,D$12)</f>
        <v>44271</v>
      </c>
      <c r="E1245" s="98">
        <f ca="1"/>
        <v>8.0253101708129622E-4</v>
      </c>
      <c r="F1245" s="94"/>
      <c r="G1245" s="100">
        <f ca="1">_xll.meDateFromTenor(G1244,"1D","FOLLOWING",H$12)</f>
        <v>44270</v>
      </c>
      <c r="H1245" s="13">
        <f ca="1">_xll.meDateFromTenor(G1245,H$14,H$11,H$12)</f>
        <v>44301</v>
      </c>
      <c r="I1245" s="98">
        <f ca="1"/>
        <v>1.8114696618876298E-3</v>
      </c>
      <c r="J1245" s="94" t="s">
        <v>4</v>
      </c>
      <c r="K1245" s="100">
        <f ca="1">_xll.meDateFromTenor(K1244,"1D","FOLLOWING",L$12)</f>
        <v>44270</v>
      </c>
      <c r="L1245" s="13">
        <f ca="1">_xll.meDateFromTenor(K1245,L$14,L$11,L$12)</f>
        <v>44362</v>
      </c>
      <c r="M1245" s="98">
        <f ca="1"/>
        <v>2.9902978943644109E-3</v>
      </c>
      <c r="N1245" s="5" t="s">
        <v>4</v>
      </c>
      <c r="O1245" s="100">
        <f ca="1">_xll.meDateFromTenor(O1244,"1D","FOLLOWING",P$12)</f>
        <v>44270</v>
      </c>
      <c r="P1245" s="13">
        <f ca="1">_xll.meDateFromTenor(O1245,P$14,P$11,P$12)</f>
        <v>44454</v>
      </c>
      <c r="Q1245" s="98">
        <f ca="1"/>
        <v>4.7929930280821847E-3</v>
      </c>
      <c r="R1245" s="5" t="s">
        <v>4</v>
      </c>
      <c r="S1245" s="100">
        <f ca="1">_xll.meDateFromTenor(S1244,"1D","FOLLOWING",T$12)</f>
        <v>44270</v>
      </c>
      <c r="T1245" s="13">
        <f ca="1">_xll.meDateFromTenor(S1245,T$14,T$11,T$12)</f>
        <v>44635</v>
      </c>
      <c r="U1245" s="98">
        <f ca="1"/>
        <v>6.820412030692489E-3</v>
      </c>
      <c r="V1245" s="5" t="s">
        <v>4</v>
      </c>
      <c r="W1245" s="84" t="s">
        <v>4</v>
      </c>
    </row>
    <row r="1246" spans="1:23" x14ac:dyDescent="0.25">
      <c r="A1246" s="90">
        <v>1227</v>
      </c>
      <c r="B1246" s="83"/>
      <c r="C1246" s="100">
        <f ca="1">_xll.meDateFromTenor(C1245,"1D","FOLLOWING",D$12)</f>
        <v>44271</v>
      </c>
      <c r="D1246" s="13">
        <f ca="1">_xll.meDateFromTenor(C1246,D$14,D$11,D$12)</f>
        <v>44272</v>
      </c>
      <c r="E1246" s="98">
        <f ca="1"/>
        <v>8.0789747803665238E-4</v>
      </c>
      <c r="F1246" s="94"/>
      <c r="G1246" s="100">
        <f ca="1">_xll.meDateFromTenor(G1245,"1D","FOLLOWING",H$12)</f>
        <v>44271</v>
      </c>
      <c r="H1246" s="13">
        <f ca="1">_xll.meDateFromTenor(G1246,H$14,H$11,H$12)</f>
        <v>44302</v>
      </c>
      <c r="I1246" s="98">
        <f ca="1"/>
        <v>1.8177242914902609E-3</v>
      </c>
      <c r="J1246" s="94" t="s">
        <v>4</v>
      </c>
      <c r="K1246" s="100">
        <f ca="1">_xll.meDateFromTenor(K1245,"1D","FOLLOWING",L$12)</f>
        <v>44271</v>
      </c>
      <c r="L1246" s="13">
        <f ca="1">_xll.meDateFromTenor(K1246,L$14,L$11,L$12)</f>
        <v>44363</v>
      </c>
      <c r="M1246" s="98">
        <f ca="1"/>
        <v>2.9978152955844641E-3</v>
      </c>
      <c r="N1246" s="5" t="s">
        <v>4</v>
      </c>
      <c r="O1246" s="100">
        <f ca="1">_xll.meDateFromTenor(O1245,"1D","FOLLOWING",P$12)</f>
        <v>44271</v>
      </c>
      <c r="P1246" s="13">
        <f ca="1">_xll.meDateFromTenor(O1246,P$14,P$11,P$12)</f>
        <v>44455</v>
      </c>
      <c r="Q1246" s="98">
        <f ca="1"/>
        <v>4.8001941577540076E-3</v>
      </c>
      <c r="R1246" s="5" t="s">
        <v>4</v>
      </c>
      <c r="S1246" s="100">
        <f ca="1">_xll.meDateFromTenor(S1245,"1D","FOLLOWING",T$12)</f>
        <v>44271</v>
      </c>
      <c r="T1246" s="13">
        <f ca="1">_xll.meDateFromTenor(S1246,T$14,T$11,T$12)</f>
        <v>44636</v>
      </c>
      <c r="U1246" s="98">
        <f ca="1"/>
        <v>6.8277031251828815E-3</v>
      </c>
      <c r="V1246" s="5" t="s">
        <v>4</v>
      </c>
      <c r="W1246" s="84" t="s">
        <v>4</v>
      </c>
    </row>
    <row r="1247" spans="1:23" x14ac:dyDescent="0.25">
      <c r="A1247" s="90">
        <v>1228</v>
      </c>
      <c r="B1247" s="83"/>
      <c r="C1247" s="100">
        <f ca="1">_xll.meDateFromTenor(C1246,"1D","FOLLOWING",D$12)</f>
        <v>44272</v>
      </c>
      <c r="D1247" s="13">
        <f ca="1">_xll.meDateFromTenor(C1247,D$14,D$11,D$12)</f>
        <v>44273</v>
      </c>
      <c r="E1247" s="98">
        <f ca="1"/>
        <v>8.1332191813401314E-4</v>
      </c>
      <c r="F1247" s="94"/>
      <c r="G1247" s="100">
        <f ca="1">_xll.meDateFromTenor(G1246,"1D","FOLLOWING",H$12)</f>
        <v>44272</v>
      </c>
      <c r="H1247" s="13">
        <f ca="1">_xll.meDateFromTenor(G1247,H$14,H$11,H$12)</f>
        <v>44305</v>
      </c>
      <c r="I1247" s="98">
        <f ca="1"/>
        <v>1.8239448233205466E-3</v>
      </c>
      <c r="J1247" s="94" t="s">
        <v>4</v>
      </c>
      <c r="K1247" s="100">
        <f ca="1">_xll.meDateFromTenor(K1246,"1D","FOLLOWING",L$12)</f>
        <v>44272</v>
      </c>
      <c r="L1247" s="13">
        <f ca="1">_xll.meDateFromTenor(K1247,L$14,L$11,L$12)</f>
        <v>44364</v>
      </c>
      <c r="M1247" s="98">
        <f ca="1"/>
        <v>3.0053337382164153E-3</v>
      </c>
      <c r="N1247" s="5" t="s">
        <v>4</v>
      </c>
      <c r="O1247" s="100">
        <f ca="1">_xll.meDateFromTenor(O1246,"1D","FOLLOWING",P$12)</f>
        <v>44272</v>
      </c>
      <c r="P1247" s="13">
        <f ca="1">_xll.meDateFromTenor(O1247,P$14,P$11,P$12)</f>
        <v>44456</v>
      </c>
      <c r="Q1247" s="98">
        <f ca="1"/>
        <v>4.8073982331816199E-3</v>
      </c>
      <c r="R1247" s="5" t="s">
        <v>4</v>
      </c>
      <c r="S1247" s="100">
        <f ca="1">_xll.meDateFromTenor(S1246,"1D","FOLLOWING",T$12)</f>
        <v>44272</v>
      </c>
      <c r="T1247" s="13">
        <f ca="1">_xll.meDateFromTenor(S1247,T$14,T$11,T$12)</f>
        <v>44637</v>
      </c>
      <c r="U1247" s="98">
        <f ca="1"/>
        <v>6.8349953457579457E-3</v>
      </c>
      <c r="V1247" s="5" t="s">
        <v>4</v>
      </c>
      <c r="W1247" s="84" t="s">
        <v>4</v>
      </c>
    </row>
    <row r="1248" spans="1:23" x14ac:dyDescent="0.25">
      <c r="A1248" s="90">
        <v>1229</v>
      </c>
      <c r="B1248" s="83"/>
      <c r="C1248" s="100">
        <f ca="1">_xll.meDateFromTenor(C1247,"1D","FOLLOWING",D$12)</f>
        <v>44273</v>
      </c>
      <c r="D1248" s="13">
        <f ca="1">_xll.meDateFromTenor(C1248,D$14,D$11,D$12)</f>
        <v>44274</v>
      </c>
      <c r="E1248" s="98">
        <f ca="1"/>
        <v>8.1880433745227762E-4</v>
      </c>
      <c r="F1248" s="94"/>
      <c r="G1248" s="100">
        <f ca="1">_xll.meDateFromTenor(G1247,"1D","FOLLOWING",H$12)</f>
        <v>44273</v>
      </c>
      <c r="H1248" s="13">
        <f ca="1">_xll.meDateFromTenor(G1248,H$14,H$11,H$12)</f>
        <v>44305</v>
      </c>
      <c r="I1248" s="98">
        <f ca="1"/>
        <v>1.8301382256811268E-3</v>
      </c>
      <c r="J1248" s="94" t="s">
        <v>4</v>
      </c>
      <c r="K1248" s="100">
        <f ca="1">_xll.meDateFromTenor(K1247,"1D","FOLLOWING",L$12)</f>
        <v>44273</v>
      </c>
      <c r="L1248" s="13">
        <f ca="1">_xll.meDateFromTenor(K1248,L$14,L$11,L$12)</f>
        <v>44365</v>
      </c>
      <c r="M1248" s="98">
        <f ca="1"/>
        <v>3.0128532446122504E-3</v>
      </c>
      <c r="N1248" s="5" t="s">
        <v>4</v>
      </c>
      <c r="O1248" s="100">
        <f ca="1">_xll.meDateFromTenor(O1247,"1D","FOLLOWING",P$12)</f>
        <v>44273</v>
      </c>
      <c r="P1248" s="13">
        <f ca="1">_xll.meDateFromTenor(O1248,P$14,P$11,P$12)</f>
        <v>44459</v>
      </c>
      <c r="Q1248" s="98">
        <f ca="1"/>
        <v>4.8146052485704468E-3</v>
      </c>
      <c r="R1248" s="5" t="s">
        <v>4</v>
      </c>
      <c r="S1248" s="100">
        <f ca="1">_xll.meDateFromTenor(S1247,"1D","FOLLOWING",T$12)</f>
        <v>44273</v>
      </c>
      <c r="T1248" s="13">
        <f ca="1">_xll.meDateFromTenor(S1248,T$14,T$11,T$12)</f>
        <v>44638</v>
      </c>
      <c r="U1248" s="98">
        <f ca="1"/>
        <v>6.8422886753858716E-3</v>
      </c>
      <c r="V1248" s="5" t="s">
        <v>4</v>
      </c>
      <c r="W1248" s="84" t="s">
        <v>4</v>
      </c>
    </row>
    <row r="1249" spans="1:23" x14ac:dyDescent="0.25">
      <c r="A1249" s="90">
        <v>1230</v>
      </c>
      <c r="B1249" s="83"/>
      <c r="C1249" s="100">
        <f ca="1">_xll.meDateFromTenor(C1248,"1D","FOLLOWING",D$12)</f>
        <v>44274</v>
      </c>
      <c r="D1249" s="13">
        <f ca="1">_xll.meDateFromTenor(C1249,D$14,D$11,D$12)</f>
        <v>44277</v>
      </c>
      <c r="E1249" s="98">
        <f ca="1"/>
        <v>8.2996435878608698E-4</v>
      </c>
      <c r="F1249" s="94"/>
      <c r="G1249" s="100">
        <f ca="1">_xll.meDateFromTenor(G1248,"1D","FOLLOWING",H$12)</f>
        <v>44274</v>
      </c>
      <c r="H1249" s="13">
        <f ca="1">_xll.meDateFromTenor(G1249,H$14,H$11,H$12)</f>
        <v>44305</v>
      </c>
      <c r="I1249" s="98">
        <f ca="1"/>
        <v>1.8363114668746418E-3</v>
      </c>
      <c r="J1249" s="94" t="s">
        <v>4</v>
      </c>
      <c r="K1249" s="100">
        <f ca="1">_xll.meDateFromTenor(K1248,"1D","FOLLOWING",L$12)</f>
        <v>44274</v>
      </c>
      <c r="L1249" s="13">
        <f ca="1">_xll.meDateFromTenor(K1249,L$14,L$11,L$12)</f>
        <v>44368</v>
      </c>
      <c r="M1249" s="98">
        <f ca="1"/>
        <v>3.0203738371239537E-3</v>
      </c>
      <c r="N1249" s="5" t="s">
        <v>4</v>
      </c>
      <c r="O1249" s="100">
        <f ca="1">_xll.meDateFromTenor(O1248,"1D","FOLLOWING",P$12)</f>
        <v>44274</v>
      </c>
      <c r="P1249" s="13">
        <f ca="1">_xll.meDateFromTenor(O1249,P$14,P$11,P$12)</f>
        <v>44459</v>
      </c>
      <c r="Q1249" s="98">
        <f ca="1"/>
        <v>4.8218151981259125E-3</v>
      </c>
      <c r="R1249" s="5" t="s">
        <v>4</v>
      </c>
      <c r="S1249" s="100">
        <f ca="1">_xll.meDateFromTenor(S1248,"1D","FOLLOWING",T$12)</f>
        <v>44274</v>
      </c>
      <c r="T1249" s="13">
        <f ca="1">_xll.meDateFromTenor(S1249,T$14,T$11,T$12)</f>
        <v>44641</v>
      </c>
      <c r="U1249" s="98">
        <f ca="1"/>
        <v>6.8495830970348595E-3</v>
      </c>
      <c r="V1249" s="5" t="s">
        <v>4</v>
      </c>
      <c r="W1249" s="84" t="s">
        <v>4</v>
      </c>
    </row>
    <row r="1250" spans="1:23" x14ac:dyDescent="0.25">
      <c r="A1250" s="90">
        <v>1231</v>
      </c>
      <c r="B1250" s="83"/>
      <c r="C1250" s="100">
        <f ca="1">_xll.meDateFromTenor(C1249,"1D","FOLLOWING",D$12)</f>
        <v>44277</v>
      </c>
      <c r="D1250" s="13">
        <f ca="1">_xll.meDateFromTenor(C1250,D$14,D$11,D$12)</f>
        <v>44278</v>
      </c>
      <c r="E1250" s="98">
        <f ca="1"/>
        <v>8.4131382636534616E-4</v>
      </c>
      <c r="F1250" s="94"/>
      <c r="G1250" s="100">
        <f ca="1">_xll.meDateFromTenor(G1249,"1D","FOLLOWING",H$12)</f>
        <v>44277</v>
      </c>
      <c r="H1250" s="13">
        <f ca="1">_xll.meDateFromTenor(G1250,H$14,H$11,H$12)</f>
        <v>44308</v>
      </c>
      <c r="I1250" s="98">
        <f ca="1"/>
        <v>1.854779906479194E-3</v>
      </c>
      <c r="J1250" s="94" t="s">
        <v>4</v>
      </c>
      <c r="K1250" s="100">
        <f ca="1">_xll.meDateFromTenor(K1249,"1D","FOLLOWING",L$12)</f>
        <v>44277</v>
      </c>
      <c r="L1250" s="13">
        <f ca="1">_xll.meDateFromTenor(K1250,L$14,L$11,L$12)</f>
        <v>44369</v>
      </c>
      <c r="M1250" s="98">
        <f ca="1"/>
        <v>3.0429423548741169E-3</v>
      </c>
      <c r="N1250" s="5" t="s">
        <v>4</v>
      </c>
      <c r="O1250" s="100">
        <f ca="1">_xll.meDateFromTenor(O1249,"1D","FOLLOWING",P$12)</f>
        <v>44277</v>
      </c>
      <c r="P1250" s="13">
        <f ca="1">_xll.meDateFromTenor(O1250,P$14,P$11,P$12)</f>
        <v>44461</v>
      </c>
      <c r="Q1250" s="98">
        <f ca="1"/>
        <v>4.8434625938463902E-3</v>
      </c>
      <c r="R1250" s="5" t="s">
        <v>4</v>
      </c>
      <c r="S1250" s="100">
        <f ca="1">_xll.meDateFromTenor(S1249,"1D","FOLLOWING",T$12)</f>
        <v>44277</v>
      </c>
      <c r="T1250" s="13">
        <f ca="1">_xll.meDateFromTenor(S1250,T$14,T$11,T$12)</f>
        <v>44642</v>
      </c>
      <c r="U1250" s="98">
        <f ca="1"/>
        <v>6.8714727437901336E-3</v>
      </c>
      <c r="V1250" s="5" t="s">
        <v>4</v>
      </c>
      <c r="W1250" s="84" t="s">
        <v>4</v>
      </c>
    </row>
    <row r="1251" spans="1:23" x14ac:dyDescent="0.25">
      <c r="A1251" s="90">
        <v>1232</v>
      </c>
      <c r="B1251" s="83"/>
      <c r="C1251" s="100">
        <f ca="1">_xll.meDateFromTenor(C1250,"1D","FOLLOWING",D$12)</f>
        <v>44278</v>
      </c>
      <c r="D1251" s="13">
        <f ca="1">_xll.meDateFromTenor(C1251,D$14,D$11,D$12)</f>
        <v>44279</v>
      </c>
      <c r="E1251" s="98">
        <f ca="1"/>
        <v>8.4708615521997906E-4</v>
      </c>
      <c r="F1251" s="94"/>
      <c r="G1251" s="100">
        <f ca="1">_xll.meDateFromTenor(G1250,"1D","FOLLOWING",H$12)</f>
        <v>44278</v>
      </c>
      <c r="H1251" s="13">
        <f ca="1">_xll.meDateFromTenor(G1251,H$14,H$11,H$12)</f>
        <v>44309</v>
      </c>
      <c r="I1251" s="98">
        <f ca="1"/>
        <v>1.8609421860308485E-3</v>
      </c>
      <c r="J1251" s="94" t="s">
        <v>4</v>
      </c>
      <c r="K1251" s="100">
        <f ca="1">_xll.meDateFromTenor(K1250,"1D","FOLLOWING",L$12)</f>
        <v>44278</v>
      </c>
      <c r="L1251" s="13">
        <f ca="1">_xll.meDateFromTenor(K1251,L$14,L$11,L$12)</f>
        <v>44370</v>
      </c>
      <c r="M1251" s="98">
        <f ca="1"/>
        <v>3.0504675153691396E-3</v>
      </c>
      <c r="N1251" s="5" t="s">
        <v>4</v>
      </c>
      <c r="O1251" s="100">
        <f ca="1">_xll.meDateFromTenor(O1250,"1D","FOLLOWING",P$12)</f>
        <v>44278</v>
      </c>
      <c r="P1251" s="13">
        <f ca="1">_xll.meDateFromTenor(O1251,P$14,P$11,P$12)</f>
        <v>44462</v>
      </c>
      <c r="Q1251" s="98">
        <f ca="1"/>
        <v>4.8506842221226597E-3</v>
      </c>
      <c r="R1251" s="5" t="s">
        <v>4</v>
      </c>
      <c r="S1251" s="100">
        <f ca="1">_xll.meDateFromTenor(S1250,"1D","FOLLOWING",T$12)</f>
        <v>44278</v>
      </c>
      <c r="T1251" s="13">
        <f ca="1">_xll.meDateFromTenor(S1251,T$14,T$11,T$12)</f>
        <v>44643</v>
      </c>
      <c r="U1251" s="98">
        <f ca="1"/>
        <v>6.8787713632053153E-3</v>
      </c>
      <c r="V1251" s="5" t="s">
        <v>4</v>
      </c>
      <c r="W1251" s="84" t="s">
        <v>4</v>
      </c>
    </row>
    <row r="1252" spans="1:23" x14ac:dyDescent="0.25">
      <c r="A1252" s="90">
        <v>1233</v>
      </c>
      <c r="B1252" s="83"/>
      <c r="C1252" s="100">
        <f ca="1">_xll.meDateFromTenor(C1251,"1D","FOLLOWING",D$12)</f>
        <v>44279</v>
      </c>
      <c r="D1252" s="13">
        <f ca="1">_xll.meDateFromTenor(C1252,D$14,D$11,D$12)</f>
        <v>44280</v>
      </c>
      <c r="E1252" s="98">
        <f ca="1"/>
        <v>8.5291646865229341E-4</v>
      </c>
      <c r="F1252" s="94"/>
      <c r="G1252" s="100">
        <f ca="1">_xll.meDateFromTenor(G1251,"1D","FOLLOWING",H$12)</f>
        <v>44279</v>
      </c>
      <c r="H1252" s="13">
        <f ca="1">_xll.meDateFromTenor(G1252,H$14,H$11,H$12)</f>
        <v>44312</v>
      </c>
      <c r="I1252" s="98">
        <f ca="1"/>
        <v>1.8671191459286379E-3</v>
      </c>
      <c r="J1252" s="94" t="s">
        <v>4</v>
      </c>
      <c r="K1252" s="100">
        <f ca="1">_xll.meDateFromTenor(K1251,"1D","FOLLOWING",L$12)</f>
        <v>44279</v>
      </c>
      <c r="L1252" s="13">
        <f ca="1">_xll.meDateFromTenor(K1252,L$14,L$11,L$12)</f>
        <v>44371</v>
      </c>
      <c r="M1252" s="98">
        <f ca="1"/>
        <v>3.0579938737399538E-3</v>
      </c>
      <c r="N1252" s="5" t="s">
        <v>4</v>
      </c>
      <c r="O1252" s="100">
        <f ca="1">_xll.meDateFromTenor(O1251,"1D","FOLLOWING",P$12)</f>
        <v>44279</v>
      </c>
      <c r="P1252" s="13">
        <f ca="1">_xll.meDateFromTenor(O1252,P$14,P$11,P$12)</f>
        <v>44463</v>
      </c>
      <c r="Q1252" s="98">
        <f ca="1"/>
        <v>4.8579087555926919E-3</v>
      </c>
      <c r="R1252" s="5" t="s">
        <v>4</v>
      </c>
      <c r="S1252" s="100">
        <f ca="1">_xll.meDateFromTenor(S1251,"1D","FOLLOWING",T$12)</f>
        <v>44279</v>
      </c>
      <c r="T1252" s="13">
        <f ca="1">_xll.meDateFromTenor(S1252,T$14,T$11,T$12)</f>
        <v>44644</v>
      </c>
      <c r="U1252" s="98">
        <f ca="1"/>
        <v>6.886070989482536E-3</v>
      </c>
      <c r="V1252" s="5" t="s">
        <v>4</v>
      </c>
      <c r="W1252" s="84" t="s">
        <v>4</v>
      </c>
    </row>
    <row r="1253" spans="1:23" x14ac:dyDescent="0.25">
      <c r="A1253" s="90">
        <v>1234</v>
      </c>
      <c r="B1253" s="83"/>
      <c r="C1253" s="100">
        <f ca="1">_xll.meDateFromTenor(C1252,"1D","FOLLOWING",D$12)</f>
        <v>44280</v>
      </c>
      <c r="D1253" s="13">
        <f ca="1">_xll.meDateFromTenor(C1253,D$14,D$11,D$12)</f>
        <v>44281</v>
      </c>
      <c r="E1253" s="98">
        <f ca="1"/>
        <v>8.5880476714081844E-4</v>
      </c>
      <c r="F1253" s="94"/>
      <c r="G1253" s="100">
        <f ca="1">_xll.meDateFromTenor(G1252,"1D","FOLLOWING",H$12)</f>
        <v>44280</v>
      </c>
      <c r="H1253" s="13">
        <f ca="1">_xll.meDateFromTenor(G1253,H$14,H$11,H$12)</f>
        <v>44312</v>
      </c>
      <c r="I1253" s="98">
        <f ca="1"/>
        <v>1.8733177544752024E-3</v>
      </c>
      <c r="J1253" s="94" t="s">
        <v>4</v>
      </c>
      <c r="K1253" s="100">
        <f ca="1">_xll.meDateFromTenor(K1252,"1D","FOLLOWING",L$12)</f>
        <v>44280</v>
      </c>
      <c r="L1253" s="13">
        <f ca="1">_xll.meDateFromTenor(K1253,L$14,L$11,L$12)</f>
        <v>44372</v>
      </c>
      <c r="M1253" s="98">
        <f ca="1"/>
        <v>3.065521452338545E-3</v>
      </c>
      <c r="N1253" s="5" t="s">
        <v>4</v>
      </c>
      <c r="O1253" s="100">
        <f ca="1">_xll.meDateFromTenor(O1252,"1D","FOLLOWING",P$12)</f>
        <v>44280</v>
      </c>
      <c r="P1253" s="13">
        <f ca="1">_xll.meDateFromTenor(O1253,P$14,P$11,P$12)</f>
        <v>44466</v>
      </c>
      <c r="Q1253" s="98">
        <f ca="1"/>
        <v>4.8651361884619118E-3</v>
      </c>
      <c r="R1253" s="5" t="s">
        <v>4</v>
      </c>
      <c r="S1253" s="100">
        <f ca="1">_xll.meDateFromTenor(S1252,"1D","FOLLOWING",T$12)</f>
        <v>44280</v>
      </c>
      <c r="T1253" s="13">
        <f ca="1">_xll.meDateFromTenor(S1253,T$14,T$11,T$12)</f>
        <v>44645</v>
      </c>
      <c r="U1253" s="98">
        <f ca="1"/>
        <v>6.8933716055899884E-3</v>
      </c>
      <c r="V1253" s="5" t="s">
        <v>4</v>
      </c>
      <c r="W1253" s="84" t="s">
        <v>4</v>
      </c>
    </row>
    <row r="1254" spans="1:23" x14ac:dyDescent="0.25">
      <c r="A1254" s="90">
        <v>1235</v>
      </c>
      <c r="B1254" s="83"/>
      <c r="C1254" s="100">
        <f ca="1">_xll.meDateFromTenor(C1253,"1D","FOLLOWING",D$12)</f>
        <v>44281</v>
      </c>
      <c r="D1254" s="13">
        <f ca="1">_xll.meDateFromTenor(C1254,D$14,D$11,D$12)</f>
        <v>44284</v>
      </c>
      <c r="E1254" s="98">
        <f ca="1"/>
        <v>8.7077675856588835E-4</v>
      </c>
      <c r="F1254" s="94"/>
      <c r="G1254" s="100">
        <f ca="1">_xll.meDateFromTenor(G1253,"1D","FOLLOWING",H$12)</f>
        <v>44281</v>
      </c>
      <c r="H1254" s="13">
        <f ca="1">_xll.meDateFromTenor(G1254,H$14,H$11,H$12)</f>
        <v>44312</v>
      </c>
      <c r="I1254" s="98">
        <f ca="1"/>
        <v>1.8795449799731817E-3</v>
      </c>
      <c r="J1254" s="94" t="s">
        <v>4</v>
      </c>
      <c r="K1254" s="100">
        <f ca="1">_xll.meDateFromTenor(K1253,"1D","FOLLOWING",L$12)</f>
        <v>44281</v>
      </c>
      <c r="L1254" s="13">
        <f ca="1">_xll.meDateFromTenor(K1254,L$14,L$11,L$12)</f>
        <v>44375</v>
      </c>
      <c r="M1254" s="98">
        <f ca="1"/>
        <v>3.0730502735168974E-3</v>
      </c>
      <c r="N1254" s="5" t="s">
        <v>4</v>
      </c>
      <c r="O1254" s="100">
        <f ca="1">_xll.meDateFromTenor(O1253,"1D","FOLLOWING",P$12)</f>
        <v>44281</v>
      </c>
      <c r="P1254" s="13">
        <f ca="1">_xll.meDateFromTenor(O1254,P$14,P$11,P$12)</f>
        <v>44466</v>
      </c>
      <c r="Q1254" s="98">
        <f ca="1"/>
        <v>4.8723665149357429E-3</v>
      </c>
      <c r="R1254" s="5" t="s">
        <v>4</v>
      </c>
      <c r="S1254" s="100">
        <f ca="1">_xll.meDateFromTenor(S1253,"1D","FOLLOWING",T$12)</f>
        <v>44281</v>
      </c>
      <c r="T1254" s="13">
        <f ca="1">_xll.meDateFromTenor(S1254,T$14,T$11,T$12)</f>
        <v>44648</v>
      </c>
      <c r="U1254" s="98">
        <f ca="1"/>
        <v>6.9006731944958703E-3</v>
      </c>
      <c r="V1254" s="5" t="s">
        <v>4</v>
      </c>
      <c r="W1254" s="84" t="s">
        <v>4</v>
      </c>
    </row>
    <row r="1255" spans="1:23" x14ac:dyDescent="0.25">
      <c r="A1255" s="90">
        <v>1236</v>
      </c>
      <c r="B1255" s="83"/>
      <c r="C1255" s="100">
        <f ca="1">_xll.meDateFromTenor(C1254,"1D","FOLLOWING",D$12)</f>
        <v>44284</v>
      </c>
      <c r="D1255" s="13">
        <f ca="1">_xll.meDateFromTenor(C1255,D$14,D$11,D$12)</f>
        <v>44285</v>
      </c>
      <c r="E1255" s="98">
        <f ca="1"/>
        <v>8.8293783004886404E-4</v>
      </c>
      <c r="F1255" s="94"/>
      <c r="G1255" s="100">
        <f ca="1">_xll.meDateFromTenor(G1254,"1D","FOLLOWING",H$12)</f>
        <v>44284</v>
      </c>
      <c r="H1255" s="13">
        <f ca="1">_xll.meDateFromTenor(G1255,H$14,H$11,H$12)</f>
        <v>44315</v>
      </c>
      <c r="I1255" s="98">
        <f ca="1"/>
        <v>1.8984680412020114E-3</v>
      </c>
      <c r="J1255" s="94" t="s">
        <v>4</v>
      </c>
      <c r="K1255" s="100">
        <f ca="1">_xll.meDateFromTenor(K1254,"1D","FOLLOWING",L$12)</f>
        <v>44284</v>
      </c>
      <c r="L1255" s="13">
        <f ca="1">_xll.meDateFromTenor(K1255,L$14,L$11,L$12)</f>
        <v>44376</v>
      </c>
      <c r="M1255" s="98">
        <f ca="1"/>
        <v>3.0956444160503667E-3</v>
      </c>
      <c r="N1255" s="5" t="s">
        <v>4</v>
      </c>
      <c r="O1255" s="100">
        <f ca="1">_xll.meDateFromTenor(O1254,"1D","FOLLOWING",P$12)</f>
        <v>44284</v>
      </c>
      <c r="P1255" s="13">
        <f ca="1">_xll.meDateFromTenor(O1255,P$14,P$11,P$12)</f>
        <v>44468</v>
      </c>
      <c r="Q1255" s="98">
        <f ca="1"/>
        <v>4.8940747980391539E-3</v>
      </c>
      <c r="R1255" s="5" t="s">
        <v>4</v>
      </c>
      <c r="S1255" s="100">
        <f ca="1">_xll.meDateFromTenor(S1254,"1D","FOLLOWING",T$12)</f>
        <v>44284</v>
      </c>
      <c r="T1255" s="13">
        <f ca="1">_xll.meDateFromTenor(S1255,T$14,T$11,T$12)</f>
        <v>44649</v>
      </c>
      <c r="U1255" s="98">
        <f ca="1"/>
        <v>6.9225836276860441E-3</v>
      </c>
      <c r="V1255" s="5" t="s">
        <v>4</v>
      </c>
      <c r="W1255" s="84" t="s">
        <v>4</v>
      </c>
    </row>
    <row r="1256" spans="1:23" x14ac:dyDescent="0.25">
      <c r="A1256" s="90">
        <v>1237</v>
      </c>
      <c r="B1256" s="83"/>
      <c r="C1256" s="100">
        <f ca="1">_xll.meDateFromTenor(C1255,"1D","FOLLOWING",D$12)</f>
        <v>44285</v>
      </c>
      <c r="D1256" s="13">
        <f ca="1">_xll.meDateFromTenor(C1256,D$14,D$11,D$12)</f>
        <v>44286</v>
      </c>
      <c r="E1256" s="98">
        <f ca="1"/>
        <v>8.8911606725098442E-4</v>
      </c>
      <c r="F1256" s="94"/>
      <c r="G1256" s="100">
        <f ca="1">_xll.meDateFromTenor(G1255,"1D","FOLLOWING",H$12)</f>
        <v>44285</v>
      </c>
      <c r="H1256" s="13">
        <f ca="1">_xll.meDateFromTenor(G1256,H$14,H$11,H$12)</f>
        <v>44316</v>
      </c>
      <c r="I1256" s="98">
        <f ca="1"/>
        <v>1.9048794175320495E-3</v>
      </c>
      <c r="J1256" s="94" t="s">
        <v>4</v>
      </c>
      <c r="K1256" s="100">
        <f ca="1">_xll.meDateFromTenor(K1255,"1D","FOLLOWING",L$12)</f>
        <v>44285</v>
      </c>
      <c r="L1256" s="13">
        <f ca="1">_xll.meDateFromTenor(K1256,L$14,L$11,L$12)</f>
        <v>44377</v>
      </c>
      <c r="M1256" s="98">
        <f ca="1"/>
        <v>3.1031784310676081E-3</v>
      </c>
      <c r="N1256" s="5" t="s">
        <v>4</v>
      </c>
      <c r="O1256" s="100">
        <f ca="1">_xll.meDateFromTenor(O1255,"1D","FOLLOWING",P$12)</f>
        <v>44285</v>
      </c>
      <c r="P1256" s="13">
        <f ca="1">_xll.meDateFromTenor(O1256,P$14,P$11,P$12)</f>
        <v>44469</v>
      </c>
      <c r="Q1256" s="98">
        <f ca="1"/>
        <v>4.901316640985677E-3</v>
      </c>
      <c r="R1256" s="5" t="s">
        <v>4</v>
      </c>
      <c r="S1256" s="100">
        <f ca="1">_xll.meDateFromTenor(S1255,"1D","FOLLOWING",T$12)</f>
        <v>44285</v>
      </c>
      <c r="T1256" s="13">
        <f ca="1">_xll.meDateFromTenor(S1256,T$14,T$11,T$12)</f>
        <v>44650</v>
      </c>
      <c r="U1256" s="98">
        <f ca="1"/>
        <v>6.9298889374675935E-3</v>
      </c>
      <c r="V1256" s="5" t="s">
        <v>4</v>
      </c>
      <c r="W1256" s="84" t="s">
        <v>4</v>
      </c>
    </row>
    <row r="1257" spans="1:23" x14ac:dyDescent="0.25">
      <c r="A1257" s="90">
        <v>1238</v>
      </c>
      <c r="B1257" s="83"/>
      <c r="C1257" s="100">
        <f ca="1">_xll.meDateFromTenor(C1256,"1D","FOLLOWING",D$12)</f>
        <v>44286</v>
      </c>
      <c r="D1257" s="13">
        <f ca="1">_xll.meDateFromTenor(C1257,D$14,D$11,D$12)</f>
        <v>44287</v>
      </c>
      <c r="E1257" s="98">
        <f ca="1"/>
        <v>8.9535229502488037E-4</v>
      </c>
      <c r="F1257" s="94"/>
      <c r="G1257" s="100">
        <f ca="1">_xll.meDateFromTenor(G1256,"1D","FOLLOWING",H$12)</f>
        <v>44286</v>
      </c>
      <c r="H1257" s="13">
        <f ca="1">_xll.meDateFromTenor(G1257,H$14,H$11,H$12)</f>
        <v>44316</v>
      </c>
      <c r="I1257" s="98">
        <f ca="1"/>
        <v>1.9113542523267048E-3</v>
      </c>
      <c r="J1257" s="94" t="s">
        <v>4</v>
      </c>
      <c r="K1257" s="100">
        <f ca="1">_xll.meDateFromTenor(K1256,"1D","FOLLOWING",L$12)</f>
        <v>44286</v>
      </c>
      <c r="L1257" s="13">
        <f ca="1">_xll.meDateFromTenor(K1257,L$14,L$11,L$12)</f>
        <v>44377</v>
      </c>
      <c r="M1257" s="98">
        <f ca="1"/>
        <v>3.1107138004245359E-3</v>
      </c>
      <c r="N1257" s="5" t="s">
        <v>4</v>
      </c>
      <c r="O1257" s="100">
        <f ca="1">_xll.meDateFromTenor(O1256,"1D","FOLLOWING",P$12)</f>
        <v>44286</v>
      </c>
      <c r="P1257" s="13">
        <f ca="1">_xll.meDateFromTenor(O1257,P$14,P$11,P$12)</f>
        <v>44469</v>
      </c>
      <c r="Q1257" s="98">
        <f ca="1"/>
        <v>4.9085613485639369E-3</v>
      </c>
      <c r="R1257" s="5" t="s">
        <v>4</v>
      </c>
      <c r="S1257" s="100">
        <f ca="1">_xll.meDateFromTenor(S1256,"1D","FOLLOWING",T$12)</f>
        <v>44286</v>
      </c>
      <c r="T1257" s="13">
        <f ca="1">_xll.meDateFromTenor(S1257,T$14,T$11,T$12)</f>
        <v>44651</v>
      </c>
      <c r="U1257" s="98">
        <f ca="1"/>
        <v>6.9371951348885528E-3</v>
      </c>
      <c r="V1257" s="5" t="s">
        <v>4</v>
      </c>
      <c r="W1257" s="84" t="s">
        <v>4</v>
      </c>
    </row>
    <row r="1258" spans="1:23" x14ac:dyDescent="0.25">
      <c r="A1258" s="90">
        <v>1239</v>
      </c>
      <c r="B1258" s="83"/>
      <c r="C1258" s="100">
        <f ca="1">_xll.meDateFromTenor(C1257,"1D","FOLLOWING",D$12)</f>
        <v>44287</v>
      </c>
      <c r="D1258" s="13">
        <f ca="1">_xll.meDateFromTenor(C1258,D$14,D$11,D$12)</f>
        <v>44292</v>
      </c>
      <c r="E1258" s="98">
        <f ca="1"/>
        <v>9.1447156909299976E-4</v>
      </c>
      <c r="F1258" s="94"/>
      <c r="G1258" s="100">
        <f ca="1">_xll.meDateFromTenor(G1257,"1D","FOLLOWING",H$12)</f>
        <v>44287</v>
      </c>
      <c r="H1258" s="13">
        <f ca="1">_xll.meDateFromTenor(G1258,H$14,H$11,H$12)</f>
        <v>44319</v>
      </c>
      <c r="I1258" s="98">
        <f ca="1"/>
        <v>1.9178995138886155E-3</v>
      </c>
      <c r="J1258" s="94" t="s">
        <v>4</v>
      </c>
      <c r="K1258" s="100">
        <f ca="1">_xll.meDateFromTenor(K1257,"1D","FOLLOWING",L$12)</f>
        <v>44287</v>
      </c>
      <c r="L1258" s="13">
        <f ca="1">_xll.meDateFromTenor(K1258,L$14,L$11,L$12)</f>
        <v>44378</v>
      </c>
      <c r="M1258" s="98">
        <f ca="1"/>
        <v>3.1182505464731332E-3</v>
      </c>
      <c r="N1258" s="5" t="s">
        <v>4</v>
      </c>
      <c r="O1258" s="100">
        <f ca="1">_xll.meDateFromTenor(O1257,"1D","FOLLOWING",P$12)</f>
        <v>44287</v>
      </c>
      <c r="P1258" s="13">
        <f ca="1">_xll.meDateFromTenor(O1258,P$14,P$11,P$12)</f>
        <v>44470</v>
      </c>
      <c r="Q1258" s="98">
        <f ca="1"/>
        <v>4.9158089149793568E-3</v>
      </c>
      <c r="R1258" s="5" t="s">
        <v>4</v>
      </c>
      <c r="S1258" s="100">
        <f ca="1">_xll.meDateFromTenor(S1257,"1D","FOLLOWING",T$12)</f>
        <v>44287</v>
      </c>
      <c r="T1258" s="13">
        <f ca="1">_xll.meDateFromTenor(S1258,T$14,T$11,T$12)</f>
        <v>44652</v>
      </c>
      <c r="U1258" s="98">
        <f ca="1"/>
        <v>6.9445022029171136E-3</v>
      </c>
      <c r="V1258" s="5" t="s">
        <v>4</v>
      </c>
      <c r="W1258" s="84" t="s">
        <v>4</v>
      </c>
    </row>
    <row r="1259" spans="1:23" x14ac:dyDescent="0.25">
      <c r="A1259" s="90">
        <v>1240</v>
      </c>
      <c r="B1259" s="83"/>
      <c r="C1259" s="100">
        <f ca="1">_xll.meDateFromTenor(C1258,"1D","FOLLOWING",D$12)</f>
        <v>44292</v>
      </c>
      <c r="D1259" s="13">
        <f ca="1">_xll.meDateFromTenor(C1259,D$14,D$11,D$12)</f>
        <v>44293</v>
      </c>
      <c r="E1259" s="98">
        <f ca="1"/>
        <v>9.3398751021197374E-4</v>
      </c>
      <c r="F1259" s="94"/>
      <c r="G1259" s="100">
        <f ca="1">_xll.meDateFromTenor(G1258,"1D","FOLLOWING",H$12)</f>
        <v>44292</v>
      </c>
      <c r="H1259" s="13">
        <f ca="1">_xll.meDateFromTenor(G1259,H$14,H$11,H$12)</f>
        <v>44322</v>
      </c>
      <c r="I1259" s="98">
        <f ca="1"/>
        <v>1.9519261137993997E-3</v>
      </c>
      <c r="J1259" s="94" t="s">
        <v>4</v>
      </c>
      <c r="K1259" s="100">
        <f ca="1">_xll.meDateFromTenor(K1258,"1D","FOLLOWING",L$12)</f>
        <v>44292</v>
      </c>
      <c r="L1259" s="13">
        <f ca="1">_xll.meDateFromTenor(K1259,L$14,L$11,L$12)</f>
        <v>44383</v>
      </c>
      <c r="M1259" s="98">
        <f ca="1"/>
        <v>3.1559557094106255E-3</v>
      </c>
      <c r="N1259" s="5" t="s">
        <v>4</v>
      </c>
      <c r="O1259" s="100">
        <f ca="1">_xll.meDateFromTenor(O1258,"1D","FOLLOWING",P$12)</f>
        <v>44292</v>
      </c>
      <c r="P1259" s="13">
        <f ca="1">_xll.meDateFromTenor(O1259,P$14,P$11,P$12)</f>
        <v>44475</v>
      </c>
      <c r="Q1259" s="98">
        <f ca="1"/>
        <v>4.9520894268037215E-3</v>
      </c>
      <c r="R1259" s="5" t="s">
        <v>4</v>
      </c>
      <c r="S1259" s="100">
        <f ca="1">_xll.meDateFromTenor(S1258,"1D","FOLLOWING",T$12)</f>
        <v>44292</v>
      </c>
      <c r="T1259" s="13">
        <f ca="1">_xll.meDateFromTenor(S1259,T$14,T$11,T$12)</f>
        <v>44657</v>
      </c>
      <c r="U1259" s="98">
        <f ca="1"/>
        <v>6.9810500060607933E-3</v>
      </c>
      <c r="V1259" s="5" t="s">
        <v>4</v>
      </c>
      <c r="W1259" s="84" t="s">
        <v>4</v>
      </c>
    </row>
    <row r="1260" spans="1:23" x14ac:dyDescent="0.25">
      <c r="A1260" s="90">
        <v>1241</v>
      </c>
      <c r="B1260" s="83"/>
      <c r="C1260" s="100">
        <f ca="1">_xll.meDateFromTenor(C1259,"1D","FOLLOWING",D$12)</f>
        <v>44293</v>
      </c>
      <c r="D1260" s="13">
        <f ca="1">_xll.meDateFromTenor(C1260,D$14,D$11,D$12)</f>
        <v>44294</v>
      </c>
      <c r="E1260" s="98">
        <f ca="1"/>
        <v>9.4062969629342516E-4</v>
      </c>
      <c r="F1260" s="94"/>
      <c r="G1260" s="100">
        <f ca="1">_xll.meDateFromTenor(G1259,"1D","FOLLOWING",H$12)</f>
        <v>44293</v>
      </c>
      <c r="H1260" s="13">
        <f ca="1">_xll.meDateFromTenor(G1260,H$14,H$11,H$12)</f>
        <v>44323</v>
      </c>
      <c r="I1260" s="98">
        <f ca="1"/>
        <v>1.9590380947657844E-3</v>
      </c>
      <c r="J1260" s="94" t="s">
        <v>4</v>
      </c>
      <c r="K1260" s="100">
        <f ca="1">_xll.meDateFromTenor(K1259,"1D","FOLLOWING",L$12)</f>
        <v>44293</v>
      </c>
      <c r="L1260" s="13">
        <f ca="1">_xll.meDateFromTenor(K1260,L$14,L$11,L$12)</f>
        <v>44384</v>
      </c>
      <c r="M1260" s="98">
        <f ca="1"/>
        <v>3.1635011850009173E-3</v>
      </c>
      <c r="N1260" s="5" t="s">
        <v>4</v>
      </c>
      <c r="O1260" s="100">
        <f ca="1">_xll.meDateFromTenor(O1259,"1D","FOLLOWING",P$12)</f>
        <v>44293</v>
      </c>
      <c r="P1260" s="13">
        <f ca="1">_xll.meDateFromTenor(O1260,P$14,P$11,P$12)</f>
        <v>44476</v>
      </c>
      <c r="Q1260" s="98">
        <f ca="1"/>
        <v>4.9593540245560187E-3</v>
      </c>
      <c r="R1260" s="5" t="s">
        <v>4</v>
      </c>
      <c r="S1260" s="100">
        <f ca="1">_xll.meDateFromTenor(S1259,"1D","FOLLOWING",T$12)</f>
        <v>44293</v>
      </c>
      <c r="T1260" s="13">
        <f ca="1">_xll.meDateFromTenor(S1260,T$14,T$11,T$12)</f>
        <v>44658</v>
      </c>
      <c r="U1260" s="98">
        <f ca="1"/>
        <v>6.988361940067073E-3</v>
      </c>
      <c r="V1260" s="5" t="s">
        <v>4</v>
      </c>
      <c r="W1260" s="84" t="s">
        <v>4</v>
      </c>
    </row>
    <row r="1261" spans="1:23" x14ac:dyDescent="0.25">
      <c r="A1261" s="90">
        <v>1242</v>
      </c>
      <c r="B1261" s="83"/>
      <c r="C1261" s="100">
        <f ca="1">_xll.meDateFromTenor(C1260,"1D","FOLLOWING",D$12)</f>
        <v>44294</v>
      </c>
      <c r="D1261" s="13">
        <f ca="1">_xll.meDateFromTenor(C1261,D$14,D$11,D$12)</f>
        <v>44295</v>
      </c>
      <c r="E1261" s="98">
        <f ca="1"/>
        <v>9.4732988054054457E-4</v>
      </c>
      <c r="F1261" s="94"/>
      <c r="G1261" s="100">
        <f ca="1">_xll.meDateFromTenor(G1260,"1D","FOLLOWING",H$12)</f>
        <v>44294</v>
      </c>
      <c r="H1261" s="13">
        <f ca="1">_xll.meDateFromTenor(G1261,H$14,H$11,H$12)</f>
        <v>44326</v>
      </c>
      <c r="I1261" s="98">
        <f ca="1"/>
        <v>1.9662562272909113E-3</v>
      </c>
      <c r="J1261" s="94" t="s">
        <v>4</v>
      </c>
      <c r="K1261" s="100">
        <f ca="1">_xll.meDateFromTenor(K1260,"1D","FOLLOWING",L$12)</f>
        <v>44294</v>
      </c>
      <c r="L1261" s="13">
        <f ca="1">_xll.meDateFromTenor(K1261,L$14,L$11,L$12)</f>
        <v>44385</v>
      </c>
      <c r="M1261" s="98">
        <f ca="1"/>
        <v>3.17104819374677E-3</v>
      </c>
      <c r="N1261" s="5" t="s">
        <v>4</v>
      </c>
      <c r="O1261" s="100">
        <f ca="1">_xll.meDateFromTenor(O1260,"1D","FOLLOWING",P$12)</f>
        <v>44294</v>
      </c>
      <c r="P1261" s="13">
        <f ca="1">_xll.meDateFromTenor(O1261,P$14,P$11,P$12)</f>
        <v>44477</v>
      </c>
      <c r="Q1261" s="98">
        <f ca="1"/>
        <v>4.9666214405834474E-3</v>
      </c>
      <c r="R1261" s="5" t="s">
        <v>4</v>
      </c>
      <c r="S1261" s="100">
        <f ca="1">_xll.meDateFromTenor(S1260,"1D","FOLLOWING",T$12)</f>
        <v>44294</v>
      </c>
      <c r="T1261" s="13">
        <f ca="1">_xll.meDateFromTenor(S1261,T$14,T$11,T$12)</f>
        <v>44659</v>
      </c>
      <c r="U1261" s="98">
        <f ca="1"/>
        <v>6.9956746254583209E-3</v>
      </c>
      <c r="V1261" s="5" t="s">
        <v>4</v>
      </c>
      <c r="W1261" s="84" t="s">
        <v>4</v>
      </c>
    </row>
    <row r="1262" spans="1:23" x14ac:dyDescent="0.25">
      <c r="A1262" s="90">
        <v>1243</v>
      </c>
      <c r="B1262" s="83"/>
      <c r="C1262" s="100">
        <f ca="1">_xll.meDateFromTenor(C1261,"1D","FOLLOWING",D$12)</f>
        <v>44295</v>
      </c>
      <c r="D1262" s="13">
        <f ca="1">_xll.meDateFromTenor(C1262,D$14,D$11,D$12)</f>
        <v>44298</v>
      </c>
      <c r="E1262" s="98">
        <f ca="1"/>
        <v>9.6092614468196082E-4</v>
      </c>
      <c r="F1262" s="94"/>
      <c r="G1262" s="100">
        <f ca="1">_xll.meDateFromTenor(G1261,"1D","FOLLOWING",H$12)</f>
        <v>44295</v>
      </c>
      <c r="H1262" s="13">
        <f ca="1">_xll.meDateFromTenor(G1262,H$14,H$11,H$12)</f>
        <v>44326</v>
      </c>
      <c r="I1262" s="98">
        <f ca="1"/>
        <v>1.9735744263504346E-3</v>
      </c>
      <c r="J1262" s="94" t="s">
        <v>4</v>
      </c>
      <c r="K1262" s="100">
        <f ca="1">_xll.meDateFromTenor(K1261,"1D","FOLLOWING",L$12)</f>
        <v>44295</v>
      </c>
      <c r="L1262" s="13">
        <f ca="1">_xll.meDateFromTenor(K1262,L$14,L$11,L$12)</f>
        <v>44386</v>
      </c>
      <c r="M1262" s="98">
        <f ca="1"/>
        <v>3.1785967580001714E-3</v>
      </c>
      <c r="N1262" s="5" t="s">
        <v>4</v>
      </c>
      <c r="O1262" s="100">
        <f ca="1">_xll.meDateFromTenor(O1261,"1D","FOLLOWING",P$12)</f>
        <v>44295</v>
      </c>
      <c r="P1262" s="13">
        <f ca="1">_xll.meDateFromTenor(O1262,P$14,P$11,P$12)</f>
        <v>44480</v>
      </c>
      <c r="Q1262" s="98">
        <f ca="1"/>
        <v>4.9738916690914344E-3</v>
      </c>
      <c r="R1262" s="5" t="s">
        <v>4</v>
      </c>
      <c r="S1262" s="100">
        <f ca="1">_xll.meDateFromTenor(S1261,"1D","FOLLOWING",T$12)</f>
        <v>44295</v>
      </c>
      <c r="T1262" s="13">
        <f ca="1">_xll.meDateFromTenor(S1262,T$14,T$11,T$12)</f>
        <v>44662</v>
      </c>
      <c r="U1262" s="98">
        <f ca="1"/>
        <v>7.0029880452027373E-3</v>
      </c>
      <c r="V1262" s="5" t="s">
        <v>4</v>
      </c>
      <c r="W1262" s="84" t="s">
        <v>4</v>
      </c>
    </row>
    <row r="1263" spans="1:23" x14ac:dyDescent="0.25">
      <c r="A1263" s="90">
        <v>1244</v>
      </c>
      <c r="B1263" s="83"/>
      <c r="C1263" s="100">
        <f ca="1">_xll.meDateFromTenor(C1262,"1D","FOLLOWING",D$12)</f>
        <v>44298</v>
      </c>
      <c r="D1263" s="13">
        <f ca="1">_xll.meDateFromTenor(C1263,D$14,D$11,D$12)</f>
        <v>44299</v>
      </c>
      <c r="E1263" s="98">
        <f ca="1"/>
        <v>9.7471061549987725E-4</v>
      </c>
      <c r="F1263" s="94"/>
      <c r="G1263" s="100">
        <f ca="1">_xll.meDateFromTenor(G1262,"1D","FOLLOWING",H$12)</f>
        <v>44298</v>
      </c>
      <c r="H1263" s="13">
        <f ca="1">_xll.meDateFromTenor(G1263,H$14,H$11,H$12)</f>
        <v>44328</v>
      </c>
      <c r="I1263" s="98">
        <f ca="1"/>
        <v>1.9960685724918575E-3</v>
      </c>
      <c r="J1263" s="94" t="s">
        <v>4</v>
      </c>
      <c r="K1263" s="100">
        <f ca="1">_xll.meDateFromTenor(K1262,"1D","FOLLOWING",L$12)</f>
        <v>44298</v>
      </c>
      <c r="L1263" s="13">
        <f ca="1">_xll.meDateFromTenor(K1263,L$14,L$11,L$12)</f>
        <v>44389</v>
      </c>
      <c r="M1263" s="98">
        <f ca="1"/>
        <v>3.2012520073255056E-3</v>
      </c>
      <c r="N1263" s="5" t="s">
        <v>4</v>
      </c>
      <c r="O1263" s="100">
        <f ca="1">_xll.meDateFromTenor(O1262,"1D","FOLLOWING",P$12)</f>
        <v>44298</v>
      </c>
      <c r="P1263" s="13">
        <f ca="1">_xll.meDateFromTenor(O1263,P$14,P$11,P$12)</f>
        <v>44481</v>
      </c>
      <c r="Q1263" s="98">
        <f ca="1"/>
        <v>4.995719171552988E-3</v>
      </c>
      <c r="R1263" s="5" t="s">
        <v>4</v>
      </c>
      <c r="S1263" s="100">
        <f ca="1">_xll.meDateFromTenor(S1262,"1D","FOLLOWING",T$12)</f>
        <v>44298</v>
      </c>
      <c r="T1263" s="13">
        <f ca="1">_xll.meDateFromTenor(S1263,T$14,T$11,T$12)</f>
        <v>44663</v>
      </c>
      <c r="U1263" s="98">
        <f ca="1"/>
        <v>7.0249325402369405E-3</v>
      </c>
      <c r="V1263" s="5" t="s">
        <v>4</v>
      </c>
      <c r="W1263" s="84" t="s">
        <v>4</v>
      </c>
    </row>
    <row r="1264" spans="1:23" x14ac:dyDescent="0.25">
      <c r="A1264" s="90">
        <v>1245</v>
      </c>
      <c r="B1264" s="83"/>
      <c r="C1264" s="100">
        <f ca="1">_xll.meDateFromTenor(C1263,"1D","FOLLOWING",D$12)</f>
        <v>44299</v>
      </c>
      <c r="D1264" s="13">
        <f ca="1">_xll.meDateFromTenor(C1264,D$14,D$11,D$12)</f>
        <v>44300</v>
      </c>
      <c r="E1264" s="98">
        <f ca="1"/>
        <v>9.8170080400821706E-4</v>
      </c>
      <c r="F1264" s="94"/>
      <c r="G1264" s="100">
        <f ca="1">_xll.meDateFromTenor(G1263,"1D","FOLLOWING",H$12)</f>
        <v>44299</v>
      </c>
      <c r="H1264" s="13">
        <f ca="1">_xll.meDateFromTenor(G1264,H$14,H$11,H$12)</f>
        <v>44329</v>
      </c>
      <c r="I1264" s="98">
        <f ca="1"/>
        <v>2.0037261874454471E-3</v>
      </c>
      <c r="J1264" s="94" t="s">
        <v>4</v>
      </c>
      <c r="K1264" s="100">
        <f ca="1">_xll.meDateFromTenor(K1263,"1D","FOLLOWING",L$12)</f>
        <v>44299</v>
      </c>
      <c r="L1264" s="13">
        <f ca="1">_xll.meDateFromTenor(K1264,L$14,L$11,L$12)</f>
        <v>44390</v>
      </c>
      <c r="M1264" s="98">
        <f ca="1"/>
        <v>3.2088070171289416E-3</v>
      </c>
      <c r="N1264" s="5" t="s">
        <v>4</v>
      </c>
      <c r="O1264" s="100">
        <f ca="1">_xll.meDateFromTenor(O1263,"1D","FOLLOWING",P$12)</f>
        <v>44299</v>
      </c>
      <c r="P1264" s="13">
        <f ca="1">_xll.meDateFromTenor(O1264,P$14,P$11,P$12)</f>
        <v>44482</v>
      </c>
      <c r="Q1264" s="98">
        <f ca="1"/>
        <v>5.0030005920374508E-3</v>
      </c>
      <c r="R1264" s="5" t="s">
        <v>4</v>
      </c>
      <c r="S1264" s="100">
        <f ca="1">_xll.meDateFromTenor(S1263,"1D","FOLLOWING",T$12)</f>
        <v>44299</v>
      </c>
      <c r="T1264" s="13">
        <f ca="1">_xll.meDateFromTenor(S1264,T$14,T$11,T$12)</f>
        <v>44664</v>
      </c>
      <c r="U1264" s="98">
        <f ca="1"/>
        <v>7.0322487270759772E-3</v>
      </c>
      <c r="V1264" s="5" t="s">
        <v>4</v>
      </c>
      <c r="W1264" s="84" t="s">
        <v>4</v>
      </c>
    </row>
    <row r="1265" spans="1:23" x14ac:dyDescent="0.25">
      <c r="A1265" s="90">
        <v>1246</v>
      </c>
      <c r="B1265" s="83"/>
      <c r="C1265" s="100">
        <f ca="1">_xll.meDateFromTenor(C1264,"1D","FOLLOWING",D$12)</f>
        <v>44300</v>
      </c>
      <c r="D1265" s="13">
        <f ca="1">_xll.meDateFromTenor(C1265,D$14,D$11,D$12)</f>
        <v>44301</v>
      </c>
      <c r="E1265" s="98">
        <f ca="1"/>
        <v>9.8874899643759478E-4</v>
      </c>
      <c r="F1265" s="94"/>
      <c r="G1265" s="100">
        <f ca="1">_xll.meDateFromTenor(G1264,"1D","FOLLOWING",H$12)</f>
        <v>44300</v>
      </c>
      <c r="H1265" s="13">
        <f ca="1">_xll.meDateFromTenor(G1265,H$14,H$11,H$12)</f>
        <v>44330</v>
      </c>
      <c r="I1265" s="98">
        <f ca="1"/>
        <v>2.0114534438116756E-3</v>
      </c>
      <c r="J1265" s="94" t="s">
        <v>4</v>
      </c>
      <c r="K1265" s="100">
        <f ca="1">_xll.meDateFromTenor(K1264,"1D","FOLLOWING",L$12)</f>
        <v>44300</v>
      </c>
      <c r="L1265" s="13">
        <f ca="1">_xll.meDateFromTenor(K1265,L$14,L$11,L$12)</f>
        <v>44391</v>
      </c>
      <c r="M1265" s="98">
        <f ca="1"/>
        <v>3.2163636941998485E-3</v>
      </c>
      <c r="N1265" s="5" t="s">
        <v>4</v>
      </c>
      <c r="O1265" s="100">
        <f ca="1">_xll.meDateFromTenor(O1264,"1D","FOLLOWING",P$12)</f>
        <v>44300</v>
      </c>
      <c r="P1265" s="13">
        <f ca="1">_xll.meDateFromTenor(O1265,P$14,P$11,P$12)</f>
        <v>44483</v>
      </c>
      <c r="Q1265" s="98">
        <f ca="1"/>
        <v>5.0102847960295949E-3</v>
      </c>
      <c r="R1265" s="5" t="s">
        <v>4</v>
      </c>
      <c r="S1265" s="100">
        <f ca="1">_xll.meDateFromTenor(S1264,"1D","FOLLOWING",T$12)</f>
        <v>44300</v>
      </c>
      <c r="T1265" s="13">
        <f ca="1">_xll.meDateFromTenor(S1265,T$14,T$11,T$12)</f>
        <v>44665</v>
      </c>
      <c r="U1265" s="98">
        <f ca="1"/>
        <v>7.0395655631091585E-3</v>
      </c>
      <c r="V1265" s="5" t="s">
        <v>4</v>
      </c>
      <c r="W1265" s="84" t="s">
        <v>4</v>
      </c>
    </row>
    <row r="1266" spans="1:23" x14ac:dyDescent="0.25">
      <c r="A1266" s="90">
        <v>1247</v>
      </c>
      <c r="B1266" s="83"/>
      <c r="C1266" s="100">
        <f ca="1">_xll.meDateFromTenor(C1265,"1D","FOLLOWING",D$12)</f>
        <v>44301</v>
      </c>
      <c r="D1266" s="13">
        <f ca="1">_xll.meDateFromTenor(C1266,D$14,D$11,D$12)</f>
        <v>44302</v>
      </c>
      <c r="E1266" s="98">
        <f ca="1"/>
        <v>9.958551939083756E-4</v>
      </c>
      <c r="F1266" s="94"/>
      <c r="G1266" s="100">
        <f ca="1">_xll.meDateFromTenor(G1265,"1D","FOLLOWING",H$12)</f>
        <v>44301</v>
      </c>
      <c r="H1266" s="13">
        <f ca="1">_xll.meDateFromTenor(G1266,H$14,H$11,H$12)</f>
        <v>44333</v>
      </c>
      <c r="I1266" s="98">
        <f ca="1"/>
        <v>2.0192442565661922E-3</v>
      </c>
      <c r="J1266" s="94" t="s">
        <v>4</v>
      </c>
      <c r="K1266" s="100">
        <f ca="1">_xll.meDateFromTenor(K1265,"1D","FOLLOWING",L$12)</f>
        <v>44301</v>
      </c>
      <c r="L1266" s="13">
        <f ca="1">_xll.meDateFromTenor(K1266,L$14,L$11,L$12)</f>
        <v>44392</v>
      </c>
      <c r="M1266" s="98">
        <f ca="1"/>
        <v>3.2239220608902106E-3</v>
      </c>
      <c r="N1266" s="5" t="s">
        <v>4</v>
      </c>
      <c r="O1266" s="100">
        <f ca="1">_xll.meDateFromTenor(O1265,"1D","FOLLOWING",P$12)</f>
        <v>44301</v>
      </c>
      <c r="P1266" s="13">
        <f ca="1">_xll.meDateFromTenor(O1266,P$14,P$11,P$12)</f>
        <v>44484</v>
      </c>
      <c r="Q1266" s="98">
        <f ca="1"/>
        <v>5.0175717777348437E-3</v>
      </c>
      <c r="R1266" s="5" t="s">
        <v>4</v>
      </c>
      <c r="S1266" s="100">
        <f ca="1">_xll.meDateFromTenor(S1265,"1D","FOLLOWING",T$12)</f>
        <v>44301</v>
      </c>
      <c r="T1266" s="13">
        <f ca="1">_xll.meDateFromTenor(S1266,T$14,T$11,T$12)</f>
        <v>44670</v>
      </c>
      <c r="U1266" s="98">
        <f ca="1"/>
        <v>7.0468830313046805E-3</v>
      </c>
      <c r="V1266" s="5" t="s">
        <v>4</v>
      </c>
      <c r="W1266" s="84" t="s">
        <v>4</v>
      </c>
    </row>
    <row r="1267" spans="1:23" x14ac:dyDescent="0.25">
      <c r="A1267" s="90">
        <v>1248</v>
      </c>
      <c r="B1267" s="83"/>
      <c r="C1267" s="100">
        <f ca="1">_xll.meDateFromTenor(C1266,"1D","FOLLOWING",D$12)</f>
        <v>44302</v>
      </c>
      <c r="D1267" s="13">
        <f ca="1">_xll.meDateFromTenor(C1267,D$14,D$11,D$12)</f>
        <v>44305</v>
      </c>
      <c r="E1267" s="98">
        <f ca="1"/>
        <v>1.010263779352932E-3</v>
      </c>
      <c r="F1267" s="94"/>
      <c r="G1267" s="100">
        <f ca="1">_xll.meDateFromTenor(G1266,"1D","FOLLOWING",H$12)</f>
        <v>44302</v>
      </c>
      <c r="H1267" s="13">
        <f ca="1">_xll.meDateFromTenor(G1267,H$14,H$11,H$12)</f>
        <v>44333</v>
      </c>
      <c r="I1267" s="98">
        <f ca="1"/>
        <v>2.0270925406846462E-3</v>
      </c>
      <c r="J1267" s="94" t="s">
        <v>4</v>
      </c>
      <c r="K1267" s="100">
        <f ca="1">_xll.meDateFromTenor(K1266,"1D","FOLLOWING",L$12)</f>
        <v>44302</v>
      </c>
      <c r="L1267" s="13">
        <f ca="1">_xll.meDateFromTenor(K1267,L$14,L$11,L$12)</f>
        <v>44393</v>
      </c>
      <c r="M1267" s="98">
        <f ca="1"/>
        <v>3.2314821395520131E-3</v>
      </c>
      <c r="N1267" s="5" t="s">
        <v>4</v>
      </c>
      <c r="O1267" s="100">
        <f ca="1">_xll.meDateFromTenor(O1266,"1D","FOLLOWING",P$12)</f>
        <v>44302</v>
      </c>
      <c r="P1267" s="13">
        <f ca="1">_xll.meDateFromTenor(O1267,P$14,P$11,P$12)</f>
        <v>44487</v>
      </c>
      <c r="Q1267" s="98">
        <f ca="1"/>
        <v>5.0248615313586223E-3</v>
      </c>
      <c r="R1267" s="5" t="s">
        <v>4</v>
      </c>
      <c r="S1267" s="100">
        <f ca="1">_xll.meDateFromTenor(S1266,"1D","FOLLOWING",T$12)</f>
        <v>44302</v>
      </c>
      <c r="T1267" s="13">
        <f ca="1">_xll.meDateFromTenor(S1267,T$14,T$11,T$12)</f>
        <v>44670</v>
      </c>
      <c r="U1267" s="98">
        <f ca="1"/>
        <v>7.0542011146307359E-3</v>
      </c>
      <c r="V1267" s="5" t="s">
        <v>4</v>
      </c>
      <c r="W1267" s="84" t="s">
        <v>4</v>
      </c>
    </row>
    <row r="1268" spans="1:23" x14ac:dyDescent="0.25">
      <c r="A1268" s="90">
        <v>1249</v>
      </c>
      <c r="B1268" s="83"/>
      <c r="C1268" s="100">
        <f ca="1">_xll.meDateFromTenor(C1267,"1D","FOLLOWING",D$12)</f>
        <v>44305</v>
      </c>
      <c r="D1268" s="13">
        <f ca="1">_xll.meDateFromTenor(C1268,D$14,D$11,D$12)</f>
        <v>44306</v>
      </c>
      <c r="E1268" s="98">
        <f ca="1"/>
        <v>1.0248600554609308E-3</v>
      </c>
      <c r="F1268" s="94"/>
      <c r="G1268" s="100">
        <f ca="1">_xll.meDateFromTenor(G1267,"1D","FOLLOWING",H$12)</f>
        <v>44305</v>
      </c>
      <c r="H1268" s="13">
        <f ca="1">_xll.meDateFromTenor(G1268,H$14,H$11,H$12)</f>
        <v>44335</v>
      </c>
      <c r="I1268" s="98">
        <f ca="1"/>
        <v>2.0509213709801223E-3</v>
      </c>
      <c r="J1268" s="94" t="s">
        <v>4</v>
      </c>
      <c r="K1268" s="100">
        <f ca="1">_xll.meDateFromTenor(K1267,"1D","FOLLOWING",L$12)</f>
        <v>44305</v>
      </c>
      <c r="L1268" s="13">
        <f ca="1">_xll.meDateFromTenor(K1268,L$14,L$11,L$12)</f>
        <v>44396</v>
      </c>
      <c r="M1268" s="98">
        <f ca="1"/>
        <v>3.2541728708859034E-3</v>
      </c>
      <c r="N1268" s="5" t="s">
        <v>4</v>
      </c>
      <c r="O1268" s="100">
        <f ca="1">_xll.meDateFromTenor(O1267,"1D","FOLLOWING",P$12)</f>
        <v>44305</v>
      </c>
      <c r="P1268" s="13">
        <f ca="1">_xll.meDateFromTenor(O1268,P$14,P$11,P$12)</f>
        <v>44488</v>
      </c>
      <c r="Q1268" s="98">
        <f ca="1"/>
        <v>5.0467473657953834E-3</v>
      </c>
      <c r="R1268" s="5" t="s">
        <v>4</v>
      </c>
      <c r="S1268" s="100">
        <f ca="1">_xll.meDateFromTenor(S1267,"1D","FOLLOWING",T$12)</f>
        <v>44305</v>
      </c>
      <c r="T1268" s="13">
        <f ca="1">_xll.meDateFromTenor(S1268,T$14,T$11,T$12)</f>
        <v>44670</v>
      </c>
      <c r="U1268" s="98">
        <f ca="1"/>
        <v>7.0761588850740686E-3</v>
      </c>
      <c r="V1268" s="5" t="s">
        <v>4</v>
      </c>
      <c r="W1268" s="84" t="s">
        <v>4</v>
      </c>
    </row>
    <row r="1269" spans="1:23" x14ac:dyDescent="0.25">
      <c r="A1269" s="90">
        <v>1250</v>
      </c>
      <c r="B1269" s="83"/>
      <c r="C1269" s="100">
        <f ca="1">_xll.meDateFromTenor(C1268,"1D","FOLLOWING",D$12)</f>
        <v>44306</v>
      </c>
      <c r="D1269" s="13">
        <f ca="1">_xll.meDateFromTenor(C1269,D$14,D$11,D$12)</f>
        <v>44307</v>
      </c>
      <c r="E1269" s="98">
        <f ca="1"/>
        <v>1.032256294282002E-3</v>
      </c>
      <c r="F1269" s="94"/>
      <c r="G1269" s="100">
        <f ca="1">_xll.meDateFromTenor(G1268,"1D","FOLLOWING",H$12)</f>
        <v>44306</v>
      </c>
      <c r="H1269" s="13">
        <f ca="1">_xll.meDateFromTenor(G1269,H$14,H$11,H$12)</f>
        <v>44336</v>
      </c>
      <c r="I1269" s="98">
        <f ca="1"/>
        <v>2.0589386903108178E-3</v>
      </c>
      <c r="J1269" s="94" t="s">
        <v>4</v>
      </c>
      <c r="K1269" s="100">
        <f ca="1">_xll.meDateFromTenor(K1268,"1D","FOLLOWING",L$12)</f>
        <v>44306</v>
      </c>
      <c r="L1269" s="13">
        <f ca="1">_xll.meDateFromTenor(K1269,L$14,L$11,L$12)</f>
        <v>44397</v>
      </c>
      <c r="M1269" s="98">
        <f ca="1"/>
        <v>3.2617400209533124E-3</v>
      </c>
      <c r="N1269" s="5" t="s">
        <v>4</v>
      </c>
      <c r="O1269" s="100">
        <f ca="1">_xll.meDateFromTenor(O1268,"1D","FOLLOWING",P$12)</f>
        <v>44306</v>
      </c>
      <c r="P1269" s="13">
        <f ca="1">_xll.meDateFromTenor(O1269,P$14,P$11,P$12)</f>
        <v>44489</v>
      </c>
      <c r="Q1269" s="98">
        <f ca="1"/>
        <v>5.0540481491475287E-3</v>
      </c>
      <c r="R1269" s="5" t="s">
        <v>4</v>
      </c>
      <c r="S1269" s="100">
        <f ca="1">_xll.meDateFromTenor(S1268,"1D","FOLLOWING",T$12)</f>
        <v>44306</v>
      </c>
      <c r="T1269" s="13">
        <f ca="1">_xll.meDateFromTenor(S1269,T$14,T$11,T$12)</f>
        <v>44671</v>
      </c>
      <c r="U1269" s="98">
        <f ca="1"/>
        <v>7.0834792586042207E-3</v>
      </c>
      <c r="V1269" s="5" t="s">
        <v>4</v>
      </c>
      <c r="W1269" s="84" t="s">
        <v>4</v>
      </c>
    </row>
    <row r="1270" spans="1:23" x14ac:dyDescent="0.25">
      <c r="A1270" s="90">
        <v>1251</v>
      </c>
      <c r="B1270" s="83"/>
      <c r="C1270" s="100">
        <f ca="1">_xll.meDateFromTenor(C1269,"1D","FOLLOWING",D$12)</f>
        <v>44307</v>
      </c>
      <c r="D1270" s="13">
        <f ca="1">_xll.meDateFromTenor(C1270,D$14,D$11,D$12)</f>
        <v>44308</v>
      </c>
      <c r="E1270" s="98">
        <f ca="1"/>
        <v>1.0397105445393885E-3</v>
      </c>
      <c r="F1270" s="94"/>
      <c r="G1270" s="100">
        <f ca="1">_xll.meDateFromTenor(G1269,"1D","FOLLOWING",H$12)</f>
        <v>44307</v>
      </c>
      <c r="H1270" s="13">
        <f ca="1">_xll.meDateFromTenor(G1270,H$14,H$11,H$12)</f>
        <v>44337</v>
      </c>
      <c r="I1270" s="98">
        <f ca="1"/>
        <v>2.0669830558836962E-3</v>
      </c>
      <c r="J1270" s="94" t="s">
        <v>4</v>
      </c>
      <c r="K1270" s="100">
        <f ca="1">_xll.meDateFromTenor(K1269,"1D","FOLLOWING",L$12)</f>
        <v>44307</v>
      </c>
      <c r="L1270" s="13">
        <f ca="1">_xll.meDateFromTenor(K1270,L$14,L$11,L$12)</f>
        <v>44398</v>
      </c>
      <c r="M1270" s="98">
        <f ca="1"/>
        <v>3.2693089947520848E-3</v>
      </c>
      <c r="N1270" s="5" t="s">
        <v>4</v>
      </c>
      <c r="O1270" s="100">
        <f ca="1">_xll.meDateFromTenor(O1269,"1D","FOLLOWING",P$12)</f>
        <v>44307</v>
      </c>
      <c r="P1270" s="13">
        <f ca="1">_xll.meDateFromTenor(O1270,P$14,P$11,P$12)</f>
        <v>44490</v>
      </c>
      <c r="Q1270" s="98">
        <f ca="1"/>
        <v>5.0613516754453277E-3</v>
      </c>
      <c r="R1270" s="5" t="s">
        <v>4</v>
      </c>
      <c r="S1270" s="100">
        <f ca="1">_xll.meDateFromTenor(S1269,"1D","FOLLOWING",T$12)</f>
        <v>44307</v>
      </c>
      <c r="T1270" s="13">
        <f ca="1">_xll.meDateFromTenor(S1270,T$14,T$11,T$12)</f>
        <v>44672</v>
      </c>
      <c r="U1270" s="98">
        <f ca="1"/>
        <v>7.0908001621058855E-3</v>
      </c>
      <c r="V1270" s="5" t="s">
        <v>4</v>
      </c>
      <c r="W1270" s="84" t="s">
        <v>4</v>
      </c>
    </row>
    <row r="1271" spans="1:23" x14ac:dyDescent="0.25">
      <c r="A1271" s="90">
        <v>1252</v>
      </c>
      <c r="B1271" s="83"/>
      <c r="C1271" s="100">
        <f ca="1">_xll.meDateFromTenor(C1270,"1D","FOLLOWING",D$12)</f>
        <v>44308</v>
      </c>
      <c r="D1271" s="13">
        <f ca="1">_xll.meDateFromTenor(C1271,D$14,D$11,D$12)</f>
        <v>44309</v>
      </c>
      <c r="E1271" s="98">
        <f ca="1"/>
        <v>1.0472228076706142E-3</v>
      </c>
      <c r="F1271" s="94"/>
      <c r="G1271" s="100">
        <f ca="1">_xll.meDateFromTenor(G1270,"1D","FOLLOWING",H$12)</f>
        <v>44308</v>
      </c>
      <c r="H1271" s="13">
        <f ca="1">_xll.meDateFromTenor(G1271,H$14,H$11,H$12)</f>
        <v>44340</v>
      </c>
      <c r="I1271" s="98">
        <f ca="1"/>
        <v>2.075048382674406E-3</v>
      </c>
      <c r="J1271" s="94" t="s">
        <v>4</v>
      </c>
      <c r="K1271" s="100">
        <f ca="1">_xll.meDateFromTenor(K1270,"1D","FOLLOWING",L$12)</f>
        <v>44308</v>
      </c>
      <c r="L1271" s="13">
        <f ca="1">_xll.meDateFromTenor(K1271,L$14,L$11,L$12)</f>
        <v>44399</v>
      </c>
      <c r="M1271" s="98">
        <f ca="1"/>
        <v>3.2768798146342059E-3</v>
      </c>
      <c r="N1271" s="5" t="s">
        <v>4</v>
      </c>
      <c r="O1271" s="100">
        <f ca="1">_xll.meDateFromTenor(O1270,"1D","FOLLOWING",P$12)</f>
        <v>44308</v>
      </c>
      <c r="P1271" s="13">
        <f ca="1">_xll.meDateFromTenor(O1271,P$14,P$11,P$12)</f>
        <v>44491</v>
      </c>
      <c r="Q1271" s="98">
        <f ca="1"/>
        <v>5.0686579388942036E-3</v>
      </c>
      <c r="R1271" s="5" t="s">
        <v>4</v>
      </c>
      <c r="S1271" s="100">
        <f ca="1">_xll.meDateFromTenor(S1270,"1D","FOLLOWING",T$12)</f>
        <v>44308</v>
      </c>
      <c r="T1271" s="13">
        <f ca="1">_xll.meDateFromTenor(S1271,T$14,T$11,T$12)</f>
        <v>44673</v>
      </c>
      <c r="U1271" s="98">
        <f ca="1"/>
        <v>7.0981215785472593E-3</v>
      </c>
      <c r="V1271" s="5" t="s">
        <v>4</v>
      </c>
      <c r="W1271" s="84" t="s">
        <v>4</v>
      </c>
    </row>
    <row r="1272" spans="1:23" x14ac:dyDescent="0.25">
      <c r="A1272" s="90">
        <v>1253</v>
      </c>
      <c r="B1272" s="83"/>
      <c r="C1272" s="100">
        <f ca="1">_xll.meDateFromTenor(C1271,"1D","FOLLOWING",D$12)</f>
        <v>44309</v>
      </c>
      <c r="D1272" s="13">
        <f ca="1">_xll.meDateFromTenor(C1272,D$14,D$11,D$12)</f>
        <v>44312</v>
      </c>
      <c r="E1272" s="98">
        <f ca="1"/>
        <v>1.0624438506568518E-3</v>
      </c>
      <c r="F1272" s="94"/>
      <c r="G1272" s="100">
        <f ca="1">_xll.meDateFromTenor(G1271,"1D","FOLLOWING",H$12)</f>
        <v>44309</v>
      </c>
      <c r="H1272" s="13">
        <f ca="1">_xll.meDateFromTenor(G1272,H$14,H$11,H$12)</f>
        <v>44340</v>
      </c>
      <c r="I1272" s="98">
        <f ca="1"/>
        <v>2.0831285856585972E-3</v>
      </c>
      <c r="J1272" s="94" t="s">
        <v>4</v>
      </c>
      <c r="K1272" s="100">
        <f ca="1">_xll.meDateFromTenor(K1271,"1D","FOLLOWING",L$12)</f>
        <v>44309</v>
      </c>
      <c r="L1272" s="13">
        <f ca="1">_xll.meDateFromTenor(K1272,L$14,L$11,L$12)</f>
        <v>44400</v>
      </c>
      <c r="M1272" s="98">
        <f ca="1"/>
        <v>3.2844525029516588E-3</v>
      </c>
      <c r="N1272" s="5" t="s">
        <v>4</v>
      </c>
      <c r="O1272" s="100">
        <f ca="1">_xll.meDateFromTenor(O1271,"1D","FOLLOWING",P$12)</f>
        <v>44309</v>
      </c>
      <c r="P1272" s="13">
        <f ca="1">_xll.meDateFromTenor(O1272,P$14,P$11,P$12)</f>
        <v>44494</v>
      </c>
      <c r="Q1272" s="98">
        <f ca="1"/>
        <v>5.0759669336995824E-3</v>
      </c>
      <c r="R1272" s="5" t="s">
        <v>4</v>
      </c>
      <c r="S1272" s="100">
        <f ca="1">_xll.meDateFromTenor(S1271,"1D","FOLLOWING",T$12)</f>
        <v>44309</v>
      </c>
      <c r="T1272" s="13">
        <f ca="1">_xll.meDateFromTenor(S1272,T$14,T$11,T$12)</f>
        <v>44676</v>
      </c>
      <c r="U1272" s="98">
        <f ca="1"/>
        <v>7.1054434908965364E-3</v>
      </c>
      <c r="V1272" s="5" t="s">
        <v>4</v>
      </c>
      <c r="W1272" s="84" t="s">
        <v>4</v>
      </c>
    </row>
    <row r="1273" spans="1:23" x14ac:dyDescent="0.25">
      <c r="A1273" s="90">
        <v>1254</v>
      </c>
      <c r="B1273" s="83"/>
      <c r="C1273" s="100">
        <f ca="1">_xll.meDateFromTenor(C1272,"1D","FOLLOWING",D$12)</f>
        <v>44312</v>
      </c>
      <c r="D1273" s="13">
        <f ca="1">_xll.meDateFromTenor(C1273,D$14,D$11,D$12)</f>
        <v>44313</v>
      </c>
      <c r="E1273" s="98">
        <f ca="1"/>
        <v>1.0778520098851366E-3</v>
      </c>
      <c r="F1273" s="94"/>
      <c r="G1273" s="100">
        <f ca="1">_xll.meDateFromTenor(G1272,"1D","FOLLOWING",H$12)</f>
        <v>44312</v>
      </c>
      <c r="H1273" s="13">
        <f ca="1">_xll.meDateFromTenor(G1273,H$14,H$11,H$12)</f>
        <v>44342</v>
      </c>
      <c r="I1273" s="98">
        <f ca="1"/>
        <v>2.1073976015285475E-3</v>
      </c>
      <c r="J1273" s="94" t="s">
        <v>4</v>
      </c>
      <c r="K1273" s="100">
        <f ca="1">_xll.meDateFromTenor(K1272,"1D","FOLLOWING",L$12)</f>
        <v>44312</v>
      </c>
      <c r="L1273" s="13">
        <f ca="1">_xll.meDateFromTenor(K1273,L$14,L$11,L$12)</f>
        <v>44403</v>
      </c>
      <c r="M1273" s="98">
        <f ca="1"/>
        <v>3.3071820020358616E-3</v>
      </c>
      <c r="N1273" s="5" t="s">
        <v>4</v>
      </c>
      <c r="O1273" s="100">
        <f ca="1">_xll.meDateFromTenor(O1272,"1D","FOLLOWING",P$12)</f>
        <v>44312</v>
      </c>
      <c r="P1273" s="13">
        <f ca="1">_xll.meDateFromTenor(O1273,P$14,P$11,P$12)</f>
        <v>44495</v>
      </c>
      <c r="Q1273" s="98">
        <f ca="1"/>
        <v>5.0979102483089817E-3</v>
      </c>
      <c r="R1273" s="5" t="s">
        <v>4</v>
      </c>
      <c r="S1273" s="100">
        <f ca="1">_xll.meDateFromTenor(S1272,"1D","FOLLOWING",T$12)</f>
        <v>44312</v>
      </c>
      <c r="T1273" s="13">
        <f ca="1">_xll.meDateFromTenor(S1273,T$14,T$11,T$12)</f>
        <v>44677</v>
      </c>
      <c r="U1273" s="98">
        <f ca="1"/>
        <v>7.1274120330737448E-3</v>
      </c>
      <c r="V1273" s="5" t="s">
        <v>4</v>
      </c>
      <c r="W1273" s="84" t="s">
        <v>4</v>
      </c>
    </row>
    <row r="1274" spans="1:23" x14ac:dyDescent="0.25">
      <c r="A1274" s="90">
        <v>1255</v>
      </c>
      <c r="B1274" s="83"/>
      <c r="C1274" s="100">
        <f ca="1">_xll.meDateFromTenor(C1273,"1D","FOLLOWING",D$12)</f>
        <v>44313</v>
      </c>
      <c r="D1274" s="13">
        <f ca="1">_xll.meDateFromTenor(C1274,D$14,D$11,D$12)</f>
        <v>44314</v>
      </c>
      <c r="E1274" s="98">
        <f ca="1"/>
        <v>1.0856543540961991E-3</v>
      </c>
      <c r="F1274" s="94"/>
      <c r="G1274" s="100">
        <f ca="1">_xll.meDateFromTenor(G1273,"1D","FOLLOWING",H$12)</f>
        <v>44313</v>
      </c>
      <c r="H1274" s="13">
        <f ca="1">_xll.meDateFromTenor(G1274,H$14,H$11,H$12)</f>
        <v>44343</v>
      </c>
      <c r="I1274" s="98">
        <f ca="1"/>
        <v>2.1154764590431549E-3</v>
      </c>
      <c r="J1274" s="94" t="s">
        <v>4</v>
      </c>
      <c r="K1274" s="100">
        <f ca="1">_xll.meDateFromTenor(K1273,"1D","FOLLOWING",L$12)</f>
        <v>44313</v>
      </c>
      <c r="L1274" s="13">
        <f ca="1">_xll.meDateFromTenor(K1274,L$14,L$11,L$12)</f>
        <v>44404</v>
      </c>
      <c r="M1274" s="98">
        <f ca="1"/>
        <v>3.3147623876144936E-3</v>
      </c>
      <c r="N1274" s="5" t="s">
        <v>4</v>
      </c>
      <c r="O1274" s="100">
        <f ca="1">_xll.meDateFromTenor(O1273,"1D","FOLLOWING",P$12)</f>
        <v>44313</v>
      </c>
      <c r="P1274" s="13">
        <f ca="1">_xll.meDateFromTenor(O1274,P$14,P$11,P$12)</f>
        <v>44496</v>
      </c>
      <c r="Q1274" s="98">
        <f ca="1"/>
        <v>5.1052301105946173E-3</v>
      </c>
      <c r="R1274" s="5" t="s">
        <v>4</v>
      </c>
      <c r="S1274" s="100">
        <f ca="1">_xll.meDateFromTenor(S1273,"1D","FOLLOWING",T$12)</f>
        <v>44313</v>
      </c>
      <c r="T1274" s="13">
        <f ca="1">_xll.meDateFromTenor(S1274,T$14,T$11,T$12)</f>
        <v>44678</v>
      </c>
      <c r="U1274" s="98">
        <f ca="1"/>
        <v>7.1347357587365923E-3</v>
      </c>
      <c r="V1274" s="5" t="s">
        <v>4</v>
      </c>
      <c r="W1274" s="84" t="s">
        <v>4</v>
      </c>
    </row>
    <row r="1275" spans="1:23" x14ac:dyDescent="0.25">
      <c r="A1275" s="90">
        <v>1256</v>
      </c>
      <c r="B1275" s="83"/>
      <c r="C1275" s="100">
        <f ca="1">_xll.meDateFromTenor(C1274,"1D","FOLLOWING",D$12)</f>
        <v>44314</v>
      </c>
      <c r="D1275" s="13">
        <f ca="1">_xll.meDateFromTenor(C1275,D$14,D$11,D$12)</f>
        <v>44315</v>
      </c>
      <c r="E1275" s="98">
        <f ca="1"/>
        <v>1.0935147178157646E-3</v>
      </c>
      <c r="F1275" s="94"/>
      <c r="G1275" s="100">
        <f ca="1">_xll.meDateFromTenor(G1274,"1D","FOLLOWING",H$12)</f>
        <v>44314</v>
      </c>
      <c r="H1275" s="13">
        <f ca="1">_xll.meDateFromTenor(G1275,H$14,H$11,H$12)</f>
        <v>44344</v>
      </c>
      <c r="I1275" s="98">
        <f ca="1"/>
        <v>2.1235397676294884E-3</v>
      </c>
      <c r="J1275" s="94" t="s">
        <v>4</v>
      </c>
      <c r="K1275" s="100">
        <f ca="1">_xll.meDateFromTenor(K1274,"1D","FOLLOWING",L$12)</f>
        <v>44314</v>
      </c>
      <c r="L1275" s="13">
        <f ca="1">_xll.meDateFromTenor(K1275,L$14,L$11,L$12)</f>
        <v>44405</v>
      </c>
      <c r="M1275" s="98">
        <f ca="1"/>
        <v>3.3223447533883817E-3</v>
      </c>
      <c r="N1275" s="5" t="s">
        <v>4</v>
      </c>
      <c r="O1275" s="100">
        <f ca="1">_xll.meDateFromTenor(O1274,"1D","FOLLOWING",P$12)</f>
        <v>44314</v>
      </c>
      <c r="P1275" s="13">
        <f ca="1">_xll.meDateFromTenor(O1275,P$14,P$11,P$12)</f>
        <v>44497</v>
      </c>
      <c r="Q1275" s="98">
        <f ca="1"/>
        <v>5.1125526752638798E-3</v>
      </c>
      <c r="R1275" s="5" t="s">
        <v>4</v>
      </c>
      <c r="S1275" s="100">
        <f ca="1">_xll.meDateFromTenor(S1274,"1D","FOLLOWING",T$12)</f>
        <v>44314</v>
      </c>
      <c r="T1275" s="13">
        <f ca="1">_xll.meDateFromTenor(S1275,T$14,T$11,T$12)</f>
        <v>44679</v>
      </c>
      <c r="U1275" s="98">
        <f ca="1"/>
        <v>7.1420598951483227E-3</v>
      </c>
      <c r="V1275" s="5" t="s">
        <v>4</v>
      </c>
      <c r="W1275" s="84" t="s">
        <v>4</v>
      </c>
    </row>
    <row r="1276" spans="1:23" x14ac:dyDescent="0.25">
      <c r="A1276" s="90">
        <v>1257</v>
      </c>
      <c r="B1276" s="83"/>
      <c r="C1276" s="100">
        <f ca="1">_xll.meDateFromTenor(C1275,"1D","FOLLOWING",D$12)</f>
        <v>44315</v>
      </c>
      <c r="D1276" s="13">
        <f ca="1">_xll.meDateFromTenor(C1276,D$14,D$11,D$12)</f>
        <v>44316</v>
      </c>
      <c r="E1276" s="98">
        <f ca="1"/>
        <v>1.1014331026439473E-3</v>
      </c>
      <c r="F1276" s="94"/>
      <c r="G1276" s="100">
        <f ca="1">_xll.meDateFromTenor(G1275,"1D","FOLLOWING",H$12)</f>
        <v>44315</v>
      </c>
      <c r="H1276" s="13">
        <f ca="1">_xll.meDateFromTenor(G1276,H$14,H$11,H$12)</f>
        <v>44347</v>
      </c>
      <c r="I1276" s="98">
        <f ca="1"/>
        <v>2.1315814422631983E-3</v>
      </c>
      <c r="J1276" s="94" t="s">
        <v>4</v>
      </c>
      <c r="K1276" s="100">
        <f ca="1">_xll.meDateFromTenor(K1275,"1D","FOLLOWING",L$12)</f>
        <v>44315</v>
      </c>
      <c r="L1276" s="13">
        <f ca="1">_xll.meDateFromTenor(K1276,L$14,L$11,L$12)</f>
        <v>44406</v>
      </c>
      <c r="M1276" s="98">
        <f ca="1"/>
        <v>3.3299291217095111E-3</v>
      </c>
      <c r="N1276" s="5" t="s">
        <v>4</v>
      </c>
      <c r="O1276" s="100">
        <f ca="1">_xll.meDateFromTenor(O1275,"1D","FOLLOWING",P$12)</f>
        <v>44315</v>
      </c>
      <c r="P1276" s="13">
        <f ca="1">_xll.meDateFromTenor(O1276,P$14,P$11,P$12)</f>
        <v>44498</v>
      </c>
      <c r="Q1276" s="98">
        <f ca="1"/>
        <v>5.1198779365221924E-3</v>
      </c>
      <c r="R1276" s="5" t="s">
        <v>4</v>
      </c>
      <c r="S1276" s="100">
        <f ca="1">_xll.meDateFromTenor(S1275,"1D","FOLLOWING",T$12)</f>
        <v>44315</v>
      </c>
      <c r="T1276" s="13">
        <f ca="1">_xll.meDateFromTenor(S1276,T$14,T$11,T$12)</f>
        <v>44680</v>
      </c>
      <c r="U1276" s="98">
        <f ca="1"/>
        <v>7.1493844252771303E-3</v>
      </c>
      <c r="V1276" s="5" t="s">
        <v>4</v>
      </c>
      <c r="W1276" s="84" t="s">
        <v>4</v>
      </c>
    </row>
    <row r="1277" spans="1:23" x14ac:dyDescent="0.25">
      <c r="A1277" s="90">
        <v>1258</v>
      </c>
      <c r="B1277" s="83"/>
      <c r="C1277" s="100">
        <f ca="1">_xll.meDateFromTenor(C1276,"1D","FOLLOWING",D$12)</f>
        <v>44316</v>
      </c>
      <c r="D1277" s="13">
        <f ca="1">_xll.meDateFromTenor(C1277,D$14,D$11,D$12)</f>
        <v>44319</v>
      </c>
      <c r="E1277" s="98">
        <f ca="1"/>
        <v>1.1174667503332514E-3</v>
      </c>
      <c r="F1277" s="94"/>
      <c r="G1277" s="100">
        <f ca="1">_xll.meDateFromTenor(G1276,"1D","FOLLOWING",H$12)</f>
        <v>44316</v>
      </c>
      <c r="H1277" s="13">
        <f ca="1">_xll.meDateFromTenor(G1277,H$14,H$11,H$12)</f>
        <v>44347</v>
      </c>
      <c r="I1277" s="98">
        <f ca="1"/>
        <v>2.1395953979199329E-3</v>
      </c>
      <c r="J1277" s="94" t="s">
        <v>4</v>
      </c>
      <c r="K1277" s="100">
        <f ca="1">_xll.meDateFromTenor(K1276,"1D","FOLLOWING",L$12)</f>
        <v>44316</v>
      </c>
      <c r="L1277" s="13">
        <f ca="1">_xll.meDateFromTenor(K1277,L$14,L$11,L$12)</f>
        <v>44407</v>
      </c>
      <c r="M1277" s="98">
        <f ca="1"/>
        <v>3.3375155149298662E-3</v>
      </c>
      <c r="N1277" s="5" t="s">
        <v>4</v>
      </c>
      <c r="O1277" s="100">
        <f ca="1">_xll.meDateFromTenor(O1276,"1D","FOLLOWING",P$12)</f>
        <v>44316</v>
      </c>
      <c r="P1277" s="13">
        <f ca="1">_xll.meDateFromTenor(O1277,P$14,P$11,P$12)</f>
        <v>44498</v>
      </c>
      <c r="Q1277" s="98">
        <f ca="1"/>
        <v>5.1272058885749802E-3</v>
      </c>
      <c r="R1277" s="5" t="s">
        <v>4</v>
      </c>
      <c r="S1277" s="100">
        <f ca="1">_xll.meDateFromTenor(S1276,"1D","FOLLOWING",T$12)</f>
        <v>44316</v>
      </c>
      <c r="T1277" s="13">
        <f ca="1">_xll.meDateFromTenor(S1277,T$14,T$11,T$12)</f>
        <v>44680</v>
      </c>
      <c r="U1277" s="98">
        <f ca="1"/>
        <v>7.1567093320912102E-3</v>
      </c>
      <c r="V1277" s="5" t="s">
        <v>4</v>
      </c>
      <c r="W1277" s="84" t="s">
        <v>4</v>
      </c>
    </row>
    <row r="1278" spans="1:23" x14ac:dyDescent="0.25">
      <c r="A1278" s="90">
        <v>1259</v>
      </c>
      <c r="B1278" s="83"/>
      <c r="C1278" s="100">
        <f ca="1">_xll.meDateFromTenor(C1277,"1D","FOLLOWING",D$12)</f>
        <v>44319</v>
      </c>
      <c r="D1278" s="13">
        <f ca="1">_xll.meDateFromTenor(C1278,D$14,D$11,D$12)</f>
        <v>44320</v>
      </c>
      <c r="E1278" s="98">
        <f ca="1"/>
        <v>1.1336868765356631E-3</v>
      </c>
      <c r="F1278" s="94"/>
      <c r="G1278" s="100">
        <f ca="1">_xll.meDateFromTenor(G1277,"1D","FOLLOWING",H$12)</f>
        <v>44319</v>
      </c>
      <c r="H1278" s="13">
        <f ca="1">_xll.meDateFromTenor(G1278,H$14,H$11,H$12)</f>
        <v>44350</v>
      </c>
      <c r="I1278" s="98">
        <f ca="1"/>
        <v>2.1634101007847778E-3</v>
      </c>
      <c r="J1278" s="94" t="s">
        <v>4</v>
      </c>
      <c r="K1278" s="100">
        <f ca="1">_xll.meDateFromTenor(K1277,"1D","FOLLOWING",L$12)</f>
        <v>44319</v>
      </c>
      <c r="L1278" s="13">
        <f ca="1">_xll.meDateFromTenor(K1278,L$14,L$11,L$12)</f>
        <v>44411</v>
      </c>
      <c r="M1278" s="98">
        <f ca="1"/>
        <v>3.3602870675061339E-3</v>
      </c>
      <c r="N1278" s="5" t="s">
        <v>4</v>
      </c>
      <c r="O1278" s="100">
        <f ca="1">_xll.meDateFromTenor(O1277,"1D","FOLLOWING",P$12)</f>
        <v>44319</v>
      </c>
      <c r="P1278" s="13">
        <f ca="1">_xll.meDateFromTenor(O1278,P$14,P$11,P$12)</f>
        <v>44503</v>
      </c>
      <c r="Q1278" s="98">
        <f ca="1"/>
        <v>5.1492058315544438E-3</v>
      </c>
      <c r="R1278" s="5" t="s">
        <v>4</v>
      </c>
      <c r="S1278" s="100">
        <f ca="1">_xll.meDateFromTenor(S1277,"1D","FOLLOWING",T$12)</f>
        <v>44319</v>
      </c>
      <c r="T1278" s="13">
        <f ca="1">_xll.meDateFromTenor(S1278,T$14,T$11,T$12)</f>
        <v>44684</v>
      </c>
      <c r="U1278" s="98">
        <f ca="1"/>
        <v>7.1786861423270426E-3</v>
      </c>
      <c r="V1278" s="5" t="s">
        <v>4</v>
      </c>
      <c r="W1278" s="84" t="s">
        <v>4</v>
      </c>
    </row>
    <row r="1279" spans="1:23" x14ac:dyDescent="0.25">
      <c r="A1279" s="90">
        <v>1260</v>
      </c>
      <c r="B1279" s="83"/>
      <c r="C1279" s="100">
        <f ca="1">_xll.meDateFromTenor(C1278,"1D","FOLLOWING",D$12)</f>
        <v>44320</v>
      </c>
      <c r="D1279" s="13">
        <f ca="1">_xll.meDateFromTenor(C1279,D$14,D$11,D$12)</f>
        <v>44321</v>
      </c>
      <c r="E1279" s="98">
        <f ca="1"/>
        <v>1.1418953849682714E-3</v>
      </c>
      <c r="F1279" s="94"/>
      <c r="G1279" s="100">
        <f ca="1">_xll.meDateFromTenor(G1278,"1D","FOLLOWING",H$12)</f>
        <v>44320</v>
      </c>
      <c r="H1279" s="13">
        <f ca="1">_xll.meDateFromTenor(G1279,H$14,H$11,H$12)</f>
        <v>44351</v>
      </c>
      <c r="I1279" s="98">
        <f ca="1"/>
        <v>2.1712537730565239E-3</v>
      </c>
      <c r="J1279" s="94" t="s">
        <v>4</v>
      </c>
      <c r="K1279" s="100">
        <f ca="1">_xll.meDateFromTenor(K1278,"1D","FOLLOWING",L$12)</f>
        <v>44320</v>
      </c>
      <c r="L1279" s="13">
        <f ca="1">_xll.meDateFromTenor(K1279,L$14,L$11,L$12)</f>
        <v>44412</v>
      </c>
      <c r="M1279" s="98">
        <f ca="1"/>
        <v>3.3678817838432387E-3</v>
      </c>
      <c r="N1279" s="5" t="s">
        <v>4</v>
      </c>
      <c r="O1279" s="100">
        <f ca="1">_xll.meDateFromTenor(O1278,"1D","FOLLOWING",P$12)</f>
        <v>44320</v>
      </c>
      <c r="P1279" s="13">
        <f ca="1">_xll.meDateFromTenor(O1279,P$14,P$11,P$12)</f>
        <v>44504</v>
      </c>
      <c r="Q1279" s="98">
        <f ca="1"/>
        <v>5.1565444888393803E-3</v>
      </c>
      <c r="R1279" s="5" t="s">
        <v>4</v>
      </c>
      <c r="S1279" s="100">
        <f ca="1">_xll.meDateFromTenor(S1278,"1D","FOLLOWING",T$12)</f>
        <v>44320</v>
      </c>
      <c r="T1279" s="13">
        <f ca="1">_xll.meDateFromTenor(S1279,T$14,T$11,T$12)</f>
        <v>44685</v>
      </c>
      <c r="U1279" s="98">
        <f ca="1"/>
        <v>7.1860123855641694E-3</v>
      </c>
      <c r="V1279" s="5" t="s">
        <v>4</v>
      </c>
      <c r="W1279" s="84" t="s">
        <v>4</v>
      </c>
    </row>
    <row r="1280" spans="1:23" x14ac:dyDescent="0.25">
      <c r="A1280" s="90">
        <v>1261</v>
      </c>
      <c r="B1280" s="83"/>
      <c r="C1280" s="100">
        <f ca="1">_xll.meDateFromTenor(C1279,"1D","FOLLOWING",D$12)</f>
        <v>44321</v>
      </c>
      <c r="D1280" s="13">
        <f ca="1">_xll.meDateFromTenor(C1280,D$14,D$11,D$12)</f>
        <v>44322</v>
      </c>
      <c r="E1280" s="98">
        <f ca="1"/>
        <v>1.1501619221030857E-3</v>
      </c>
      <c r="F1280" s="94"/>
      <c r="G1280" s="100">
        <f ca="1">_xll.meDateFromTenor(G1279,"1D","FOLLOWING",H$12)</f>
        <v>44321</v>
      </c>
      <c r="H1280" s="13">
        <f ca="1">_xll.meDateFromTenor(G1280,H$14,H$11,H$12)</f>
        <v>44354</v>
      </c>
      <c r="I1280" s="98">
        <f ca="1"/>
        <v>2.179047957828062E-3</v>
      </c>
      <c r="J1280" s="94" t="s">
        <v>4</v>
      </c>
      <c r="K1280" s="100">
        <f ca="1">_xll.meDateFromTenor(K1279,"1D","FOLLOWING",L$12)</f>
        <v>44321</v>
      </c>
      <c r="L1280" s="13">
        <f ca="1">_xll.meDateFromTenor(K1280,L$14,L$11,L$12)</f>
        <v>44413</v>
      </c>
      <c r="M1280" s="98">
        <f ca="1"/>
        <v>3.3754786368394912E-3</v>
      </c>
      <c r="N1280" s="5" t="s">
        <v>4</v>
      </c>
      <c r="O1280" s="100">
        <f ca="1">_xll.meDateFromTenor(O1279,"1D","FOLLOWING",P$12)</f>
        <v>44321</v>
      </c>
      <c r="P1280" s="13">
        <f ca="1">_xll.meDateFromTenor(O1280,P$14,P$11,P$12)</f>
        <v>44505</v>
      </c>
      <c r="Q1280" s="98">
        <f ca="1"/>
        <v>5.1638858079459124E-3</v>
      </c>
      <c r="R1280" s="5" t="s">
        <v>4</v>
      </c>
      <c r="S1280" s="100">
        <f ca="1">_xll.meDateFromTenor(S1279,"1D","FOLLOWING",T$12)</f>
        <v>44321</v>
      </c>
      <c r="T1280" s="13">
        <f ca="1">_xll.meDateFromTenor(S1280,T$14,T$11,T$12)</f>
        <v>44686</v>
      </c>
      <c r="U1280" s="98">
        <f ca="1"/>
        <v>7.1933389203275439E-3</v>
      </c>
      <c r="V1280" s="5" t="s">
        <v>4</v>
      </c>
      <c r="W1280" s="84" t="s">
        <v>4</v>
      </c>
    </row>
    <row r="1281" spans="1:23" x14ac:dyDescent="0.25">
      <c r="A1281" s="90">
        <v>1262</v>
      </c>
      <c r="B1281" s="83"/>
      <c r="C1281" s="100">
        <f ca="1">_xll.meDateFromTenor(C1280,"1D","FOLLOWING",D$12)</f>
        <v>44322</v>
      </c>
      <c r="D1281" s="13">
        <f ca="1">_xll.meDateFromTenor(C1281,D$14,D$11,D$12)</f>
        <v>44323</v>
      </c>
      <c r="E1281" s="98">
        <f ca="1"/>
        <v>1.1584864890592189E-3</v>
      </c>
      <c r="F1281" s="94"/>
      <c r="G1281" s="100">
        <f ca="1">_xll.meDateFromTenor(G1280,"1D","FOLLOWING",H$12)</f>
        <v>44322</v>
      </c>
      <c r="H1281" s="13">
        <f ca="1">_xll.meDateFromTenor(G1281,H$14,H$11,H$12)</f>
        <v>44354</v>
      </c>
      <c r="I1281" s="98">
        <f ca="1"/>
        <v>2.1867952266735715E-3</v>
      </c>
      <c r="J1281" s="94" t="s">
        <v>4</v>
      </c>
      <c r="K1281" s="100">
        <f ca="1">_xll.meDateFromTenor(K1280,"1D","FOLLOWING",L$12)</f>
        <v>44322</v>
      </c>
      <c r="L1281" s="13">
        <f ca="1">_xll.meDateFromTenor(K1281,L$14,L$11,L$12)</f>
        <v>44414</v>
      </c>
      <c r="M1281" s="98">
        <f ca="1"/>
        <v>3.3830776488468798E-3</v>
      </c>
      <c r="N1281" s="5" t="s">
        <v>4</v>
      </c>
      <c r="O1281" s="100">
        <f ca="1">_xll.meDateFromTenor(O1280,"1D","FOLLOWING",P$12)</f>
        <v>44322</v>
      </c>
      <c r="P1281" s="13">
        <f ca="1">_xll.meDateFromTenor(O1281,P$14,P$11,P$12)</f>
        <v>44508</v>
      </c>
      <c r="Q1281" s="98">
        <f ca="1"/>
        <v>5.1712297830794696E-3</v>
      </c>
      <c r="R1281" s="5" t="s">
        <v>4</v>
      </c>
      <c r="S1281" s="100">
        <f ca="1">_xll.meDateFromTenor(S1280,"1D","FOLLOWING",T$12)</f>
        <v>44322</v>
      </c>
      <c r="T1281" s="13">
        <f ca="1">_xll.meDateFromTenor(S1281,T$14,T$11,T$12)</f>
        <v>44687</v>
      </c>
      <c r="U1281" s="98">
        <f ca="1"/>
        <v>7.2006657295853663E-3</v>
      </c>
      <c r="V1281" s="5" t="s">
        <v>4</v>
      </c>
      <c r="W1281" s="84" t="s">
        <v>4</v>
      </c>
    </row>
    <row r="1282" spans="1:23" x14ac:dyDescent="0.25">
      <c r="A1282" s="90">
        <v>1263</v>
      </c>
      <c r="B1282" s="83"/>
      <c r="C1282" s="100">
        <f ca="1">_xll.meDateFromTenor(C1281,"1D","FOLLOWING",D$12)</f>
        <v>44323</v>
      </c>
      <c r="D1282" s="13">
        <f ca="1">_xll.meDateFromTenor(C1282,D$14,D$11,D$12)</f>
        <v>44326</v>
      </c>
      <c r="E1282" s="98">
        <f ca="1"/>
        <v>1.1753328998053672E-3</v>
      </c>
      <c r="F1282" s="94"/>
      <c r="G1282" s="100">
        <f ca="1">_xll.meDateFromTenor(G1281,"1D","FOLLOWING",H$12)</f>
        <v>44323</v>
      </c>
      <c r="H1282" s="13">
        <f ca="1">_xll.meDateFromTenor(G1282,H$14,H$11,H$12)</f>
        <v>44354</v>
      </c>
      <c r="I1282" s="98">
        <f ca="1"/>
        <v>2.194498151167222E-3</v>
      </c>
      <c r="J1282" s="94" t="s">
        <v>4</v>
      </c>
      <c r="K1282" s="100">
        <f ca="1">_xll.meDateFromTenor(K1281,"1D","FOLLOWING",L$12)</f>
        <v>44323</v>
      </c>
      <c r="L1282" s="13">
        <f ca="1">_xll.meDateFromTenor(K1282,L$14,L$11,L$12)</f>
        <v>44417</v>
      </c>
      <c r="M1282" s="98">
        <f ca="1"/>
        <v>3.3906788422173877E-3</v>
      </c>
      <c r="N1282" s="5" t="s">
        <v>4</v>
      </c>
      <c r="O1282" s="100">
        <f ca="1">_xll.meDateFromTenor(O1281,"1D","FOLLOWING",P$12)</f>
        <v>44323</v>
      </c>
      <c r="P1282" s="13">
        <f ca="1">_xll.meDateFromTenor(O1282,P$14,P$11,P$12)</f>
        <v>44508</v>
      </c>
      <c r="Q1282" s="98">
        <f ca="1"/>
        <v>5.1785764084454761E-3</v>
      </c>
      <c r="R1282" s="5" t="s">
        <v>4</v>
      </c>
      <c r="S1282" s="100">
        <f ca="1">_xll.meDateFromTenor(S1281,"1D","FOLLOWING",T$12)</f>
        <v>44323</v>
      </c>
      <c r="T1282" s="13">
        <f ca="1">_xll.meDateFromTenor(S1282,T$14,T$11,T$12)</f>
        <v>44690</v>
      </c>
      <c r="U1282" s="98">
        <f ca="1"/>
        <v>7.207992796305831E-3</v>
      </c>
      <c r="V1282" s="5" t="s">
        <v>4</v>
      </c>
      <c r="W1282" s="84" t="s">
        <v>4</v>
      </c>
    </row>
    <row r="1283" spans="1:23" x14ac:dyDescent="0.25">
      <c r="A1283" s="90">
        <v>1264</v>
      </c>
      <c r="B1283" s="83"/>
      <c r="C1283" s="100">
        <f ca="1">_xll.meDateFromTenor(C1282,"1D","FOLLOWING",D$12)</f>
        <v>44326</v>
      </c>
      <c r="D1283" s="13">
        <f ca="1">_xll.meDateFromTenor(C1283,D$14,D$11,D$12)</f>
        <v>44327</v>
      </c>
      <c r="E1283" s="98">
        <f ca="1"/>
        <v>1.1923650825897698E-3</v>
      </c>
      <c r="F1283" s="94"/>
      <c r="G1283" s="100">
        <f ca="1">_xll.meDateFromTenor(G1282,"1D","FOLLOWING",H$12)</f>
        <v>44326</v>
      </c>
      <c r="H1283" s="13">
        <f ca="1">_xll.meDateFromTenor(G1283,H$14,H$11,H$12)</f>
        <v>44357</v>
      </c>
      <c r="I1283" s="98">
        <f ca="1"/>
        <v>2.2173665742787566E-3</v>
      </c>
      <c r="J1283" s="94" t="s">
        <v>4</v>
      </c>
      <c r="K1283" s="100">
        <f ca="1">_xll.meDateFromTenor(K1282,"1D","FOLLOWING",L$12)</f>
        <v>44326</v>
      </c>
      <c r="L1283" s="13">
        <f ca="1">_xll.meDateFromTenor(K1283,L$14,L$11,L$12)</f>
        <v>44418</v>
      </c>
      <c r="M1283" s="98">
        <f ca="1"/>
        <v>3.4134957340274702E-3</v>
      </c>
      <c r="N1283" s="5" t="s">
        <v>4</v>
      </c>
      <c r="O1283" s="100">
        <f ca="1">_xll.meDateFromTenor(O1282,"1D","FOLLOWING",P$12)</f>
        <v>44326</v>
      </c>
      <c r="P1283" s="13">
        <f ca="1">_xll.meDateFromTenor(O1283,P$14,P$11,P$12)</f>
        <v>44510</v>
      </c>
      <c r="Q1283" s="98">
        <f ca="1"/>
        <v>5.2006321279924285E-3</v>
      </c>
      <c r="R1283" s="5" t="s">
        <v>4</v>
      </c>
      <c r="S1283" s="100">
        <f ca="1">_xll.meDateFromTenor(S1282,"1D","FOLLOWING",T$12)</f>
        <v>44326</v>
      </c>
      <c r="T1283" s="13">
        <f ca="1">_xll.meDateFromTenor(S1283,T$14,T$11,T$12)</f>
        <v>44691</v>
      </c>
      <c r="U1283" s="98">
        <f ca="1"/>
        <v>7.229975370925029E-3</v>
      </c>
      <c r="V1283" s="5" t="s">
        <v>4</v>
      </c>
      <c r="W1283" s="84" t="s">
        <v>4</v>
      </c>
    </row>
    <row r="1284" spans="1:23" x14ac:dyDescent="0.25">
      <c r="A1284" s="90">
        <v>1265</v>
      </c>
      <c r="B1284" s="83"/>
      <c r="C1284" s="100">
        <f ca="1">_xll.meDateFromTenor(C1283,"1D","FOLLOWING",D$12)</f>
        <v>44327</v>
      </c>
      <c r="D1284" s="13">
        <f ca="1">_xll.meDateFromTenor(C1284,D$14,D$11,D$12)</f>
        <v>44328</v>
      </c>
      <c r="E1284" s="98">
        <f ca="1"/>
        <v>1.2009798192733965E-3</v>
      </c>
      <c r="F1284" s="94"/>
      <c r="G1284" s="100">
        <f ca="1">_xll.meDateFromTenor(G1283,"1D","FOLLOWING",H$12)</f>
        <v>44327</v>
      </c>
      <c r="H1284" s="13">
        <f ca="1">_xll.meDateFromTenor(G1284,H$14,H$11,H$12)</f>
        <v>44358</v>
      </c>
      <c r="I1284" s="98">
        <f ca="1"/>
        <v>2.2249178371067072E-3</v>
      </c>
      <c r="J1284" s="94" t="s">
        <v>4</v>
      </c>
      <c r="K1284" s="100">
        <f ca="1">_xll.meDateFromTenor(K1283,"1D","FOLLOWING",L$12)</f>
        <v>44327</v>
      </c>
      <c r="L1284" s="13">
        <f ca="1">_xll.meDateFromTenor(K1284,L$14,L$11,L$12)</f>
        <v>44419</v>
      </c>
      <c r="M1284" s="98">
        <f ca="1"/>
        <v>3.4211058763702995E-3</v>
      </c>
      <c r="N1284" s="5" t="s">
        <v>4</v>
      </c>
      <c r="O1284" s="100">
        <f ca="1">_xll.meDateFromTenor(O1283,"1D","FOLLOWING",P$12)</f>
        <v>44327</v>
      </c>
      <c r="P1284" s="13">
        <f ca="1">_xll.meDateFromTenor(O1284,P$14,P$11,P$12)</f>
        <v>44511</v>
      </c>
      <c r="Q1284" s="98">
        <f ca="1"/>
        <v>5.2079892963424728E-3</v>
      </c>
      <c r="R1284" s="5" t="s">
        <v>4</v>
      </c>
      <c r="S1284" s="100">
        <f ca="1">_xll.meDateFromTenor(S1283,"1D","FOLLOWING",T$12)</f>
        <v>44327</v>
      </c>
      <c r="T1284" s="13">
        <f ca="1">_xll.meDateFromTenor(S1284,T$14,T$11,T$12)</f>
        <v>44692</v>
      </c>
      <c r="U1284" s="98">
        <f ca="1"/>
        <v>7.2373032971780145E-3</v>
      </c>
      <c r="V1284" s="5" t="s">
        <v>4</v>
      </c>
      <c r="W1284" s="84" t="s">
        <v>4</v>
      </c>
    </row>
    <row r="1285" spans="1:23" x14ac:dyDescent="0.25">
      <c r="A1285" s="90">
        <v>1266</v>
      </c>
      <c r="B1285" s="83"/>
      <c r="C1285" s="100">
        <f ca="1">_xll.meDateFromTenor(C1284,"1D","FOLLOWING",D$12)</f>
        <v>44328</v>
      </c>
      <c r="D1285" s="13">
        <f ca="1">_xll.meDateFromTenor(C1285,D$14,D$11,D$12)</f>
        <v>44329</v>
      </c>
      <c r="E1285" s="98">
        <f ca="1"/>
        <v>1.2096525937723458E-3</v>
      </c>
      <c r="F1285" s="94"/>
      <c r="G1285" s="100">
        <f ca="1">_xll.meDateFromTenor(G1284,"1D","FOLLOWING",H$12)</f>
        <v>44328</v>
      </c>
      <c r="H1285" s="13">
        <f ca="1">_xll.meDateFromTenor(G1285,H$14,H$11,H$12)</f>
        <v>44361</v>
      </c>
      <c r="I1285" s="98">
        <f ca="1"/>
        <v>2.2324376134536662E-3</v>
      </c>
      <c r="J1285" s="94" t="s">
        <v>4</v>
      </c>
      <c r="K1285" s="100">
        <f ca="1">_xll.meDateFromTenor(K1284,"1D","FOLLOWING",L$12)</f>
        <v>44328</v>
      </c>
      <c r="L1285" s="13">
        <f ca="1">_xll.meDateFromTenor(K1285,L$14,L$11,L$12)</f>
        <v>44420</v>
      </c>
      <c r="M1285" s="98">
        <f ca="1"/>
        <v>3.4287183118361718E-3</v>
      </c>
      <c r="N1285" s="5" t="s">
        <v>4</v>
      </c>
      <c r="O1285" s="100">
        <f ca="1">_xll.meDateFromTenor(O1284,"1D","FOLLOWING",P$12)</f>
        <v>44328</v>
      </c>
      <c r="P1285" s="13">
        <f ca="1">_xll.meDateFromTenor(O1285,P$14,P$11,P$12)</f>
        <v>44512</v>
      </c>
      <c r="Q1285" s="98">
        <f ca="1"/>
        <v>5.2153490859520894E-3</v>
      </c>
      <c r="R1285" s="5" t="s">
        <v>4</v>
      </c>
      <c r="S1285" s="100">
        <f ca="1">_xll.meDateFromTenor(S1284,"1D","FOLLOWING",T$12)</f>
        <v>44328</v>
      </c>
      <c r="T1285" s="13">
        <f ca="1">_xll.meDateFromTenor(S1285,T$14,T$11,T$12)</f>
        <v>44693</v>
      </c>
      <c r="U1285" s="98">
        <f ca="1"/>
        <v>7.2446313957346192E-3</v>
      </c>
      <c r="V1285" s="5" t="s">
        <v>4</v>
      </c>
      <c r="W1285" s="84" t="s">
        <v>4</v>
      </c>
    </row>
    <row r="1286" spans="1:23" x14ac:dyDescent="0.25">
      <c r="A1286" s="90">
        <v>1267</v>
      </c>
      <c r="B1286" s="83"/>
      <c r="C1286" s="100">
        <f ca="1">_xll.meDateFromTenor(C1285,"1D","FOLLOWING",D$12)</f>
        <v>44329</v>
      </c>
      <c r="D1286" s="13">
        <f ca="1">_xll.meDateFromTenor(C1286,D$14,D$11,D$12)</f>
        <v>44330</v>
      </c>
      <c r="E1286" s="98">
        <f ca="1"/>
        <v>1.2183834080834771E-3</v>
      </c>
      <c r="F1286" s="94"/>
      <c r="G1286" s="100">
        <f ca="1">_xll.meDateFromTenor(G1285,"1D","FOLLOWING",H$12)</f>
        <v>44329</v>
      </c>
      <c r="H1286" s="13">
        <f ca="1">_xll.meDateFromTenor(G1286,H$14,H$11,H$12)</f>
        <v>44361</v>
      </c>
      <c r="I1286" s="98">
        <f ca="1"/>
        <v>2.239928474893807E-3</v>
      </c>
      <c r="J1286" s="94" t="s">
        <v>4</v>
      </c>
      <c r="K1286" s="100">
        <f ca="1">_xll.meDateFromTenor(K1285,"1D","FOLLOWING",L$12)</f>
        <v>44329</v>
      </c>
      <c r="L1286" s="13">
        <f ca="1">_xll.meDateFromTenor(K1286,L$14,L$11,L$12)</f>
        <v>44421</v>
      </c>
      <c r="M1286" s="98">
        <f ca="1"/>
        <v>3.4363330627770711E-3</v>
      </c>
      <c r="N1286" s="5" t="s">
        <v>4</v>
      </c>
      <c r="O1286" s="100">
        <f ca="1">_xll.meDateFromTenor(O1285,"1D","FOLLOWING",P$12)</f>
        <v>44329</v>
      </c>
      <c r="P1286" s="13">
        <f ca="1">_xll.meDateFromTenor(O1286,P$14,P$11,P$12)</f>
        <v>44515</v>
      </c>
      <c r="Q1286" s="98">
        <f ca="1"/>
        <v>5.2227114910267016E-3</v>
      </c>
      <c r="R1286" s="5" t="s">
        <v>4</v>
      </c>
      <c r="S1286" s="100">
        <f ca="1">_xll.meDateFromTenor(S1285,"1D","FOLLOWING",T$12)</f>
        <v>44329</v>
      </c>
      <c r="T1286" s="13">
        <f ca="1">_xll.meDateFromTenor(S1286,T$14,T$11,T$12)</f>
        <v>44694</v>
      </c>
      <c r="U1286" s="98">
        <f ca="1"/>
        <v>7.2519596495630384E-3</v>
      </c>
      <c r="V1286" s="5" t="s">
        <v>4</v>
      </c>
      <c r="W1286" s="84" t="s">
        <v>4</v>
      </c>
    </row>
    <row r="1287" spans="1:23" x14ac:dyDescent="0.25">
      <c r="A1287" s="90">
        <v>1268</v>
      </c>
      <c r="B1287" s="83"/>
      <c r="C1287" s="100">
        <f ca="1">_xll.meDateFromTenor(C1286,"1D","FOLLOWING",D$12)</f>
        <v>44330</v>
      </c>
      <c r="D1287" s="13">
        <f ca="1">_xll.meDateFromTenor(C1287,D$14,D$11,D$12)</f>
        <v>44333</v>
      </c>
      <c r="E1287" s="98">
        <f ca="1"/>
        <v>1.2360427520442122E-3</v>
      </c>
      <c r="F1287" s="94"/>
      <c r="G1287" s="100">
        <f ca="1">_xll.meDateFromTenor(G1286,"1D","FOLLOWING",H$12)</f>
        <v>44330</v>
      </c>
      <c r="H1287" s="13">
        <f ca="1">_xll.meDateFromTenor(G1287,H$14,H$11,H$12)</f>
        <v>44361</v>
      </c>
      <c r="I1287" s="98">
        <f ca="1"/>
        <v>2.2473929930013009E-3</v>
      </c>
      <c r="J1287" s="94" t="s">
        <v>4</v>
      </c>
      <c r="K1287" s="100">
        <f ca="1">_xll.meDateFromTenor(K1286,"1D","FOLLOWING",L$12)</f>
        <v>44330</v>
      </c>
      <c r="L1287" s="13">
        <f ca="1">_xll.meDateFromTenor(K1287,L$14,L$11,L$12)</f>
        <v>44424</v>
      </c>
      <c r="M1287" s="98">
        <f ca="1"/>
        <v>3.4439501515449787E-3</v>
      </c>
      <c r="N1287" s="5" t="s">
        <v>4</v>
      </c>
      <c r="O1287" s="100">
        <f ca="1">_xll.meDateFromTenor(O1286,"1D","FOLLOWING",P$12)</f>
        <v>44330</v>
      </c>
      <c r="P1287" s="13">
        <f ca="1">_xll.meDateFromTenor(O1287,P$14,P$11,P$12)</f>
        <v>44515</v>
      </c>
      <c r="Q1287" s="98">
        <f ca="1"/>
        <v>5.230076505771732E-3</v>
      </c>
      <c r="R1287" s="5" t="s">
        <v>4</v>
      </c>
      <c r="S1287" s="100">
        <f ca="1">_xll.meDateFromTenor(S1286,"1D","FOLLOWING",T$12)</f>
        <v>44330</v>
      </c>
      <c r="T1287" s="13">
        <f ca="1">_xll.meDateFromTenor(S1287,T$14,T$11,T$12)</f>
        <v>44697</v>
      </c>
      <c r="U1287" s="98">
        <f ca="1"/>
        <v>7.2592880416314665E-3</v>
      </c>
      <c r="V1287" s="5" t="s">
        <v>4</v>
      </c>
      <c r="W1287" s="84" t="s">
        <v>4</v>
      </c>
    </row>
    <row r="1288" spans="1:23" x14ac:dyDescent="0.25">
      <c r="A1288" s="90">
        <v>1269</v>
      </c>
      <c r="B1288" s="83"/>
      <c r="C1288" s="100">
        <f ca="1">_xll.meDateFromTenor(C1287,"1D","FOLLOWING",D$12)</f>
        <v>44333</v>
      </c>
      <c r="D1288" s="13">
        <f ca="1">_xll.meDateFromTenor(C1288,D$14,D$11,D$12)</f>
        <v>44334</v>
      </c>
      <c r="E1288" s="98">
        <f ca="1"/>
        <v>1.253887087759668E-3</v>
      </c>
      <c r="F1288" s="94"/>
      <c r="G1288" s="100">
        <f ca="1">_xll.meDateFromTenor(G1287,"1D","FOLLOWING",H$12)</f>
        <v>44333</v>
      </c>
      <c r="H1288" s="13">
        <f ca="1">_xll.meDateFromTenor(G1288,H$14,H$11,H$12)</f>
        <v>44364</v>
      </c>
      <c r="I1288" s="98">
        <f ca="1"/>
        <v>2.2696542030696551E-3</v>
      </c>
      <c r="J1288" s="94" t="s">
        <v>4</v>
      </c>
      <c r="K1288" s="100">
        <f ca="1">_xll.meDateFromTenor(K1287,"1D","FOLLOWING",L$12)</f>
        <v>44333</v>
      </c>
      <c r="L1288" s="13">
        <f ca="1">_xll.meDateFromTenor(K1288,L$14,L$11,L$12)</f>
        <v>44425</v>
      </c>
      <c r="M1288" s="98">
        <f ca="1"/>
        <v>3.4668156683306281E-3</v>
      </c>
      <c r="N1288" s="5" t="s">
        <v>4</v>
      </c>
      <c r="O1288" s="100">
        <f ca="1">_xll.meDateFromTenor(O1287,"1D","FOLLOWING",P$12)</f>
        <v>44333</v>
      </c>
      <c r="P1288" s="13">
        <f ca="1">_xll.meDateFromTenor(O1288,P$14,P$11,P$12)</f>
        <v>44517</v>
      </c>
      <c r="Q1288" s="98">
        <f ca="1"/>
        <v>5.2521871500836002E-3</v>
      </c>
      <c r="R1288" s="5" t="s">
        <v>4</v>
      </c>
      <c r="S1288" s="100">
        <f ca="1">_xll.meDateFromTenor(S1287,"1D","FOLLOWING",T$12)</f>
        <v>44333</v>
      </c>
      <c r="T1288" s="13">
        <f ca="1">_xll.meDateFromTenor(S1288,T$14,T$11,T$12)</f>
        <v>44698</v>
      </c>
      <c r="U1288" s="98">
        <f ca="1"/>
        <v>7.2812738769587734E-3</v>
      </c>
      <c r="V1288" s="5" t="s">
        <v>4</v>
      </c>
      <c r="W1288" s="84" t="s">
        <v>4</v>
      </c>
    </row>
    <row r="1289" spans="1:23" x14ac:dyDescent="0.25">
      <c r="A1289" s="90">
        <v>1270</v>
      </c>
      <c r="B1289" s="83"/>
      <c r="C1289" s="100">
        <f ca="1">_xll.meDateFromTenor(C1288,"1D","FOLLOWING",D$12)</f>
        <v>44334</v>
      </c>
      <c r="D1289" s="13">
        <f ca="1">_xll.meDateFromTenor(C1289,D$14,D$11,D$12)</f>
        <v>44335</v>
      </c>
      <c r="E1289" s="98">
        <f ca="1"/>
        <v>1.2629081207207026E-3</v>
      </c>
      <c r="F1289" s="94"/>
      <c r="G1289" s="100">
        <f ca="1">_xll.meDateFromTenor(G1288,"1D","FOLLOWING",H$12)</f>
        <v>44334</v>
      </c>
      <c r="H1289" s="13">
        <f ca="1">_xll.meDateFromTenor(G1289,H$14,H$11,H$12)</f>
        <v>44365</v>
      </c>
      <c r="I1289" s="98">
        <f ca="1"/>
        <v>2.2770390635883072E-3</v>
      </c>
      <c r="J1289" s="94" t="s">
        <v>4</v>
      </c>
      <c r="K1289" s="100">
        <f ca="1">_xll.meDateFromTenor(K1288,"1D","FOLLOWING",L$12)</f>
        <v>44334</v>
      </c>
      <c r="L1289" s="13">
        <f ca="1">_xll.meDateFromTenor(K1289,L$14,L$11,L$12)</f>
        <v>44426</v>
      </c>
      <c r="M1289" s="98">
        <f ca="1"/>
        <v>3.4744423319264324E-3</v>
      </c>
      <c r="N1289" s="5" t="s">
        <v>4</v>
      </c>
      <c r="O1289" s="100">
        <f ca="1">_xll.meDateFromTenor(O1288,"1D","FOLLOWING",P$12)</f>
        <v>44334</v>
      </c>
      <c r="P1289" s="13">
        <f ca="1">_xll.meDateFromTenor(O1289,P$14,P$11,P$12)</f>
        <v>44518</v>
      </c>
      <c r="Q1289" s="98">
        <f ca="1"/>
        <v>5.259562545564562E-3</v>
      </c>
      <c r="R1289" s="5" t="s">
        <v>4</v>
      </c>
      <c r="S1289" s="100">
        <f ca="1">_xll.meDateFromTenor(S1288,"1D","FOLLOWING",T$12)</f>
        <v>44334</v>
      </c>
      <c r="T1289" s="13">
        <f ca="1">_xll.meDateFromTenor(S1289,T$14,T$11,T$12)</f>
        <v>44699</v>
      </c>
      <c r="U1289" s="98">
        <f ca="1"/>
        <v>7.2886026516692012E-3</v>
      </c>
      <c r="V1289" s="5" t="s">
        <v>4</v>
      </c>
      <c r="W1289" s="84" t="s">
        <v>4</v>
      </c>
    </row>
    <row r="1290" spans="1:23" x14ac:dyDescent="0.25">
      <c r="A1290" s="90">
        <v>1271</v>
      </c>
      <c r="B1290" s="83"/>
      <c r="C1290" s="100">
        <f ca="1">_xll.meDateFromTenor(C1289,"1D","FOLLOWING",D$12)</f>
        <v>44335</v>
      </c>
      <c r="D1290" s="13">
        <f ca="1">_xll.meDateFromTenor(C1290,D$14,D$11,D$12)</f>
        <v>44336</v>
      </c>
      <c r="E1290" s="98">
        <f ca="1"/>
        <v>1.2719872020470434E-3</v>
      </c>
      <c r="F1290" s="94"/>
      <c r="G1290" s="100">
        <f ca="1">_xll.meDateFromTenor(G1289,"1D","FOLLOWING",H$12)</f>
        <v>44335</v>
      </c>
      <c r="H1290" s="13">
        <f ca="1">_xll.meDateFromTenor(G1290,H$14,H$11,H$12)</f>
        <v>44368</v>
      </c>
      <c r="I1290" s="98">
        <f ca="1"/>
        <v>2.2844104386451802E-3</v>
      </c>
      <c r="J1290" s="94" t="s">
        <v>4</v>
      </c>
      <c r="K1290" s="100">
        <f ca="1">_xll.meDateFromTenor(K1289,"1D","FOLLOWING",L$12)</f>
        <v>44335</v>
      </c>
      <c r="L1290" s="13">
        <f ca="1">_xll.meDateFromTenor(K1290,L$14,L$11,L$12)</f>
        <v>44427</v>
      </c>
      <c r="M1290" s="98">
        <f ca="1"/>
        <v>3.4820714451091724E-3</v>
      </c>
      <c r="N1290" s="5" t="s">
        <v>4</v>
      </c>
      <c r="O1290" s="100">
        <f ca="1">_xll.meDateFromTenor(O1289,"1D","FOLLOWING",P$12)</f>
        <v>44335</v>
      </c>
      <c r="P1290" s="13">
        <f ca="1">_xll.meDateFromTenor(O1290,P$14,P$11,P$12)</f>
        <v>44519</v>
      </c>
      <c r="Q1290" s="98">
        <f ca="1"/>
        <v>5.2669405217430675E-3</v>
      </c>
      <c r="R1290" s="5" t="s">
        <v>4</v>
      </c>
      <c r="S1290" s="100">
        <f ca="1">_xll.meDateFromTenor(S1289,"1D","FOLLOWING",T$12)</f>
        <v>44335</v>
      </c>
      <c r="T1290" s="13">
        <f ca="1">_xll.meDateFromTenor(S1290,T$14,T$11,T$12)</f>
        <v>44700</v>
      </c>
      <c r="U1290" s="98">
        <f ca="1"/>
        <v>7.2959314794606147E-3</v>
      </c>
      <c r="V1290" s="5" t="s">
        <v>4</v>
      </c>
      <c r="W1290" s="84" t="s">
        <v>4</v>
      </c>
    </row>
    <row r="1291" spans="1:23" x14ac:dyDescent="0.25">
      <c r="A1291" s="90">
        <v>1272</v>
      </c>
      <c r="B1291" s="83"/>
      <c r="C1291" s="100">
        <f ca="1">_xll.meDateFromTenor(C1290,"1D","FOLLOWING",D$12)</f>
        <v>44336</v>
      </c>
      <c r="D1291" s="13">
        <f ca="1">_xll.meDateFromTenor(C1291,D$14,D$11,D$12)</f>
        <v>44337</v>
      </c>
      <c r="E1291" s="98">
        <f ca="1"/>
        <v>1.2811243330192886E-3</v>
      </c>
      <c r="F1291" s="94"/>
      <c r="G1291" s="100">
        <f ca="1">_xll.meDateFromTenor(G1290,"1D","FOLLOWING",H$12)</f>
        <v>44336</v>
      </c>
      <c r="H1291" s="13">
        <f ca="1">_xll.meDateFromTenor(G1291,H$14,H$11,H$12)</f>
        <v>44368</v>
      </c>
      <c r="I1291" s="98">
        <f ca="1"/>
        <v>2.2917708998144498E-3</v>
      </c>
      <c r="J1291" s="94" t="s">
        <v>4</v>
      </c>
      <c r="K1291" s="100">
        <f ca="1">_xll.meDateFromTenor(K1290,"1D","FOLLOWING",L$12)</f>
        <v>44336</v>
      </c>
      <c r="L1291" s="13">
        <f ca="1">_xll.meDateFromTenor(K1291,L$14,L$11,L$12)</f>
        <v>44428</v>
      </c>
      <c r="M1291" s="98">
        <f ca="1"/>
        <v>3.4897030302308315E-3</v>
      </c>
      <c r="N1291" s="5" t="s">
        <v>4</v>
      </c>
      <c r="O1291" s="100">
        <f ca="1">_xll.meDateFromTenor(O1290,"1D","FOLLOWING",P$12)</f>
        <v>44336</v>
      </c>
      <c r="P1291" s="13">
        <f ca="1">_xll.meDateFromTenor(O1291,P$14,P$11,P$12)</f>
        <v>44522</v>
      </c>
      <c r="Q1291" s="98">
        <f ca="1"/>
        <v>5.2743210728245418E-3</v>
      </c>
      <c r="R1291" s="5" t="s">
        <v>4</v>
      </c>
      <c r="S1291" s="100">
        <f ca="1">_xll.meDateFromTenor(S1290,"1D","FOLLOWING",T$12)</f>
        <v>44336</v>
      </c>
      <c r="T1291" s="13">
        <f ca="1">_xll.meDateFromTenor(S1291,T$14,T$11,T$12)</f>
        <v>44701</v>
      </c>
      <c r="U1291" s="98">
        <f ca="1"/>
        <v>7.3032603433012145E-3</v>
      </c>
      <c r="V1291" s="5" t="s">
        <v>4</v>
      </c>
      <c r="W1291" s="84" t="s">
        <v>4</v>
      </c>
    </row>
    <row r="1292" spans="1:23" x14ac:dyDescent="0.25">
      <c r="A1292" s="90">
        <v>1273</v>
      </c>
      <c r="B1292" s="83"/>
      <c r="C1292" s="100">
        <f ca="1">_xll.meDateFromTenor(C1291,"1D","FOLLOWING",D$12)</f>
        <v>44337</v>
      </c>
      <c r="D1292" s="13">
        <f ca="1">_xll.meDateFromTenor(C1292,D$14,D$11,D$12)</f>
        <v>44340</v>
      </c>
      <c r="E1292" s="98">
        <f ca="1"/>
        <v>1.2995967930073313E-3</v>
      </c>
      <c r="F1292" s="94"/>
      <c r="G1292" s="100">
        <f ca="1">_xll.meDateFromTenor(G1291,"1D","FOLLOWING",H$12)</f>
        <v>44337</v>
      </c>
      <c r="H1292" s="13">
        <f ca="1">_xll.meDateFromTenor(G1292,H$14,H$11,H$12)</f>
        <v>44368</v>
      </c>
      <c r="I1292" s="98">
        <f ca="1"/>
        <v>2.2991230186702881E-3</v>
      </c>
      <c r="J1292" s="94" t="s">
        <v>4</v>
      </c>
      <c r="K1292" s="100">
        <f ca="1">_xll.meDateFromTenor(K1291,"1D","FOLLOWING",L$12)</f>
        <v>44337</v>
      </c>
      <c r="L1292" s="13">
        <f ca="1">_xll.meDateFromTenor(K1292,L$14,L$11,L$12)</f>
        <v>44431</v>
      </c>
      <c r="M1292" s="98">
        <f ca="1"/>
        <v>3.4973371096433956E-3</v>
      </c>
      <c r="N1292" s="5" t="s">
        <v>4</v>
      </c>
      <c r="O1292" s="100">
        <f ca="1">_xll.meDateFromTenor(O1291,"1D","FOLLOWING",P$12)</f>
        <v>44337</v>
      </c>
      <c r="P1292" s="13">
        <f ca="1">_xll.meDateFromTenor(O1292,P$14,P$11,P$12)</f>
        <v>44522</v>
      </c>
      <c r="Q1292" s="98">
        <f ca="1"/>
        <v>5.2817041930144099E-3</v>
      </c>
      <c r="R1292" s="5" t="s">
        <v>4</v>
      </c>
      <c r="S1292" s="100">
        <f ca="1">_xll.meDateFromTenor(S1291,"1D","FOLLOWING",T$12)</f>
        <v>44337</v>
      </c>
      <c r="T1292" s="13">
        <f ca="1">_xll.meDateFromTenor(S1292,T$14,T$11,T$12)</f>
        <v>44704</v>
      </c>
      <c r="U1292" s="98">
        <f ca="1"/>
        <v>7.3105892261591914E-3</v>
      </c>
      <c r="V1292" s="5" t="s">
        <v>4</v>
      </c>
      <c r="W1292" s="84" t="s">
        <v>4</v>
      </c>
    </row>
    <row r="1293" spans="1:23" x14ac:dyDescent="0.25">
      <c r="A1293" s="90">
        <v>1274</v>
      </c>
      <c r="B1293" s="83"/>
      <c r="C1293" s="100">
        <f ca="1">_xll.meDateFromTenor(C1292,"1D","FOLLOWING",D$12)</f>
        <v>44340</v>
      </c>
      <c r="D1293" s="13">
        <f ca="1">_xll.meDateFromTenor(C1293,D$14,D$11,D$12)</f>
        <v>44341</v>
      </c>
      <c r="E1293" s="98">
        <f ca="1"/>
        <v>1.318253384612549E-3</v>
      </c>
      <c r="F1293" s="94"/>
      <c r="G1293" s="100">
        <f ca="1">_xll.meDateFromTenor(G1292,"1D","FOLLOWING",H$12)</f>
        <v>44340</v>
      </c>
      <c r="H1293" s="13">
        <f ca="1">_xll.meDateFromTenor(G1293,H$14,H$11,H$12)</f>
        <v>44371</v>
      </c>
      <c r="I1293" s="98">
        <f ca="1"/>
        <v>2.321155037098949E-3</v>
      </c>
      <c r="J1293" s="94" t="s">
        <v>4</v>
      </c>
      <c r="K1293" s="100">
        <f ca="1">_xll.meDateFromTenor(K1292,"1D","FOLLOWING",L$12)</f>
        <v>44340</v>
      </c>
      <c r="L1293" s="13">
        <f ca="1">_xll.meDateFromTenor(K1293,L$14,L$11,L$12)</f>
        <v>44432</v>
      </c>
      <c r="M1293" s="98">
        <f ca="1"/>
        <v>3.5202545371463604E-3</v>
      </c>
      <c r="N1293" s="5" t="s">
        <v>4</v>
      </c>
      <c r="O1293" s="100">
        <f ca="1">_xll.meDateFromTenor(O1292,"1D","FOLLOWING",P$12)</f>
        <v>44340</v>
      </c>
      <c r="P1293" s="13">
        <f ca="1">_xll.meDateFromTenor(O1293,P$14,P$11,P$12)</f>
        <v>44524</v>
      </c>
      <c r="Q1293" s="98">
        <f ca="1"/>
        <v>5.3038689102886177E-3</v>
      </c>
      <c r="R1293" s="5" t="s">
        <v>4</v>
      </c>
      <c r="S1293" s="100">
        <f ca="1">_xll.meDateFromTenor(S1292,"1D","FOLLOWING",T$12)</f>
        <v>44340</v>
      </c>
      <c r="T1293" s="13">
        <f ca="1">_xll.meDateFromTenor(S1293,T$14,T$11,T$12)</f>
        <v>44705</v>
      </c>
      <c r="U1293" s="98">
        <f ca="1"/>
        <v>7.3325758185193513E-3</v>
      </c>
      <c r="V1293" s="5" t="s">
        <v>4</v>
      </c>
      <c r="W1293" s="84" t="s">
        <v>4</v>
      </c>
    </row>
    <row r="1294" spans="1:23" x14ac:dyDescent="0.25">
      <c r="A1294" s="90">
        <v>1275</v>
      </c>
      <c r="B1294" s="83"/>
      <c r="C1294" s="100">
        <f ca="1">_xll.meDateFromTenor(C1293,"1D","FOLLOWING",D$12)</f>
        <v>44341</v>
      </c>
      <c r="D1294" s="13">
        <f ca="1">_xll.meDateFromTenor(C1294,D$14,D$11,D$12)</f>
        <v>44342</v>
      </c>
      <c r="E1294" s="98">
        <f ca="1"/>
        <v>1.3276807873106179E-3</v>
      </c>
      <c r="F1294" s="94"/>
      <c r="G1294" s="100">
        <f ca="1">_xll.meDateFromTenor(G1293,"1D","FOLLOWING",H$12)</f>
        <v>44341</v>
      </c>
      <c r="H1294" s="13">
        <f ca="1">_xll.meDateFromTenor(G1294,H$14,H$11,H$12)</f>
        <v>44372</v>
      </c>
      <c r="I1294" s="98">
        <f ca="1"/>
        <v>2.3284995024427978E-3</v>
      </c>
      <c r="J1294" s="94" t="s">
        <v>4</v>
      </c>
      <c r="K1294" s="100">
        <f ca="1">_xll.meDateFromTenor(K1293,"1D","FOLLOWING",L$12)</f>
        <v>44341</v>
      </c>
      <c r="L1294" s="13">
        <f ca="1">_xll.meDateFromTenor(K1294,L$14,L$11,L$12)</f>
        <v>44433</v>
      </c>
      <c r="M1294" s="98">
        <f ca="1"/>
        <v>3.5278988172423903E-3</v>
      </c>
      <c r="N1294" s="5" t="s">
        <v>4</v>
      </c>
      <c r="O1294" s="100">
        <f ca="1">_xll.meDateFromTenor(O1293,"1D","FOLLOWING",P$12)</f>
        <v>44341</v>
      </c>
      <c r="P1294" s="13">
        <f ca="1">_xll.meDateFromTenor(O1294,P$14,P$11,P$12)</f>
        <v>44525</v>
      </c>
      <c r="Q1294" s="98">
        <f ca="1"/>
        <v>5.3112622489663057E-3</v>
      </c>
      <c r="R1294" s="5" t="s">
        <v>4</v>
      </c>
      <c r="S1294" s="100">
        <f ca="1">_xll.meDateFromTenor(S1293,"1D","FOLLOWING",T$12)</f>
        <v>44341</v>
      </c>
      <c r="T1294" s="13">
        <f ca="1">_xll.meDateFromTenor(S1294,T$14,T$11,T$12)</f>
        <v>44706</v>
      </c>
      <c r="U1294" s="98">
        <f ca="1"/>
        <v>7.3399046071288016E-3</v>
      </c>
      <c r="V1294" s="5" t="s">
        <v>4</v>
      </c>
      <c r="W1294" s="84" t="s">
        <v>4</v>
      </c>
    </row>
    <row r="1295" spans="1:23" x14ac:dyDescent="0.25">
      <c r="A1295" s="90">
        <v>1276</v>
      </c>
      <c r="B1295" s="83"/>
      <c r="C1295" s="100">
        <f ca="1">_xll.meDateFromTenor(C1294,"1D","FOLLOWING",D$12)</f>
        <v>44342</v>
      </c>
      <c r="D1295" s="13">
        <f ca="1">_xll.meDateFromTenor(C1295,D$14,D$11,D$12)</f>
        <v>44343</v>
      </c>
      <c r="E1295" s="98">
        <f ca="1"/>
        <v>1.3371662490870816E-3</v>
      </c>
      <c r="F1295" s="94"/>
      <c r="G1295" s="100">
        <f ca="1">_xll.meDateFromTenor(G1294,"1D","FOLLOWING",H$12)</f>
        <v>44342</v>
      </c>
      <c r="H1295" s="13">
        <f ca="1">_xll.meDateFromTenor(G1295,H$14,H$11,H$12)</f>
        <v>44375</v>
      </c>
      <c r="I1295" s="98">
        <f ca="1"/>
        <v>2.335848483344082E-3</v>
      </c>
      <c r="J1295" s="94" t="s">
        <v>4</v>
      </c>
      <c r="K1295" s="100">
        <f ca="1">_xll.meDateFromTenor(K1294,"1D","FOLLOWING",L$12)</f>
        <v>44342</v>
      </c>
      <c r="L1295" s="13">
        <f ca="1">_xll.meDateFromTenor(K1295,L$14,L$11,L$12)</f>
        <v>44434</v>
      </c>
      <c r="M1295" s="98">
        <f ca="1"/>
        <v>3.5355457033892481E-3</v>
      </c>
      <c r="N1295" s="5" t="s">
        <v>4</v>
      </c>
      <c r="O1295" s="100">
        <f ca="1">_xll.meDateFromTenor(O1294,"1D","FOLLOWING",P$12)</f>
        <v>44342</v>
      </c>
      <c r="P1295" s="13">
        <f ca="1">_xll.meDateFromTenor(O1295,P$14,P$11,P$12)</f>
        <v>44526</v>
      </c>
      <c r="Q1295" s="98">
        <f ca="1"/>
        <v>5.3186581277795105E-3</v>
      </c>
      <c r="R1295" s="5" t="s">
        <v>4</v>
      </c>
      <c r="S1295" s="100">
        <f ca="1">_xll.meDateFromTenor(S1294,"1D","FOLLOWING",T$12)</f>
        <v>44342</v>
      </c>
      <c r="T1295" s="13">
        <f ca="1">_xll.meDateFromTenor(S1295,T$14,T$11,T$12)</f>
        <v>44707</v>
      </c>
      <c r="U1295" s="98">
        <f ca="1"/>
        <v>7.347233329596606E-3</v>
      </c>
      <c r="V1295" s="5" t="s">
        <v>4</v>
      </c>
      <c r="W1295" s="84" t="s">
        <v>4</v>
      </c>
    </row>
    <row r="1296" spans="1:23" x14ac:dyDescent="0.25">
      <c r="A1296" s="90">
        <v>1277</v>
      </c>
      <c r="B1296" s="83"/>
      <c r="C1296" s="100">
        <f ca="1">_xll.meDateFromTenor(C1295,"1D","FOLLOWING",D$12)</f>
        <v>44343</v>
      </c>
      <c r="D1296" s="13">
        <f ca="1">_xll.meDateFromTenor(C1296,D$14,D$11,D$12)</f>
        <v>44344</v>
      </c>
      <c r="E1296" s="98">
        <f ca="1"/>
        <v>1.3467097714590208E-3</v>
      </c>
      <c r="F1296" s="94"/>
      <c r="G1296" s="100">
        <f ca="1">_xll.meDateFromTenor(G1295,"1D","FOLLOWING",H$12)</f>
        <v>44343</v>
      </c>
      <c r="H1296" s="13">
        <f ca="1">_xll.meDateFromTenor(G1296,H$14,H$11,H$12)</f>
        <v>44375</v>
      </c>
      <c r="I1296" s="98">
        <f ca="1"/>
        <v>2.343204551376976E-3</v>
      </c>
      <c r="J1296" s="94" t="s">
        <v>4</v>
      </c>
      <c r="K1296" s="100">
        <f ca="1">_xll.meDateFromTenor(K1295,"1D","FOLLOWING",L$12)</f>
        <v>44343</v>
      </c>
      <c r="L1296" s="13">
        <f ca="1">_xll.meDateFromTenor(K1296,L$14,L$11,L$12)</f>
        <v>44435</v>
      </c>
      <c r="M1296" s="98">
        <f ca="1"/>
        <v>3.5431952179389185E-3</v>
      </c>
      <c r="N1296" s="5" t="s">
        <v>4</v>
      </c>
      <c r="O1296" s="100">
        <f ca="1">_xll.meDateFromTenor(O1295,"1D","FOLLOWING",P$12)</f>
        <v>44343</v>
      </c>
      <c r="P1296" s="13">
        <f ca="1">_xll.meDateFromTenor(O1296,P$14,P$11,P$12)</f>
        <v>44529</v>
      </c>
      <c r="Q1296" s="98">
        <f ca="1"/>
        <v>5.3260565409336564E-3</v>
      </c>
      <c r="R1296" s="5" t="s">
        <v>4</v>
      </c>
      <c r="S1296" s="100">
        <f ca="1">_xll.meDateFromTenor(S1295,"1D","FOLLOWING",T$12)</f>
        <v>44343</v>
      </c>
      <c r="T1296" s="13">
        <f ca="1">_xll.meDateFromTenor(S1296,T$14,T$11,T$12)</f>
        <v>44708</v>
      </c>
      <c r="U1296" s="98">
        <f ca="1"/>
        <v>7.3545619688909648E-3</v>
      </c>
      <c r="V1296" s="5" t="s">
        <v>4</v>
      </c>
      <c r="W1296" s="84" t="s">
        <v>4</v>
      </c>
    </row>
    <row r="1297" spans="1:23" x14ac:dyDescent="0.25">
      <c r="A1297" s="90">
        <v>1278</v>
      </c>
      <c r="B1297" s="83"/>
      <c r="C1297" s="100">
        <f ca="1">_xll.meDateFromTenor(C1296,"1D","FOLLOWING",D$12)</f>
        <v>44344</v>
      </c>
      <c r="D1297" s="13">
        <f ca="1">_xll.meDateFromTenor(C1297,D$14,D$11,D$12)</f>
        <v>44347</v>
      </c>
      <c r="E1297" s="98">
        <f ca="1"/>
        <v>1.3659955431589376E-3</v>
      </c>
      <c r="F1297" s="94"/>
      <c r="G1297" s="100">
        <f ca="1">_xll.meDateFromTenor(G1296,"1D","FOLLOWING",H$12)</f>
        <v>44344</v>
      </c>
      <c r="H1297" s="13">
        <f ca="1">_xll.meDateFromTenor(G1297,H$14,H$11,H$12)</f>
        <v>44375</v>
      </c>
      <c r="I1297" s="98">
        <f ca="1"/>
        <v>2.3505702781156526E-3</v>
      </c>
      <c r="J1297" s="94" t="s">
        <v>4</v>
      </c>
      <c r="K1297" s="100">
        <f ca="1">_xll.meDateFromTenor(K1296,"1D","FOLLOWING",L$12)</f>
        <v>44344</v>
      </c>
      <c r="L1297" s="13">
        <f ca="1">_xll.meDateFromTenor(K1297,L$14,L$11,L$12)</f>
        <v>44438</v>
      </c>
      <c r="M1297" s="98">
        <f ca="1"/>
        <v>3.5508473832433873E-3</v>
      </c>
      <c r="N1297" s="5" t="s">
        <v>4</v>
      </c>
      <c r="O1297" s="100">
        <f ca="1">_xll.meDateFromTenor(O1296,"1D","FOLLOWING",P$12)</f>
        <v>44344</v>
      </c>
      <c r="P1297" s="13">
        <f ca="1">_xll.meDateFromTenor(O1297,P$14,P$11,P$12)</f>
        <v>44529</v>
      </c>
      <c r="Q1297" s="98">
        <f ca="1"/>
        <v>5.3334574826341677E-3</v>
      </c>
      <c r="R1297" s="5" t="s">
        <v>4</v>
      </c>
      <c r="S1297" s="100">
        <f ca="1">_xll.meDateFromTenor(S1296,"1D","FOLLOWING",T$12)</f>
        <v>44344</v>
      </c>
      <c r="T1297" s="13">
        <f ca="1">_xll.meDateFromTenor(S1297,T$14,T$11,T$12)</f>
        <v>44711</v>
      </c>
      <c r="U1297" s="98">
        <f ca="1"/>
        <v>7.3618905079800706E-3</v>
      </c>
      <c r="V1297" s="5" t="s">
        <v>4</v>
      </c>
      <c r="W1297" s="84" t="s">
        <v>4</v>
      </c>
    </row>
    <row r="1298" spans="1:23" x14ac:dyDescent="0.25">
      <c r="A1298" s="90">
        <v>1279</v>
      </c>
      <c r="B1298" s="83"/>
      <c r="C1298" s="100">
        <f ca="1">_xll.meDateFromTenor(C1297,"1D","FOLLOWING",D$12)</f>
        <v>44347</v>
      </c>
      <c r="D1298" s="13">
        <f ca="1">_xll.meDateFromTenor(C1298,D$14,D$11,D$12)</f>
        <v>44348</v>
      </c>
      <c r="E1298" s="98">
        <f ca="1"/>
        <v>1.3854645008846199E-3</v>
      </c>
      <c r="F1298" s="94"/>
      <c r="G1298" s="100">
        <f ca="1">_xll.meDateFromTenor(G1297,"1D","FOLLOWING",H$12)</f>
        <v>44347</v>
      </c>
      <c r="H1298" s="13">
        <f ca="1">_xll.meDateFromTenor(G1298,H$14,H$11,H$12)</f>
        <v>44377</v>
      </c>
      <c r="I1298" s="98">
        <f ca="1"/>
        <v>2.3727511263081143E-3</v>
      </c>
      <c r="J1298" s="94" t="s">
        <v>4</v>
      </c>
      <c r="K1298" s="100">
        <f ca="1">_xll.meDateFromTenor(K1297,"1D","FOLLOWING",L$12)</f>
        <v>44347</v>
      </c>
      <c r="L1298" s="13">
        <f ca="1">_xll.meDateFromTenor(K1298,L$14,L$11,L$12)</f>
        <v>44439</v>
      </c>
      <c r="M1298" s="98">
        <f ca="1"/>
        <v>3.5738200072054243E-3</v>
      </c>
      <c r="N1298" s="5" t="s">
        <v>4</v>
      </c>
      <c r="O1298" s="100">
        <f ca="1">_xll.meDateFromTenor(O1297,"1D","FOLLOWING",P$12)</f>
        <v>44347</v>
      </c>
      <c r="P1298" s="13">
        <f ca="1">_xll.meDateFromTenor(O1298,P$14,P$11,P$12)</f>
        <v>44530</v>
      </c>
      <c r="Q1298" s="98">
        <f ca="1"/>
        <v>5.3556754210681481E-3</v>
      </c>
      <c r="R1298" s="5" t="s">
        <v>4</v>
      </c>
      <c r="S1298" s="100">
        <f ca="1">_xll.meDateFromTenor(S1297,"1D","FOLLOWING",T$12)</f>
        <v>44347</v>
      </c>
      <c r="T1298" s="13">
        <f ca="1">_xll.meDateFromTenor(S1298,T$14,T$11,T$12)</f>
        <v>44712</v>
      </c>
      <c r="U1298" s="98">
        <f ca="1"/>
        <v>7.383875353697833E-3</v>
      </c>
      <c r="V1298" s="5" t="s">
        <v>4</v>
      </c>
      <c r="W1298" s="84" t="s">
        <v>4</v>
      </c>
    </row>
    <row r="1299" spans="1:23" x14ac:dyDescent="0.25">
      <c r="A1299" s="90">
        <v>1280</v>
      </c>
      <c r="B1299" s="83"/>
      <c r="C1299" s="100">
        <f ca="1">_xll.meDateFromTenor(C1298,"1D","FOLLOWING",D$12)</f>
        <v>44348</v>
      </c>
      <c r="D1299" s="13">
        <f ca="1">_xll.meDateFromTenor(C1299,D$14,D$11,D$12)</f>
        <v>44349</v>
      </c>
      <c r="E1299" s="98">
        <f ca="1"/>
        <v>1.3952983514988809E-3</v>
      </c>
      <c r="F1299" s="94"/>
      <c r="G1299" s="100">
        <f ca="1">_xll.meDateFromTenor(G1298,"1D","FOLLOWING",H$12)</f>
        <v>44348</v>
      </c>
      <c r="H1299" s="13">
        <f ca="1">_xll.meDateFromTenor(G1299,H$14,H$11,H$12)</f>
        <v>44378</v>
      </c>
      <c r="I1299" s="98">
        <f ca="1"/>
        <v>2.3801812036116543E-3</v>
      </c>
      <c r="J1299" s="94" t="s">
        <v>4</v>
      </c>
      <c r="K1299" s="100">
        <f ca="1">_xll.meDateFromTenor(K1298,"1D","FOLLOWING",L$12)</f>
        <v>44348</v>
      </c>
      <c r="L1299" s="13">
        <f ca="1">_xll.meDateFromTenor(K1299,L$14,L$11,L$12)</f>
        <v>44440</v>
      </c>
      <c r="M1299" s="98">
        <f ca="1"/>
        <v>3.5814829990489278E-3</v>
      </c>
      <c r="N1299" s="5" t="s">
        <v>4</v>
      </c>
      <c r="O1299" s="100">
        <f ca="1">_xll.meDateFromTenor(O1298,"1D","FOLLOWING",P$12)</f>
        <v>44348</v>
      </c>
      <c r="P1299" s="13">
        <f ca="1">_xll.meDateFromTenor(O1299,P$14,P$11,P$12)</f>
        <v>44531</v>
      </c>
      <c r="Q1299" s="98">
        <f ca="1"/>
        <v>5.3630864190083683E-3</v>
      </c>
      <c r="R1299" s="5" t="s">
        <v>4</v>
      </c>
      <c r="S1299" s="100">
        <f ca="1">_xll.meDateFromTenor(S1298,"1D","FOLLOWING",T$12)</f>
        <v>44348</v>
      </c>
      <c r="T1299" s="13">
        <f ca="1">_xll.meDateFromTenor(S1299,T$14,T$11,T$12)</f>
        <v>44713</v>
      </c>
      <c r="U1299" s="98">
        <f ca="1"/>
        <v>7.3912033216478852E-3</v>
      </c>
      <c r="V1299" s="5" t="s">
        <v>4</v>
      </c>
      <c r="W1299" s="84" t="s">
        <v>4</v>
      </c>
    </row>
    <row r="1300" spans="1:23" x14ac:dyDescent="0.25">
      <c r="A1300" s="90">
        <v>1281</v>
      </c>
      <c r="B1300" s="83"/>
      <c r="C1300" s="100">
        <f ca="1">_xll.meDateFromTenor(C1299,"1D","FOLLOWING",D$12)</f>
        <v>44349</v>
      </c>
      <c r="D1300" s="13">
        <f ca="1">_xll.meDateFromTenor(C1300,D$14,D$11,D$12)</f>
        <v>44350</v>
      </c>
      <c r="E1300" s="98">
        <f ca="1"/>
        <v>1.4051793701417316E-3</v>
      </c>
      <c r="F1300" s="94"/>
      <c r="G1300" s="100">
        <f ca="1">_xll.meDateFromTenor(G1299,"1D","FOLLOWING",H$12)</f>
        <v>44349</v>
      </c>
      <c r="H1300" s="13">
        <f ca="1">_xll.meDateFromTenor(G1300,H$14,H$11,H$12)</f>
        <v>44379</v>
      </c>
      <c r="I1300" s="98">
        <f ca="1"/>
        <v>2.3876337974918461E-3</v>
      </c>
      <c r="J1300" s="94" t="s">
        <v>4</v>
      </c>
      <c r="K1300" s="100">
        <f ca="1">_xll.meDateFromTenor(K1299,"1D","FOLLOWING",L$12)</f>
        <v>44349</v>
      </c>
      <c r="L1300" s="13">
        <f ca="1">_xll.meDateFromTenor(K1300,L$14,L$11,L$12)</f>
        <v>44441</v>
      </c>
      <c r="M1300" s="98">
        <f ca="1"/>
        <v>3.5891487534071547E-3</v>
      </c>
      <c r="N1300" s="5" t="s">
        <v>4</v>
      </c>
      <c r="O1300" s="100">
        <f ca="1">_xll.meDateFromTenor(O1299,"1D","FOLLOWING",P$12)</f>
        <v>44349</v>
      </c>
      <c r="P1300" s="13">
        <f ca="1">_xll.meDateFromTenor(O1300,P$14,P$11,P$12)</f>
        <v>44532</v>
      </c>
      <c r="Q1300" s="98">
        <f ca="1"/>
        <v>5.3704999165220804E-3</v>
      </c>
      <c r="R1300" s="5" t="s">
        <v>4</v>
      </c>
      <c r="S1300" s="100">
        <f ca="1">_xll.meDateFromTenor(S1299,"1D","FOLLOWING",T$12)</f>
        <v>44349</v>
      </c>
      <c r="T1300" s="13">
        <f ca="1">_xll.meDateFromTenor(S1300,T$14,T$11,T$12)</f>
        <v>44714</v>
      </c>
      <c r="U1300" s="98">
        <f ca="1"/>
        <v>7.3985311042336632E-3</v>
      </c>
      <c r="V1300" s="5" t="s">
        <v>4</v>
      </c>
      <c r="W1300" s="84" t="s">
        <v>4</v>
      </c>
    </row>
    <row r="1301" spans="1:23" x14ac:dyDescent="0.25">
      <c r="A1301" s="90">
        <v>1282</v>
      </c>
      <c r="B1301" s="83"/>
      <c r="C1301" s="100">
        <f ca="1">_xll.meDateFromTenor(C1300,"1D","FOLLOWING",D$12)</f>
        <v>44350</v>
      </c>
      <c r="D1301" s="13">
        <f ca="1">_xll.meDateFromTenor(C1301,D$14,D$11,D$12)</f>
        <v>44351</v>
      </c>
      <c r="E1301" s="98">
        <f ca="1"/>
        <v>1.4150639481782614E-3</v>
      </c>
      <c r="F1301" s="94"/>
      <c r="G1301" s="100">
        <f ca="1">_xll.meDateFromTenor(G1300,"1D","FOLLOWING",H$12)</f>
        <v>44350</v>
      </c>
      <c r="H1301" s="13">
        <f ca="1">_xll.meDateFromTenor(G1301,H$14,H$11,H$12)</f>
        <v>44382</v>
      </c>
      <c r="I1301" s="98">
        <f ca="1"/>
        <v>2.3951108231567222E-3</v>
      </c>
      <c r="J1301" s="94" t="s">
        <v>4</v>
      </c>
      <c r="K1301" s="100">
        <f ca="1">_xll.meDateFromTenor(K1300,"1D","FOLLOWING",L$12)</f>
        <v>44350</v>
      </c>
      <c r="L1301" s="13">
        <f ca="1">_xll.meDateFromTenor(K1301,L$14,L$11,L$12)</f>
        <v>44442</v>
      </c>
      <c r="M1301" s="98">
        <f ca="1"/>
        <v>3.5968172872243337E-3</v>
      </c>
      <c r="N1301" s="5" t="s">
        <v>4</v>
      </c>
      <c r="O1301" s="100">
        <f ca="1">_xll.meDateFromTenor(O1300,"1D","FOLLOWING",P$12)</f>
        <v>44350</v>
      </c>
      <c r="P1301" s="13">
        <f ca="1">_xll.meDateFromTenor(O1301,P$14,P$11,P$12)</f>
        <v>44533</v>
      </c>
      <c r="Q1301" s="98">
        <f ca="1"/>
        <v>5.3779159100912823E-3</v>
      </c>
      <c r="R1301" s="5" t="s">
        <v>4</v>
      </c>
      <c r="S1301" s="100">
        <f ca="1">_xll.meDateFromTenor(S1300,"1D","FOLLOWING",T$12)</f>
        <v>44350</v>
      </c>
      <c r="T1301" s="13">
        <f ca="1">_xll.meDateFromTenor(S1301,T$14,T$11,T$12)</f>
        <v>44715</v>
      </c>
      <c r="U1301" s="98">
        <f ca="1"/>
        <v>7.4058586868065166E-3</v>
      </c>
      <c r="V1301" s="5" t="s">
        <v>4</v>
      </c>
      <c r="W1301" s="84" t="s">
        <v>4</v>
      </c>
    </row>
    <row r="1302" spans="1:23" x14ac:dyDescent="0.25">
      <c r="A1302" s="90">
        <v>1283</v>
      </c>
      <c r="B1302" s="83"/>
      <c r="C1302" s="100">
        <f ca="1">_xll.meDateFromTenor(C1301,"1D","FOLLOWING",D$12)</f>
        <v>44351</v>
      </c>
      <c r="D1302" s="13">
        <f ca="1">_xll.meDateFromTenor(C1302,D$14,D$11,D$12)</f>
        <v>44354</v>
      </c>
      <c r="E1302" s="98">
        <f ca="1"/>
        <v>1.4348143487463003E-3</v>
      </c>
      <c r="F1302" s="94"/>
      <c r="G1302" s="100">
        <f ca="1">_xll.meDateFromTenor(G1301,"1D","FOLLOWING",H$12)</f>
        <v>44351</v>
      </c>
      <c r="H1302" s="13">
        <f ca="1">_xll.meDateFromTenor(G1302,H$14,H$11,H$12)</f>
        <v>44382</v>
      </c>
      <c r="I1302" s="98">
        <f ca="1"/>
        <v>2.4026115703497625E-3</v>
      </c>
      <c r="J1302" s="94" t="s">
        <v>4</v>
      </c>
      <c r="K1302" s="100">
        <f ca="1">_xll.meDateFromTenor(K1301,"1D","FOLLOWING",L$12)</f>
        <v>44351</v>
      </c>
      <c r="L1302" s="13">
        <f ca="1">_xll.meDateFromTenor(K1302,L$14,L$11,L$12)</f>
        <v>44445</v>
      </c>
      <c r="M1302" s="98">
        <f ca="1"/>
        <v>3.6044885958136869E-3</v>
      </c>
      <c r="N1302" s="5" t="s">
        <v>4</v>
      </c>
      <c r="O1302" s="100">
        <f ca="1">_xll.meDateFromTenor(O1301,"1D","FOLLOWING",P$12)</f>
        <v>44351</v>
      </c>
      <c r="P1302" s="13">
        <f ca="1">_xll.meDateFromTenor(O1302,P$14,P$11,P$12)</f>
        <v>44536</v>
      </c>
      <c r="Q1302" s="98">
        <f ca="1"/>
        <v>5.3853344053042774E-3</v>
      </c>
      <c r="R1302" s="5" t="s">
        <v>4</v>
      </c>
      <c r="S1302" s="100">
        <f ca="1">_xll.meDateFromTenor(S1301,"1D","FOLLOWING",T$12)</f>
        <v>44351</v>
      </c>
      <c r="T1302" s="13">
        <f ca="1">_xll.meDateFromTenor(S1302,T$14,T$11,T$12)</f>
        <v>44718</v>
      </c>
      <c r="U1302" s="98">
        <f ca="1"/>
        <v>7.4131860642504101E-3</v>
      </c>
      <c r="V1302" s="5" t="s">
        <v>4</v>
      </c>
      <c r="W1302" s="84" t="s">
        <v>4</v>
      </c>
    </row>
    <row r="1303" spans="1:23" x14ac:dyDescent="0.25">
      <c r="A1303" s="90">
        <v>1284</v>
      </c>
      <c r="B1303" s="83"/>
      <c r="C1303" s="100">
        <f ca="1">_xll.meDateFromTenor(C1302,"1D","FOLLOWING",D$12)</f>
        <v>44354</v>
      </c>
      <c r="D1303" s="13">
        <f ca="1">_xll.meDateFromTenor(C1303,D$14,D$11,D$12)</f>
        <v>44355</v>
      </c>
      <c r="E1303" s="98">
        <f ca="1"/>
        <v>1.4545288419312175E-3</v>
      </c>
      <c r="F1303" s="94"/>
      <c r="G1303" s="100">
        <f ca="1">_xll.meDateFromTenor(G1302,"1D","FOLLOWING",H$12)</f>
        <v>44354</v>
      </c>
      <c r="H1303" s="13">
        <f ca="1">_xll.meDateFromTenor(G1303,H$14,H$11,H$12)</f>
        <v>44384</v>
      </c>
      <c r="I1303" s="98">
        <f ca="1"/>
        <v>2.4252424748712775E-3</v>
      </c>
      <c r="J1303" s="94" t="s">
        <v>4</v>
      </c>
      <c r="K1303" s="100">
        <f ca="1">_xll.meDateFromTenor(K1302,"1D","FOLLOWING",L$12)</f>
        <v>44354</v>
      </c>
      <c r="L1303" s="13">
        <f ca="1">_xll.meDateFromTenor(K1303,L$14,L$11,L$12)</f>
        <v>44446</v>
      </c>
      <c r="M1303" s="98">
        <f ca="1"/>
        <v>3.6275190692694622E-3</v>
      </c>
      <c r="N1303" s="5" t="s">
        <v>4</v>
      </c>
      <c r="O1303" s="100">
        <f ca="1">_xll.meDateFromTenor(O1302,"1D","FOLLOWING",P$12)</f>
        <v>44354</v>
      </c>
      <c r="P1303" s="13">
        <f ca="1">_xll.meDateFromTenor(O1303,P$14,P$11,P$12)</f>
        <v>44537</v>
      </c>
      <c r="Q1303" s="98">
        <f ca="1"/>
        <v>5.4076049794548288E-3</v>
      </c>
      <c r="R1303" s="5" t="s">
        <v>4</v>
      </c>
      <c r="S1303" s="100">
        <f ca="1">_xll.meDateFromTenor(S1302,"1D","FOLLOWING",T$12)</f>
        <v>44354</v>
      </c>
      <c r="T1303" s="13">
        <f ca="1">_xll.meDateFromTenor(S1303,T$14,T$11,T$12)</f>
        <v>44719</v>
      </c>
      <c r="U1303" s="98">
        <f ca="1"/>
        <v>7.4351669384794972E-3</v>
      </c>
      <c r="V1303" s="5" t="s">
        <v>4</v>
      </c>
      <c r="W1303" s="84" t="s">
        <v>4</v>
      </c>
    </row>
    <row r="1304" spans="1:23" x14ac:dyDescent="0.25">
      <c r="A1304" s="90">
        <v>1285</v>
      </c>
      <c r="B1304" s="83"/>
      <c r="C1304" s="100">
        <f ca="1">_xll.meDateFromTenor(C1303,"1D","FOLLOWING",D$12)</f>
        <v>44355</v>
      </c>
      <c r="D1304" s="13">
        <f ca="1">_xll.meDateFromTenor(C1304,D$14,D$11,D$12)</f>
        <v>44356</v>
      </c>
      <c r="E1304" s="98">
        <f ca="1"/>
        <v>1.4643767142883332E-3</v>
      </c>
      <c r="F1304" s="94"/>
      <c r="G1304" s="100">
        <f ca="1">_xll.meDateFromTenor(G1303,"1D","FOLLOWING",H$12)</f>
        <v>44355</v>
      </c>
      <c r="H1304" s="13">
        <f ca="1">_xll.meDateFromTenor(G1304,H$14,H$11,H$12)</f>
        <v>44385</v>
      </c>
      <c r="I1304" s="98">
        <f ca="1"/>
        <v>2.4328244419503831E-3</v>
      </c>
      <c r="J1304" s="94" t="s">
        <v>4</v>
      </c>
      <c r="K1304" s="100">
        <f ca="1">_xll.meDateFromTenor(K1303,"1D","FOLLOWING",L$12)</f>
        <v>44355</v>
      </c>
      <c r="L1304" s="13">
        <f ca="1">_xll.meDateFromTenor(K1304,L$14,L$11,L$12)</f>
        <v>44447</v>
      </c>
      <c r="M1304" s="98">
        <f ca="1"/>
        <v>3.6352013760021845E-3</v>
      </c>
      <c r="N1304" s="5" t="s">
        <v>4</v>
      </c>
      <c r="O1304" s="100">
        <f ca="1">_xll.meDateFromTenor(O1303,"1D","FOLLOWING",P$12)</f>
        <v>44355</v>
      </c>
      <c r="P1304" s="13">
        <f ca="1">_xll.meDateFromTenor(O1304,P$14,P$11,P$12)</f>
        <v>44538</v>
      </c>
      <c r="Q1304" s="98">
        <f ca="1"/>
        <v>5.4150335598917984E-3</v>
      </c>
      <c r="R1304" s="5" t="s">
        <v>4</v>
      </c>
      <c r="S1304" s="100">
        <f ca="1">_xll.meDateFromTenor(S1303,"1D","FOLLOWING",T$12)</f>
        <v>44355</v>
      </c>
      <c r="T1304" s="13">
        <f ca="1">_xll.meDateFromTenor(S1304,T$14,T$11,T$12)</f>
        <v>44720</v>
      </c>
      <c r="U1304" s="98">
        <f ca="1"/>
        <v>7.4424934680787222E-3</v>
      </c>
      <c r="V1304" s="5" t="s">
        <v>4</v>
      </c>
      <c r="W1304" s="84" t="s">
        <v>4</v>
      </c>
    </row>
    <row r="1305" spans="1:23" x14ac:dyDescent="0.25">
      <c r="A1305" s="90">
        <v>1286</v>
      </c>
      <c r="B1305" s="83"/>
      <c r="C1305" s="100">
        <f ca="1">_xll.meDateFromTenor(C1304,"1D","FOLLOWING",D$12)</f>
        <v>44356</v>
      </c>
      <c r="D1305" s="13">
        <f ca="1">_xll.meDateFromTenor(C1305,D$14,D$11,D$12)</f>
        <v>44357</v>
      </c>
      <c r="E1305" s="98">
        <f ca="1"/>
        <v>1.4742172473971771E-3</v>
      </c>
      <c r="F1305" s="94"/>
      <c r="G1305" s="100">
        <f ca="1">_xll.meDateFromTenor(G1304,"1D","FOLLOWING",H$12)</f>
        <v>44356</v>
      </c>
      <c r="H1305" s="13">
        <f ca="1">_xll.meDateFromTenor(G1305,H$14,H$11,H$12)</f>
        <v>44386</v>
      </c>
      <c r="I1305" s="98">
        <f ca="1"/>
        <v>2.4404232974443566E-3</v>
      </c>
      <c r="J1305" s="94" t="s">
        <v>4</v>
      </c>
      <c r="K1305" s="100">
        <f ca="1">_xll.meDateFromTenor(K1304,"1D","FOLLOWING",L$12)</f>
        <v>44356</v>
      </c>
      <c r="L1305" s="13">
        <f ca="1">_xll.meDateFromTenor(K1305,L$14,L$11,L$12)</f>
        <v>44448</v>
      </c>
      <c r="M1305" s="98">
        <f ca="1"/>
        <v>3.6428864070344167E-3</v>
      </c>
      <c r="N1305" s="5" t="s">
        <v>4</v>
      </c>
      <c r="O1305" s="100">
        <f ca="1">_xll.meDateFromTenor(O1304,"1D","FOLLOWING",P$12)</f>
        <v>44356</v>
      </c>
      <c r="P1305" s="13">
        <f ca="1">_xll.meDateFromTenor(O1305,P$14,P$11,P$12)</f>
        <v>44539</v>
      </c>
      <c r="Q1305" s="98">
        <f ca="1"/>
        <v>5.4224646812969608E-3</v>
      </c>
      <c r="R1305" s="5" t="s">
        <v>4</v>
      </c>
      <c r="S1305" s="100">
        <f ca="1">_xll.meDateFromTenor(S1304,"1D","FOLLOWING",T$12)</f>
        <v>44356</v>
      </c>
      <c r="T1305" s="13">
        <f ca="1">_xll.meDateFromTenor(S1305,T$14,T$11,T$12)</f>
        <v>44721</v>
      </c>
      <c r="U1305" s="98">
        <f ca="1"/>
        <v>7.4498197788845748E-3</v>
      </c>
      <c r="V1305" s="5" t="s">
        <v>4</v>
      </c>
      <c r="W1305" s="84" t="s">
        <v>4</v>
      </c>
    </row>
    <row r="1306" spans="1:23" x14ac:dyDescent="0.25">
      <c r="A1306" s="90">
        <v>1287</v>
      </c>
      <c r="B1306" s="83"/>
      <c r="C1306" s="100">
        <f ca="1">_xll.meDateFromTenor(C1305,"1D","FOLLOWING",D$12)</f>
        <v>44357</v>
      </c>
      <c r="D1306" s="13">
        <f ca="1">_xll.meDateFromTenor(C1306,D$14,D$11,D$12)</f>
        <v>44358</v>
      </c>
      <c r="E1306" s="98">
        <f ca="1"/>
        <v>1.4840504424549106E-3</v>
      </c>
      <c r="F1306" s="94"/>
      <c r="G1306" s="100">
        <f ca="1">_xll.meDateFromTenor(G1305,"1D","FOLLOWING",H$12)</f>
        <v>44357</v>
      </c>
      <c r="H1306" s="13">
        <f ca="1">_xll.meDateFromTenor(G1306,H$14,H$11,H$12)</f>
        <v>44389</v>
      </c>
      <c r="I1306" s="98">
        <f ca="1"/>
        <v>2.4480376747305376E-3</v>
      </c>
      <c r="J1306" s="94" t="s">
        <v>4</v>
      </c>
      <c r="K1306" s="100">
        <f ca="1">_xll.meDateFromTenor(K1305,"1D","FOLLOWING",L$12)</f>
        <v>44357</v>
      </c>
      <c r="L1306" s="13">
        <f ca="1">_xll.meDateFromTenor(K1306,L$14,L$11,L$12)</f>
        <v>44449</v>
      </c>
      <c r="M1306" s="98">
        <f ca="1"/>
        <v>3.650574152271626E-3</v>
      </c>
      <c r="N1306" s="5" t="s">
        <v>4</v>
      </c>
      <c r="O1306" s="100">
        <f ca="1">_xll.meDateFromTenor(O1305,"1D","FOLLOWING",P$12)</f>
        <v>44357</v>
      </c>
      <c r="P1306" s="13">
        <f ca="1">_xll.meDateFromTenor(O1306,P$14,P$11,P$12)</f>
        <v>44540</v>
      </c>
      <c r="Q1306" s="98">
        <f ca="1"/>
        <v>5.429898351535194E-3</v>
      </c>
      <c r="R1306" s="5" t="s">
        <v>4</v>
      </c>
      <c r="S1306" s="100">
        <f ca="1">_xll.meDateFromTenor(S1305,"1D","FOLLOWING",T$12)</f>
        <v>44357</v>
      </c>
      <c r="T1306" s="13">
        <f ca="1">_xll.meDateFromTenor(S1306,T$14,T$11,T$12)</f>
        <v>44722</v>
      </c>
      <c r="U1306" s="98">
        <f ca="1"/>
        <v>7.4571458681641691E-3</v>
      </c>
      <c r="V1306" s="5" t="s">
        <v>4</v>
      </c>
      <c r="W1306" s="84" t="s">
        <v>4</v>
      </c>
    </row>
    <row r="1307" spans="1:23" x14ac:dyDescent="0.25">
      <c r="A1307" s="90">
        <v>1288</v>
      </c>
      <c r="B1307" s="83"/>
      <c r="C1307" s="100">
        <f ca="1">_xll.meDateFromTenor(C1306,"1D","FOLLOWING",D$12)</f>
        <v>44358</v>
      </c>
      <c r="D1307" s="13">
        <f ca="1">_xll.meDateFromTenor(C1307,D$14,D$11,D$12)</f>
        <v>44361</v>
      </c>
      <c r="E1307" s="98">
        <f ca="1"/>
        <v>1.5036986550588127E-3</v>
      </c>
      <c r="F1307" s="94"/>
      <c r="G1307" s="100">
        <f ca="1">_xll.meDateFromTenor(G1306,"1D","FOLLOWING",H$12)</f>
        <v>44358</v>
      </c>
      <c r="H1307" s="13">
        <f ca="1">_xll.meDateFromTenor(G1307,H$14,H$11,H$12)</f>
        <v>44389</v>
      </c>
      <c r="I1307" s="98">
        <f ca="1"/>
        <v>2.4556662071862712E-3</v>
      </c>
      <c r="J1307" s="94" t="s">
        <v>4</v>
      </c>
      <c r="K1307" s="100">
        <f ca="1">_xll.meDateFromTenor(K1306,"1D","FOLLOWING",L$12)</f>
        <v>44358</v>
      </c>
      <c r="L1307" s="13">
        <f ca="1">_xll.meDateFromTenor(K1307,L$14,L$11,L$12)</f>
        <v>44452</v>
      </c>
      <c r="M1307" s="98">
        <f ca="1"/>
        <v>3.658264601619284E-3</v>
      </c>
      <c r="N1307" s="5" t="s">
        <v>4</v>
      </c>
      <c r="O1307" s="100">
        <f ca="1">_xll.meDateFromTenor(O1306,"1D","FOLLOWING",P$12)</f>
        <v>44358</v>
      </c>
      <c r="P1307" s="13">
        <f ca="1">_xll.meDateFromTenor(O1307,P$14,P$11,P$12)</f>
        <v>44543</v>
      </c>
      <c r="Q1307" s="98">
        <f ca="1"/>
        <v>5.4373345784713822E-3</v>
      </c>
      <c r="R1307" s="5" t="s">
        <v>4</v>
      </c>
      <c r="S1307" s="100">
        <f ca="1">_xll.meDateFromTenor(S1306,"1D","FOLLOWING",T$12)</f>
        <v>44358</v>
      </c>
      <c r="T1307" s="13">
        <f ca="1">_xll.meDateFromTenor(S1307,T$14,T$11,T$12)</f>
        <v>44725</v>
      </c>
      <c r="U1307" s="98">
        <f ca="1"/>
        <v>7.4644717331846288E-3</v>
      </c>
      <c r="V1307" s="5" t="s">
        <v>4</v>
      </c>
      <c r="W1307" s="84" t="s">
        <v>4</v>
      </c>
    </row>
    <row r="1308" spans="1:23" x14ac:dyDescent="0.25">
      <c r="A1308" s="90">
        <v>1289</v>
      </c>
      <c r="B1308" s="83"/>
      <c r="C1308" s="100">
        <f ca="1">_xll.meDateFromTenor(C1307,"1D","FOLLOWING",D$12)</f>
        <v>44361</v>
      </c>
      <c r="D1308" s="13">
        <f ca="1">_xll.meDateFromTenor(C1308,D$14,D$11,D$12)</f>
        <v>44362</v>
      </c>
      <c r="E1308" s="98">
        <f ca="1"/>
        <v>1.5233098516984462E-3</v>
      </c>
      <c r="F1308" s="94"/>
      <c r="G1308" s="100">
        <f ca="1">_xll.meDateFromTenor(G1307,"1D","FOLLOWING",H$12)</f>
        <v>44361</v>
      </c>
      <c r="H1308" s="13">
        <f ca="1">_xll.meDateFromTenor(G1308,H$14,H$11,H$12)</f>
        <v>44391</v>
      </c>
      <c r="I1308" s="98">
        <f ca="1"/>
        <v>2.4786230693441833E-3</v>
      </c>
      <c r="J1308" s="94" t="s">
        <v>4</v>
      </c>
      <c r="K1308" s="100">
        <f ca="1">_xll.meDateFromTenor(K1307,"1D","FOLLOWING",L$12)</f>
        <v>44361</v>
      </c>
      <c r="L1308" s="13">
        <f ca="1">_xll.meDateFromTenor(K1308,L$14,L$11,L$12)</f>
        <v>44453</v>
      </c>
      <c r="M1308" s="98">
        <f ca="1"/>
        <v>3.6813520733796103E-3</v>
      </c>
      <c r="N1308" s="5" t="s">
        <v>4</v>
      </c>
      <c r="O1308" s="100">
        <f ca="1">_xll.meDateFromTenor(O1307,"1D","FOLLOWING",P$12)</f>
        <v>44361</v>
      </c>
      <c r="P1308" s="13">
        <f ca="1">_xll.meDateFromTenor(O1308,P$14,P$11,P$12)</f>
        <v>44544</v>
      </c>
      <c r="Q1308" s="98">
        <f ca="1"/>
        <v>5.4596586781164615E-3</v>
      </c>
      <c r="R1308" s="5" t="s">
        <v>4</v>
      </c>
      <c r="S1308" s="100">
        <f ca="1">_xll.meDateFromTenor(S1307,"1D","FOLLOWING",T$12)</f>
        <v>44361</v>
      </c>
      <c r="T1308" s="13">
        <f ca="1">_xll.meDateFromTenor(S1308,T$14,T$11,T$12)</f>
        <v>44726</v>
      </c>
      <c r="U1308" s="98">
        <f ca="1"/>
        <v>7.4864479553623606E-3</v>
      </c>
      <c r="V1308" s="5" t="s">
        <v>4</v>
      </c>
      <c r="W1308" s="84" t="s">
        <v>4</v>
      </c>
    </row>
    <row r="1309" spans="1:23" x14ac:dyDescent="0.25">
      <c r="A1309" s="90">
        <v>1290</v>
      </c>
      <c r="B1309" s="83"/>
      <c r="C1309" s="100">
        <f ca="1">_xll.meDateFromTenor(C1308,"1D","FOLLOWING",D$12)</f>
        <v>44362</v>
      </c>
      <c r="D1309" s="13">
        <f ca="1">_xll.meDateFromTenor(C1309,D$14,D$11,D$12)</f>
        <v>44363</v>
      </c>
      <c r="E1309" s="98">
        <f ca="1"/>
        <v>1.5331063650594618E-3</v>
      </c>
      <c r="F1309" s="94"/>
      <c r="G1309" s="100">
        <f ca="1">_xll.meDateFromTenor(G1308,"1D","FOLLOWING",H$12)</f>
        <v>44362</v>
      </c>
      <c r="H1309" s="13">
        <f ca="1">_xll.meDateFromTenor(G1309,H$14,H$11,H$12)</f>
        <v>44392</v>
      </c>
      <c r="I1309" s="98">
        <f ca="1"/>
        <v>2.486294556251527E-3</v>
      </c>
      <c r="J1309" s="94" t="s">
        <v>4</v>
      </c>
      <c r="K1309" s="100">
        <f ca="1">_xll.meDateFromTenor(K1308,"1D","FOLLOWING",L$12)</f>
        <v>44362</v>
      </c>
      <c r="L1309" s="13">
        <f ca="1">_xll.meDateFromTenor(K1309,L$14,L$11,L$12)</f>
        <v>44454</v>
      </c>
      <c r="M1309" s="98">
        <f ca="1"/>
        <v>3.6890532382237284E-3</v>
      </c>
      <c r="N1309" s="5" t="s">
        <v>4</v>
      </c>
      <c r="O1309" s="100">
        <f ca="1">_xll.meDateFromTenor(O1308,"1D","FOLLOWING",P$12)</f>
        <v>44362</v>
      </c>
      <c r="P1309" s="13">
        <f ca="1">_xll.meDateFromTenor(O1309,P$14,P$11,P$12)</f>
        <v>44545</v>
      </c>
      <c r="Q1309" s="98">
        <f ca="1"/>
        <v>5.4671052104932581E-3</v>
      </c>
      <c r="R1309" s="5" t="s">
        <v>4</v>
      </c>
      <c r="S1309" s="100">
        <f ca="1">_xll.meDateFromTenor(S1308,"1D","FOLLOWING",T$12)</f>
        <v>44362</v>
      </c>
      <c r="T1309" s="13">
        <f ca="1">_xll.meDateFromTenor(S1309,T$14,T$11,T$12)</f>
        <v>44727</v>
      </c>
      <c r="U1309" s="98">
        <f ca="1"/>
        <v>7.493772896017447E-3</v>
      </c>
      <c r="V1309" s="5" t="s">
        <v>4</v>
      </c>
      <c r="W1309" s="84" t="s">
        <v>4</v>
      </c>
    </row>
    <row r="1310" spans="1:23" x14ac:dyDescent="0.25">
      <c r="A1310" s="90">
        <v>1291</v>
      </c>
      <c r="B1310" s="83"/>
      <c r="C1310" s="100">
        <f ca="1">_xll.meDateFromTenor(C1309,"1D","FOLLOWING",D$12)</f>
        <v>44363</v>
      </c>
      <c r="D1310" s="13">
        <f ca="1">_xll.meDateFromTenor(C1310,D$14,D$11,D$12)</f>
        <v>44364</v>
      </c>
      <c r="E1310" s="98">
        <f ca="1"/>
        <v>1.5428955438865164E-3</v>
      </c>
      <c r="F1310" s="94"/>
      <c r="G1310" s="100">
        <f ca="1">_xll.meDateFromTenor(G1309,"1D","FOLLOWING",H$12)</f>
        <v>44363</v>
      </c>
      <c r="H1310" s="13">
        <f ca="1">_xll.meDateFromTenor(G1310,H$14,H$11,H$12)</f>
        <v>44393</v>
      </c>
      <c r="I1310" s="98">
        <f ca="1"/>
        <v>2.4939733652151251E-3</v>
      </c>
      <c r="J1310" s="94" t="s">
        <v>4</v>
      </c>
      <c r="K1310" s="100">
        <f ca="1">_xll.meDateFromTenor(K1309,"1D","FOLLOWING",L$12)</f>
        <v>44363</v>
      </c>
      <c r="L1310" s="13">
        <f ca="1">_xll.meDateFromTenor(K1310,L$14,L$11,L$12)</f>
        <v>44455</v>
      </c>
      <c r="M1310" s="98">
        <f ca="1"/>
        <v>3.6967570567056304E-3</v>
      </c>
      <c r="N1310" s="5" t="s">
        <v>4</v>
      </c>
      <c r="O1310" s="100">
        <f ca="1">_xll.meDateFromTenor(O1309,"1D","FOLLOWING",P$12)</f>
        <v>44363</v>
      </c>
      <c r="P1310" s="13">
        <f ca="1">_xll.meDateFromTenor(O1310,P$14,P$11,P$12)</f>
        <v>44546</v>
      </c>
      <c r="Q1310" s="98">
        <f ca="1"/>
        <v>5.4745543388924067E-3</v>
      </c>
      <c r="R1310" s="5" t="s">
        <v>4</v>
      </c>
      <c r="S1310" s="100">
        <f ca="1">_xll.meDateFromTenor(S1309,"1D","FOLLOWING",T$12)</f>
        <v>44363</v>
      </c>
      <c r="T1310" s="13">
        <f ca="1">_xll.meDateFromTenor(S1310,T$14,T$11,T$12)</f>
        <v>44728</v>
      </c>
      <c r="U1310" s="98">
        <f ca="1"/>
        <v>7.5010975987489844E-3</v>
      </c>
      <c r="V1310" s="5" t="s">
        <v>4</v>
      </c>
      <c r="W1310" s="84" t="s">
        <v>4</v>
      </c>
    </row>
    <row r="1311" spans="1:23" x14ac:dyDescent="0.25">
      <c r="A1311" s="90">
        <v>1292</v>
      </c>
      <c r="B1311" s="83"/>
      <c r="C1311" s="100">
        <f ca="1">_xll.meDateFromTenor(C1310,"1D","FOLLOWING",D$12)</f>
        <v>44364</v>
      </c>
      <c r="D1311" s="13">
        <f ca="1">_xll.meDateFromTenor(C1311,D$14,D$11,D$12)</f>
        <v>44365</v>
      </c>
      <c r="E1311" s="98">
        <f ca="1"/>
        <v>1.5526773891408091E-3</v>
      </c>
      <c r="F1311" s="94"/>
      <c r="G1311" s="100">
        <f ca="1">_xll.meDateFromTenor(G1310,"1D","FOLLOWING",H$12)</f>
        <v>44364</v>
      </c>
      <c r="H1311" s="13">
        <f ca="1">_xll.meDateFromTenor(G1311,H$14,H$11,H$12)</f>
        <v>44396</v>
      </c>
      <c r="I1311" s="98">
        <f ca="1"/>
        <v>2.5016581296123186E-3</v>
      </c>
      <c r="J1311" s="94" t="s">
        <v>4</v>
      </c>
      <c r="K1311" s="100">
        <f ca="1">_xll.meDateFromTenor(K1310,"1D","FOLLOWING",L$12)</f>
        <v>44364</v>
      </c>
      <c r="L1311" s="13">
        <f ca="1">_xll.meDateFromTenor(K1311,L$14,L$11,L$12)</f>
        <v>44456</v>
      </c>
      <c r="M1311" s="98">
        <f ca="1"/>
        <v>3.7044635187307843E-3</v>
      </c>
      <c r="N1311" s="5" t="s">
        <v>4</v>
      </c>
      <c r="O1311" s="100">
        <f ca="1">_xll.meDateFromTenor(O1310,"1D","FOLLOWING",P$12)</f>
        <v>44364</v>
      </c>
      <c r="P1311" s="13">
        <f ca="1">_xll.meDateFromTenor(O1311,P$14,P$11,P$12)</f>
        <v>44547</v>
      </c>
      <c r="Q1311" s="98">
        <f ca="1"/>
        <v>5.4820060711787879E-3</v>
      </c>
      <c r="R1311" s="5" t="s">
        <v>4</v>
      </c>
      <c r="S1311" s="100">
        <f ca="1">_xll.meDateFromTenor(S1310,"1D","FOLLOWING",T$12)</f>
        <v>44364</v>
      </c>
      <c r="T1311" s="13">
        <f ca="1">_xll.meDateFromTenor(S1311,T$14,T$11,T$12)</f>
        <v>44729</v>
      </c>
      <c r="U1311" s="98">
        <f ca="1"/>
        <v>7.5084220608240921E-3</v>
      </c>
      <c r="V1311" s="5" t="s">
        <v>4</v>
      </c>
      <c r="W1311" s="84" t="s">
        <v>4</v>
      </c>
    </row>
    <row r="1312" spans="1:23" x14ac:dyDescent="0.25">
      <c r="A1312" s="90">
        <v>1293</v>
      </c>
      <c r="B1312" s="83"/>
      <c r="C1312" s="100">
        <f ca="1">_xll.meDateFromTenor(C1311,"1D","FOLLOWING",D$12)</f>
        <v>44365</v>
      </c>
      <c r="D1312" s="13">
        <f ca="1">_xll.meDateFromTenor(C1312,D$14,D$11,D$12)</f>
        <v>44368</v>
      </c>
      <c r="E1312" s="98">
        <f ca="1"/>
        <v>1.5722235038938875E-3</v>
      </c>
      <c r="F1312" s="94"/>
      <c r="G1312" s="100">
        <f ca="1">_xll.meDateFromTenor(G1311,"1D","FOLLOWING",H$12)</f>
        <v>44365</v>
      </c>
      <c r="H1312" s="13">
        <f ca="1">_xll.meDateFromTenor(G1312,H$14,H$11,H$12)</f>
        <v>44396</v>
      </c>
      <c r="I1312" s="98">
        <f ca="1"/>
        <v>2.5093474828204497E-3</v>
      </c>
      <c r="J1312" s="94" t="s">
        <v>4</v>
      </c>
      <c r="K1312" s="100">
        <f ca="1">_xll.meDateFromTenor(K1311,"1D","FOLLOWING",L$12)</f>
        <v>44365</v>
      </c>
      <c r="L1312" s="13">
        <f ca="1">_xll.meDateFromTenor(K1312,L$14,L$11,L$12)</f>
        <v>44459</v>
      </c>
      <c r="M1312" s="98">
        <f ca="1"/>
        <v>3.7121726142046569E-3</v>
      </c>
      <c r="N1312" s="5" t="s">
        <v>4</v>
      </c>
      <c r="O1312" s="100">
        <f ca="1">_xll.meDateFromTenor(O1311,"1D","FOLLOWING",P$12)</f>
        <v>44365</v>
      </c>
      <c r="P1312" s="13">
        <f ca="1">_xll.meDateFromTenor(O1312,P$14,P$11,P$12)</f>
        <v>44550</v>
      </c>
      <c r="Q1312" s="98">
        <f ca="1"/>
        <v>5.4894604152172788E-3</v>
      </c>
      <c r="R1312" s="5" t="s">
        <v>4</v>
      </c>
      <c r="S1312" s="100">
        <f ca="1">_xll.meDateFromTenor(S1311,"1D","FOLLOWING",T$12)</f>
        <v>44365</v>
      </c>
      <c r="T1312" s="13">
        <f ca="1">_xll.meDateFromTenor(S1312,T$14,T$11,T$12)</f>
        <v>44732</v>
      </c>
      <c r="U1312" s="98">
        <f ca="1"/>
        <v>7.5157462795098851E-3</v>
      </c>
      <c r="V1312" s="5" t="s">
        <v>4</v>
      </c>
      <c r="W1312" s="84" t="s">
        <v>4</v>
      </c>
    </row>
    <row r="1313" spans="1:23" x14ac:dyDescent="0.25">
      <c r="A1313" s="90">
        <v>1294</v>
      </c>
      <c r="B1313" s="83"/>
      <c r="C1313" s="100">
        <f ca="1">_xll.meDateFromTenor(C1312,"1D","FOLLOWING",D$12)</f>
        <v>44368</v>
      </c>
      <c r="D1313" s="13">
        <f ca="1">_xll.meDateFromTenor(C1313,D$14,D$11,D$12)</f>
        <v>44369</v>
      </c>
      <c r="E1313" s="98">
        <f ca="1"/>
        <v>1.5917314472877208E-3</v>
      </c>
      <c r="F1313" s="94"/>
      <c r="G1313" s="100">
        <f ca="1">_xll.meDateFromTenor(G1312,"1D","FOLLOWING",H$12)</f>
        <v>44368</v>
      </c>
      <c r="H1313" s="13">
        <f ca="1">_xll.meDateFromTenor(G1313,H$14,H$11,H$12)</f>
        <v>44398</v>
      </c>
      <c r="I1313" s="98">
        <f ca="1"/>
        <v>2.5324294090838654E-3</v>
      </c>
      <c r="J1313" s="94" t="s">
        <v>4</v>
      </c>
      <c r="K1313" s="100">
        <f ca="1">_xll.meDateFromTenor(K1312,"1D","FOLLOWING",L$12)</f>
        <v>44368</v>
      </c>
      <c r="L1313" s="13">
        <f ca="1">_xll.meDateFromTenor(K1313,L$14,L$11,L$12)</f>
        <v>44460</v>
      </c>
      <c r="M1313" s="98">
        <f ca="1"/>
        <v>3.7353156003732623E-3</v>
      </c>
      <c r="N1313" s="5" t="s">
        <v>4</v>
      </c>
      <c r="O1313" s="100">
        <f ca="1">_xll.meDateFromTenor(O1312,"1D","FOLLOWING",P$12)</f>
        <v>44368</v>
      </c>
      <c r="P1313" s="13">
        <f ca="1">_xll.meDateFromTenor(O1313,P$14,P$11,P$12)</f>
        <v>44551</v>
      </c>
      <c r="Q1313" s="98">
        <f ca="1"/>
        <v>5.5118391964942203E-3</v>
      </c>
      <c r="R1313" s="5" t="s">
        <v>4</v>
      </c>
      <c r="S1313" s="100">
        <f ca="1">_xll.meDateFromTenor(S1312,"1D","FOLLOWING",T$12)</f>
        <v>44368</v>
      </c>
      <c r="T1313" s="13">
        <f ca="1">_xll.meDateFromTenor(S1313,T$14,T$11,T$12)</f>
        <v>44733</v>
      </c>
      <c r="U1313" s="98">
        <f ca="1"/>
        <v>7.5377174479025581E-3</v>
      </c>
      <c r="V1313" s="5" t="s">
        <v>4</v>
      </c>
      <c r="W1313" s="84" t="s">
        <v>4</v>
      </c>
    </row>
    <row r="1314" spans="1:23" x14ac:dyDescent="0.25">
      <c r="A1314" s="90">
        <v>1295</v>
      </c>
      <c r="B1314" s="83"/>
      <c r="C1314" s="100">
        <f ca="1">_xll.meDateFromTenor(C1313,"1D","FOLLOWING",D$12)</f>
        <v>44369</v>
      </c>
      <c r="D1314" s="13">
        <f ca="1">_xll.meDateFromTenor(C1314,D$14,D$11,D$12)</f>
        <v>44370</v>
      </c>
      <c r="E1314" s="98">
        <f ca="1"/>
        <v>1.6014766343455508E-3</v>
      </c>
      <c r="F1314" s="94"/>
      <c r="G1314" s="100">
        <f ca="1">_xll.meDateFromTenor(G1313,"1D","FOLLOWING",H$12)</f>
        <v>44369</v>
      </c>
      <c r="H1314" s="13">
        <f ca="1">_xll.meDateFromTenor(G1314,H$14,H$11,H$12)</f>
        <v>44399</v>
      </c>
      <c r="I1314" s="98">
        <f ca="1"/>
        <v>2.5401234513091507E-3</v>
      </c>
      <c r="J1314" s="94" t="s">
        <v>4</v>
      </c>
      <c r="K1314" s="100">
        <f ca="1">_xll.meDateFromTenor(K1313,"1D","FOLLOWING",L$12)</f>
        <v>44369</v>
      </c>
      <c r="L1314" s="13">
        <f ca="1">_xll.meDateFromTenor(K1314,L$14,L$11,L$12)</f>
        <v>44461</v>
      </c>
      <c r="M1314" s="98">
        <f ca="1"/>
        <v>3.7430351286966866E-3</v>
      </c>
      <c r="N1314" s="5" t="s">
        <v>4</v>
      </c>
      <c r="O1314" s="100">
        <f ca="1">_xll.meDateFromTenor(O1313,"1D","FOLLOWING",P$12)</f>
        <v>44369</v>
      </c>
      <c r="P1314" s="13">
        <f ca="1">_xll.meDateFromTenor(O1314,P$14,P$11,P$12)</f>
        <v>44552</v>
      </c>
      <c r="Q1314" s="98">
        <f ca="1"/>
        <v>5.5193040661899572E-3</v>
      </c>
      <c r="R1314" s="5" t="s">
        <v>4</v>
      </c>
      <c r="S1314" s="100">
        <f ca="1">_xll.meDateFromTenor(S1313,"1D","FOLLOWING",T$12)</f>
        <v>44369</v>
      </c>
      <c r="T1314" s="13">
        <f ca="1">_xll.meDateFromTenor(S1314,T$14,T$11,T$12)</f>
        <v>44734</v>
      </c>
      <c r="U1314" s="98">
        <f ca="1"/>
        <v>7.5450406657022731E-3</v>
      </c>
      <c r="V1314" s="5" t="s">
        <v>4</v>
      </c>
      <c r="W1314" s="84" t="s">
        <v>4</v>
      </c>
    </row>
    <row r="1315" spans="1:23" x14ac:dyDescent="0.25">
      <c r="A1315" s="90">
        <v>1296</v>
      </c>
      <c r="B1315" s="83"/>
      <c r="C1315" s="100">
        <f ca="1">_xll.meDateFromTenor(C1314,"1D","FOLLOWING",D$12)</f>
        <v>44370</v>
      </c>
      <c r="D1315" s="13">
        <f ca="1">_xll.meDateFromTenor(C1315,D$14,D$11,D$12)</f>
        <v>44371</v>
      </c>
      <c r="E1315" s="98">
        <f ca="1"/>
        <v>1.6112144918254113E-3</v>
      </c>
      <c r="F1315" s="94"/>
      <c r="G1315" s="100">
        <f ca="1">_xll.meDateFromTenor(G1314,"1D","FOLLOWING",H$12)</f>
        <v>44370</v>
      </c>
      <c r="H1315" s="13">
        <f ca="1">_xll.meDateFromTenor(G1315,H$14,H$11,H$12)</f>
        <v>44400</v>
      </c>
      <c r="I1315" s="98">
        <f ca="1"/>
        <v>2.5478152492320765E-3</v>
      </c>
      <c r="J1315" s="94" t="s">
        <v>4</v>
      </c>
      <c r="K1315" s="100">
        <f ca="1">_xll.meDateFromTenor(K1314,"1D","FOLLOWING",L$12)</f>
        <v>44370</v>
      </c>
      <c r="L1315" s="13">
        <f ca="1">_xll.meDateFromTenor(K1315,L$14,L$11,L$12)</f>
        <v>44462</v>
      </c>
      <c r="M1315" s="98">
        <f ca="1"/>
        <v>3.7507572399961679E-3</v>
      </c>
      <c r="N1315" s="5" t="s">
        <v>4</v>
      </c>
      <c r="O1315" s="100">
        <f ca="1">_xll.meDateFromTenor(O1314,"1D","FOLLOWING",P$12)</f>
        <v>44370</v>
      </c>
      <c r="P1315" s="13">
        <f ca="1">_xll.meDateFromTenor(O1315,P$14,P$11,P$12)</f>
        <v>44553</v>
      </c>
      <c r="Q1315" s="98">
        <f ca="1"/>
        <v>5.5267715869622034E-3</v>
      </c>
      <c r="R1315" s="5" t="s">
        <v>4</v>
      </c>
      <c r="S1315" s="100">
        <f ca="1">_xll.meDateFromTenor(S1314,"1D","FOLLOWING",T$12)</f>
        <v>44370</v>
      </c>
      <c r="T1315" s="13">
        <f ca="1">_xll.meDateFromTenor(S1315,T$14,T$11,T$12)</f>
        <v>44735</v>
      </c>
      <c r="U1315" s="98">
        <f ca="1"/>
        <v>7.5523636264482634E-3</v>
      </c>
      <c r="V1315" s="5" t="s">
        <v>4</v>
      </c>
      <c r="W1315" s="84" t="s">
        <v>4</v>
      </c>
    </row>
    <row r="1316" spans="1:23" x14ac:dyDescent="0.25">
      <c r="A1316" s="90">
        <v>1297</v>
      </c>
      <c r="B1316" s="83"/>
      <c r="C1316" s="100">
        <f ca="1">_xll.meDateFromTenor(C1315,"1D","FOLLOWING",D$12)</f>
        <v>44371</v>
      </c>
      <c r="D1316" s="13">
        <f ca="1">_xll.meDateFromTenor(C1316,D$14,D$11,D$12)</f>
        <v>44372</v>
      </c>
      <c r="E1316" s="98">
        <f ca="1"/>
        <v>1.6209450202889094E-3</v>
      </c>
      <c r="F1316" s="94"/>
      <c r="G1316" s="100">
        <f ca="1">_xll.meDateFromTenor(G1315,"1D","FOLLOWING",H$12)</f>
        <v>44371</v>
      </c>
      <c r="H1316" s="13">
        <f ca="1">_xll.meDateFromTenor(G1316,H$14,H$11,H$12)</f>
        <v>44403</v>
      </c>
      <c r="I1316" s="98">
        <f ca="1"/>
        <v>2.5555034362299838E-3</v>
      </c>
      <c r="J1316" s="94" t="s">
        <v>4</v>
      </c>
      <c r="K1316" s="100">
        <f ca="1">_xll.meDateFromTenor(K1315,"1D","FOLLOWING",L$12)</f>
        <v>44371</v>
      </c>
      <c r="L1316" s="13">
        <f ca="1">_xll.meDateFromTenor(K1316,L$14,L$11,L$12)</f>
        <v>44463</v>
      </c>
      <c r="M1316" s="98">
        <f ca="1"/>
        <v>3.7584819241771733E-3</v>
      </c>
      <c r="N1316" s="5" t="s">
        <v>4</v>
      </c>
      <c r="O1316" s="100">
        <f ca="1">_xll.meDateFromTenor(O1315,"1D","FOLLOWING",P$12)</f>
        <v>44371</v>
      </c>
      <c r="P1316" s="13">
        <f ca="1">_xll.meDateFromTenor(O1316,P$14,P$11,P$12)</f>
        <v>44554</v>
      </c>
      <c r="Q1316" s="98">
        <f ca="1"/>
        <v>5.5342417666758422E-3</v>
      </c>
      <c r="R1316" s="5" t="s">
        <v>4</v>
      </c>
      <c r="S1316" s="100">
        <f ca="1">_xll.meDateFromTenor(S1315,"1D","FOLLOWING",T$12)</f>
        <v>44371</v>
      </c>
      <c r="T1316" s="13">
        <f ca="1">_xll.meDateFromTenor(S1316,T$14,T$11,T$12)</f>
        <v>44736</v>
      </c>
      <c r="U1316" s="98">
        <f ca="1"/>
        <v>7.5596863274076465E-3</v>
      </c>
      <c r="V1316" s="5" t="s">
        <v>4</v>
      </c>
      <c r="W1316" s="84" t="s">
        <v>4</v>
      </c>
    </row>
    <row r="1317" spans="1:23" x14ac:dyDescent="0.25">
      <c r="A1317" s="90">
        <v>1298</v>
      </c>
      <c r="B1317" s="83"/>
      <c r="C1317" s="100">
        <f ca="1">_xll.meDateFromTenor(C1316,"1D","FOLLOWING",D$12)</f>
        <v>44372</v>
      </c>
      <c r="D1317" s="13">
        <f ca="1">_xll.meDateFromTenor(C1317,D$14,D$11,D$12)</f>
        <v>44375</v>
      </c>
      <c r="E1317" s="98">
        <f ca="1"/>
        <v>1.6403891250948172E-3</v>
      </c>
      <c r="F1317" s="94"/>
      <c r="G1317" s="100">
        <f ca="1">_xll.meDateFromTenor(G1316,"1D","FOLLOWING",H$12)</f>
        <v>44372</v>
      </c>
      <c r="H1317" s="13">
        <f ca="1">_xll.meDateFromTenor(G1317,H$14,H$11,H$12)</f>
        <v>44403</v>
      </c>
      <c r="I1317" s="98">
        <f ca="1"/>
        <v>2.5631866456802144E-3</v>
      </c>
      <c r="J1317" s="94" t="s">
        <v>4</v>
      </c>
      <c r="K1317" s="100">
        <f ca="1">_xll.meDateFromTenor(K1316,"1D","FOLLOWING",L$12)</f>
        <v>44372</v>
      </c>
      <c r="L1317" s="13">
        <f ca="1">_xll.meDateFromTenor(K1317,L$14,L$11,L$12)</f>
        <v>44466</v>
      </c>
      <c r="M1317" s="98">
        <f ca="1"/>
        <v>3.7662091711451709E-3</v>
      </c>
      <c r="N1317" s="5" t="s">
        <v>4</v>
      </c>
      <c r="O1317" s="100">
        <f ca="1">_xll.meDateFromTenor(O1316,"1D","FOLLOWING",P$12)</f>
        <v>44372</v>
      </c>
      <c r="P1317" s="13">
        <f ca="1">_xll.meDateFromTenor(O1317,P$14,P$11,P$12)</f>
        <v>44557</v>
      </c>
      <c r="Q1317" s="98">
        <f ca="1"/>
        <v>5.5417146131957491E-3</v>
      </c>
      <c r="R1317" s="5" t="s">
        <v>4</v>
      </c>
      <c r="S1317" s="100">
        <f ca="1">_xll.meDateFromTenor(S1316,"1D","FOLLOWING",T$12)</f>
        <v>44372</v>
      </c>
      <c r="T1317" s="13">
        <f ca="1">_xll.meDateFromTenor(S1317,T$14,T$11,T$12)</f>
        <v>44739</v>
      </c>
      <c r="U1317" s="98">
        <f ca="1"/>
        <v>7.5670087658475391E-3</v>
      </c>
      <c r="V1317" s="5" t="s">
        <v>4</v>
      </c>
      <c r="W1317" s="84" t="s">
        <v>4</v>
      </c>
    </row>
    <row r="1318" spans="1:23" x14ac:dyDescent="0.25">
      <c r="A1318" s="90">
        <v>1299</v>
      </c>
      <c r="B1318" s="83"/>
      <c r="C1318" s="100">
        <f ca="1">_xll.meDateFromTenor(C1317,"1D","FOLLOWING",D$12)</f>
        <v>44375</v>
      </c>
      <c r="D1318" s="13">
        <f ca="1">_xll.meDateFromTenor(C1318,D$14,D$11,D$12)</f>
        <v>44376</v>
      </c>
      <c r="E1318" s="98">
        <f ca="1"/>
        <v>1.6597938573961683E-3</v>
      </c>
      <c r="F1318" s="94"/>
      <c r="G1318" s="100">
        <f ca="1">_xll.meDateFromTenor(G1317,"1D","FOLLOWING",H$12)</f>
        <v>44375</v>
      </c>
      <c r="H1318" s="13">
        <f ca="1">_xll.meDateFromTenor(G1318,H$14,H$11,H$12)</f>
        <v>44405</v>
      </c>
      <c r="I1318" s="98">
        <f ca="1"/>
        <v>2.586192742518248E-3</v>
      </c>
      <c r="J1318" s="94" t="s">
        <v>4</v>
      </c>
      <c r="K1318" s="100">
        <f ca="1">_xll.meDateFromTenor(K1317,"1D","FOLLOWING",L$12)</f>
        <v>44375</v>
      </c>
      <c r="L1318" s="13">
        <f ca="1">_xll.meDateFromTenor(K1318,L$14,L$11,L$12)</f>
        <v>44467</v>
      </c>
      <c r="M1318" s="98">
        <f ca="1"/>
        <v>3.7894061878257878E-3</v>
      </c>
      <c r="N1318" s="5" t="s">
        <v>4</v>
      </c>
      <c r="O1318" s="100">
        <f ca="1">_xll.meDateFromTenor(O1317,"1D","FOLLOWING",P$12)</f>
        <v>44375</v>
      </c>
      <c r="P1318" s="13">
        <f ca="1">_xll.meDateFromTenor(O1318,P$14,P$11,P$12)</f>
        <v>44558</v>
      </c>
      <c r="Q1318" s="98">
        <f ca="1"/>
        <v>5.5641492322418889E-3</v>
      </c>
      <c r="R1318" s="5" t="s">
        <v>4</v>
      </c>
      <c r="S1318" s="100">
        <f ca="1">_xll.meDateFromTenor(S1317,"1D","FOLLOWING",T$12)</f>
        <v>44375</v>
      </c>
      <c r="T1318" s="13">
        <f ca="1">_xll.meDateFromTenor(S1318,T$14,T$11,T$12)</f>
        <v>44740</v>
      </c>
      <c r="U1318" s="98">
        <f ca="1"/>
        <v>7.5889744787214549E-3</v>
      </c>
      <c r="V1318" s="5" t="s">
        <v>4</v>
      </c>
      <c r="W1318" s="84" t="s">
        <v>4</v>
      </c>
    </row>
    <row r="1319" spans="1:23" x14ac:dyDescent="0.25">
      <c r="A1319" s="90">
        <v>1300</v>
      </c>
      <c r="B1319" s="83"/>
      <c r="C1319" s="100">
        <f ca="1">_xll.meDateFromTenor(C1318,"1D","FOLLOWING",D$12)</f>
        <v>44376</v>
      </c>
      <c r="D1319" s="13">
        <f ca="1">_xll.meDateFromTenor(C1319,D$14,D$11,D$12)</f>
        <v>44377</v>
      </c>
      <c r="E1319" s="98">
        <f ca="1"/>
        <v>1.6694877507636595E-3</v>
      </c>
      <c r="F1319" s="94"/>
      <c r="G1319" s="100">
        <f ca="1">_xll.meDateFromTenor(G1318,"1D","FOLLOWING",H$12)</f>
        <v>44376</v>
      </c>
      <c r="H1319" s="13">
        <f ca="1">_xll.meDateFromTenor(G1319,H$14,H$11,H$12)</f>
        <v>44406</v>
      </c>
      <c r="I1319" s="98">
        <f ca="1"/>
        <v>2.5938423755511772E-3</v>
      </c>
      <c r="J1319" s="94" t="s">
        <v>4</v>
      </c>
      <c r="K1319" s="100">
        <f ca="1">_xll.meDateFromTenor(K1318,"1D","FOLLOWING",L$12)</f>
        <v>44376</v>
      </c>
      <c r="L1319" s="13">
        <f ca="1">_xll.meDateFromTenor(K1319,L$14,L$11,L$12)</f>
        <v>44468</v>
      </c>
      <c r="M1319" s="98">
        <f ca="1"/>
        <v>3.7971435849964278E-3</v>
      </c>
      <c r="N1319" s="5" t="s">
        <v>4</v>
      </c>
      <c r="O1319" s="100">
        <f ca="1">_xll.meDateFromTenor(O1318,"1D","FOLLOWING",P$12)</f>
        <v>44376</v>
      </c>
      <c r="P1319" s="13">
        <f ca="1">_xll.meDateFromTenor(O1319,P$14,P$11,P$12)</f>
        <v>44559</v>
      </c>
      <c r="Q1319" s="98">
        <f ca="1"/>
        <v>5.5716328246356766E-3</v>
      </c>
      <c r="R1319" s="5" t="s">
        <v>4</v>
      </c>
      <c r="S1319" s="100">
        <f ca="1">_xll.meDateFromTenor(S1318,"1D","FOLLOWING",T$12)</f>
        <v>44376</v>
      </c>
      <c r="T1319" s="13">
        <f ca="1">_xll.meDateFromTenor(S1319,T$14,T$11,T$12)</f>
        <v>44741</v>
      </c>
      <c r="U1319" s="98">
        <f ca="1"/>
        <v>7.5962958397545657E-3</v>
      </c>
      <c r="V1319" s="5" t="s">
        <v>4</v>
      </c>
      <c r="W1319" s="84" t="s">
        <v>4</v>
      </c>
    </row>
    <row r="1320" spans="1:23" x14ac:dyDescent="0.25">
      <c r="A1320" s="90">
        <v>1301</v>
      </c>
      <c r="B1320" s="83"/>
      <c r="C1320" s="100">
        <f ca="1">_xll.meDateFromTenor(C1319,"1D","FOLLOWING",D$12)</f>
        <v>44377</v>
      </c>
      <c r="D1320" s="13">
        <f ca="1">_xll.meDateFromTenor(C1320,D$14,D$11,D$12)</f>
        <v>44378</v>
      </c>
      <c r="E1320" s="98">
        <f ca="1"/>
        <v>1.6791743188718203E-3</v>
      </c>
      <c r="F1320" s="94"/>
      <c r="G1320" s="100">
        <f ca="1">_xll.meDateFromTenor(G1319,"1D","FOLLOWING",H$12)</f>
        <v>44377</v>
      </c>
      <c r="H1320" s="13">
        <f ca="1">_xll.meDateFromTenor(G1320,H$14,H$11,H$12)</f>
        <v>44407</v>
      </c>
      <c r="I1320" s="98">
        <f ca="1"/>
        <v>2.6014801979231342E-3</v>
      </c>
      <c r="J1320" s="94" t="s">
        <v>4</v>
      </c>
      <c r="K1320" s="100">
        <f ca="1">_xll.meDateFromTenor(K1319,"1D","FOLLOWING",L$12)</f>
        <v>44377</v>
      </c>
      <c r="L1320" s="13">
        <f ca="1">_xll.meDateFromTenor(K1320,L$14,L$11,L$12)</f>
        <v>44469</v>
      </c>
      <c r="M1320" s="98">
        <f ca="1"/>
        <v>3.8048834944813979E-3</v>
      </c>
      <c r="N1320" s="5" t="s">
        <v>4</v>
      </c>
      <c r="O1320" s="100">
        <f ca="1">_xll.meDateFromTenor(O1319,"1D","FOLLOWING",P$12)</f>
        <v>44377</v>
      </c>
      <c r="P1320" s="13">
        <f ca="1">_xll.meDateFromTenor(O1320,P$14,P$11,P$12)</f>
        <v>44560</v>
      </c>
      <c r="Q1320" s="98">
        <f ca="1"/>
        <v>5.5791191231601318E-3</v>
      </c>
      <c r="R1320" s="5" t="s">
        <v>4</v>
      </c>
      <c r="S1320" s="100">
        <f ca="1">_xll.meDateFromTenor(S1319,"1D","FOLLOWING",T$12)</f>
        <v>44377</v>
      </c>
      <c r="T1320" s="13">
        <f ca="1">_xll.meDateFromTenor(S1320,T$14,T$11,T$12)</f>
        <v>44742</v>
      </c>
      <c r="U1320" s="98">
        <f ca="1"/>
        <v>7.6036169246037752E-3</v>
      </c>
      <c r="V1320" s="5" t="s">
        <v>4</v>
      </c>
      <c r="W1320" s="84" t="s">
        <v>4</v>
      </c>
    </row>
    <row r="1321" spans="1:23" x14ac:dyDescent="0.25">
      <c r="A1321" s="90">
        <v>1302</v>
      </c>
      <c r="B1321" s="83"/>
      <c r="C1321" s="100">
        <f ca="1">_xll.meDateFromTenor(C1320,"1D","FOLLOWING",D$12)</f>
        <v>44378</v>
      </c>
      <c r="D1321" s="13">
        <f ca="1">_xll.meDateFromTenor(C1321,D$14,D$11,D$12)</f>
        <v>44379</v>
      </c>
      <c r="E1321" s="98">
        <f ca="1"/>
        <v>1.6888535627576776E-3</v>
      </c>
      <c r="F1321" s="94"/>
      <c r="G1321" s="100">
        <f ca="1">_xll.meDateFromTenor(G1320,"1D","FOLLOWING",H$12)</f>
        <v>44378</v>
      </c>
      <c r="H1321" s="13">
        <f ca="1">_xll.meDateFromTenor(G1321,H$14,H$11,H$12)</f>
        <v>44410</v>
      </c>
      <c r="I1321" s="98">
        <f ca="1"/>
        <v>2.6091048430114589E-3</v>
      </c>
      <c r="J1321" s="94" t="s">
        <v>4</v>
      </c>
      <c r="K1321" s="100">
        <f ca="1">_xll.meDateFromTenor(K1320,"1D","FOLLOWING",L$12)</f>
        <v>44378</v>
      </c>
      <c r="L1321" s="13">
        <f ca="1">_xll.meDateFromTenor(K1321,L$14,L$11,L$12)</f>
        <v>44470</v>
      </c>
      <c r="M1321" s="98">
        <f ca="1"/>
        <v>3.8126259061861656E-3</v>
      </c>
      <c r="N1321" s="5" t="s">
        <v>4</v>
      </c>
      <c r="O1321" s="100">
        <f ca="1">_xll.meDateFromTenor(O1320,"1D","FOLLOWING",P$12)</f>
        <v>44378</v>
      </c>
      <c r="P1321" s="13">
        <f ca="1">_xll.meDateFromTenor(O1321,P$14,P$11,P$12)</f>
        <v>44564</v>
      </c>
      <c r="Q1321" s="98">
        <f ca="1"/>
        <v>5.5866081356801371E-3</v>
      </c>
      <c r="R1321" s="5" t="s">
        <v>4</v>
      </c>
      <c r="S1321" s="100">
        <f ca="1">_xll.meDateFromTenor(S1320,"1D","FOLLOWING",T$12)</f>
        <v>44378</v>
      </c>
      <c r="T1321" s="13">
        <f ca="1">_xll.meDateFromTenor(S1321,T$14,T$11,T$12)</f>
        <v>44743</v>
      </c>
      <c r="U1321" s="98">
        <f ca="1"/>
        <v>7.6109377305362009E-3</v>
      </c>
      <c r="V1321" s="5" t="s">
        <v>4</v>
      </c>
      <c r="W1321" s="84" t="s">
        <v>4</v>
      </c>
    </row>
    <row r="1322" spans="1:23" x14ac:dyDescent="0.25">
      <c r="A1322" s="90">
        <v>1303</v>
      </c>
      <c r="B1322" s="83"/>
      <c r="C1322" s="100">
        <f ca="1">_xll.meDateFromTenor(C1321,"1D","FOLLOWING",D$12)</f>
        <v>44379</v>
      </c>
      <c r="D1322" s="13">
        <f ca="1">_xll.meDateFromTenor(C1322,D$14,D$11,D$12)</f>
        <v>44382</v>
      </c>
      <c r="E1322" s="98">
        <f ca="1"/>
        <v>1.7081957438947887E-3</v>
      </c>
      <c r="F1322" s="94"/>
      <c r="G1322" s="100">
        <f ca="1">_xll.meDateFromTenor(G1321,"1D","FOLLOWING",H$12)</f>
        <v>44379</v>
      </c>
      <c r="H1322" s="13">
        <f ca="1">_xll.meDateFromTenor(G1322,H$14,H$11,H$12)</f>
        <v>44410</v>
      </c>
      <c r="I1322" s="98">
        <f ca="1"/>
        <v>2.6167149441934925E-3</v>
      </c>
      <c r="J1322" s="94" t="s">
        <v>4</v>
      </c>
      <c r="K1322" s="100">
        <f ca="1">_xll.meDateFromTenor(K1321,"1D","FOLLOWING",L$12)</f>
        <v>44379</v>
      </c>
      <c r="L1322" s="13">
        <f ca="1">_xll.meDateFromTenor(K1322,L$14,L$11,L$12)</f>
        <v>44473</v>
      </c>
      <c r="M1322" s="98">
        <f ca="1"/>
        <v>3.8203708100161978E-3</v>
      </c>
      <c r="N1322" s="5" t="s">
        <v>4</v>
      </c>
      <c r="O1322" s="100">
        <f ca="1">_xll.meDateFromTenor(O1321,"1D","FOLLOWING",P$12)</f>
        <v>44379</v>
      </c>
      <c r="P1322" s="13">
        <f ca="1">_xll.meDateFromTenor(O1322,P$14,P$11,P$12)</f>
        <v>44564</v>
      </c>
      <c r="Q1322" s="98">
        <f ca="1"/>
        <v>5.5940998700605713E-3</v>
      </c>
      <c r="R1322" s="5" t="s">
        <v>4</v>
      </c>
      <c r="S1322" s="100">
        <f ca="1">_xll.meDateFromTenor(S1321,"1D","FOLLOWING",T$12)</f>
        <v>44379</v>
      </c>
      <c r="T1322" s="13">
        <f ca="1">_xll.meDateFromTenor(S1322,T$14,T$11,T$12)</f>
        <v>44746</v>
      </c>
      <c r="U1322" s="98">
        <f ca="1"/>
        <v>7.6182582548189612E-3</v>
      </c>
      <c r="V1322" s="5" t="s">
        <v>4</v>
      </c>
      <c r="W1322" s="84" t="s">
        <v>4</v>
      </c>
    </row>
    <row r="1323" spans="1:23" x14ac:dyDescent="0.25">
      <c r="A1323" s="90">
        <v>1304</v>
      </c>
      <c r="B1323" s="83"/>
      <c r="C1323" s="100">
        <f ca="1">_xll.meDateFromTenor(C1322,"1D","FOLLOWING",D$12)</f>
        <v>44382</v>
      </c>
      <c r="D1323" s="13">
        <f ca="1">_xll.meDateFromTenor(C1323,D$14,D$11,D$12)</f>
        <v>44383</v>
      </c>
      <c r="E1323" s="98">
        <f ca="1"/>
        <v>1.7274973062428387E-3</v>
      </c>
      <c r="F1323" s="94"/>
      <c r="G1323" s="100">
        <f ca="1">_xll.meDateFromTenor(G1322,"1D","FOLLOWING",H$12)</f>
        <v>44382</v>
      </c>
      <c r="H1323" s="13">
        <f ca="1">_xll.meDateFromTenor(G1323,H$14,H$11,H$12)</f>
        <v>44413</v>
      </c>
      <c r="I1323" s="98">
        <f ca="1"/>
        <v>2.6394557097885029E-3</v>
      </c>
      <c r="J1323" s="94" t="s">
        <v>4</v>
      </c>
      <c r="K1323" s="100">
        <f ca="1">_xll.meDateFromTenor(K1322,"1D","FOLLOWING",L$12)</f>
        <v>44382</v>
      </c>
      <c r="L1323" s="13">
        <f ca="1">_xll.meDateFromTenor(K1323,L$14,L$11,L$12)</f>
        <v>44474</v>
      </c>
      <c r="M1323" s="98">
        <f ca="1"/>
        <v>3.8436203733125574E-3</v>
      </c>
      <c r="N1323" s="5" t="s">
        <v>4</v>
      </c>
      <c r="O1323" s="100">
        <f ca="1">_xll.meDateFromTenor(O1322,"1D","FOLLOWING",P$12)</f>
        <v>44382</v>
      </c>
      <c r="P1323" s="13">
        <f ca="1">_xll.meDateFromTenor(O1323,P$14,P$11,P$12)</f>
        <v>44566</v>
      </c>
      <c r="Q1323" s="98">
        <f ca="1"/>
        <v>5.6165914830132464E-3</v>
      </c>
      <c r="R1323" s="5" t="s">
        <v>4</v>
      </c>
      <c r="S1323" s="100">
        <f ca="1">_xll.meDateFromTenor(S1322,"1D","FOLLOWING",T$12)</f>
        <v>44382</v>
      </c>
      <c r="T1323" s="13">
        <f ca="1">_xll.meDateFromTenor(S1323,T$14,T$11,T$12)</f>
        <v>44747</v>
      </c>
      <c r="U1323" s="98">
        <f ca="1"/>
        <v>7.6402181104404197E-3</v>
      </c>
      <c r="V1323" s="5" t="s">
        <v>4</v>
      </c>
      <c r="W1323" s="84" t="s">
        <v>4</v>
      </c>
    </row>
    <row r="1324" spans="1:23" x14ac:dyDescent="0.25">
      <c r="A1324" s="90">
        <v>1305</v>
      </c>
      <c r="B1324" s="83"/>
      <c r="C1324" s="100">
        <f ca="1">_xll.meDateFromTenor(C1323,"1D","FOLLOWING",D$12)</f>
        <v>44383</v>
      </c>
      <c r="D1324" s="13">
        <f ca="1">_xll.meDateFromTenor(C1324,D$14,D$11,D$12)</f>
        <v>44384</v>
      </c>
      <c r="E1324" s="98">
        <f ca="1"/>
        <v>1.7371399374968629E-3</v>
      </c>
      <c r="F1324" s="94"/>
      <c r="G1324" s="100">
        <f ca="1">_xll.meDateFromTenor(G1323,"1D","FOLLOWING",H$12)</f>
        <v>44383</v>
      </c>
      <c r="H1324" s="13">
        <f ca="1">_xll.meDateFromTenor(G1324,H$14,H$11,H$12)</f>
        <v>44414</v>
      </c>
      <c r="I1324" s="98">
        <f ca="1"/>
        <v>2.6470095799850839E-3</v>
      </c>
      <c r="J1324" s="94" t="s">
        <v>4</v>
      </c>
      <c r="K1324" s="100">
        <f ca="1">_xll.meDateFromTenor(K1323,"1D","FOLLOWING",L$12)</f>
        <v>44383</v>
      </c>
      <c r="L1324" s="13">
        <f ca="1">_xll.meDateFromTenor(K1324,L$14,L$11,L$12)</f>
        <v>44475</v>
      </c>
      <c r="M1324" s="98">
        <f ca="1"/>
        <v>3.8513751446983243E-3</v>
      </c>
      <c r="N1324" s="5" t="s">
        <v>4</v>
      </c>
      <c r="O1324" s="100">
        <f ca="1">_xll.meDateFromTenor(O1323,"1D","FOLLOWING",P$12)</f>
        <v>44383</v>
      </c>
      <c r="P1324" s="13">
        <f ca="1">_xll.meDateFromTenor(O1324,P$14,P$11,P$12)</f>
        <v>44567</v>
      </c>
      <c r="Q1324" s="98">
        <f ca="1"/>
        <v>5.6240941834841953E-3</v>
      </c>
      <c r="R1324" s="5" t="s">
        <v>4</v>
      </c>
      <c r="S1324" s="100">
        <f ca="1">_xll.meDateFromTenor(S1323,"1D","FOLLOWING",T$12)</f>
        <v>44383</v>
      </c>
      <c r="T1324" s="13">
        <f ca="1">_xll.meDateFromTenor(S1324,T$14,T$11,T$12)</f>
        <v>44748</v>
      </c>
      <c r="U1324" s="98">
        <f ca="1"/>
        <v>7.6475374807956934E-3</v>
      </c>
      <c r="V1324" s="5" t="s">
        <v>4</v>
      </c>
      <c r="W1324" s="84" t="s">
        <v>4</v>
      </c>
    </row>
    <row r="1325" spans="1:23" x14ac:dyDescent="0.25">
      <c r="A1325" s="90">
        <v>1306</v>
      </c>
      <c r="B1325" s="83"/>
      <c r="C1325" s="100">
        <f ca="1">_xll.meDateFromTenor(C1324,"1D","FOLLOWING",D$12)</f>
        <v>44384</v>
      </c>
      <c r="D1325" s="13">
        <f ca="1">_xll.meDateFromTenor(C1325,D$14,D$11,D$12)</f>
        <v>44385</v>
      </c>
      <c r="E1325" s="98">
        <f ca="1"/>
        <v>1.7467752479657973E-3</v>
      </c>
      <c r="F1325" s="94"/>
      <c r="G1325" s="100">
        <f ca="1">_xll.meDateFromTenor(G1324,"1D","FOLLOWING",H$12)</f>
        <v>44384</v>
      </c>
      <c r="H1325" s="13">
        <f ca="1">_xll.meDateFromTenor(G1325,H$14,H$11,H$12)</f>
        <v>44417</v>
      </c>
      <c r="I1325" s="98">
        <f ca="1"/>
        <v>2.6545521991294067E-3</v>
      </c>
      <c r="J1325" s="94" t="s">
        <v>4</v>
      </c>
      <c r="K1325" s="100">
        <f ca="1">_xll.meDateFromTenor(K1324,"1D","FOLLOWING",L$12)</f>
        <v>44384</v>
      </c>
      <c r="L1325" s="13">
        <f ca="1">_xll.meDateFromTenor(K1325,L$14,L$11,L$12)</f>
        <v>44476</v>
      </c>
      <c r="M1325" s="98">
        <f ca="1"/>
        <v>3.85913235773669E-3</v>
      </c>
      <c r="N1325" s="5" t="s">
        <v>4</v>
      </c>
      <c r="O1325" s="100">
        <f ca="1">_xll.meDateFromTenor(O1324,"1D","FOLLOWING",P$12)</f>
        <v>44384</v>
      </c>
      <c r="P1325" s="13">
        <f ca="1">_xll.meDateFromTenor(O1325,P$14,P$11,P$12)</f>
        <v>44568</v>
      </c>
      <c r="Q1325" s="98">
        <f ca="1"/>
        <v>5.6315996451399711E-3</v>
      </c>
      <c r="R1325" s="5" t="s">
        <v>4</v>
      </c>
      <c r="S1325" s="100">
        <f ca="1">_xll.meDateFromTenor(S1324,"1D","FOLLOWING",T$12)</f>
        <v>44384</v>
      </c>
      <c r="T1325" s="13">
        <f ca="1">_xll.meDateFromTenor(S1325,T$14,T$11,T$12)</f>
        <v>44749</v>
      </c>
      <c r="U1325" s="98">
        <f ca="1"/>
        <v>7.654856555836885E-3</v>
      </c>
      <c r="V1325" s="5" t="s">
        <v>4</v>
      </c>
      <c r="W1325" s="84" t="s">
        <v>4</v>
      </c>
    </row>
    <row r="1326" spans="1:23" x14ac:dyDescent="0.25">
      <c r="A1326" s="90">
        <v>1307</v>
      </c>
      <c r="B1326" s="83"/>
      <c r="C1326" s="100">
        <f ca="1">_xll.meDateFromTenor(C1325,"1D","FOLLOWING",D$12)</f>
        <v>44385</v>
      </c>
      <c r="D1326" s="13">
        <f ca="1">_xll.meDateFromTenor(C1326,D$14,D$11,D$12)</f>
        <v>44386</v>
      </c>
      <c r="E1326" s="98">
        <f ca="1"/>
        <v>1.7564032386111024E-3</v>
      </c>
      <c r="F1326" s="94"/>
      <c r="G1326" s="100">
        <f ca="1">_xll.meDateFromTenor(G1325,"1D","FOLLOWING",H$12)</f>
        <v>44385</v>
      </c>
      <c r="H1326" s="13">
        <f ca="1">_xll.meDateFromTenor(G1326,H$14,H$11,H$12)</f>
        <v>44417</v>
      </c>
      <c r="I1326" s="98">
        <f ca="1"/>
        <v>2.6620847320906506E-3</v>
      </c>
      <c r="J1326" s="94" t="s">
        <v>4</v>
      </c>
      <c r="K1326" s="100">
        <f ca="1">_xll.meDateFromTenor(K1325,"1D","FOLLOWING",L$12)</f>
        <v>44385</v>
      </c>
      <c r="L1326" s="13">
        <f ca="1">_xll.meDateFromTenor(K1326,L$14,L$11,L$12)</f>
        <v>44477</v>
      </c>
      <c r="M1326" s="98">
        <f ca="1"/>
        <v>3.8668920023331296E-3</v>
      </c>
      <c r="N1326" s="5" t="s">
        <v>4</v>
      </c>
      <c r="O1326" s="100">
        <f ca="1">_xll.meDateFromTenor(O1325,"1D","FOLLOWING",P$12)</f>
        <v>44385</v>
      </c>
      <c r="P1326" s="13">
        <f ca="1">_xll.meDateFromTenor(O1326,P$14,P$11,P$12)</f>
        <v>44571</v>
      </c>
      <c r="Q1326" s="98">
        <f ca="1"/>
        <v>5.639107875845456E-3</v>
      </c>
      <c r="R1326" s="5" t="s">
        <v>4</v>
      </c>
      <c r="S1326" s="100">
        <f ca="1">_xll.meDateFromTenor(S1325,"1D","FOLLOWING",T$12)</f>
        <v>44385</v>
      </c>
      <c r="T1326" s="13">
        <f ca="1">_xll.meDateFromTenor(S1326,T$14,T$11,T$12)</f>
        <v>44750</v>
      </c>
      <c r="U1326" s="98">
        <f ca="1"/>
        <v>7.6621753328311205E-3</v>
      </c>
      <c r="V1326" s="5" t="s">
        <v>4</v>
      </c>
      <c r="W1326" s="84" t="s">
        <v>4</v>
      </c>
    </row>
    <row r="1327" spans="1:23" x14ac:dyDescent="0.25">
      <c r="A1327" s="90">
        <v>1308</v>
      </c>
      <c r="B1327" s="83"/>
      <c r="C1327" s="100">
        <f ca="1">_xll.meDateFromTenor(C1326,"1D","FOLLOWING",D$12)</f>
        <v>44386</v>
      </c>
      <c r="D1327" s="13">
        <f ca="1">_xll.meDateFromTenor(C1327,D$14,D$11,D$12)</f>
        <v>44389</v>
      </c>
      <c r="E1327" s="98">
        <f ca="1"/>
        <v>1.7756435807569032E-3</v>
      </c>
      <c r="F1327" s="94"/>
      <c r="G1327" s="100">
        <f ca="1">_xll.meDateFromTenor(G1326,"1D","FOLLOWING",H$12)</f>
        <v>44386</v>
      </c>
      <c r="H1327" s="13">
        <f ca="1">_xll.meDateFromTenor(G1327,H$14,H$11,H$12)</f>
        <v>44417</v>
      </c>
      <c r="I1327" s="98">
        <f ca="1"/>
        <v>2.6696083437379873E-3</v>
      </c>
      <c r="J1327" s="94" t="s">
        <v>4</v>
      </c>
      <c r="K1327" s="100">
        <f ca="1">_xll.meDateFromTenor(K1326,"1D","FOLLOWING",L$12)</f>
        <v>44386</v>
      </c>
      <c r="L1327" s="13">
        <f ca="1">_xll.meDateFromTenor(K1327,L$14,L$11,L$12)</f>
        <v>44480</v>
      </c>
      <c r="M1327" s="98">
        <f ca="1"/>
        <v>3.8746540683931058E-3</v>
      </c>
      <c r="N1327" s="5" t="s">
        <v>4</v>
      </c>
      <c r="O1327" s="100">
        <f ca="1">_xll.meDateFromTenor(O1326,"1D","FOLLOWING",P$12)</f>
        <v>44386</v>
      </c>
      <c r="P1327" s="13">
        <f ca="1">_xll.meDateFromTenor(O1327,P$14,P$11,P$12)</f>
        <v>44571</v>
      </c>
      <c r="Q1327" s="98">
        <f ca="1"/>
        <v>5.6466188834655281E-3</v>
      </c>
      <c r="R1327" s="5" t="s">
        <v>4</v>
      </c>
      <c r="S1327" s="100">
        <f ca="1">_xll.meDateFromTenor(S1326,"1D","FOLLOWING",T$12)</f>
        <v>44386</v>
      </c>
      <c r="T1327" s="13">
        <f ca="1">_xll.meDateFromTenor(S1327,T$14,T$11,T$12)</f>
        <v>44753</v>
      </c>
      <c r="U1327" s="98">
        <f ca="1"/>
        <v>7.6694938090455141E-3</v>
      </c>
      <c r="V1327" s="5" t="s">
        <v>4</v>
      </c>
      <c r="W1327" s="84" t="s">
        <v>4</v>
      </c>
    </row>
    <row r="1328" spans="1:23" x14ac:dyDescent="0.25">
      <c r="A1328" s="90">
        <v>1309</v>
      </c>
      <c r="B1328" s="83"/>
      <c r="C1328" s="100">
        <f ca="1">_xll.meDateFromTenor(C1327,"1D","FOLLOWING",D$12)</f>
        <v>44389</v>
      </c>
      <c r="D1328" s="13">
        <f ca="1">_xll.meDateFromTenor(C1328,D$14,D$11,D$12)</f>
        <v>44390</v>
      </c>
      <c r="E1328" s="98">
        <f ca="1"/>
        <v>1.7948420133343127E-3</v>
      </c>
      <c r="F1328" s="94"/>
      <c r="G1328" s="100">
        <f ca="1">_xll.meDateFromTenor(G1327,"1D","FOLLOWING",H$12)</f>
        <v>44389</v>
      </c>
      <c r="H1328" s="13">
        <f ca="1">_xll.meDateFromTenor(G1328,H$14,H$11,H$12)</f>
        <v>44420</v>
      </c>
      <c r="I1328" s="98">
        <f ca="1"/>
        <v>2.6921372994882886E-3</v>
      </c>
      <c r="J1328" s="94" t="s">
        <v>4</v>
      </c>
      <c r="K1328" s="100">
        <f ca="1">_xll.meDateFromTenor(K1327,"1D","FOLLOWING",L$12)</f>
        <v>44389</v>
      </c>
      <c r="L1328" s="13">
        <f ca="1">_xll.meDateFromTenor(K1328,L$14,L$11,L$12)</f>
        <v>44481</v>
      </c>
      <c r="M1328" s="98">
        <f ca="1"/>
        <v>3.897954694408937E-3</v>
      </c>
      <c r="N1328" s="5" t="s">
        <v>4</v>
      </c>
      <c r="O1328" s="100">
        <f ca="1">_xll.meDateFromTenor(O1327,"1D","FOLLOWING",P$12)</f>
        <v>44389</v>
      </c>
      <c r="P1328" s="13">
        <f ca="1">_xll.meDateFromTenor(O1328,P$14,P$11,P$12)</f>
        <v>44573</v>
      </c>
      <c r="Q1328" s="98">
        <f ca="1"/>
        <v>5.6691686464620736E-3</v>
      </c>
      <c r="R1328" s="5" t="s">
        <v>4</v>
      </c>
      <c r="S1328" s="100">
        <f ca="1">_xll.meDateFromTenor(S1327,"1D","FOLLOWING",T$12)</f>
        <v>44389</v>
      </c>
      <c r="T1328" s="13">
        <f ca="1">_xll.meDateFromTenor(S1328,T$14,T$11,T$12)</f>
        <v>44754</v>
      </c>
      <c r="U1328" s="98">
        <f ca="1"/>
        <v>7.6914474056808159E-3</v>
      </c>
      <c r="V1328" s="5" t="s">
        <v>4</v>
      </c>
      <c r="W1328" s="84" t="s">
        <v>4</v>
      </c>
    </row>
    <row r="1329" spans="1:23" x14ac:dyDescent="0.25">
      <c r="A1329" s="90">
        <v>1310</v>
      </c>
      <c r="B1329" s="83"/>
      <c r="C1329" s="100">
        <f ca="1">_xll.meDateFromTenor(C1328,"1D","FOLLOWING",D$12)</f>
        <v>44390</v>
      </c>
      <c r="D1329" s="13">
        <f ca="1">_xll.meDateFromTenor(C1329,D$14,D$11,D$12)</f>
        <v>44391</v>
      </c>
      <c r="E1329" s="98">
        <f ca="1"/>
        <v>1.8044334133279726E-3</v>
      </c>
      <c r="F1329" s="94"/>
      <c r="G1329" s="100">
        <f ca="1">_xll.meDateFromTenor(G1328,"1D","FOLLOWING",H$12)</f>
        <v>44390</v>
      </c>
      <c r="H1329" s="13">
        <f ca="1">_xll.meDateFromTenor(G1329,H$14,H$11,H$12)</f>
        <v>44421</v>
      </c>
      <c r="I1329" s="98">
        <f ca="1"/>
        <v>2.6996368745717328E-3</v>
      </c>
      <c r="J1329" s="94" t="s">
        <v>4</v>
      </c>
      <c r="K1329" s="100">
        <f ca="1">_xll.meDateFromTenor(K1328,"1D","FOLLOWING",L$12)</f>
        <v>44390</v>
      </c>
      <c r="L1329" s="13">
        <f ca="1">_xll.meDateFromTenor(K1329,L$14,L$11,L$12)</f>
        <v>44482</v>
      </c>
      <c r="M1329" s="98">
        <f ca="1"/>
        <v>3.9057263453777394E-3</v>
      </c>
      <c r="N1329" s="5" t="s">
        <v>4</v>
      </c>
      <c r="O1329" s="100">
        <f ca="1">_xll.meDateFromTenor(O1328,"1D","FOLLOWING",P$12)</f>
        <v>44390</v>
      </c>
      <c r="P1329" s="13">
        <f ca="1">_xll.meDateFromTenor(O1329,P$14,P$11,P$12)</f>
        <v>44574</v>
      </c>
      <c r="Q1329" s="98">
        <f ca="1"/>
        <v>5.6766908403892962E-3</v>
      </c>
      <c r="R1329" s="5" t="s">
        <v>4</v>
      </c>
      <c r="S1329" s="100">
        <f ca="1">_xll.meDateFromTenor(S1328,"1D","FOLLOWING",T$12)</f>
        <v>44390</v>
      </c>
      <c r="T1329" s="13">
        <f ca="1">_xll.meDateFromTenor(S1329,T$14,T$11,T$12)</f>
        <v>44755</v>
      </c>
      <c r="U1329" s="98">
        <f ca="1"/>
        <v>7.6987646514470164E-3</v>
      </c>
      <c r="V1329" s="5" t="s">
        <v>4</v>
      </c>
      <c r="W1329" s="84" t="s">
        <v>4</v>
      </c>
    </row>
    <row r="1330" spans="1:23" x14ac:dyDescent="0.25">
      <c r="A1330" s="90">
        <v>1311</v>
      </c>
      <c r="B1330" s="83"/>
      <c r="C1330" s="100">
        <f ca="1">_xll.meDateFromTenor(C1329,"1D","FOLLOWING",D$12)</f>
        <v>44391</v>
      </c>
      <c r="D1330" s="13">
        <f ca="1">_xll.meDateFromTenor(C1330,D$14,D$11,D$12)</f>
        <v>44392</v>
      </c>
      <c r="E1330" s="98">
        <f ca="1"/>
        <v>1.8140174970951628E-3</v>
      </c>
      <c r="F1330" s="94"/>
      <c r="G1330" s="100">
        <f ca="1">_xll.meDateFromTenor(G1329,"1D","FOLLOWING",H$12)</f>
        <v>44391</v>
      </c>
      <c r="H1330" s="13">
        <f ca="1">_xll.meDateFromTenor(G1330,H$14,H$11,H$12)</f>
        <v>44424</v>
      </c>
      <c r="I1330" s="98">
        <f ca="1"/>
        <v>2.7071333526871352E-3</v>
      </c>
      <c r="J1330" s="94" t="s">
        <v>4</v>
      </c>
      <c r="K1330" s="100">
        <f ca="1">_xll.meDateFromTenor(K1329,"1D","FOLLOWING",L$12)</f>
        <v>44391</v>
      </c>
      <c r="L1330" s="13">
        <f ca="1">_xll.meDateFromTenor(K1330,L$14,L$11,L$12)</f>
        <v>44483</v>
      </c>
      <c r="M1330" s="98">
        <f ca="1"/>
        <v>3.9135003673374143E-3</v>
      </c>
      <c r="N1330" s="5" t="s">
        <v>4</v>
      </c>
      <c r="O1330" s="100">
        <f ca="1">_xll.meDateFromTenor(O1329,"1D","FOLLOWING",P$12)</f>
        <v>44391</v>
      </c>
      <c r="P1330" s="13">
        <f ca="1">_xll.meDateFromTenor(O1330,P$14,P$11,P$12)</f>
        <v>44575</v>
      </c>
      <c r="Q1330" s="98">
        <f ca="1"/>
        <v>5.6842158505555022E-3</v>
      </c>
      <c r="R1330" s="5" t="s">
        <v>4</v>
      </c>
      <c r="S1330" s="100">
        <f ca="1">_xll.meDateFromTenor(S1329,"1D","FOLLOWING",T$12)</f>
        <v>44391</v>
      </c>
      <c r="T1330" s="13">
        <f ca="1">_xll.meDateFromTenor(S1330,T$14,T$11,T$12)</f>
        <v>44756</v>
      </c>
      <c r="U1330" s="98">
        <f ca="1"/>
        <v>7.7060815827689607E-3</v>
      </c>
      <c r="V1330" s="5" t="s">
        <v>4</v>
      </c>
      <c r="W1330" s="84" t="s">
        <v>4</v>
      </c>
    </row>
    <row r="1331" spans="1:23" x14ac:dyDescent="0.25">
      <c r="A1331" s="90">
        <v>1312</v>
      </c>
      <c r="B1331" s="83"/>
      <c r="C1331" s="100">
        <f ca="1">_xll.meDateFromTenor(C1330,"1D","FOLLOWING",D$12)</f>
        <v>44392</v>
      </c>
      <c r="D1331" s="13">
        <f ca="1">_xll.meDateFromTenor(C1331,D$14,D$11,D$12)</f>
        <v>44393</v>
      </c>
      <c r="E1331" s="98">
        <f ca="1"/>
        <v>1.8235942652730576E-3</v>
      </c>
      <c r="F1331" s="94"/>
      <c r="G1331" s="100">
        <f ca="1">_xll.meDateFromTenor(G1330,"1D","FOLLOWING",H$12)</f>
        <v>44392</v>
      </c>
      <c r="H1331" s="13">
        <f ca="1">_xll.meDateFromTenor(G1331,H$14,H$11,H$12)</f>
        <v>44424</v>
      </c>
      <c r="I1331" s="98">
        <f ca="1"/>
        <v>2.7146278987036777E-3</v>
      </c>
      <c r="J1331" s="94" t="s">
        <v>4</v>
      </c>
      <c r="K1331" s="100">
        <f ca="1">_xll.meDateFromTenor(K1330,"1D","FOLLOWING",L$12)</f>
        <v>44392</v>
      </c>
      <c r="L1331" s="13">
        <f ca="1">_xll.meDateFromTenor(K1331,L$14,L$11,L$12)</f>
        <v>44484</v>
      </c>
      <c r="M1331" s="98">
        <f ca="1"/>
        <v>3.9212767501934373E-3</v>
      </c>
      <c r="N1331" s="5" t="s">
        <v>4</v>
      </c>
      <c r="O1331" s="100">
        <f ca="1">_xll.meDateFromTenor(O1330,"1D","FOLLOWING",P$12)</f>
        <v>44392</v>
      </c>
      <c r="P1331" s="13">
        <f ca="1">_xll.meDateFromTenor(O1331,P$14,P$11,P$12)</f>
        <v>44578</v>
      </c>
      <c r="Q1331" s="98">
        <f ca="1"/>
        <v>5.6917436848255816E-3</v>
      </c>
      <c r="R1331" s="5" t="s">
        <v>4</v>
      </c>
      <c r="S1331" s="100">
        <f ca="1">_xll.meDateFromTenor(S1330,"1D","FOLLOWING",T$12)</f>
        <v>44392</v>
      </c>
      <c r="T1331" s="13">
        <f ca="1">_xll.meDateFromTenor(S1331,T$14,T$11,T$12)</f>
        <v>44757</v>
      </c>
      <c r="U1331" s="98">
        <f ca="1"/>
        <v>7.7133981969137741E-3</v>
      </c>
      <c r="V1331" s="5" t="s">
        <v>4</v>
      </c>
      <c r="W1331" s="84" t="s">
        <v>4</v>
      </c>
    </row>
    <row r="1332" spans="1:23" x14ac:dyDescent="0.25">
      <c r="A1332" s="90">
        <v>1313</v>
      </c>
      <c r="B1332" s="83"/>
      <c r="C1332" s="100">
        <f ca="1">_xll.meDateFromTenor(C1331,"1D","FOLLOWING",D$12)</f>
        <v>44393</v>
      </c>
      <c r="D1332" s="13">
        <f ca="1">_xll.meDateFromTenor(C1332,D$14,D$11,D$12)</f>
        <v>44396</v>
      </c>
      <c r="E1332" s="98">
        <f ca="1"/>
        <v>1.8427328512960965E-3</v>
      </c>
      <c r="F1332" s="94"/>
      <c r="G1332" s="100">
        <f ca="1">_xll.meDateFromTenor(G1331,"1D","FOLLOWING",H$12)</f>
        <v>44393</v>
      </c>
      <c r="H1332" s="13">
        <f ca="1">_xll.meDateFromTenor(G1332,H$14,H$11,H$12)</f>
        <v>44424</v>
      </c>
      <c r="I1332" s="98">
        <f ca="1"/>
        <v>2.7221216774905243E-3</v>
      </c>
      <c r="J1332" s="94" t="s">
        <v>4</v>
      </c>
      <c r="K1332" s="100">
        <f ca="1">_xll.meDateFromTenor(K1331,"1D","FOLLOWING",L$12)</f>
        <v>44393</v>
      </c>
      <c r="L1332" s="13">
        <f ca="1">_xll.meDateFromTenor(K1332,L$14,L$11,L$12)</f>
        <v>44487</v>
      </c>
      <c r="M1332" s="98">
        <f ca="1"/>
        <v>3.9290554838512662E-3</v>
      </c>
      <c r="N1332" s="5" t="s">
        <v>4</v>
      </c>
      <c r="O1332" s="100">
        <f ca="1">_xll.meDateFromTenor(O1331,"1D","FOLLOWING",P$12)</f>
        <v>44393</v>
      </c>
      <c r="P1332" s="13">
        <f ca="1">_xll.meDateFromTenor(O1332,P$14,P$11,P$12)</f>
        <v>44578</v>
      </c>
      <c r="Q1332" s="98">
        <f ca="1"/>
        <v>5.6992743510644022E-3</v>
      </c>
      <c r="R1332" s="5" t="s">
        <v>4</v>
      </c>
      <c r="S1332" s="100">
        <f ca="1">_xll.meDateFromTenor(S1331,"1D","FOLLOWING",T$12)</f>
        <v>44393</v>
      </c>
      <c r="T1332" s="13">
        <f ca="1">_xll.meDateFromTenor(S1332,T$14,T$11,T$12)</f>
        <v>44760</v>
      </c>
      <c r="U1332" s="98">
        <f ca="1"/>
        <v>7.7207144911485646E-3</v>
      </c>
      <c r="V1332" s="5" t="s">
        <v>4</v>
      </c>
      <c r="W1332" s="84" t="s">
        <v>4</v>
      </c>
    </row>
    <row r="1333" spans="1:23" x14ac:dyDescent="0.25">
      <c r="A1333" s="90">
        <v>1314</v>
      </c>
      <c r="B1333" s="83"/>
      <c r="C1333" s="100">
        <f ca="1">_xll.meDateFromTenor(C1332,"1D","FOLLOWING",D$12)</f>
        <v>44396</v>
      </c>
      <c r="D1333" s="13">
        <f ca="1">_xll.meDateFromTenor(C1333,D$14,D$11,D$12)</f>
        <v>44397</v>
      </c>
      <c r="E1333" s="98">
        <f ca="1"/>
        <v>1.8618281936163971E-3</v>
      </c>
      <c r="F1333" s="94"/>
      <c r="G1333" s="100">
        <f ca="1">_xll.meDateFromTenor(G1332,"1D","FOLLOWING",H$12)</f>
        <v>44396</v>
      </c>
      <c r="H1333" s="13">
        <f ca="1">_xll.meDateFromTenor(G1333,H$14,H$11,H$12)</f>
        <v>44427</v>
      </c>
      <c r="I1333" s="98">
        <f ca="1"/>
        <v>2.7446100591646621E-3</v>
      </c>
      <c r="J1333" s="94" t="s">
        <v>4</v>
      </c>
      <c r="K1333" s="100">
        <f ca="1">_xll.meDateFromTenor(K1332,"1D","FOLLOWING",L$12)</f>
        <v>44396</v>
      </c>
      <c r="L1333" s="13">
        <f ca="1">_xll.meDateFromTenor(K1333,L$14,L$11,L$12)</f>
        <v>44488</v>
      </c>
      <c r="M1333" s="98">
        <f ca="1"/>
        <v>3.9524056886902975E-3</v>
      </c>
      <c r="N1333" s="5" t="s">
        <v>4</v>
      </c>
      <c r="O1333" s="100">
        <f ca="1">_xll.meDateFromTenor(O1332,"1D","FOLLOWING",P$12)</f>
        <v>44396</v>
      </c>
      <c r="P1333" s="13">
        <f ca="1">_xll.meDateFromTenor(O1333,P$14,P$11,P$12)</f>
        <v>44580</v>
      </c>
      <c r="Q1333" s="98">
        <f ca="1"/>
        <v>5.7218834202421489E-3</v>
      </c>
      <c r="R1333" s="5" t="s">
        <v>4</v>
      </c>
      <c r="S1333" s="100">
        <f ca="1">_xll.meDateFromTenor(S1332,"1D","FOLLOWING",T$12)</f>
        <v>44396</v>
      </c>
      <c r="T1333" s="13">
        <f ca="1">_xll.meDateFromTenor(S1333,T$14,T$11,T$12)</f>
        <v>44761</v>
      </c>
      <c r="U1333" s="98">
        <f ca="1"/>
        <v>7.7426614270640088E-3</v>
      </c>
      <c r="V1333" s="5" t="s">
        <v>4</v>
      </c>
      <c r="W1333" s="84" t="s">
        <v>4</v>
      </c>
    </row>
    <row r="1334" spans="1:23" x14ac:dyDescent="0.25">
      <c r="A1334" s="90">
        <v>1315</v>
      </c>
      <c r="B1334" s="83"/>
      <c r="C1334" s="100">
        <f ca="1">_xll.meDateFromTenor(C1333,"1D","FOLLOWING",D$12)</f>
        <v>44397</v>
      </c>
      <c r="D1334" s="13">
        <f ca="1">_xll.meDateFromTenor(C1334,D$14,D$11,D$12)</f>
        <v>44398</v>
      </c>
      <c r="E1334" s="98">
        <f ca="1"/>
        <v>1.8713683926477602E-3</v>
      </c>
      <c r="F1334" s="94"/>
      <c r="G1334" s="100">
        <f ca="1">_xll.meDateFromTenor(G1333,"1D","FOLLOWING",H$12)</f>
        <v>44397</v>
      </c>
      <c r="H1334" s="13">
        <f ca="1">_xll.meDateFromTenor(G1334,H$14,H$11,H$12)</f>
        <v>44428</v>
      </c>
      <c r="I1334" s="98">
        <f ca="1"/>
        <v>2.7521124177244836E-3</v>
      </c>
      <c r="J1334" s="94" t="s">
        <v>4</v>
      </c>
      <c r="K1334" s="100">
        <f ca="1">_xll.meDateFromTenor(K1333,"1D","FOLLOWING",L$12)</f>
        <v>44397</v>
      </c>
      <c r="L1334" s="13">
        <f ca="1">_xll.meDateFromTenor(K1334,L$14,L$11,L$12)</f>
        <v>44489</v>
      </c>
      <c r="M1334" s="98">
        <f ca="1"/>
        <v>3.9601937246100463E-3</v>
      </c>
      <c r="N1334" s="5" t="s">
        <v>4</v>
      </c>
      <c r="O1334" s="100">
        <f ca="1">_xll.meDateFromTenor(O1333,"1D","FOLLOWING",P$12)</f>
        <v>44397</v>
      </c>
      <c r="P1334" s="13">
        <f ca="1">_xll.meDateFromTenor(O1334,P$14,P$11,P$12)</f>
        <v>44581</v>
      </c>
      <c r="Q1334" s="98">
        <f ca="1"/>
        <v>5.7294254930047575E-3</v>
      </c>
      <c r="R1334" s="5" t="s">
        <v>4</v>
      </c>
      <c r="S1334" s="100">
        <f ca="1">_xll.meDateFromTenor(S1333,"1D","FOLLOWING",T$12)</f>
        <v>44397</v>
      </c>
      <c r="T1334" s="13">
        <f ca="1">_xll.meDateFromTenor(S1334,T$14,T$11,T$12)</f>
        <v>44762</v>
      </c>
      <c r="U1334" s="98">
        <f ca="1"/>
        <v>7.7499764143299033E-3</v>
      </c>
      <c r="V1334" s="5" t="s">
        <v>4</v>
      </c>
      <c r="W1334" s="84" t="s">
        <v>4</v>
      </c>
    </row>
    <row r="1335" spans="1:23" x14ac:dyDescent="0.25">
      <c r="A1335" s="90">
        <v>1316</v>
      </c>
      <c r="B1335" s="83"/>
      <c r="C1335" s="100">
        <f ca="1">_xll.meDateFromTenor(C1334,"1D","FOLLOWING",D$12)</f>
        <v>44398</v>
      </c>
      <c r="D1335" s="13">
        <f ca="1">_xll.meDateFromTenor(C1335,D$14,D$11,D$12)</f>
        <v>44399</v>
      </c>
      <c r="E1335" s="98">
        <f ca="1"/>
        <v>1.8809012798467863E-3</v>
      </c>
      <c r="F1335" s="94"/>
      <c r="G1335" s="100">
        <f ca="1">_xll.meDateFromTenor(G1334,"1D","FOLLOWING",H$12)</f>
        <v>44398</v>
      </c>
      <c r="H1335" s="13">
        <f ca="1">_xll.meDateFromTenor(G1335,H$14,H$11,H$12)</f>
        <v>44431</v>
      </c>
      <c r="I1335" s="98">
        <f ca="1"/>
        <v>2.7596198334004841E-3</v>
      </c>
      <c r="J1335" s="94" t="s">
        <v>4</v>
      </c>
      <c r="K1335" s="100">
        <f ca="1">_xll.meDateFromTenor(K1334,"1D","FOLLOWING",L$12)</f>
        <v>44398</v>
      </c>
      <c r="L1335" s="13">
        <f ca="1">_xll.meDateFromTenor(K1335,L$14,L$11,L$12)</f>
        <v>44490</v>
      </c>
      <c r="M1335" s="98">
        <f ca="1"/>
        <v>3.9679840608589428E-3</v>
      </c>
      <c r="N1335" s="5" t="s">
        <v>4</v>
      </c>
      <c r="O1335" s="100">
        <f ca="1">_xll.meDateFromTenor(O1334,"1D","FOLLOWING",P$12)</f>
        <v>44398</v>
      </c>
      <c r="P1335" s="13">
        <f ca="1">_xll.meDateFromTenor(O1335,P$14,P$11,P$12)</f>
        <v>44582</v>
      </c>
      <c r="Q1335" s="98">
        <f ca="1"/>
        <v>5.7369704370605111E-3</v>
      </c>
      <c r="R1335" s="5" t="s">
        <v>4</v>
      </c>
      <c r="S1335" s="100">
        <f ca="1">_xll.meDateFromTenor(S1334,"1D","FOLLOWING",T$12)</f>
        <v>44398</v>
      </c>
      <c r="T1335" s="13">
        <f ca="1">_xll.meDateFromTenor(S1335,T$14,T$11,T$12)</f>
        <v>44763</v>
      </c>
      <c r="U1335" s="98">
        <f ca="1"/>
        <v>7.7572910680213693E-3</v>
      </c>
      <c r="V1335" s="5" t="s">
        <v>4</v>
      </c>
      <c r="W1335" s="84" t="s">
        <v>4</v>
      </c>
    </row>
    <row r="1336" spans="1:23" x14ac:dyDescent="0.25">
      <c r="A1336" s="90">
        <v>1317</v>
      </c>
      <c r="B1336" s="83"/>
      <c r="C1336" s="100">
        <f ca="1">_xll.meDateFromTenor(C1335,"1D","FOLLOWING",D$12)</f>
        <v>44399</v>
      </c>
      <c r="D1336" s="13">
        <f ca="1">_xll.meDateFromTenor(C1336,D$14,D$11,D$12)</f>
        <v>44400</v>
      </c>
      <c r="E1336" s="98">
        <f ca="1"/>
        <v>1.8904268555356189E-3</v>
      </c>
      <c r="F1336" s="94"/>
      <c r="G1336" s="100">
        <f ca="1">_xll.meDateFromTenor(G1335,"1D","FOLLOWING",H$12)</f>
        <v>44399</v>
      </c>
      <c r="H1336" s="13">
        <f ca="1">_xll.meDateFromTenor(G1336,H$14,H$11,H$12)</f>
        <v>44431</v>
      </c>
      <c r="I1336" s="98">
        <f ca="1"/>
        <v>2.7671334710618356E-3</v>
      </c>
      <c r="J1336" s="94" t="s">
        <v>4</v>
      </c>
      <c r="K1336" s="100">
        <f ca="1">_xll.meDateFromTenor(K1335,"1D","FOLLOWING",L$12)</f>
        <v>44399</v>
      </c>
      <c r="L1336" s="13">
        <f ca="1">_xll.meDateFromTenor(K1336,L$14,L$11,L$12)</f>
        <v>44491</v>
      </c>
      <c r="M1336" s="98">
        <f ca="1"/>
        <v>3.975776687342455E-3</v>
      </c>
      <c r="N1336" s="5" t="s">
        <v>4</v>
      </c>
      <c r="O1336" s="100">
        <f ca="1">_xll.meDateFromTenor(O1335,"1D","FOLLOWING",P$12)</f>
        <v>44399</v>
      </c>
      <c r="P1336" s="13">
        <f ca="1">_xll.meDateFromTenor(O1336,P$14,P$11,P$12)</f>
        <v>44585</v>
      </c>
      <c r="Q1336" s="98">
        <f ca="1"/>
        <v>5.7445182602742896E-3</v>
      </c>
      <c r="R1336" s="5" t="s">
        <v>4</v>
      </c>
      <c r="S1336" s="100">
        <f ca="1">_xll.meDateFromTenor(S1335,"1D","FOLLOWING",T$12)</f>
        <v>44399</v>
      </c>
      <c r="T1336" s="13">
        <f ca="1">_xll.meDateFromTenor(S1336,T$14,T$11,T$12)</f>
        <v>44764</v>
      </c>
      <c r="U1336" s="98">
        <f ca="1"/>
        <v>7.7646053854055234E-3</v>
      </c>
      <c r="V1336" s="5" t="s">
        <v>4</v>
      </c>
      <c r="W1336" s="84" t="s">
        <v>4</v>
      </c>
    </row>
    <row r="1337" spans="1:23" x14ac:dyDescent="0.25">
      <c r="A1337" s="90">
        <v>1318</v>
      </c>
      <c r="B1337" s="83"/>
      <c r="C1337" s="100">
        <f ca="1">_xll.meDateFromTenor(C1336,"1D","FOLLOWING",D$12)</f>
        <v>44400</v>
      </c>
      <c r="D1337" s="13">
        <f ca="1">_xll.meDateFromTenor(C1337,D$14,D$11,D$12)</f>
        <v>44403</v>
      </c>
      <c r="E1337" s="98">
        <f ca="1"/>
        <v>1.9094637665960806E-3</v>
      </c>
      <c r="F1337" s="94"/>
      <c r="G1337" s="100">
        <f ca="1">_xll.meDateFromTenor(G1336,"1D","FOLLOWING",H$12)</f>
        <v>44400</v>
      </c>
      <c r="H1337" s="13">
        <f ca="1">_xll.meDateFromTenor(G1337,H$14,H$11,H$12)</f>
        <v>44431</v>
      </c>
      <c r="I1337" s="98">
        <f ca="1"/>
        <v>2.7746544955777096E-3</v>
      </c>
      <c r="J1337" s="94" t="s">
        <v>4</v>
      </c>
      <c r="K1337" s="100">
        <f ca="1">_xll.meDateFromTenor(K1336,"1D","FOLLOWING",L$12)</f>
        <v>44400</v>
      </c>
      <c r="L1337" s="13">
        <f ca="1">_xll.meDateFromTenor(K1337,L$14,L$11,L$12)</f>
        <v>44494</v>
      </c>
      <c r="M1337" s="98">
        <f ca="1"/>
        <v>3.9835715939660473E-3</v>
      </c>
      <c r="N1337" s="5" t="s">
        <v>4</v>
      </c>
      <c r="O1337" s="100">
        <f ca="1">_xll.meDateFromTenor(O1336,"1D","FOLLOWING",P$12)</f>
        <v>44400</v>
      </c>
      <c r="P1337" s="13">
        <f ca="1">_xll.meDateFromTenor(O1337,P$14,P$11,P$12)</f>
        <v>44585</v>
      </c>
      <c r="Q1337" s="98">
        <f ca="1"/>
        <v>5.7520689705109719E-3</v>
      </c>
      <c r="R1337" s="5" t="s">
        <v>4</v>
      </c>
      <c r="S1337" s="100">
        <f ca="1">_xll.meDateFromTenor(S1336,"1D","FOLLOWING",T$12)</f>
        <v>44400</v>
      </c>
      <c r="T1337" s="13">
        <f ca="1">_xll.meDateFromTenor(S1337,T$14,T$11,T$12)</f>
        <v>44767</v>
      </c>
      <c r="U1337" s="98">
        <f ca="1"/>
        <v>7.7719193637494789E-3</v>
      </c>
      <c r="V1337" s="5" t="s">
        <v>4</v>
      </c>
      <c r="W1337" s="84" t="s">
        <v>4</v>
      </c>
    </row>
    <row r="1338" spans="1:23" x14ac:dyDescent="0.25">
      <c r="A1338" s="90">
        <v>1319</v>
      </c>
      <c r="B1338" s="83"/>
      <c r="C1338" s="100">
        <f ca="1">_xll.meDateFromTenor(C1337,"1D","FOLLOWING",D$12)</f>
        <v>44403</v>
      </c>
      <c r="D1338" s="13">
        <f ca="1">_xll.meDateFromTenor(C1338,D$14,D$11,D$12)</f>
        <v>44404</v>
      </c>
      <c r="E1338" s="98">
        <f ca="1"/>
        <v>1.9284560567637097E-3</v>
      </c>
      <c r="F1338" s="94"/>
      <c r="G1338" s="100">
        <f ca="1">_xll.meDateFromTenor(G1337,"1D","FOLLOWING",H$12)</f>
        <v>44403</v>
      </c>
      <c r="H1338" s="13">
        <f ca="1">_xll.meDateFromTenor(G1338,H$14,H$11,H$12)</f>
        <v>44434</v>
      </c>
      <c r="I1338" s="98">
        <f ca="1"/>
        <v>2.7972735389442294E-3</v>
      </c>
      <c r="J1338" s="94" t="s">
        <v>4</v>
      </c>
      <c r="K1338" s="100">
        <f ca="1">_xll.meDateFromTenor(K1337,"1D","FOLLOWING",L$12)</f>
        <v>44403</v>
      </c>
      <c r="L1338" s="13">
        <f ca="1">_xll.meDateFromTenor(K1338,L$14,L$11,L$12)</f>
        <v>44495</v>
      </c>
      <c r="M1338" s="98">
        <f ca="1"/>
        <v>4.0069698937320103E-3</v>
      </c>
      <c r="N1338" s="5" t="s">
        <v>4</v>
      </c>
      <c r="O1338" s="100">
        <f ca="1">_xll.meDateFromTenor(O1337,"1D","FOLLOWING",P$12)</f>
        <v>44403</v>
      </c>
      <c r="P1338" s="13">
        <f ca="1">_xll.meDateFromTenor(O1338,P$14,P$11,P$12)</f>
        <v>44587</v>
      </c>
      <c r="Q1338" s="98">
        <f ca="1"/>
        <v>5.7747385020072567E-3</v>
      </c>
      <c r="R1338" s="5" t="s">
        <v>4</v>
      </c>
      <c r="S1338" s="100">
        <f ca="1">_xll.meDateFromTenor(S1337,"1D","FOLLOWING",T$12)</f>
        <v>44403</v>
      </c>
      <c r="T1338" s="13">
        <f ca="1">_xll.meDateFromTenor(S1338,T$14,T$11,T$12)</f>
        <v>44768</v>
      </c>
      <c r="U1338" s="98">
        <f ca="1"/>
        <v>7.7938592372113636E-3</v>
      </c>
      <c r="V1338" s="5" t="s">
        <v>4</v>
      </c>
      <c r="W1338" s="84" t="s">
        <v>4</v>
      </c>
    </row>
    <row r="1339" spans="1:23" x14ac:dyDescent="0.25">
      <c r="A1339" s="90">
        <v>1320</v>
      </c>
      <c r="B1339" s="83"/>
      <c r="C1339" s="100">
        <f ca="1">_xll.meDateFromTenor(C1338,"1D","FOLLOWING",D$12)</f>
        <v>44404</v>
      </c>
      <c r="D1339" s="13">
        <f ca="1">_xll.meDateFromTenor(C1339,D$14,D$11,D$12)</f>
        <v>44405</v>
      </c>
      <c r="E1339" s="98">
        <f ca="1"/>
        <v>1.9379450848064108E-3</v>
      </c>
      <c r="F1339" s="94"/>
      <c r="G1339" s="100">
        <f ca="1">_xll.meDateFromTenor(G1338,"1D","FOLLOWING",H$12)</f>
        <v>44404</v>
      </c>
      <c r="H1339" s="13">
        <f ca="1">_xll.meDateFromTenor(G1339,H$14,H$11,H$12)</f>
        <v>44435</v>
      </c>
      <c r="I1339" s="98">
        <f ca="1"/>
        <v>2.8048357595699454E-3</v>
      </c>
      <c r="J1339" s="94" t="s">
        <v>4</v>
      </c>
      <c r="K1339" s="100">
        <f ca="1">_xll.meDateFromTenor(K1338,"1D","FOLLOWING",L$12)</f>
        <v>44404</v>
      </c>
      <c r="L1339" s="13">
        <f ca="1">_xll.meDateFromTenor(K1339,L$14,L$11,L$12)</f>
        <v>44496</v>
      </c>
      <c r="M1339" s="98">
        <f ca="1"/>
        <v>4.014773819970615E-3</v>
      </c>
      <c r="N1339" s="5" t="s">
        <v>4</v>
      </c>
      <c r="O1339" s="100">
        <f ca="1">_xll.meDateFromTenor(O1338,"1D","FOLLOWING",P$12)</f>
        <v>44404</v>
      </c>
      <c r="P1339" s="13">
        <f ca="1">_xll.meDateFromTenor(O1339,P$14,P$11,P$12)</f>
        <v>44588</v>
      </c>
      <c r="Q1339" s="98">
        <f ca="1"/>
        <v>5.7823008389843618E-3</v>
      </c>
      <c r="R1339" s="5" t="s">
        <v>4</v>
      </c>
      <c r="S1339" s="100">
        <f ca="1">_xll.meDateFromTenor(S1338,"1D","FOLLOWING",T$12)</f>
        <v>44404</v>
      </c>
      <c r="T1339" s="13">
        <f ca="1">_xll.meDateFromTenor(S1339,T$14,T$11,T$12)</f>
        <v>44769</v>
      </c>
      <c r="U1339" s="98">
        <f ca="1"/>
        <v>7.801171832065721E-3</v>
      </c>
      <c r="V1339" s="5" t="s">
        <v>4</v>
      </c>
      <c r="W1339" s="84" t="s">
        <v>4</v>
      </c>
    </row>
    <row r="1340" spans="1:23" x14ac:dyDescent="0.25">
      <c r="A1340" s="90">
        <v>1321</v>
      </c>
      <c r="B1340" s="83"/>
      <c r="C1340" s="100">
        <f ca="1">_xll.meDateFromTenor(C1339,"1D","FOLLOWING",D$12)</f>
        <v>44405</v>
      </c>
      <c r="D1340" s="13">
        <f ca="1">_xll.meDateFromTenor(C1340,D$14,D$11,D$12)</f>
        <v>44406</v>
      </c>
      <c r="E1340" s="98">
        <f ca="1"/>
        <v>1.9474268046962692E-3</v>
      </c>
      <c r="F1340" s="94"/>
      <c r="G1340" s="100">
        <f ca="1">_xll.meDateFromTenor(G1339,"1D","FOLLOWING",H$12)</f>
        <v>44405</v>
      </c>
      <c r="H1340" s="13">
        <f ca="1">_xll.meDateFromTenor(G1340,H$14,H$11,H$12)</f>
        <v>44438</v>
      </c>
      <c r="I1340" s="98">
        <f ca="1"/>
        <v>2.8124111913960552E-3</v>
      </c>
      <c r="J1340" s="94" t="s">
        <v>4</v>
      </c>
      <c r="K1340" s="100">
        <f ca="1">_xll.meDateFromTenor(K1339,"1D","FOLLOWING",L$12)</f>
        <v>44405</v>
      </c>
      <c r="L1340" s="13">
        <f ca="1">_xll.meDateFromTenor(K1340,L$14,L$11,L$12)</f>
        <v>44497</v>
      </c>
      <c r="M1340" s="98">
        <f ca="1"/>
        <v>4.0225799758766391E-3</v>
      </c>
      <c r="N1340" s="5" t="s">
        <v>4</v>
      </c>
      <c r="O1340" s="100">
        <f ca="1">_xll.meDateFromTenor(O1339,"1D","FOLLOWING",P$12)</f>
        <v>44405</v>
      </c>
      <c r="P1340" s="13">
        <f ca="1">_xll.meDateFromTenor(O1340,P$14,P$11,P$12)</f>
        <v>44589</v>
      </c>
      <c r="Q1340" s="98">
        <f ca="1"/>
        <v>5.7898661023087702E-3</v>
      </c>
      <c r="R1340" s="5" t="s">
        <v>4</v>
      </c>
      <c r="S1340" s="100">
        <f ca="1">_xll.meDateFromTenor(S1339,"1D","FOLLOWING",T$12)</f>
        <v>44405</v>
      </c>
      <c r="T1340" s="13">
        <f ca="1">_xll.meDateFromTenor(S1340,T$14,T$11,T$12)</f>
        <v>44770</v>
      </c>
      <c r="U1340" s="98">
        <f ca="1"/>
        <v>7.8084840742154715E-3</v>
      </c>
      <c r="V1340" s="5" t="s">
        <v>4</v>
      </c>
      <c r="W1340" s="84" t="s">
        <v>4</v>
      </c>
    </row>
    <row r="1341" spans="1:23" x14ac:dyDescent="0.25">
      <c r="A1341" s="90">
        <v>1322</v>
      </c>
      <c r="B1341" s="83"/>
      <c r="C1341" s="100">
        <f ca="1">_xll.meDateFromTenor(C1340,"1D","FOLLOWING",D$12)</f>
        <v>44406</v>
      </c>
      <c r="D1341" s="13">
        <f ca="1">_xll.meDateFromTenor(C1341,D$14,D$11,D$12)</f>
        <v>44407</v>
      </c>
      <c r="E1341" s="98">
        <f ca="1"/>
        <v>1.9569012176298413E-3</v>
      </c>
      <c r="F1341" s="94"/>
      <c r="G1341" s="100">
        <f ca="1">_xll.meDateFromTenor(G1340,"1D","FOLLOWING",H$12)</f>
        <v>44406</v>
      </c>
      <c r="H1341" s="13">
        <f ca="1">_xll.meDateFromTenor(G1341,H$14,H$11,H$12)</f>
        <v>44438</v>
      </c>
      <c r="I1341" s="98">
        <f ca="1"/>
        <v>2.8200009992917336E-3</v>
      </c>
      <c r="J1341" s="94" t="s">
        <v>4</v>
      </c>
      <c r="K1341" s="100">
        <f ca="1">_xll.meDateFromTenor(K1340,"1D","FOLLOWING",L$12)</f>
        <v>44406</v>
      </c>
      <c r="L1341" s="13">
        <f ca="1">_xll.meDateFromTenor(K1341,L$14,L$11,L$12)</f>
        <v>44498</v>
      </c>
      <c r="M1341" s="98">
        <f ca="1"/>
        <v>4.0303883513555534E-3</v>
      </c>
      <c r="N1341" s="5" t="s">
        <v>4</v>
      </c>
      <c r="O1341" s="100">
        <f ca="1">_xll.meDateFromTenor(O1340,"1D","FOLLOWING",P$12)</f>
        <v>44406</v>
      </c>
      <c r="P1341" s="13">
        <f ca="1">_xll.meDateFromTenor(O1341,P$14,P$11,P$12)</f>
        <v>44592</v>
      </c>
      <c r="Q1341" s="98">
        <f ca="1"/>
        <v>5.7974342998453644E-3</v>
      </c>
      <c r="R1341" s="5" t="s">
        <v>4</v>
      </c>
      <c r="S1341" s="100">
        <f ca="1">_xll.meDateFromTenor(S1340,"1D","FOLLOWING",T$12)</f>
        <v>44406</v>
      </c>
      <c r="T1341" s="13">
        <f ca="1">_xll.meDateFromTenor(S1341,T$14,T$11,T$12)</f>
        <v>44771</v>
      </c>
      <c r="U1341" s="98">
        <f ca="1"/>
        <v>7.8157959609277336E-3</v>
      </c>
      <c r="V1341" s="5" t="s">
        <v>4</v>
      </c>
      <c r="W1341" s="84" t="s">
        <v>4</v>
      </c>
    </row>
    <row r="1342" spans="1:23" x14ac:dyDescent="0.25">
      <c r="A1342" s="90">
        <v>1323</v>
      </c>
      <c r="B1342" s="83"/>
      <c r="C1342" s="100">
        <f ca="1">_xll.meDateFromTenor(C1341,"1D","FOLLOWING",D$12)</f>
        <v>44407</v>
      </c>
      <c r="D1342" s="13">
        <f ca="1">_xll.meDateFromTenor(C1342,D$14,D$11,D$12)</f>
        <v>44410</v>
      </c>
      <c r="E1342" s="98">
        <f ca="1"/>
        <v>1.9758365329726204E-3</v>
      </c>
      <c r="F1342" s="94"/>
      <c r="G1342" s="100">
        <f ca="1">_xll.meDateFromTenor(G1341,"1D","FOLLOWING",H$12)</f>
        <v>44407</v>
      </c>
      <c r="H1342" s="13">
        <f ca="1">_xll.meDateFromTenor(G1342,H$14,H$11,H$12)</f>
        <v>44438</v>
      </c>
      <c r="I1342" s="98">
        <f ca="1"/>
        <v>2.8276063481261532E-3</v>
      </c>
      <c r="J1342" s="94" t="s">
        <v>4</v>
      </c>
      <c r="K1342" s="100">
        <f ca="1">_xll.meDateFromTenor(K1341,"1D","FOLLOWING",L$12)</f>
        <v>44407</v>
      </c>
      <c r="L1342" s="13">
        <f ca="1">_xll.meDateFromTenor(K1342,L$14,L$11,L$12)</f>
        <v>44498</v>
      </c>
      <c r="M1342" s="98">
        <f ca="1"/>
        <v>4.0381989363128231E-3</v>
      </c>
      <c r="N1342" s="5" t="s">
        <v>4</v>
      </c>
      <c r="O1342" s="100">
        <f ca="1">_xll.meDateFromTenor(O1341,"1D","FOLLOWING",P$12)</f>
        <v>44407</v>
      </c>
      <c r="P1342" s="13">
        <f ca="1">_xll.meDateFromTenor(O1342,P$14,P$11,P$12)</f>
        <v>44592</v>
      </c>
      <c r="Q1342" s="98">
        <f ca="1"/>
        <v>5.8050054394590232E-3</v>
      </c>
      <c r="R1342" s="5" t="s">
        <v>4</v>
      </c>
      <c r="S1342" s="100">
        <f ca="1">_xll.meDateFromTenor(S1341,"1D","FOLLOWING",T$12)</f>
        <v>44407</v>
      </c>
      <c r="T1342" s="13">
        <f ca="1">_xll.meDateFromTenor(S1342,T$14,T$11,T$12)</f>
        <v>44771</v>
      </c>
      <c r="U1342" s="98">
        <f ca="1"/>
        <v>7.8231074894696256E-3</v>
      </c>
      <c r="V1342" s="5" t="s">
        <v>4</v>
      </c>
      <c r="W1342" s="84" t="s">
        <v>4</v>
      </c>
    </row>
    <row r="1343" spans="1:23" x14ac:dyDescent="0.25">
      <c r="A1343" s="90">
        <v>1324</v>
      </c>
      <c r="B1343" s="83"/>
      <c r="C1343" s="100">
        <f ca="1">_xll.meDateFromTenor(C1342,"1D","FOLLOWING",D$12)</f>
        <v>44410</v>
      </c>
      <c r="D1343" s="13">
        <f ca="1">_xll.meDateFromTenor(C1343,D$14,D$11,D$12)</f>
        <v>44411</v>
      </c>
      <c r="E1343" s="98">
        <f ca="1"/>
        <v>1.9947258086091759E-3</v>
      </c>
      <c r="F1343" s="94"/>
      <c r="G1343" s="100">
        <f ca="1">_xll.meDateFromTenor(G1342,"1D","FOLLOWING",H$12)</f>
        <v>44410</v>
      </c>
      <c r="H1343" s="13">
        <f ca="1">_xll.meDateFromTenor(G1343,H$14,H$11,H$12)</f>
        <v>44441</v>
      </c>
      <c r="I1343" s="98">
        <f ca="1"/>
        <v>2.8505272889536005E-3</v>
      </c>
      <c r="J1343" s="94" t="s">
        <v>4</v>
      </c>
      <c r="K1343" s="100">
        <f ca="1">_xll.meDateFromTenor(K1342,"1D","FOLLOWING",L$12)</f>
        <v>44410</v>
      </c>
      <c r="L1343" s="13">
        <f ca="1">_xll.meDateFromTenor(K1343,L$14,L$11,L$12)</f>
        <v>44502</v>
      </c>
      <c r="M1343" s="98">
        <f ca="1"/>
        <v>4.0616438471094444E-3</v>
      </c>
      <c r="N1343" s="5" t="s">
        <v>4</v>
      </c>
      <c r="O1343" s="100">
        <f ca="1">_xll.meDateFromTenor(O1342,"1D","FOLLOWING",P$12)</f>
        <v>44410</v>
      </c>
      <c r="P1343" s="13">
        <f ca="1">_xll.meDateFromTenor(O1343,P$14,P$11,P$12)</f>
        <v>44594</v>
      </c>
      <c r="Q1343" s="98">
        <f ca="1"/>
        <v>5.8277365894111796E-3</v>
      </c>
      <c r="R1343" s="5" t="s">
        <v>4</v>
      </c>
      <c r="S1343" s="100">
        <f ca="1">_xll.meDateFromTenor(S1342,"1D","FOLLOWING",T$12)</f>
        <v>44410</v>
      </c>
      <c r="T1343" s="13">
        <f ca="1">_xll.meDateFromTenor(S1343,T$14,T$11,T$12)</f>
        <v>44775</v>
      </c>
      <c r="U1343" s="98">
        <f ca="1"/>
        <v>7.8450398987442507E-3</v>
      </c>
      <c r="V1343" s="5" t="s">
        <v>4</v>
      </c>
      <c r="W1343" s="84" t="s">
        <v>4</v>
      </c>
    </row>
    <row r="1344" spans="1:23" x14ac:dyDescent="0.25">
      <c r="A1344" s="90">
        <v>1325</v>
      </c>
      <c r="B1344" s="83"/>
      <c r="C1344" s="100">
        <f ca="1">_xll.meDateFromTenor(C1343,"1D","FOLLOWING",D$12)</f>
        <v>44411</v>
      </c>
      <c r="D1344" s="13">
        <f ca="1">_xll.meDateFromTenor(C1344,D$14,D$11,D$12)</f>
        <v>44412</v>
      </c>
      <c r="E1344" s="98">
        <f ca="1"/>
        <v>2.0041636942022189E-3</v>
      </c>
      <c r="F1344" s="94"/>
      <c r="G1344" s="100">
        <f ca="1">_xll.meDateFromTenor(G1343,"1D","FOLLOWING",H$12)</f>
        <v>44411</v>
      </c>
      <c r="H1344" s="13">
        <f ca="1">_xll.meDateFromTenor(G1344,H$14,H$11,H$12)</f>
        <v>44442</v>
      </c>
      <c r="I1344" s="98">
        <f ca="1"/>
        <v>2.8582059599280042E-3</v>
      </c>
      <c r="J1344" s="94" t="s">
        <v>4</v>
      </c>
      <c r="K1344" s="100">
        <f ca="1">_xll.meDateFromTenor(K1343,"1D","FOLLOWING",L$12)</f>
        <v>44411</v>
      </c>
      <c r="L1344" s="13">
        <f ca="1">_xll.meDateFromTenor(K1344,L$14,L$11,L$12)</f>
        <v>44503</v>
      </c>
      <c r="M1344" s="98">
        <f ca="1"/>
        <v>4.0694631690348119E-3</v>
      </c>
      <c r="N1344" s="5" t="s">
        <v>4</v>
      </c>
      <c r="O1344" s="100">
        <f ca="1">_xll.meDateFromTenor(O1343,"1D","FOLLOWING",P$12)</f>
        <v>44411</v>
      </c>
      <c r="P1344" s="13">
        <f ca="1">_xll.meDateFromTenor(O1344,P$14,P$11,P$12)</f>
        <v>44595</v>
      </c>
      <c r="Q1344" s="98">
        <f ca="1"/>
        <v>5.8353195759818909E-3</v>
      </c>
      <c r="R1344" s="5" t="s">
        <v>4</v>
      </c>
      <c r="S1344" s="100">
        <f ca="1">_xll.meDateFromTenor(S1343,"1D","FOLLOWING",T$12)</f>
        <v>44411</v>
      </c>
      <c r="T1344" s="13">
        <f ca="1">_xll.meDateFromTenor(S1344,T$14,T$11,T$12)</f>
        <v>44776</v>
      </c>
      <c r="U1344" s="98">
        <f ca="1"/>
        <v>7.8523499672758321E-3</v>
      </c>
      <c r="V1344" s="5" t="s">
        <v>4</v>
      </c>
      <c r="W1344" s="84" t="s">
        <v>4</v>
      </c>
    </row>
    <row r="1345" spans="1:23" x14ac:dyDescent="0.25">
      <c r="A1345" s="90">
        <v>1326</v>
      </c>
      <c r="B1345" s="83"/>
      <c r="C1345" s="100">
        <f ca="1">_xll.meDateFromTenor(C1344,"1D","FOLLOWING",D$12)</f>
        <v>44412</v>
      </c>
      <c r="D1345" s="13">
        <f ca="1">_xll.meDateFromTenor(C1345,D$14,D$11,D$12)</f>
        <v>44413</v>
      </c>
      <c r="E1345" s="98">
        <f ca="1"/>
        <v>2.0135942761182429E-3</v>
      </c>
      <c r="F1345" s="94"/>
      <c r="G1345" s="100">
        <f ca="1">_xll.meDateFromTenor(G1344,"1D","FOLLOWING",H$12)</f>
        <v>44412</v>
      </c>
      <c r="H1345" s="13">
        <f ca="1">_xll.meDateFromTenor(G1345,H$14,H$11,H$12)</f>
        <v>44445</v>
      </c>
      <c r="I1345" s="98">
        <f ca="1"/>
        <v>2.8659030543467098E-3</v>
      </c>
      <c r="J1345" s="94" t="s">
        <v>4</v>
      </c>
      <c r="K1345" s="100">
        <f ca="1">_xll.meDateFromTenor(K1344,"1D","FOLLOWING",L$12)</f>
        <v>44412</v>
      </c>
      <c r="L1345" s="13">
        <f ca="1">_xll.meDateFromTenor(K1345,L$14,L$11,L$12)</f>
        <v>44504</v>
      </c>
      <c r="M1345" s="98">
        <f ca="1"/>
        <v>4.0772846499658759E-3</v>
      </c>
      <c r="N1345" s="5" t="s">
        <v>4</v>
      </c>
      <c r="O1345" s="100">
        <f ca="1">_xll.meDateFromTenor(O1344,"1D","FOLLOWING",P$12)</f>
        <v>44412</v>
      </c>
      <c r="P1345" s="13">
        <f ca="1">_xll.meDateFromTenor(O1345,P$14,P$11,P$12)</f>
        <v>44596</v>
      </c>
      <c r="Q1345" s="98">
        <f ca="1"/>
        <v>5.8429055439540674E-3</v>
      </c>
      <c r="R1345" s="5" t="s">
        <v>4</v>
      </c>
      <c r="S1345" s="100">
        <f ca="1">_xll.meDateFromTenor(S1344,"1D","FOLLOWING",T$12)</f>
        <v>44412</v>
      </c>
      <c r="T1345" s="13">
        <f ca="1">_xll.meDateFromTenor(S1345,T$14,T$11,T$12)</f>
        <v>44777</v>
      </c>
      <c r="U1345" s="98">
        <f ca="1"/>
        <v>7.8596596639726353E-3</v>
      </c>
      <c r="V1345" s="5" t="s">
        <v>4</v>
      </c>
      <c r="W1345" s="84" t="s">
        <v>4</v>
      </c>
    </row>
    <row r="1346" spans="1:23" x14ac:dyDescent="0.25">
      <c r="A1346" s="90">
        <v>1327</v>
      </c>
      <c r="B1346" s="83"/>
      <c r="C1346" s="100">
        <f ca="1">_xll.meDateFromTenor(C1345,"1D","FOLLOWING",D$12)</f>
        <v>44413</v>
      </c>
      <c r="D1346" s="13">
        <f ca="1">_xll.meDateFromTenor(C1346,D$14,D$11,D$12)</f>
        <v>44414</v>
      </c>
      <c r="E1346" s="98">
        <f ca="1"/>
        <v>2.023017554834933E-3</v>
      </c>
      <c r="F1346" s="94"/>
      <c r="G1346" s="100">
        <f ca="1">_xll.meDateFromTenor(G1345,"1D","FOLLOWING",H$12)</f>
        <v>44413</v>
      </c>
      <c r="H1346" s="13">
        <f ca="1">_xll.meDateFromTenor(G1346,H$14,H$11,H$12)</f>
        <v>44445</v>
      </c>
      <c r="I1346" s="98">
        <f ca="1"/>
        <v>2.8736167952385775E-3</v>
      </c>
      <c r="J1346" s="94" t="s">
        <v>4</v>
      </c>
      <c r="K1346" s="100">
        <f ca="1">_xll.meDateFromTenor(K1345,"1D","FOLLOWING",L$12)</f>
        <v>44413</v>
      </c>
      <c r="L1346" s="13">
        <f ca="1">_xll.meDateFromTenor(K1346,L$14,L$11,L$12)</f>
        <v>44505</v>
      </c>
      <c r="M1346" s="98">
        <f ca="1"/>
        <v>4.0851082798081008E-3</v>
      </c>
      <c r="N1346" s="5" t="s">
        <v>4</v>
      </c>
      <c r="O1346" s="100">
        <f ca="1">_xll.meDateFromTenor(O1345,"1D","FOLLOWING",P$12)</f>
        <v>44413</v>
      </c>
      <c r="P1346" s="13">
        <f ca="1">_xll.meDateFromTenor(O1346,P$14,P$11,P$12)</f>
        <v>44599</v>
      </c>
      <c r="Q1346" s="98">
        <f ca="1"/>
        <v>5.8504945011925861E-3</v>
      </c>
      <c r="R1346" s="5" t="s">
        <v>4</v>
      </c>
      <c r="S1346" s="100">
        <f ca="1">_xll.meDateFromTenor(S1345,"1D","FOLLOWING",T$12)</f>
        <v>44413</v>
      </c>
      <c r="T1346" s="13">
        <f ca="1">_xll.meDateFromTenor(S1346,T$14,T$11,T$12)</f>
        <v>44778</v>
      </c>
      <c r="U1346" s="98">
        <f ca="1"/>
        <v>7.8669689861017734E-3</v>
      </c>
      <c r="V1346" s="5" t="s">
        <v>4</v>
      </c>
      <c r="W1346" s="84" t="s">
        <v>4</v>
      </c>
    </row>
    <row r="1347" spans="1:23" x14ac:dyDescent="0.25">
      <c r="A1347" s="90">
        <v>1328</v>
      </c>
      <c r="B1347" s="83"/>
      <c r="C1347" s="100">
        <f ca="1">_xll.meDateFromTenor(C1346,"1D","FOLLOWING",D$12)</f>
        <v>44414</v>
      </c>
      <c r="D1347" s="13">
        <f ca="1">_xll.meDateFromTenor(C1347,D$14,D$11,D$12)</f>
        <v>44417</v>
      </c>
      <c r="E1347" s="98">
        <f ca="1"/>
        <v>2.0418513521037792E-3</v>
      </c>
      <c r="F1347" s="94"/>
      <c r="G1347" s="100">
        <f ca="1">_xll.meDateFromTenor(G1346,"1D","FOLLOWING",H$12)</f>
        <v>44414</v>
      </c>
      <c r="H1347" s="13">
        <f ca="1">_xll.meDateFromTenor(G1347,H$14,H$11,H$12)</f>
        <v>44445</v>
      </c>
      <c r="I1347" s="98">
        <f ca="1"/>
        <v>2.8813454056324708E-3</v>
      </c>
      <c r="J1347" s="94" t="s">
        <v>4</v>
      </c>
      <c r="K1347" s="100">
        <f ca="1">_xll.meDateFromTenor(K1346,"1D","FOLLOWING",L$12)</f>
        <v>44414</v>
      </c>
      <c r="L1347" s="13">
        <f ca="1">_xll.meDateFromTenor(K1347,L$14,L$11,L$12)</f>
        <v>44508</v>
      </c>
      <c r="M1347" s="98">
        <f ca="1"/>
        <v>4.0929340484669547E-3</v>
      </c>
      <c r="N1347" s="5" t="s">
        <v>4</v>
      </c>
      <c r="O1347" s="100">
        <f ca="1">_xll.meDateFromTenor(O1346,"1D","FOLLOWING",P$12)</f>
        <v>44414</v>
      </c>
      <c r="P1347" s="13">
        <f ca="1">_xll.meDateFromTenor(O1347,P$14,P$11,P$12)</f>
        <v>44599</v>
      </c>
      <c r="Q1347" s="98">
        <f ca="1"/>
        <v>5.8580864555623285E-3</v>
      </c>
      <c r="R1347" s="5" t="s">
        <v>4</v>
      </c>
      <c r="S1347" s="100">
        <f ca="1">_xll.meDateFromTenor(S1346,"1D","FOLLOWING",T$12)</f>
        <v>44414</v>
      </c>
      <c r="T1347" s="13">
        <f ca="1">_xll.meDateFromTenor(S1347,T$14,T$11,T$12)</f>
        <v>44781</v>
      </c>
      <c r="U1347" s="98">
        <f ca="1"/>
        <v>7.874277930930363E-3</v>
      </c>
      <c r="V1347" s="5" t="s">
        <v>4</v>
      </c>
      <c r="W1347" s="84" t="s">
        <v>4</v>
      </c>
    </row>
    <row r="1348" spans="1:23" x14ac:dyDescent="0.25">
      <c r="A1348" s="90">
        <v>1329</v>
      </c>
      <c r="B1348" s="83"/>
      <c r="C1348" s="100">
        <f ca="1">_xll.meDateFromTenor(C1347,"1D","FOLLOWING",D$12)</f>
        <v>44417</v>
      </c>
      <c r="D1348" s="13">
        <f ca="1">_xll.meDateFromTenor(C1348,D$14,D$11,D$12)</f>
        <v>44418</v>
      </c>
      <c r="E1348" s="98">
        <f ca="1"/>
        <v>2.060637649714214E-3</v>
      </c>
      <c r="F1348" s="94"/>
      <c r="G1348" s="100">
        <f ca="1">_xll.meDateFromTenor(G1347,"1D","FOLLOWING",H$12)</f>
        <v>44417</v>
      </c>
      <c r="H1348" s="13">
        <f ca="1">_xll.meDateFromTenor(G1348,H$14,H$11,H$12)</f>
        <v>44448</v>
      </c>
      <c r="I1348" s="98">
        <f ca="1"/>
        <v>2.9046026841149267E-3</v>
      </c>
      <c r="J1348" s="94" t="s">
        <v>4</v>
      </c>
      <c r="K1348" s="100">
        <f ca="1">_xll.meDateFromTenor(K1347,"1D","FOLLOWING",L$12)</f>
        <v>44417</v>
      </c>
      <c r="L1348" s="13">
        <f ca="1">_xll.meDateFromTenor(K1348,L$14,L$11,L$12)</f>
        <v>44509</v>
      </c>
      <c r="M1348" s="98">
        <f ca="1"/>
        <v>4.1164240863979682E-3</v>
      </c>
      <c r="N1348" s="5" t="s">
        <v>4</v>
      </c>
      <c r="O1348" s="100">
        <f ca="1">_xll.meDateFromTenor(O1347,"1D","FOLLOWING",P$12)</f>
        <v>44417</v>
      </c>
      <c r="P1348" s="13">
        <f ca="1">_xll.meDateFromTenor(O1348,P$14,P$11,P$12)</f>
        <v>44601</v>
      </c>
      <c r="Q1348" s="98">
        <f ca="1"/>
        <v>5.8808803801076934E-3</v>
      </c>
      <c r="R1348" s="5" t="s">
        <v>4</v>
      </c>
      <c r="S1348" s="100">
        <f ca="1">_xll.meDateFromTenor(S1347,"1D","FOLLOWING",T$12)</f>
        <v>44417</v>
      </c>
      <c r="T1348" s="13">
        <f ca="1">_xll.meDateFromTenor(S1348,T$14,T$11,T$12)</f>
        <v>44782</v>
      </c>
      <c r="U1348" s="98">
        <f ca="1"/>
        <v>7.8962024742840285E-3</v>
      </c>
      <c r="V1348" s="5" t="s">
        <v>4</v>
      </c>
      <c r="W1348" s="84" t="s">
        <v>4</v>
      </c>
    </row>
    <row r="1349" spans="1:23" x14ac:dyDescent="0.25">
      <c r="A1349" s="90">
        <v>1330</v>
      </c>
      <c r="B1349" s="83"/>
      <c r="C1349" s="100">
        <f ca="1">_xll.meDateFromTenor(C1348,"1D","FOLLOWING",D$12)</f>
        <v>44418</v>
      </c>
      <c r="D1349" s="13">
        <f ca="1">_xll.meDateFromTenor(C1349,D$14,D$11,D$12)</f>
        <v>44419</v>
      </c>
      <c r="E1349" s="98">
        <f ca="1"/>
        <v>2.0700244213148807E-3</v>
      </c>
      <c r="F1349" s="94"/>
      <c r="G1349" s="100">
        <f ca="1">_xll.meDateFromTenor(G1348,"1D","FOLLOWING",H$12)</f>
        <v>44418</v>
      </c>
      <c r="H1349" s="13">
        <f ca="1">_xll.meDateFromTenor(G1349,H$14,H$11,H$12)</f>
        <v>44449</v>
      </c>
      <c r="I1349" s="98">
        <f ca="1"/>
        <v>2.9123730028055446E-3</v>
      </c>
      <c r="J1349" s="94" t="s">
        <v>4</v>
      </c>
      <c r="K1349" s="100">
        <f ca="1">_xll.meDateFromTenor(K1348,"1D","FOLLOWING",L$12)</f>
        <v>44418</v>
      </c>
      <c r="L1349" s="13">
        <f ca="1">_xll.meDateFromTenor(K1349,L$14,L$11,L$12)</f>
        <v>44510</v>
      </c>
      <c r="M1349" s="98">
        <f ca="1"/>
        <v>4.1242583093780106E-3</v>
      </c>
      <c r="N1349" s="5" t="s">
        <v>4</v>
      </c>
      <c r="O1349" s="100">
        <f ca="1">_xll.meDateFromTenor(O1348,"1D","FOLLOWING",P$12)</f>
        <v>44418</v>
      </c>
      <c r="P1349" s="13">
        <f ca="1">_xll.meDateFromTenor(O1349,P$14,P$11,P$12)</f>
        <v>44602</v>
      </c>
      <c r="Q1349" s="98">
        <f ca="1"/>
        <v>5.8884844016511232E-3</v>
      </c>
      <c r="R1349" s="5" t="s">
        <v>4</v>
      </c>
      <c r="S1349" s="100">
        <f ca="1">_xll.meDateFromTenor(S1348,"1D","FOLLOWING",T$12)</f>
        <v>44418</v>
      </c>
      <c r="T1349" s="13">
        <f ca="1">_xll.meDateFromTenor(S1349,T$14,T$11,T$12)</f>
        <v>44783</v>
      </c>
      <c r="U1349" s="98">
        <f ca="1"/>
        <v>7.9035098825816063E-3</v>
      </c>
      <c r="V1349" s="5" t="s">
        <v>4</v>
      </c>
      <c r="W1349" s="84" t="s">
        <v>4</v>
      </c>
    </row>
    <row r="1350" spans="1:23" x14ac:dyDescent="0.25">
      <c r="A1350" s="90">
        <v>1331</v>
      </c>
      <c r="B1350" s="83"/>
      <c r="C1350" s="100">
        <f ca="1">_xll.meDateFromTenor(C1349,"1D","FOLLOWING",D$12)</f>
        <v>44419</v>
      </c>
      <c r="D1350" s="13">
        <f ca="1">_xll.meDateFromTenor(C1350,D$14,D$11,D$12)</f>
        <v>44420</v>
      </c>
      <c r="E1350" s="98">
        <f ca="1"/>
        <v>2.0794038932333636E-3</v>
      </c>
      <c r="F1350" s="94"/>
      <c r="G1350" s="100">
        <f ca="1">_xll.meDateFromTenor(G1349,"1D","FOLLOWING",H$12)</f>
        <v>44419</v>
      </c>
      <c r="H1350" s="13">
        <f ca="1">_xll.meDateFromTenor(G1350,H$14,H$11,H$12)</f>
        <v>44452</v>
      </c>
      <c r="I1350" s="98">
        <f ca="1"/>
        <v>2.9201493061425062E-3</v>
      </c>
      <c r="J1350" s="94" t="s">
        <v>4</v>
      </c>
      <c r="K1350" s="100">
        <f ca="1">_xll.meDateFromTenor(K1349,"1D","FOLLOWING",L$12)</f>
        <v>44419</v>
      </c>
      <c r="L1350" s="13">
        <f ca="1">_xll.meDateFromTenor(K1350,L$14,L$11,L$12)</f>
        <v>44511</v>
      </c>
      <c r="M1350" s="98">
        <f ca="1"/>
        <v>4.1320946207020256E-3</v>
      </c>
      <c r="N1350" s="5" t="s">
        <v>4</v>
      </c>
      <c r="O1350" s="100">
        <f ca="1">_xll.meDateFromTenor(O1349,"1D","FOLLOWING",P$12)</f>
        <v>44419</v>
      </c>
      <c r="P1350" s="13">
        <f ca="1">_xll.meDateFromTenor(O1350,P$14,P$11,P$12)</f>
        <v>44603</v>
      </c>
      <c r="Q1350" s="98">
        <f ca="1"/>
        <v>5.8960914596501808E-3</v>
      </c>
      <c r="R1350" s="5" t="s">
        <v>4</v>
      </c>
      <c r="S1350" s="100">
        <f ca="1">_xll.meDateFromTenor(S1349,"1D","FOLLOWING",T$12)</f>
        <v>44419</v>
      </c>
      <c r="T1350" s="13">
        <f ca="1">_xll.meDateFromTenor(S1350,T$14,T$11,T$12)</f>
        <v>44784</v>
      </c>
      <c r="U1350" s="98">
        <f ca="1"/>
        <v>7.9108168999142293E-3</v>
      </c>
      <c r="V1350" s="5" t="s">
        <v>4</v>
      </c>
      <c r="W1350" s="84" t="s">
        <v>4</v>
      </c>
    </row>
    <row r="1351" spans="1:23" x14ac:dyDescent="0.25">
      <c r="A1351" s="90">
        <v>1332</v>
      </c>
      <c r="B1351" s="83"/>
      <c r="C1351" s="100">
        <f ca="1">_xll.meDateFromTenor(C1350,"1D","FOLLOWING",D$12)</f>
        <v>44420</v>
      </c>
      <c r="D1351" s="13">
        <f ca="1">_xll.meDateFromTenor(C1351,D$14,D$11,D$12)</f>
        <v>44421</v>
      </c>
      <c r="E1351" s="98">
        <f ca="1"/>
        <v>2.0887760658719972E-3</v>
      </c>
      <c r="F1351" s="94"/>
      <c r="G1351" s="100">
        <f ca="1">_xll.meDateFromTenor(G1350,"1D","FOLLOWING",H$12)</f>
        <v>44420</v>
      </c>
      <c r="H1351" s="13">
        <f ca="1">_xll.meDateFromTenor(G1351,H$14,H$11,H$12)</f>
        <v>44452</v>
      </c>
      <c r="I1351" s="98">
        <f ca="1"/>
        <v>2.9279298171546639E-3</v>
      </c>
      <c r="J1351" s="94" t="s">
        <v>4</v>
      </c>
      <c r="K1351" s="100">
        <f ca="1">_xll.meDateFromTenor(K1350,"1D","FOLLOWING",L$12)</f>
        <v>44420</v>
      </c>
      <c r="L1351" s="13">
        <f ca="1">_xll.meDateFromTenor(K1351,L$14,L$11,L$12)</f>
        <v>44512</v>
      </c>
      <c r="M1351" s="98">
        <f ca="1"/>
        <v>4.1399330102754699E-3</v>
      </c>
      <c r="N1351" s="5" t="s">
        <v>4</v>
      </c>
      <c r="O1351" s="100">
        <f ca="1">_xll.meDateFromTenor(O1350,"1D","FOLLOWING",P$12)</f>
        <v>44420</v>
      </c>
      <c r="P1351" s="13">
        <f ca="1">_xll.meDateFromTenor(O1351,P$14,P$11,P$12)</f>
        <v>44606</v>
      </c>
      <c r="Q1351" s="98">
        <f ca="1"/>
        <v>5.9037015619697363E-3</v>
      </c>
      <c r="R1351" s="5" t="s">
        <v>4</v>
      </c>
      <c r="S1351" s="100">
        <f ca="1">_xll.meDateFromTenor(S1350,"1D","FOLLOWING",T$12)</f>
        <v>44420</v>
      </c>
      <c r="T1351" s="13">
        <f ca="1">_xll.meDateFromTenor(S1351,T$14,T$11,T$12)</f>
        <v>44785</v>
      </c>
      <c r="U1351" s="98">
        <f ca="1"/>
        <v>7.9181235235490071E-3</v>
      </c>
      <c r="V1351" s="5" t="s">
        <v>4</v>
      </c>
      <c r="W1351" s="84" t="s">
        <v>4</v>
      </c>
    </row>
    <row r="1352" spans="1:23" x14ac:dyDescent="0.25">
      <c r="A1352" s="90">
        <v>1333</v>
      </c>
      <c r="B1352" s="83"/>
      <c r="C1352" s="100">
        <f ca="1">_xll.meDateFromTenor(C1351,"1D","FOLLOWING",D$12)</f>
        <v>44421</v>
      </c>
      <c r="D1352" s="13">
        <f ca="1">_xll.meDateFromTenor(C1352,D$14,D$11,D$12)</f>
        <v>44424</v>
      </c>
      <c r="E1352" s="98">
        <f ca="1"/>
        <v>2.1075084211651446E-3</v>
      </c>
      <c r="F1352" s="94"/>
      <c r="G1352" s="100">
        <f ca="1">_xll.meDateFromTenor(G1351,"1D","FOLLOWING",H$12)</f>
        <v>44421</v>
      </c>
      <c r="H1352" s="13">
        <f ca="1">_xll.meDateFromTenor(G1352,H$14,H$11,H$12)</f>
        <v>44452</v>
      </c>
      <c r="I1352" s="98">
        <f ca="1"/>
        <v>2.9357127588708889E-3</v>
      </c>
      <c r="J1352" s="94" t="s">
        <v>4</v>
      </c>
      <c r="K1352" s="100">
        <f ca="1">_xll.meDateFromTenor(K1351,"1D","FOLLOWING",L$12)</f>
        <v>44421</v>
      </c>
      <c r="L1352" s="13">
        <f ca="1">_xll.meDateFromTenor(K1352,L$14,L$11,L$12)</f>
        <v>44515</v>
      </c>
      <c r="M1352" s="98">
        <f ca="1"/>
        <v>4.1477734680038176E-3</v>
      </c>
      <c r="N1352" s="5" t="s">
        <v>4</v>
      </c>
      <c r="O1352" s="100">
        <f ca="1">_xll.meDateFromTenor(O1351,"1D","FOLLOWING",P$12)</f>
        <v>44421</v>
      </c>
      <c r="P1352" s="13">
        <f ca="1">_xll.meDateFromTenor(O1352,P$14,P$11,P$12)</f>
        <v>44606</v>
      </c>
      <c r="Q1352" s="98">
        <f ca="1"/>
        <v>5.9113147164746747E-3</v>
      </c>
      <c r="R1352" s="5" t="s">
        <v>4</v>
      </c>
      <c r="S1352" s="100">
        <f ca="1">_xll.meDateFromTenor(S1351,"1D","FOLLOWING",T$12)</f>
        <v>44421</v>
      </c>
      <c r="T1352" s="13">
        <f ca="1">_xll.meDateFromTenor(S1352,T$14,T$11,T$12)</f>
        <v>44788</v>
      </c>
      <c r="U1352" s="98">
        <f ca="1"/>
        <v>7.9254297507530633E-3</v>
      </c>
      <c r="V1352" s="5" t="s">
        <v>4</v>
      </c>
      <c r="W1352" s="84" t="s">
        <v>4</v>
      </c>
    </row>
    <row r="1353" spans="1:23" x14ac:dyDescent="0.25">
      <c r="A1353" s="90">
        <v>1334</v>
      </c>
      <c r="B1353" s="83"/>
      <c r="C1353" s="100">
        <f ca="1">_xll.meDateFromTenor(C1352,"1D","FOLLOWING",D$12)</f>
        <v>44424</v>
      </c>
      <c r="D1353" s="13">
        <f ca="1">_xll.meDateFromTenor(C1353,D$14,D$11,D$12)</f>
        <v>44425</v>
      </c>
      <c r="E1353" s="98">
        <f ca="1"/>
        <v>2.1261917762419734E-3</v>
      </c>
      <c r="F1353" s="94"/>
      <c r="G1353" s="100">
        <f ca="1">_xll.meDateFromTenor(G1352,"1D","FOLLOWING",H$12)</f>
        <v>44424</v>
      </c>
      <c r="H1353" s="13">
        <f ca="1">_xll.meDateFromTenor(G1353,H$14,H$11,H$12)</f>
        <v>44455</v>
      </c>
      <c r="I1353" s="98">
        <f ca="1"/>
        <v>2.9590583985325747E-3</v>
      </c>
      <c r="J1353" s="94" t="s">
        <v>4</v>
      </c>
      <c r="K1353" s="100">
        <f ca="1">_xll.meDateFromTenor(K1352,"1D","FOLLOWING",L$12)</f>
        <v>44424</v>
      </c>
      <c r="L1353" s="13">
        <f ca="1">_xll.meDateFromTenor(K1353,L$14,L$11,L$12)</f>
        <v>44516</v>
      </c>
      <c r="M1353" s="98">
        <f ca="1"/>
        <v>4.17130714917295E-3</v>
      </c>
      <c r="N1353" s="5" t="s">
        <v>4</v>
      </c>
      <c r="O1353" s="100">
        <f ca="1">_xll.meDateFromTenor(O1352,"1D","FOLLOWING",P$12)</f>
        <v>44424</v>
      </c>
      <c r="P1353" s="13">
        <f ca="1">_xll.meDateFromTenor(O1353,P$14,P$11,P$12)</f>
        <v>44608</v>
      </c>
      <c r="Q1353" s="98">
        <f ca="1"/>
        <v>5.9341725717505815E-3</v>
      </c>
      <c r="R1353" s="5" t="s">
        <v>4</v>
      </c>
      <c r="S1353" s="100">
        <f ca="1">_xll.meDateFromTenor(S1352,"1D","FOLLOWING",T$12)</f>
        <v>44424</v>
      </c>
      <c r="T1353" s="13">
        <f ca="1">_xll.meDateFromTenor(S1353,T$14,T$11,T$12)</f>
        <v>44789</v>
      </c>
      <c r="U1353" s="98">
        <f ca="1"/>
        <v>7.9473460264520689E-3</v>
      </c>
      <c r="V1353" s="5" t="s">
        <v>4</v>
      </c>
      <c r="W1353" s="84" t="s">
        <v>4</v>
      </c>
    </row>
    <row r="1354" spans="1:23" x14ac:dyDescent="0.25">
      <c r="A1354" s="90">
        <v>1335</v>
      </c>
      <c r="B1354" s="83"/>
      <c r="C1354" s="100">
        <f ca="1">_xll.meDateFromTenor(C1353,"1D","FOLLOWING",D$12)</f>
        <v>44425</v>
      </c>
      <c r="D1354" s="13">
        <f ca="1">_xll.meDateFromTenor(C1354,D$14,D$11,D$12)</f>
        <v>44426</v>
      </c>
      <c r="E1354" s="98">
        <f ca="1"/>
        <v>2.1355274615860722E-3</v>
      </c>
      <c r="F1354" s="94"/>
      <c r="G1354" s="100">
        <f ca="1">_xll.meDateFromTenor(G1353,"1D","FOLLOWING",H$12)</f>
        <v>44425</v>
      </c>
      <c r="H1354" s="13">
        <f ca="1">_xll.meDateFromTenor(G1354,H$14,H$11,H$12)</f>
        <v>44456</v>
      </c>
      <c r="I1354" s="98">
        <f ca="1"/>
        <v>2.9668332933536828E-3</v>
      </c>
      <c r="J1354" s="94" t="s">
        <v>4</v>
      </c>
      <c r="K1354" s="100">
        <f ca="1">_xll.meDateFromTenor(K1353,"1D","FOLLOWING",L$12)</f>
        <v>44425</v>
      </c>
      <c r="L1354" s="13">
        <f ca="1">_xll.meDateFromTenor(K1354,L$14,L$11,L$12)</f>
        <v>44517</v>
      </c>
      <c r="M1354" s="98">
        <f ca="1"/>
        <v>4.1791557785755811E-3</v>
      </c>
      <c r="N1354" s="5" t="s">
        <v>4</v>
      </c>
      <c r="O1354" s="100">
        <f ca="1">_xll.meDateFromTenor(O1353,"1D","FOLLOWING",P$12)</f>
        <v>44425</v>
      </c>
      <c r="P1354" s="13">
        <f ca="1">_xll.meDateFromTenor(O1354,P$14,P$11,P$12)</f>
        <v>44609</v>
      </c>
      <c r="Q1354" s="98">
        <f ca="1"/>
        <v>5.9417980136458456E-3</v>
      </c>
      <c r="R1354" s="5" t="s">
        <v>4</v>
      </c>
      <c r="S1354" s="100">
        <f ca="1">_xll.meDateFromTenor(S1353,"1D","FOLLOWING",T$12)</f>
        <v>44425</v>
      </c>
      <c r="T1354" s="13">
        <f ca="1">_xll.meDateFromTenor(S1354,T$14,T$11,T$12)</f>
        <v>44790</v>
      </c>
      <c r="U1354" s="98">
        <f ca="1"/>
        <v>7.9546506406044104E-3</v>
      </c>
      <c r="V1354" s="5" t="s">
        <v>4</v>
      </c>
      <c r="W1354" s="84" t="s">
        <v>4</v>
      </c>
    </row>
    <row r="1355" spans="1:23" x14ac:dyDescent="0.25">
      <c r="A1355" s="90">
        <v>1336</v>
      </c>
      <c r="B1355" s="83"/>
      <c r="C1355" s="100">
        <f ca="1">_xll.meDateFromTenor(C1354,"1D","FOLLOWING",D$12)</f>
        <v>44426</v>
      </c>
      <c r="D1355" s="13">
        <f ca="1">_xll.meDateFromTenor(C1355,D$14,D$11,D$12)</f>
        <v>44427</v>
      </c>
      <c r="E1355" s="98">
        <f ca="1"/>
        <v>2.1448558509277356E-3</v>
      </c>
      <c r="F1355" s="94"/>
      <c r="G1355" s="100">
        <f ca="1">_xll.meDateFromTenor(G1354,"1D","FOLLOWING",H$12)</f>
        <v>44426</v>
      </c>
      <c r="H1355" s="13">
        <f ca="1">_xll.meDateFromTenor(G1355,H$14,H$11,H$12)</f>
        <v>44459</v>
      </c>
      <c r="I1355" s="98">
        <f ca="1"/>
        <v>2.974601734023169E-3</v>
      </c>
      <c r="J1355" s="94" t="s">
        <v>4</v>
      </c>
      <c r="K1355" s="100">
        <f ca="1">_xll.meDateFromTenor(K1354,"1D","FOLLOWING",L$12)</f>
        <v>44426</v>
      </c>
      <c r="L1355" s="13">
        <f ca="1">_xll.meDateFromTenor(K1355,L$14,L$11,L$12)</f>
        <v>44518</v>
      </c>
      <c r="M1355" s="98">
        <f ca="1"/>
        <v>4.1870064256604514E-3</v>
      </c>
      <c r="N1355" s="5" t="s">
        <v>4</v>
      </c>
      <c r="O1355" s="100">
        <f ca="1">_xll.meDateFromTenor(O1354,"1D","FOLLOWING",P$12)</f>
        <v>44426</v>
      </c>
      <c r="P1355" s="13">
        <f ca="1">_xll.meDateFromTenor(O1355,P$14,P$11,P$12)</f>
        <v>44610</v>
      </c>
      <c r="Q1355" s="98">
        <f ca="1"/>
        <v>5.9494265470508914E-3</v>
      </c>
      <c r="R1355" s="5" t="s">
        <v>4</v>
      </c>
      <c r="S1355" s="100">
        <f ca="1">_xll.meDateFromTenor(S1354,"1D","FOLLOWING",T$12)</f>
        <v>44426</v>
      </c>
      <c r="T1355" s="13">
        <f ca="1">_xll.meDateFromTenor(S1355,T$14,T$11,T$12)</f>
        <v>44791</v>
      </c>
      <c r="U1355" s="98">
        <f ca="1"/>
        <v>7.9619548446616152E-3</v>
      </c>
      <c r="V1355" s="5" t="s">
        <v>4</v>
      </c>
      <c r="W1355" s="84" t="s">
        <v>4</v>
      </c>
    </row>
    <row r="1356" spans="1:23" x14ac:dyDescent="0.25">
      <c r="A1356" s="90">
        <v>1337</v>
      </c>
      <c r="B1356" s="83"/>
      <c r="C1356" s="100">
        <f ca="1">_xll.meDateFromTenor(C1355,"1D","FOLLOWING",D$12)</f>
        <v>44427</v>
      </c>
      <c r="D1356" s="13">
        <f ca="1">_xll.meDateFromTenor(C1356,D$14,D$11,D$12)</f>
        <v>44428</v>
      </c>
      <c r="E1356" s="98">
        <f ca="1"/>
        <v>2.1541769452234592E-3</v>
      </c>
      <c r="F1356" s="94"/>
      <c r="G1356" s="100">
        <f ca="1">_xll.meDateFromTenor(G1355,"1D","FOLLOWING",H$12)</f>
        <v>44427</v>
      </c>
      <c r="H1356" s="13">
        <f ca="1">_xll.meDateFromTenor(G1356,H$14,H$11,H$12)</f>
        <v>44459</v>
      </c>
      <c r="I1356" s="98">
        <f ca="1"/>
        <v>2.9823619435698921E-3</v>
      </c>
      <c r="J1356" s="94" t="s">
        <v>4</v>
      </c>
      <c r="K1356" s="100">
        <f ca="1">_xll.meDateFromTenor(K1355,"1D","FOLLOWING",L$12)</f>
        <v>44427</v>
      </c>
      <c r="L1356" s="13">
        <f ca="1">_xll.meDateFromTenor(K1356,L$14,L$11,L$12)</f>
        <v>44519</v>
      </c>
      <c r="M1356" s="98">
        <f ca="1"/>
        <v>4.1948590803330271E-3</v>
      </c>
      <c r="N1356" s="5" t="s">
        <v>4</v>
      </c>
      <c r="O1356" s="100">
        <f ca="1">_xll.meDateFromTenor(O1355,"1D","FOLLOWING",P$12)</f>
        <v>44427</v>
      </c>
      <c r="P1356" s="13">
        <f ca="1">_xll.meDateFromTenor(O1356,P$14,P$11,P$12)</f>
        <v>44613</v>
      </c>
      <c r="Q1356" s="98">
        <f ca="1"/>
        <v>5.9570581798305943E-3</v>
      </c>
      <c r="R1356" s="5" t="s">
        <v>4</v>
      </c>
      <c r="S1356" s="100">
        <f ca="1">_xll.meDateFromTenor(S1355,"1D","FOLLOWING",T$12)</f>
        <v>44427</v>
      </c>
      <c r="T1356" s="13">
        <f ca="1">_xll.meDateFromTenor(S1356,T$14,T$11,T$12)</f>
        <v>44792</v>
      </c>
      <c r="U1356" s="98">
        <f ca="1"/>
        <v>7.9692586358908E-3</v>
      </c>
      <c r="V1356" s="5" t="s">
        <v>4</v>
      </c>
      <c r="W1356" s="84" t="s">
        <v>4</v>
      </c>
    </row>
    <row r="1357" spans="1:23" x14ac:dyDescent="0.25">
      <c r="A1357" s="90">
        <v>1338</v>
      </c>
      <c r="B1357" s="83"/>
      <c r="C1357" s="100">
        <f ca="1">_xll.meDateFromTenor(C1356,"1D","FOLLOWING",D$12)</f>
        <v>44428</v>
      </c>
      <c r="D1357" s="13">
        <f ca="1">_xll.meDateFromTenor(C1357,D$14,D$11,D$12)</f>
        <v>44431</v>
      </c>
      <c r="E1357" s="98">
        <f ca="1"/>
        <v>2.1728079325634823E-3</v>
      </c>
      <c r="F1357" s="94"/>
      <c r="G1357" s="100">
        <f ca="1">_xll.meDateFromTenor(G1356,"1D","FOLLOWING",H$12)</f>
        <v>44428</v>
      </c>
      <c r="H1357" s="13">
        <f ca="1">_xll.meDateFromTenor(G1357,H$14,H$11,H$12)</f>
        <v>44459</v>
      </c>
      <c r="I1357" s="98">
        <f ca="1"/>
        <v>2.9901121450227248E-3</v>
      </c>
      <c r="J1357" s="94" t="s">
        <v>4</v>
      </c>
      <c r="K1357" s="100">
        <f ca="1">_xll.meDateFromTenor(K1356,"1D","FOLLOWING",L$12)</f>
        <v>44428</v>
      </c>
      <c r="L1357" s="13">
        <f ca="1">_xll.meDateFromTenor(K1357,L$14,L$11,L$12)</f>
        <v>44522</v>
      </c>
      <c r="M1357" s="98">
        <f ca="1"/>
        <v>4.2027137324987824E-3</v>
      </c>
      <c r="N1357" s="5" t="s">
        <v>4</v>
      </c>
      <c r="O1357" s="100">
        <f ca="1">_xll.meDateFromTenor(O1356,"1D","FOLLOWING",P$12)</f>
        <v>44428</v>
      </c>
      <c r="P1357" s="13">
        <f ca="1">_xll.meDateFromTenor(O1357,P$14,P$11,P$12)</f>
        <v>44613</v>
      </c>
      <c r="Q1357" s="98">
        <f ca="1"/>
        <v>5.9646929198498445E-3</v>
      </c>
      <c r="R1357" s="5" t="s">
        <v>4</v>
      </c>
      <c r="S1357" s="100">
        <f ca="1">_xll.meDateFromTenor(S1356,"1D","FOLLOWING",T$12)</f>
        <v>44428</v>
      </c>
      <c r="T1357" s="13">
        <f ca="1">_xll.meDateFromTenor(S1357,T$14,T$11,T$12)</f>
        <v>44795</v>
      </c>
      <c r="U1357" s="98">
        <f ca="1"/>
        <v>7.97656201155909E-3</v>
      </c>
      <c r="V1357" s="5" t="s">
        <v>4</v>
      </c>
      <c r="W1357" s="84" t="s">
        <v>4</v>
      </c>
    </row>
    <row r="1358" spans="1:23" x14ac:dyDescent="0.25">
      <c r="A1358" s="90">
        <v>1339</v>
      </c>
      <c r="B1358" s="83"/>
      <c r="C1358" s="100">
        <f ca="1">_xll.meDateFromTenor(C1357,"1D","FOLLOWING",D$12)</f>
        <v>44431</v>
      </c>
      <c r="D1358" s="13">
        <f ca="1">_xll.meDateFromTenor(C1358,D$14,D$11,D$12)</f>
        <v>44432</v>
      </c>
      <c r="E1358" s="98">
        <f ca="1"/>
        <v>2.1913883799570171E-3</v>
      </c>
      <c r="F1358" s="94"/>
      <c r="G1358" s="100">
        <f ca="1">_xll.meDateFromTenor(G1357,"1D","FOLLOWING",H$12)</f>
        <v>44431</v>
      </c>
      <c r="H1358" s="13">
        <f ca="1">_xll.meDateFromTenor(G1358,H$14,H$11,H$12)</f>
        <v>44462</v>
      </c>
      <c r="I1358" s="98">
        <f ca="1"/>
        <v>3.0132849311064573E-3</v>
      </c>
      <c r="J1358" s="94" t="s">
        <v>4</v>
      </c>
      <c r="K1358" s="100">
        <f ca="1">_xll.meDateFromTenor(K1357,"1D","FOLLOWING",L$12)</f>
        <v>44431</v>
      </c>
      <c r="L1358" s="13">
        <f ca="1">_xll.meDateFromTenor(K1358,L$14,L$11,L$12)</f>
        <v>44523</v>
      </c>
      <c r="M1358" s="98">
        <f ca="1"/>
        <v>4.2262895730097614E-3</v>
      </c>
      <c r="N1358" s="5" t="s">
        <v>4</v>
      </c>
      <c r="O1358" s="100">
        <f ca="1">_xll.meDateFromTenor(O1357,"1D","FOLLOWING",P$12)</f>
        <v>44431</v>
      </c>
      <c r="P1358" s="13">
        <f ca="1">_xll.meDateFromTenor(O1358,P$14,P$11,P$12)</f>
        <v>44615</v>
      </c>
      <c r="Q1358" s="98">
        <f ca="1"/>
        <v>5.9876158619936231E-3</v>
      </c>
      <c r="R1358" s="5" t="s">
        <v>4</v>
      </c>
      <c r="S1358" s="100">
        <f ca="1">_xll.meDateFromTenor(S1357,"1D","FOLLOWING",T$12)</f>
        <v>44431</v>
      </c>
      <c r="T1358" s="13">
        <f ca="1">_xll.meDateFromTenor(S1358,T$14,T$11,T$12)</f>
        <v>44796</v>
      </c>
      <c r="U1358" s="98">
        <f ca="1"/>
        <v>7.9984696178697339E-3</v>
      </c>
      <c r="V1358" s="5" t="s">
        <v>4</v>
      </c>
      <c r="W1358" s="84" t="s">
        <v>4</v>
      </c>
    </row>
    <row r="1359" spans="1:23" x14ac:dyDescent="0.25">
      <c r="A1359" s="90">
        <v>1340</v>
      </c>
      <c r="B1359" s="83"/>
      <c r="C1359" s="100">
        <f ca="1">_xll.meDateFromTenor(C1358,"1D","FOLLOWING",D$12)</f>
        <v>44432</v>
      </c>
      <c r="D1359" s="13">
        <f ca="1">_xll.meDateFromTenor(C1359,D$14,D$11,D$12)</f>
        <v>44433</v>
      </c>
      <c r="E1359" s="98">
        <f ca="1"/>
        <v>2.2006730059057887E-3</v>
      </c>
      <c r="F1359" s="94"/>
      <c r="G1359" s="100">
        <f ca="1">_xll.meDateFromTenor(G1358,"1D","FOLLOWING",H$12)</f>
        <v>44432</v>
      </c>
      <c r="H1359" s="13">
        <f ca="1">_xll.meDateFromTenor(G1359,H$14,H$11,H$12)</f>
        <v>44463</v>
      </c>
      <c r="I1359" s="98">
        <f ca="1"/>
        <v>3.0209773304723268E-3</v>
      </c>
      <c r="J1359" s="94" t="s">
        <v>4</v>
      </c>
      <c r="K1359" s="100">
        <f ca="1">_xll.meDateFromTenor(K1358,"1D","FOLLOWING",L$12)</f>
        <v>44432</v>
      </c>
      <c r="L1359" s="13">
        <f ca="1">_xll.meDateFromTenor(K1359,L$14,L$11,L$12)</f>
        <v>44524</v>
      </c>
      <c r="M1359" s="98">
        <f ca="1"/>
        <v>4.2341521142028882E-3</v>
      </c>
      <c r="N1359" s="5" t="s">
        <v>4</v>
      </c>
      <c r="O1359" s="100">
        <f ca="1">_xll.meDateFromTenor(O1358,"1D","FOLLOWING",P$12)</f>
        <v>44432</v>
      </c>
      <c r="P1359" s="13">
        <f ca="1">_xll.meDateFromTenor(O1359,P$14,P$11,P$12)</f>
        <v>44616</v>
      </c>
      <c r="Q1359" s="98">
        <f ca="1"/>
        <v>5.9952631096198312E-3</v>
      </c>
      <c r="R1359" s="5" t="s">
        <v>4</v>
      </c>
      <c r="S1359" s="100">
        <f ca="1">_xll.meDateFromTenor(S1358,"1D","FOLLOWING",T$12)</f>
        <v>44432</v>
      </c>
      <c r="T1359" s="13">
        <f ca="1">_xll.meDateFromTenor(S1359,T$14,T$11,T$12)</f>
        <v>44797</v>
      </c>
      <c r="U1359" s="98">
        <f ca="1"/>
        <v>8.0057713039656028E-3</v>
      </c>
      <c r="V1359" s="5" t="s">
        <v>4</v>
      </c>
      <c r="W1359" s="84" t="s">
        <v>4</v>
      </c>
    </row>
    <row r="1360" spans="1:23" x14ac:dyDescent="0.25">
      <c r="A1360" s="90">
        <v>1341</v>
      </c>
      <c r="B1360" s="83"/>
      <c r="C1360" s="100">
        <f ca="1">_xll.meDateFromTenor(C1359,"1D","FOLLOWING",D$12)</f>
        <v>44433</v>
      </c>
      <c r="D1360" s="13">
        <f ca="1">_xll.meDateFromTenor(C1360,D$14,D$11,D$12)</f>
        <v>44434</v>
      </c>
      <c r="E1360" s="98">
        <f ca="1"/>
        <v>2.2099503398461547E-3</v>
      </c>
      <c r="F1360" s="94"/>
      <c r="G1360" s="100">
        <f ca="1">_xll.meDateFromTenor(G1359,"1D","FOLLOWING",H$12)</f>
        <v>44433</v>
      </c>
      <c r="H1360" s="13">
        <f ca="1">_xll.meDateFromTenor(G1360,H$14,H$11,H$12)</f>
        <v>44466</v>
      </c>
      <c r="I1360" s="98">
        <f ca="1"/>
        <v>3.0286508368886139E-3</v>
      </c>
      <c r="J1360" s="94" t="s">
        <v>4</v>
      </c>
      <c r="K1360" s="100">
        <f ca="1">_xll.meDateFromTenor(K1359,"1D","FOLLOWING",L$12)</f>
        <v>44433</v>
      </c>
      <c r="L1360" s="13">
        <f ca="1">_xll.meDateFromTenor(K1360,L$14,L$11,L$12)</f>
        <v>44525</v>
      </c>
      <c r="M1360" s="98">
        <f ca="1"/>
        <v>4.2420166024165267E-3</v>
      </c>
      <c r="N1360" s="5" t="s">
        <v>4</v>
      </c>
      <c r="O1360" s="100">
        <f ca="1">_xll.meDateFromTenor(O1359,"1D","FOLLOWING",P$12)</f>
        <v>44433</v>
      </c>
      <c r="P1360" s="13">
        <f ca="1">_xll.meDateFromTenor(O1360,P$14,P$11,P$12)</f>
        <v>44617</v>
      </c>
      <c r="Q1360" s="98">
        <f ca="1"/>
        <v>6.0029135038099785E-3</v>
      </c>
      <c r="R1360" s="5" t="s">
        <v>4</v>
      </c>
      <c r="S1360" s="100">
        <f ca="1">_xll.meDateFromTenor(S1359,"1D","FOLLOWING",T$12)</f>
        <v>44433</v>
      </c>
      <c r="T1360" s="13">
        <f ca="1">_xll.meDateFromTenor(S1360,T$14,T$11,T$12)</f>
        <v>44798</v>
      </c>
      <c r="U1360" s="98">
        <f ca="1"/>
        <v>8.0130725608361583E-3</v>
      </c>
      <c r="V1360" s="5" t="s">
        <v>4</v>
      </c>
      <c r="W1360" s="84" t="s">
        <v>4</v>
      </c>
    </row>
    <row r="1361" spans="1:23" x14ac:dyDescent="0.25">
      <c r="A1361" s="90">
        <v>1342</v>
      </c>
      <c r="B1361" s="83"/>
      <c r="C1361" s="100">
        <f ca="1">_xll.meDateFromTenor(C1360,"1D","FOLLOWING",D$12)</f>
        <v>44434</v>
      </c>
      <c r="D1361" s="13">
        <f ca="1">_xll.meDateFromTenor(C1361,D$14,D$11,D$12)</f>
        <v>44435</v>
      </c>
      <c r="E1361" s="98">
        <f ca="1"/>
        <v>2.2192203822605523E-3</v>
      </c>
      <c r="F1361" s="94"/>
      <c r="G1361" s="100">
        <f ca="1">_xll.meDateFromTenor(G1360,"1D","FOLLOWING",H$12)</f>
        <v>44434</v>
      </c>
      <c r="H1361" s="13">
        <f ca="1">_xll.meDateFromTenor(G1361,H$14,H$11,H$12)</f>
        <v>44466</v>
      </c>
      <c r="I1361" s="98">
        <f ca="1"/>
        <v>3.0363036733841793E-3</v>
      </c>
      <c r="J1361" s="94" t="s">
        <v>4</v>
      </c>
      <c r="K1361" s="100">
        <f ca="1">_xll.meDateFromTenor(K1360,"1D","FOLLOWING",L$12)</f>
        <v>44434</v>
      </c>
      <c r="L1361" s="13">
        <f ca="1">_xll.meDateFromTenor(K1361,L$14,L$11,L$12)</f>
        <v>44526</v>
      </c>
      <c r="M1361" s="98">
        <f ca="1"/>
        <v>4.249883027556146E-3</v>
      </c>
      <c r="N1361" s="5" t="s">
        <v>4</v>
      </c>
      <c r="O1361" s="100">
        <f ca="1">_xll.meDateFromTenor(O1360,"1D","FOLLOWING",P$12)</f>
        <v>44434</v>
      </c>
      <c r="P1361" s="13">
        <f ca="1">_xll.meDateFromTenor(O1361,P$14,P$11,P$12)</f>
        <v>44620</v>
      </c>
      <c r="Q1361" s="98">
        <f ca="1"/>
        <v>6.0105670524289454E-3</v>
      </c>
      <c r="R1361" s="5" t="s">
        <v>4</v>
      </c>
      <c r="S1361" s="100">
        <f ca="1">_xll.meDateFromTenor(S1360,"1D","FOLLOWING",T$12)</f>
        <v>44434</v>
      </c>
      <c r="T1361" s="13">
        <f ca="1">_xll.meDateFromTenor(S1361,T$14,T$11,T$12)</f>
        <v>44799</v>
      </c>
      <c r="U1361" s="98">
        <f ca="1"/>
        <v>8.0203733857485207E-3</v>
      </c>
      <c r="V1361" s="5" t="s">
        <v>4</v>
      </c>
      <c r="W1361" s="84" t="s">
        <v>4</v>
      </c>
    </row>
    <row r="1362" spans="1:23" x14ac:dyDescent="0.25">
      <c r="A1362" s="90">
        <v>1343</v>
      </c>
      <c r="B1362" s="83"/>
      <c r="C1362" s="100">
        <f ca="1">_xll.meDateFromTenor(C1361,"1D","FOLLOWING",D$12)</f>
        <v>44435</v>
      </c>
      <c r="D1362" s="13">
        <f ca="1">_xll.meDateFromTenor(C1362,D$14,D$11,D$12)</f>
        <v>44438</v>
      </c>
      <c r="E1362" s="98">
        <f ca="1"/>
        <v>2.2377500743341323E-3</v>
      </c>
      <c r="F1362" s="94"/>
      <c r="G1362" s="100">
        <f ca="1">_xll.meDateFromTenor(G1361,"1D","FOLLOWING",H$12)</f>
        <v>44435</v>
      </c>
      <c r="H1362" s="13">
        <f ca="1">_xll.meDateFromTenor(G1362,H$14,H$11,H$12)</f>
        <v>44466</v>
      </c>
      <c r="I1362" s="98">
        <f ca="1"/>
        <v>3.0439340629878882E-3</v>
      </c>
      <c r="J1362" s="94" t="s">
        <v>4</v>
      </c>
      <c r="K1362" s="100">
        <f ca="1">_xll.meDateFromTenor(K1361,"1D","FOLLOWING",L$12)</f>
        <v>44435</v>
      </c>
      <c r="L1362" s="13">
        <f ca="1">_xll.meDateFromTenor(K1362,L$14,L$11,L$12)</f>
        <v>44529</v>
      </c>
      <c r="M1362" s="98">
        <f ca="1"/>
        <v>4.2577513795272123E-3</v>
      </c>
      <c r="N1362" s="5" t="s">
        <v>4</v>
      </c>
      <c r="O1362" s="100">
        <f ca="1">_xll.meDateFromTenor(O1361,"1D","FOLLOWING",P$12)</f>
        <v>44435</v>
      </c>
      <c r="P1362" s="13">
        <f ca="1">_xll.meDateFromTenor(O1362,P$14,P$11,P$12)</f>
        <v>44620</v>
      </c>
      <c r="Q1362" s="98">
        <f ca="1"/>
        <v>6.0182237633416118E-3</v>
      </c>
      <c r="R1362" s="5" t="s">
        <v>4</v>
      </c>
      <c r="S1362" s="100">
        <f ca="1">_xll.meDateFromTenor(S1361,"1D","FOLLOWING",T$12)</f>
        <v>44435</v>
      </c>
      <c r="T1362" s="13">
        <f ca="1">_xll.meDateFromTenor(S1362,T$14,T$11,T$12)</f>
        <v>44802</v>
      </c>
      <c r="U1362" s="98">
        <f ca="1"/>
        <v>8.0276737759698083E-3</v>
      </c>
      <c r="V1362" s="5" t="s">
        <v>4</v>
      </c>
      <c r="W1362" s="84" t="s">
        <v>4</v>
      </c>
    </row>
    <row r="1363" spans="1:23" x14ac:dyDescent="0.25">
      <c r="A1363" s="90">
        <v>1344</v>
      </c>
      <c r="B1363" s="83"/>
      <c r="C1363" s="100">
        <f ca="1">_xll.meDateFromTenor(C1362,"1D","FOLLOWING",D$12)</f>
        <v>44438</v>
      </c>
      <c r="D1363" s="13">
        <f ca="1">_xll.meDateFromTenor(C1363,D$14,D$11,D$12)</f>
        <v>44439</v>
      </c>
      <c r="E1363" s="98">
        <f ca="1"/>
        <v>2.2562276477526089E-3</v>
      </c>
      <c r="F1363" s="94"/>
      <c r="G1363" s="100">
        <f ca="1">_xll.meDateFromTenor(G1362,"1D","FOLLOWING",H$12)</f>
        <v>44438</v>
      </c>
      <c r="H1363" s="13">
        <f ca="1">_xll.meDateFromTenor(G1363,H$14,H$11,H$12)</f>
        <v>44469</v>
      </c>
      <c r="I1363" s="98">
        <f ca="1"/>
        <v>3.0666727807364905E-3</v>
      </c>
      <c r="J1363" s="94" t="s">
        <v>4</v>
      </c>
      <c r="K1363" s="100">
        <f ca="1">_xll.meDateFromTenor(K1362,"1D","FOLLOWING",L$12)</f>
        <v>44438</v>
      </c>
      <c r="L1363" s="13">
        <f ca="1">_xll.meDateFromTenor(K1363,L$14,L$11,L$12)</f>
        <v>44530</v>
      </c>
      <c r="M1363" s="98">
        <f ca="1"/>
        <v>4.2813678954837699E-3</v>
      </c>
      <c r="N1363" s="5" t="s">
        <v>4</v>
      </c>
      <c r="O1363" s="100">
        <f ca="1">_xll.meDateFromTenor(O1362,"1D","FOLLOWING",P$12)</f>
        <v>44438</v>
      </c>
      <c r="P1363" s="13">
        <f ca="1">_xll.meDateFromTenor(O1363,P$14,P$11,P$12)</f>
        <v>44620</v>
      </c>
      <c r="Q1363" s="98">
        <f ca="1"/>
        <v>6.0412129484906018E-3</v>
      </c>
      <c r="R1363" s="5" t="s">
        <v>4</v>
      </c>
      <c r="S1363" s="100">
        <f ca="1">_xll.meDateFromTenor(S1362,"1D","FOLLOWING",T$12)</f>
        <v>44438</v>
      </c>
      <c r="T1363" s="13">
        <f ca="1">_xll.meDateFromTenor(S1363,T$14,T$11,T$12)</f>
        <v>44803</v>
      </c>
      <c r="U1363" s="98">
        <f ca="1"/>
        <v>8.0495723111583904E-3</v>
      </c>
      <c r="V1363" s="5" t="s">
        <v>4</v>
      </c>
      <c r="W1363" s="84" t="s">
        <v>4</v>
      </c>
    </row>
    <row r="1364" spans="1:23" x14ac:dyDescent="0.25">
      <c r="A1364" s="90">
        <v>1345</v>
      </c>
      <c r="B1364" s="83"/>
      <c r="C1364" s="100">
        <f ca="1">_xll.meDateFromTenor(C1363,"1D","FOLLOWING",D$12)</f>
        <v>44439</v>
      </c>
      <c r="D1364" s="13">
        <f ca="1">_xll.meDateFromTenor(C1364,D$14,D$11,D$12)</f>
        <v>44440</v>
      </c>
      <c r="E1364" s="98">
        <f ca="1"/>
        <v>2.2654612406821438E-3</v>
      </c>
      <c r="F1364" s="94"/>
      <c r="G1364" s="100">
        <f ca="1">_xll.meDateFromTenor(G1363,"1D","FOLLOWING",H$12)</f>
        <v>44439</v>
      </c>
      <c r="H1364" s="13">
        <f ca="1">_xll.meDateFromTenor(G1364,H$14,H$11,H$12)</f>
        <v>44469</v>
      </c>
      <c r="I1364" s="98">
        <f ca="1"/>
        <v>3.0741956130613951E-3</v>
      </c>
      <c r="J1364" s="94" t="s">
        <v>4</v>
      </c>
      <c r="K1364" s="100">
        <f ca="1">_xll.meDateFromTenor(K1363,"1D","FOLLOWING",L$12)</f>
        <v>44439</v>
      </c>
      <c r="L1364" s="13">
        <f ca="1">_xll.meDateFromTenor(K1364,L$14,L$11,L$12)</f>
        <v>44530</v>
      </c>
      <c r="M1364" s="98">
        <f ca="1"/>
        <v>4.2892438538353027E-3</v>
      </c>
      <c r="N1364" s="5" t="s">
        <v>4</v>
      </c>
      <c r="O1364" s="100">
        <f ca="1">_xll.meDateFromTenor(O1363,"1D","FOLLOWING",P$12)</f>
        <v>44439</v>
      </c>
      <c r="P1364" s="13">
        <f ca="1">_xll.meDateFromTenor(O1364,P$14,P$11,P$12)</f>
        <v>44620</v>
      </c>
      <c r="Q1364" s="98">
        <f ca="1"/>
        <v>6.0488823872268654E-3</v>
      </c>
      <c r="R1364" s="5" t="s">
        <v>4</v>
      </c>
      <c r="S1364" s="100">
        <f ca="1">_xll.meDateFromTenor(S1363,"1D","FOLLOWING",T$12)</f>
        <v>44439</v>
      </c>
      <c r="T1364" s="13">
        <f ca="1">_xll.meDateFromTenor(S1364,T$14,T$11,T$12)</f>
        <v>44804</v>
      </c>
      <c r="U1364" s="98">
        <f ca="1"/>
        <v>8.056870935286552E-3</v>
      </c>
      <c r="V1364" s="5" t="s">
        <v>4</v>
      </c>
      <c r="W1364" s="84" t="s">
        <v>4</v>
      </c>
    </row>
    <row r="1365" spans="1:23" x14ac:dyDescent="0.25">
      <c r="A1365" s="90">
        <v>1346</v>
      </c>
      <c r="B1365" s="83"/>
      <c r="C1365" s="100">
        <f ca="1">_xll.meDateFromTenor(C1364,"1D","FOLLOWING",D$12)</f>
        <v>44440</v>
      </c>
      <c r="D1365" s="13">
        <f ca="1">_xll.meDateFromTenor(C1365,D$14,D$11,D$12)</f>
        <v>44441</v>
      </c>
      <c r="E1365" s="98">
        <f ca="1"/>
        <v>2.2746875453631241E-3</v>
      </c>
      <c r="F1365" s="94"/>
      <c r="G1365" s="100">
        <f ca="1">_xll.meDateFromTenor(G1364,"1D","FOLLOWING",H$12)</f>
        <v>44440</v>
      </c>
      <c r="H1365" s="13">
        <f ca="1">_xll.meDateFromTenor(G1365,H$14,H$11,H$12)</f>
        <v>44470</v>
      </c>
      <c r="I1365" s="98">
        <f ca="1"/>
        <v>3.0816871136387551E-3</v>
      </c>
      <c r="J1365" s="94" t="s">
        <v>4</v>
      </c>
      <c r="K1365" s="100">
        <f ca="1">_xll.meDateFromTenor(K1364,"1D","FOLLOWING",L$12)</f>
        <v>44440</v>
      </c>
      <c r="L1365" s="13">
        <f ca="1">_xll.meDateFromTenor(K1365,L$14,L$11,L$12)</f>
        <v>44531</v>
      </c>
      <c r="M1365" s="98">
        <f ca="1"/>
        <v>4.2971216885456208E-3</v>
      </c>
      <c r="N1365" s="5" t="s">
        <v>4</v>
      </c>
      <c r="O1365" s="100">
        <f ca="1">_xll.meDateFromTenor(O1364,"1D","FOLLOWING",P$12)</f>
        <v>44440</v>
      </c>
      <c r="P1365" s="13">
        <f ca="1">_xll.meDateFromTenor(O1365,P$14,P$11,P$12)</f>
        <v>44621</v>
      </c>
      <c r="Q1365" s="98">
        <f ca="1"/>
        <v>6.0565550275812254E-3</v>
      </c>
      <c r="R1365" s="5" t="s">
        <v>4</v>
      </c>
      <c r="S1365" s="100">
        <f ca="1">_xll.meDateFromTenor(S1364,"1D","FOLLOWING",T$12)</f>
        <v>44440</v>
      </c>
      <c r="T1365" s="13">
        <f ca="1">_xll.meDateFromTenor(S1365,T$14,T$11,T$12)</f>
        <v>44805</v>
      </c>
      <c r="U1365" s="98">
        <f ca="1"/>
        <v>8.0641691110592273E-3</v>
      </c>
      <c r="V1365" s="5" t="s">
        <v>4</v>
      </c>
      <c r="W1365" s="84" t="s">
        <v>4</v>
      </c>
    </row>
    <row r="1366" spans="1:23" x14ac:dyDescent="0.25">
      <c r="A1366" s="90">
        <v>1347</v>
      </c>
      <c r="B1366" s="83"/>
      <c r="C1366" s="100">
        <f ca="1">_xll.meDateFromTenor(C1365,"1D","FOLLOWING",D$12)</f>
        <v>44441</v>
      </c>
      <c r="D1366" s="13">
        <f ca="1">_xll.meDateFromTenor(C1366,D$14,D$11,D$12)</f>
        <v>44442</v>
      </c>
      <c r="E1366" s="98">
        <f ca="1"/>
        <v>2.2839065844944867E-3</v>
      </c>
      <c r="F1366" s="94"/>
      <c r="G1366" s="100">
        <f ca="1">_xll.meDateFromTenor(G1365,"1D","FOLLOWING",H$12)</f>
        <v>44441</v>
      </c>
      <c r="H1366" s="13">
        <f ca="1">_xll.meDateFromTenor(G1366,H$14,H$11,H$12)</f>
        <v>44473</v>
      </c>
      <c r="I1366" s="98">
        <f ca="1"/>
        <v>3.089145505497434E-3</v>
      </c>
      <c r="J1366" s="94" t="s">
        <v>4</v>
      </c>
      <c r="K1366" s="100">
        <f ca="1">_xll.meDateFromTenor(K1365,"1D","FOLLOWING",L$12)</f>
        <v>44441</v>
      </c>
      <c r="L1366" s="13">
        <f ca="1">_xll.meDateFromTenor(K1366,L$14,L$11,L$12)</f>
        <v>44532</v>
      </c>
      <c r="M1366" s="98">
        <f ca="1"/>
        <v>4.3050013895201905E-3</v>
      </c>
      <c r="N1366" s="5" t="s">
        <v>4</v>
      </c>
      <c r="O1366" s="100">
        <f ca="1">_xll.meDateFromTenor(O1365,"1D","FOLLOWING",P$12)</f>
        <v>44441</v>
      </c>
      <c r="P1366" s="13">
        <f ca="1">_xll.meDateFromTenor(O1366,P$14,P$11,P$12)</f>
        <v>44622</v>
      </c>
      <c r="Q1366" s="98">
        <f ca="1"/>
        <v>6.0642308774185652E-3</v>
      </c>
      <c r="R1366" s="5" t="s">
        <v>4</v>
      </c>
      <c r="S1366" s="100">
        <f ca="1">_xll.meDateFromTenor(S1365,"1D","FOLLOWING",T$12)</f>
        <v>44441</v>
      </c>
      <c r="T1366" s="13">
        <f ca="1">_xll.meDateFromTenor(S1366,T$14,T$11,T$12)</f>
        <v>44806</v>
      </c>
      <c r="U1366" s="98">
        <f ca="1"/>
        <v>8.0714668357435293E-3</v>
      </c>
      <c r="V1366" s="5" t="s">
        <v>4</v>
      </c>
      <c r="W1366" s="84" t="s">
        <v>4</v>
      </c>
    </row>
    <row r="1367" spans="1:23" x14ac:dyDescent="0.25">
      <c r="A1367" s="90">
        <v>1348</v>
      </c>
      <c r="B1367" s="83"/>
      <c r="C1367" s="100">
        <f ca="1">_xll.meDateFromTenor(C1366,"1D","FOLLOWING",D$12)</f>
        <v>44442</v>
      </c>
      <c r="D1367" s="13">
        <f ca="1">_xll.meDateFromTenor(C1367,D$14,D$11,D$12)</f>
        <v>44445</v>
      </c>
      <c r="E1367" s="98">
        <f ca="1"/>
        <v>2.3023354975039356E-3</v>
      </c>
      <c r="F1367" s="94"/>
      <c r="G1367" s="100">
        <f ca="1">_xll.meDateFromTenor(G1366,"1D","FOLLOWING",H$12)</f>
        <v>44442</v>
      </c>
      <c r="H1367" s="13">
        <f ca="1">_xll.meDateFromTenor(G1367,H$14,H$11,H$12)</f>
        <v>44473</v>
      </c>
      <c r="I1367" s="98">
        <f ca="1"/>
        <v>3.0965696647631364E-3</v>
      </c>
      <c r="J1367" s="94" t="s">
        <v>4</v>
      </c>
      <c r="K1367" s="100">
        <f ca="1">_xll.meDateFromTenor(K1366,"1D","FOLLOWING",L$12)</f>
        <v>44442</v>
      </c>
      <c r="L1367" s="13">
        <f ca="1">_xll.meDateFromTenor(K1367,L$14,L$11,L$12)</f>
        <v>44533</v>
      </c>
      <c r="M1367" s="98">
        <f ca="1"/>
        <v>4.3128829555512966E-3</v>
      </c>
      <c r="N1367" s="5" t="s">
        <v>4</v>
      </c>
      <c r="O1367" s="100">
        <f ca="1">_xll.meDateFromTenor(O1366,"1D","FOLLOWING",P$12)</f>
        <v>44442</v>
      </c>
      <c r="P1367" s="13">
        <f ca="1">_xll.meDateFromTenor(O1367,P$14,P$11,P$12)</f>
        <v>44623</v>
      </c>
      <c r="Q1367" s="98">
        <f ca="1"/>
        <v>6.0719099446037627E-3</v>
      </c>
      <c r="R1367" s="5" t="s">
        <v>4</v>
      </c>
      <c r="S1367" s="100">
        <f ca="1">_xll.meDateFromTenor(S1366,"1D","FOLLOWING",T$12)</f>
        <v>44442</v>
      </c>
      <c r="T1367" s="13">
        <f ca="1">_xll.meDateFromTenor(S1367,T$14,T$11,T$12)</f>
        <v>44809</v>
      </c>
      <c r="U1367" s="98">
        <f ca="1"/>
        <v>8.0787641066065834E-3</v>
      </c>
      <c r="V1367" s="5" t="s">
        <v>4</v>
      </c>
      <c r="W1367" s="84" t="s">
        <v>4</v>
      </c>
    </row>
    <row r="1368" spans="1:23" x14ac:dyDescent="0.25">
      <c r="A1368" s="90">
        <v>1349</v>
      </c>
      <c r="B1368" s="83"/>
      <c r="C1368" s="100">
        <f ca="1">_xll.meDateFromTenor(C1367,"1D","FOLLOWING",D$12)</f>
        <v>44445</v>
      </c>
      <c r="D1368" s="13">
        <f ca="1">_xll.meDateFromTenor(C1368,D$14,D$11,D$12)</f>
        <v>44446</v>
      </c>
      <c r="E1368" s="98">
        <f ca="1"/>
        <v>2.3207111203134827E-3</v>
      </c>
      <c r="F1368" s="94"/>
      <c r="G1368" s="100">
        <f ca="1">_xll.meDateFromTenor(G1367,"1D","FOLLOWING",H$12)</f>
        <v>44445</v>
      </c>
      <c r="H1368" s="13">
        <f ca="1">_xll.meDateFromTenor(G1368,H$14,H$11,H$12)</f>
        <v>44475</v>
      </c>
      <c r="I1368" s="98">
        <f ca="1"/>
        <v>3.1186542445205039E-3</v>
      </c>
      <c r="J1368" s="94" t="s">
        <v>4</v>
      </c>
      <c r="K1368" s="100">
        <f ca="1">_xll.meDateFromTenor(K1367,"1D","FOLLOWING",L$12)</f>
        <v>44445</v>
      </c>
      <c r="L1368" s="13">
        <f ca="1">_xll.meDateFromTenor(K1368,L$14,L$11,L$12)</f>
        <v>44536</v>
      </c>
      <c r="M1368" s="98">
        <f ca="1"/>
        <v>4.3365392229265231E-3</v>
      </c>
      <c r="N1368" s="5" t="s">
        <v>4</v>
      </c>
      <c r="O1368" s="100">
        <f ca="1">_xll.meDateFromTenor(O1367,"1D","FOLLOWING",P$12)</f>
        <v>44445</v>
      </c>
      <c r="P1368" s="13">
        <f ca="1">_xll.meDateFromTenor(O1368,P$14,P$11,P$12)</f>
        <v>44627</v>
      </c>
      <c r="Q1368" s="98">
        <f ca="1"/>
        <v>6.0949665288952994E-3</v>
      </c>
      <c r="R1368" s="5" t="s">
        <v>4</v>
      </c>
      <c r="S1368" s="100">
        <f ca="1">_xll.meDateFromTenor(S1367,"1D","FOLLOWING",T$12)</f>
        <v>44445</v>
      </c>
      <c r="T1368" s="13">
        <f ca="1">_xll.meDateFromTenor(S1368,T$14,T$11,T$12)</f>
        <v>44810</v>
      </c>
      <c r="U1368" s="98">
        <f ca="1"/>
        <v>8.1006531689394052E-3</v>
      </c>
      <c r="V1368" s="5" t="s">
        <v>4</v>
      </c>
      <c r="W1368" s="84" t="s">
        <v>4</v>
      </c>
    </row>
    <row r="1369" spans="1:23" x14ac:dyDescent="0.25">
      <c r="A1369" s="90">
        <v>1350</v>
      </c>
      <c r="B1369" s="83"/>
      <c r="C1369" s="100">
        <f ca="1">_xll.meDateFromTenor(C1368,"1D","FOLLOWING",D$12)</f>
        <v>44446</v>
      </c>
      <c r="D1369" s="13">
        <f ca="1">_xll.meDateFromTenor(C1369,D$14,D$11,D$12)</f>
        <v>44447</v>
      </c>
      <c r="E1369" s="98">
        <f ca="1"/>
        <v>2.3298943739917177E-3</v>
      </c>
      <c r="F1369" s="94"/>
      <c r="G1369" s="100">
        <f ca="1">_xll.meDateFromTenor(G1368,"1D","FOLLOWING",H$12)</f>
        <v>44446</v>
      </c>
      <c r="H1369" s="13">
        <f ca="1">_xll.meDateFromTenor(G1369,H$14,H$11,H$12)</f>
        <v>44476</v>
      </c>
      <c r="I1369" s="98">
        <f ca="1"/>
        <v>3.1259602771261073E-3</v>
      </c>
      <c r="J1369" s="94" t="s">
        <v>4</v>
      </c>
      <c r="K1369" s="100">
        <f ca="1">_xll.meDateFromTenor(K1368,"1D","FOLLOWING",L$12)</f>
        <v>44446</v>
      </c>
      <c r="L1369" s="13">
        <f ca="1">_xll.meDateFromTenor(K1369,L$14,L$11,L$12)</f>
        <v>44537</v>
      </c>
      <c r="M1369" s="98">
        <f ca="1"/>
        <v>4.3444286459001025E-3</v>
      </c>
      <c r="N1369" s="5" t="s">
        <v>4</v>
      </c>
      <c r="O1369" s="100">
        <f ca="1">_xll.meDateFromTenor(O1368,"1D","FOLLOWING",P$12)</f>
        <v>44446</v>
      </c>
      <c r="P1369" s="13">
        <f ca="1">_xll.meDateFromTenor(O1369,P$14,P$11,P$12)</f>
        <v>44627</v>
      </c>
      <c r="Q1369" s="98">
        <f ca="1"/>
        <v>6.1026585441207289E-3</v>
      </c>
      <c r="R1369" s="5" t="s">
        <v>4</v>
      </c>
      <c r="S1369" s="100">
        <f ca="1">_xll.meDateFromTenor(S1368,"1D","FOLLOWING",T$12)</f>
        <v>44446</v>
      </c>
      <c r="T1369" s="13">
        <f ca="1">_xll.meDateFromTenor(S1369,T$14,T$11,T$12)</f>
        <v>44811</v>
      </c>
      <c r="U1369" s="98">
        <f ca="1"/>
        <v>8.1079485971886304E-3</v>
      </c>
      <c r="V1369" s="5" t="s">
        <v>4</v>
      </c>
      <c r="W1369" s="84" t="s">
        <v>4</v>
      </c>
    </row>
    <row r="1370" spans="1:23" x14ac:dyDescent="0.25">
      <c r="A1370" s="90">
        <v>1351</v>
      </c>
      <c r="B1370" s="83"/>
      <c r="C1370" s="100">
        <f ca="1">_xll.meDateFromTenor(C1369,"1D","FOLLOWING",D$12)</f>
        <v>44447</v>
      </c>
      <c r="D1370" s="13">
        <f ca="1">_xll.meDateFromTenor(C1370,D$14,D$11,D$12)</f>
        <v>44448</v>
      </c>
      <c r="E1370" s="98">
        <f ca="1"/>
        <v>2.3390704765887346E-3</v>
      </c>
      <c r="F1370" s="94"/>
      <c r="G1370" s="100">
        <f ca="1">_xll.meDateFromTenor(G1369,"1D","FOLLOWING",H$12)</f>
        <v>44447</v>
      </c>
      <c r="H1370" s="13">
        <f ca="1">_xll.meDateFromTenor(G1370,H$14,H$11,H$12)</f>
        <v>44477</v>
      </c>
      <c r="I1370" s="98">
        <f ca="1"/>
        <v>3.133242132091475E-3</v>
      </c>
      <c r="J1370" s="94" t="s">
        <v>4</v>
      </c>
      <c r="K1370" s="100">
        <f ca="1">_xll.meDateFromTenor(K1369,"1D","FOLLOWING",L$12)</f>
        <v>44447</v>
      </c>
      <c r="L1370" s="13">
        <f ca="1">_xll.meDateFromTenor(K1370,L$14,L$11,L$12)</f>
        <v>44538</v>
      </c>
      <c r="M1370" s="98">
        <f ca="1"/>
        <v>4.352320141175192E-3</v>
      </c>
      <c r="N1370" s="5" t="s">
        <v>4</v>
      </c>
      <c r="O1370" s="100">
        <f ca="1">_xll.meDateFromTenor(O1369,"1D","FOLLOWING",P$12)</f>
        <v>44447</v>
      </c>
      <c r="P1370" s="13">
        <f ca="1">_xll.meDateFromTenor(O1370,P$14,P$11,P$12)</f>
        <v>44628</v>
      </c>
      <c r="Q1370" s="98">
        <f ca="1"/>
        <v>6.1103538160184132E-3</v>
      </c>
      <c r="R1370" s="5" t="s">
        <v>4</v>
      </c>
      <c r="S1370" s="100">
        <f ca="1">_xll.meDateFromTenor(S1369,"1D","FOLLOWING",T$12)</f>
        <v>44447</v>
      </c>
      <c r="T1370" s="13">
        <f ca="1">_xll.meDateFromTenor(S1370,T$14,T$11,T$12)</f>
        <v>44812</v>
      </c>
      <c r="U1370" s="98">
        <f ca="1"/>
        <v>8.1152435579521856E-3</v>
      </c>
      <c r="V1370" s="5" t="s">
        <v>4</v>
      </c>
      <c r="W1370" s="84" t="s">
        <v>4</v>
      </c>
    </row>
    <row r="1371" spans="1:23" x14ac:dyDescent="0.25">
      <c r="A1371" s="90">
        <v>1352</v>
      </c>
      <c r="B1371" s="83"/>
      <c r="C1371" s="100">
        <f ca="1">_xll.meDateFromTenor(C1370,"1D","FOLLOWING",D$12)</f>
        <v>44448</v>
      </c>
      <c r="D1371" s="13">
        <f ca="1">_xll.meDateFromTenor(C1371,D$14,D$11,D$12)</f>
        <v>44449</v>
      </c>
      <c r="E1371" s="98">
        <f ca="1"/>
        <v>2.3482394285871352E-3</v>
      </c>
      <c r="F1371" s="94"/>
      <c r="G1371" s="100">
        <f ca="1">_xll.meDateFromTenor(G1370,"1D","FOLLOWING",H$12)</f>
        <v>44448</v>
      </c>
      <c r="H1371" s="13">
        <f ca="1">_xll.meDateFromTenor(G1371,H$14,H$11,H$12)</f>
        <v>44480</v>
      </c>
      <c r="I1371" s="98">
        <f ca="1"/>
        <v>3.1405019510265296E-3</v>
      </c>
      <c r="J1371" s="94" t="s">
        <v>4</v>
      </c>
      <c r="K1371" s="100">
        <f ca="1">_xll.meDateFromTenor(K1370,"1D","FOLLOWING",L$12)</f>
        <v>44448</v>
      </c>
      <c r="L1371" s="13">
        <f ca="1">_xll.meDateFromTenor(K1371,L$14,L$11,L$12)</f>
        <v>44539</v>
      </c>
      <c r="M1371" s="98">
        <f ca="1"/>
        <v>4.3602137519781576E-3</v>
      </c>
      <c r="N1371" s="5" t="s">
        <v>4</v>
      </c>
      <c r="O1371" s="100">
        <f ca="1">_xll.meDateFromTenor(O1370,"1D","FOLLOWING",P$12)</f>
        <v>44448</v>
      </c>
      <c r="P1371" s="13">
        <f ca="1">_xll.meDateFromTenor(O1371,P$14,P$11,P$12)</f>
        <v>44629</v>
      </c>
      <c r="Q1371" s="98">
        <f ca="1"/>
        <v>6.1180523524532364E-3</v>
      </c>
      <c r="R1371" s="5" t="s">
        <v>4</v>
      </c>
      <c r="S1371" s="100">
        <f ca="1">_xll.meDateFromTenor(S1370,"1D","FOLLOWING",T$12)</f>
        <v>44448</v>
      </c>
      <c r="T1371" s="13">
        <f ca="1">_xll.meDateFromTenor(S1371,T$14,T$11,T$12)</f>
        <v>44813</v>
      </c>
      <c r="U1371" s="98">
        <f ca="1"/>
        <v>8.1225380484971979E-3</v>
      </c>
      <c r="V1371" s="5" t="s">
        <v>4</v>
      </c>
      <c r="W1371" s="84" t="s">
        <v>4</v>
      </c>
    </row>
    <row r="1372" spans="1:23" x14ac:dyDescent="0.25">
      <c r="A1372" s="90">
        <v>1353</v>
      </c>
      <c r="B1372" s="83"/>
      <c r="C1372" s="100">
        <f ca="1">_xll.meDateFromTenor(C1371,"1D","FOLLOWING",D$12)</f>
        <v>44449</v>
      </c>
      <c r="D1372" s="13">
        <f ca="1">_xll.meDateFromTenor(C1372,D$14,D$11,D$12)</f>
        <v>44452</v>
      </c>
      <c r="E1372" s="98">
        <f ca="1"/>
        <v>2.3665690569617472E-3</v>
      </c>
      <c r="F1372" s="94"/>
      <c r="G1372" s="100">
        <f ca="1">_xll.meDateFromTenor(G1371,"1D","FOLLOWING",H$12)</f>
        <v>44449</v>
      </c>
      <c r="H1372" s="13">
        <f ca="1">_xll.meDateFromTenor(G1372,H$14,H$11,H$12)</f>
        <v>44480</v>
      </c>
      <c r="I1372" s="98">
        <f ca="1"/>
        <v>3.1477418755411885E-3</v>
      </c>
      <c r="J1372" s="94" t="s">
        <v>4</v>
      </c>
      <c r="K1372" s="100">
        <f ca="1">_xll.meDateFromTenor(K1371,"1D","FOLLOWING",L$12)</f>
        <v>44449</v>
      </c>
      <c r="L1372" s="13">
        <f ca="1">_xll.meDateFromTenor(K1372,L$14,L$11,L$12)</f>
        <v>44540</v>
      </c>
      <c r="M1372" s="98">
        <f ca="1"/>
        <v>4.3681095215353559E-3</v>
      </c>
      <c r="N1372" s="5" t="s">
        <v>4</v>
      </c>
      <c r="O1372" s="100">
        <f ca="1">_xll.meDateFromTenor(O1371,"1D","FOLLOWING",P$12)</f>
        <v>44449</v>
      </c>
      <c r="P1372" s="13">
        <f ca="1">_xll.meDateFromTenor(O1372,P$14,P$11,P$12)</f>
        <v>44630</v>
      </c>
      <c r="Q1372" s="98">
        <f ca="1"/>
        <v>6.1257541612900765E-3</v>
      </c>
      <c r="R1372" s="5" t="s">
        <v>4</v>
      </c>
      <c r="S1372" s="100">
        <f ca="1">_xll.meDateFromTenor(S1371,"1D","FOLLOWING",T$12)</f>
        <v>44449</v>
      </c>
      <c r="T1372" s="13">
        <f ca="1">_xll.meDateFromTenor(S1372,T$14,T$11,T$12)</f>
        <v>44816</v>
      </c>
      <c r="U1372" s="98">
        <f ca="1"/>
        <v>8.1298320660907839E-3</v>
      </c>
      <c r="V1372" s="5" t="s">
        <v>4</v>
      </c>
      <c r="W1372" s="84" t="s">
        <v>4</v>
      </c>
    </row>
    <row r="1373" spans="1:23" x14ac:dyDescent="0.25">
      <c r="A1373" s="90">
        <v>1354</v>
      </c>
      <c r="B1373" s="83"/>
      <c r="C1373" s="100">
        <f ca="1">_xll.meDateFromTenor(C1372,"1D","FOLLOWING",D$12)</f>
        <v>44452</v>
      </c>
      <c r="D1373" s="13">
        <f ca="1">_xll.meDateFromTenor(C1373,D$14,D$11,D$12)</f>
        <v>44453</v>
      </c>
      <c r="E1373" s="98">
        <f ca="1"/>
        <v>2.3848437409683134E-3</v>
      </c>
      <c r="F1373" s="94"/>
      <c r="G1373" s="100">
        <f ca="1">_xll.meDateFromTenor(G1372,"1D","FOLLOWING",H$12)</f>
        <v>44452</v>
      </c>
      <c r="H1373" s="13">
        <f ca="1">_xll.meDateFromTenor(G1373,H$14,H$11,H$12)</f>
        <v>44482</v>
      </c>
      <c r="I1373" s="98">
        <f ca="1"/>
        <v>3.1693636986619539E-3</v>
      </c>
      <c r="J1373" s="94" t="s">
        <v>4</v>
      </c>
      <c r="K1373" s="100">
        <f ca="1">_xll.meDateFromTenor(K1372,"1D","FOLLOWING",L$12)</f>
        <v>44452</v>
      </c>
      <c r="L1373" s="13">
        <f ca="1">_xll.meDateFromTenor(K1373,L$14,L$11,L$12)</f>
        <v>44543</v>
      </c>
      <c r="M1373" s="98">
        <f ca="1"/>
        <v>4.3918102149959389E-3</v>
      </c>
      <c r="N1373" s="5" t="s">
        <v>4</v>
      </c>
      <c r="O1373" s="100">
        <f ca="1">_xll.meDateFromTenor(O1372,"1D","FOLLOWING",P$12)</f>
        <v>44452</v>
      </c>
      <c r="P1373" s="13">
        <f ca="1">_xll.meDateFromTenor(O1373,P$14,P$11,P$12)</f>
        <v>44634</v>
      </c>
      <c r="Q1373" s="98">
        <f ca="1"/>
        <v>6.1488793008614949E-3</v>
      </c>
      <c r="R1373" s="5" t="s">
        <v>4</v>
      </c>
      <c r="S1373" s="100">
        <f ca="1">_xll.meDateFromTenor(S1372,"1D","FOLLOWING",T$12)</f>
        <v>44452</v>
      </c>
      <c r="T1373" s="13">
        <f ca="1">_xll.meDateFromTenor(S1373,T$14,T$11,T$12)</f>
        <v>44817</v>
      </c>
      <c r="U1373" s="98">
        <f ca="1"/>
        <v>8.1517112538341437E-3</v>
      </c>
      <c r="V1373" s="5" t="s">
        <v>4</v>
      </c>
      <c r="W1373" s="84" t="s">
        <v>4</v>
      </c>
    </row>
    <row r="1374" spans="1:23" x14ac:dyDescent="0.25">
      <c r="A1374" s="90">
        <v>1355</v>
      </c>
      <c r="B1374" s="83"/>
      <c r="C1374" s="100">
        <f ca="1">_xll.meDateFromTenor(C1373,"1D","FOLLOWING",D$12)</f>
        <v>44453</v>
      </c>
      <c r="D1374" s="13">
        <f ca="1">_xll.meDateFromTenor(C1374,D$14,D$11,D$12)</f>
        <v>44454</v>
      </c>
      <c r="E1374" s="98">
        <f ca="1"/>
        <v>2.393976947798374E-3</v>
      </c>
      <c r="F1374" s="94"/>
      <c r="G1374" s="100">
        <f ca="1">_xll.meDateFromTenor(G1373,"1D","FOLLOWING",H$12)</f>
        <v>44453</v>
      </c>
      <c r="H1374" s="13">
        <f ca="1">_xll.meDateFromTenor(G1374,H$14,H$11,H$12)</f>
        <v>44483</v>
      </c>
      <c r="I1374" s="98">
        <f ca="1"/>
        <v>3.1765454615941976E-3</v>
      </c>
      <c r="J1374" s="94" t="s">
        <v>4</v>
      </c>
      <c r="K1374" s="100">
        <f ca="1">_xll.meDateFromTenor(K1373,"1D","FOLLOWING",L$12)</f>
        <v>44453</v>
      </c>
      <c r="L1374" s="13">
        <f ca="1">_xll.meDateFromTenor(K1374,L$14,L$11,L$12)</f>
        <v>44544</v>
      </c>
      <c r="M1374" s="98">
        <f ca="1"/>
        <v>4.3997150518336591E-3</v>
      </c>
      <c r="N1374" s="5" t="s">
        <v>4</v>
      </c>
      <c r="O1374" s="100">
        <f ca="1">_xll.meDateFromTenor(O1373,"1D","FOLLOWING",P$12)</f>
        <v>44453</v>
      </c>
      <c r="P1374" s="13">
        <f ca="1">_xll.meDateFromTenor(O1374,P$14,P$11,P$12)</f>
        <v>44634</v>
      </c>
      <c r="Q1374" s="98">
        <f ca="1"/>
        <v>6.1565942779552019E-3</v>
      </c>
      <c r="R1374" s="5" t="s">
        <v>4</v>
      </c>
      <c r="S1374" s="100">
        <f ca="1">_xll.meDateFromTenor(S1373,"1D","FOLLOWING",T$12)</f>
        <v>44453</v>
      </c>
      <c r="T1374" s="13">
        <f ca="1">_xll.meDateFromTenor(S1374,T$14,T$11,T$12)</f>
        <v>44818</v>
      </c>
      <c r="U1374" s="98">
        <f ca="1"/>
        <v>8.1590033522931944E-3</v>
      </c>
      <c r="V1374" s="5" t="s">
        <v>4</v>
      </c>
      <c r="W1374" s="84" t="s">
        <v>4</v>
      </c>
    </row>
    <row r="1375" spans="1:23" x14ac:dyDescent="0.25">
      <c r="A1375" s="90">
        <v>1356</v>
      </c>
      <c r="B1375" s="83"/>
      <c r="C1375" s="100">
        <f ca="1">_xll.meDateFromTenor(C1374,"1D","FOLLOWING",D$12)</f>
        <v>44454</v>
      </c>
      <c r="D1375" s="13">
        <f ca="1">_xll.meDateFromTenor(C1375,D$14,D$11,D$12)</f>
        <v>44455</v>
      </c>
      <c r="E1375" s="98">
        <f ca="1"/>
        <v>2.403103006987488E-3</v>
      </c>
      <c r="F1375" s="94"/>
      <c r="G1375" s="100">
        <f ca="1">_xll.meDateFromTenor(G1374,"1D","FOLLOWING",H$12)</f>
        <v>44454</v>
      </c>
      <c r="H1375" s="13">
        <f ca="1">_xll.meDateFromTenor(G1375,H$14,H$11,H$12)</f>
        <v>44484</v>
      </c>
      <c r="I1375" s="98">
        <f ca="1"/>
        <v>3.1837180381556283E-3</v>
      </c>
      <c r="J1375" s="94" t="s">
        <v>4</v>
      </c>
      <c r="K1375" s="100">
        <f ca="1">_xll.meDateFromTenor(K1374,"1D","FOLLOWING",L$12)</f>
        <v>44454</v>
      </c>
      <c r="L1375" s="13">
        <f ca="1">_xll.meDateFromTenor(K1375,L$14,L$11,L$12)</f>
        <v>44545</v>
      </c>
      <c r="M1375" s="98">
        <f ca="1"/>
        <v>4.4076222635574033E-3</v>
      </c>
      <c r="N1375" s="5" t="s">
        <v>4</v>
      </c>
      <c r="O1375" s="100">
        <f ca="1">_xll.meDateFromTenor(O1374,"1D","FOLLOWING",P$12)</f>
        <v>44454</v>
      </c>
      <c r="P1375" s="13">
        <f ca="1">_xll.meDateFromTenor(O1375,P$14,P$11,P$12)</f>
        <v>44635</v>
      </c>
      <c r="Q1375" s="98">
        <f ca="1"/>
        <v>6.164312566775321E-3</v>
      </c>
      <c r="R1375" s="5" t="s">
        <v>4</v>
      </c>
      <c r="S1375" s="100">
        <f ca="1">_xll.meDateFromTenor(S1374,"1D","FOLLOWING",T$12)</f>
        <v>44454</v>
      </c>
      <c r="T1375" s="13">
        <f ca="1">_xll.meDateFromTenor(S1375,T$14,T$11,T$12)</f>
        <v>44819</v>
      </c>
      <c r="U1375" s="98">
        <f ca="1"/>
        <v>8.1662949641364002E-3</v>
      </c>
      <c r="V1375" s="5" t="s">
        <v>4</v>
      </c>
      <c r="W1375" s="84" t="s">
        <v>4</v>
      </c>
    </row>
    <row r="1376" spans="1:23" x14ac:dyDescent="0.25">
      <c r="A1376" s="90">
        <v>1357</v>
      </c>
      <c r="B1376" s="83"/>
      <c r="C1376" s="100">
        <f ca="1">_xll.meDateFromTenor(C1375,"1D","FOLLOWING",D$12)</f>
        <v>44455</v>
      </c>
      <c r="D1376" s="13">
        <f ca="1">_xll.meDateFromTenor(C1376,D$14,D$11,D$12)</f>
        <v>44456</v>
      </c>
      <c r="E1376" s="98">
        <f ca="1"/>
        <v>2.4122219192520117E-3</v>
      </c>
      <c r="F1376" s="94"/>
      <c r="G1376" s="100">
        <f ca="1">_xll.meDateFromTenor(G1375,"1D","FOLLOWING",H$12)</f>
        <v>44455</v>
      </c>
      <c r="H1376" s="13">
        <f ca="1">_xll.meDateFromTenor(G1376,H$14,H$11,H$12)</f>
        <v>44487</v>
      </c>
      <c r="I1376" s="98">
        <f ca="1"/>
        <v>3.1908835699561706E-3</v>
      </c>
      <c r="J1376" s="94" t="s">
        <v>4</v>
      </c>
      <c r="K1376" s="100">
        <f ca="1">_xll.meDateFromTenor(K1375,"1D","FOLLOWING",L$12)</f>
        <v>44455</v>
      </c>
      <c r="L1376" s="13">
        <f ca="1">_xll.meDateFromTenor(K1376,L$14,L$11,L$12)</f>
        <v>44546</v>
      </c>
      <c r="M1376" s="98">
        <f ca="1"/>
        <v>4.4155318933935409E-3</v>
      </c>
      <c r="N1376" s="5" t="s">
        <v>4</v>
      </c>
      <c r="O1376" s="100">
        <f ca="1">_xll.meDateFromTenor(O1375,"1D","FOLLOWING",P$12)</f>
        <v>44455</v>
      </c>
      <c r="P1376" s="13">
        <f ca="1">_xll.meDateFromTenor(O1376,P$14,P$11,P$12)</f>
        <v>44636</v>
      </c>
      <c r="Q1376" s="98">
        <f ca="1"/>
        <v>6.1720341751867426E-3</v>
      </c>
      <c r="R1376" s="5" t="s">
        <v>4</v>
      </c>
      <c r="S1376" s="100">
        <f ca="1">_xll.meDateFromTenor(S1375,"1D","FOLLOWING",T$12)</f>
        <v>44455</v>
      </c>
      <c r="T1376" s="13">
        <f ca="1">_xll.meDateFromTenor(S1376,T$14,T$11,T$12)</f>
        <v>44820</v>
      </c>
      <c r="U1376" s="98">
        <f ca="1"/>
        <v>8.17358608663089E-3</v>
      </c>
      <c r="V1376" s="5" t="s">
        <v>4</v>
      </c>
      <c r="W1376" s="84" t="s">
        <v>4</v>
      </c>
    </row>
    <row r="1377" spans="1:23" x14ac:dyDescent="0.25">
      <c r="A1377" s="90">
        <v>1358</v>
      </c>
      <c r="B1377" s="83"/>
      <c r="C1377" s="100">
        <f ca="1">_xll.meDateFromTenor(C1376,"1D","FOLLOWING",D$12)</f>
        <v>44456</v>
      </c>
      <c r="D1377" s="13">
        <f ca="1">_xll.meDateFromTenor(C1377,D$14,D$11,D$12)</f>
        <v>44459</v>
      </c>
      <c r="E1377" s="98">
        <f ca="1"/>
        <v>2.4304523309658277E-3</v>
      </c>
      <c r="F1377" s="94"/>
      <c r="G1377" s="100">
        <f ca="1">_xll.meDateFromTenor(G1376,"1D","FOLLOWING",H$12)</f>
        <v>44456</v>
      </c>
      <c r="H1377" s="13">
        <f ca="1">_xll.meDateFromTenor(G1377,H$14,H$11,H$12)</f>
        <v>44487</v>
      </c>
      <c r="I1377" s="98">
        <f ca="1"/>
        <v>3.1980441986057331E-3</v>
      </c>
      <c r="J1377" s="94" t="s">
        <v>4</v>
      </c>
      <c r="K1377" s="100">
        <f ca="1">_xll.meDateFromTenor(K1376,"1D","FOLLOWING",L$12)</f>
        <v>44456</v>
      </c>
      <c r="L1377" s="13">
        <f ca="1">_xll.meDateFromTenor(K1377,L$14,L$11,L$12)</f>
        <v>44547</v>
      </c>
      <c r="M1377" s="98">
        <f ca="1"/>
        <v>4.4234439845684172E-3</v>
      </c>
      <c r="N1377" s="5" t="s">
        <v>4</v>
      </c>
      <c r="O1377" s="100">
        <f ca="1">_xll.meDateFromTenor(O1376,"1D","FOLLOWING",P$12)</f>
        <v>44456</v>
      </c>
      <c r="P1377" s="13">
        <f ca="1">_xll.meDateFromTenor(O1377,P$14,P$11,P$12)</f>
        <v>44637</v>
      </c>
      <c r="Q1377" s="98">
        <f ca="1"/>
        <v>6.1797591110543332E-3</v>
      </c>
      <c r="R1377" s="5" t="s">
        <v>4</v>
      </c>
      <c r="S1377" s="100">
        <f ca="1">_xll.meDateFromTenor(S1376,"1D","FOLLOWING",T$12)</f>
        <v>44456</v>
      </c>
      <c r="T1377" s="13">
        <f ca="1">_xll.meDateFromTenor(S1377,T$14,T$11,T$12)</f>
        <v>44823</v>
      </c>
      <c r="U1377" s="98">
        <f ca="1"/>
        <v>8.1808767170437717E-3</v>
      </c>
      <c r="V1377" s="5" t="s">
        <v>4</v>
      </c>
      <c r="W1377" s="84" t="s">
        <v>4</v>
      </c>
    </row>
    <row r="1378" spans="1:23" x14ac:dyDescent="0.25">
      <c r="A1378" s="90">
        <v>1359</v>
      </c>
      <c r="B1378" s="83"/>
      <c r="C1378" s="100">
        <f ca="1">_xll.meDateFromTenor(C1377,"1D","FOLLOWING",D$12)</f>
        <v>44459</v>
      </c>
      <c r="D1378" s="13">
        <f ca="1">_xll.meDateFromTenor(C1378,D$14,D$11,D$12)</f>
        <v>44460</v>
      </c>
      <c r="E1378" s="98">
        <f ca="1"/>
        <v>2.4486261075566513E-3</v>
      </c>
      <c r="F1378" s="94"/>
      <c r="G1378" s="100">
        <f ca="1">_xll.meDateFromTenor(G1377,"1D","FOLLOWING",H$12)</f>
        <v>44459</v>
      </c>
      <c r="H1378" s="13">
        <f ca="1">_xll.meDateFromTenor(G1378,H$14,H$11,H$12)</f>
        <v>44489</v>
      </c>
      <c r="I1378" s="98">
        <f ca="1"/>
        <v>3.2195180817477481E-3</v>
      </c>
      <c r="J1378" s="94" t="s">
        <v>4</v>
      </c>
      <c r="K1378" s="100">
        <f ca="1">_xll.meDateFromTenor(K1377,"1D","FOLLOWING",L$12)</f>
        <v>44459</v>
      </c>
      <c r="L1378" s="13">
        <f ca="1">_xll.meDateFromTenor(K1378,L$14,L$11,L$12)</f>
        <v>44550</v>
      </c>
      <c r="M1378" s="98">
        <f ca="1"/>
        <v>4.4471954583891185E-3</v>
      </c>
      <c r="N1378" s="5" t="s">
        <v>4</v>
      </c>
      <c r="O1378" s="100">
        <f ca="1">_xll.meDateFromTenor(O1377,"1D","FOLLOWING",P$12)</f>
        <v>44459</v>
      </c>
      <c r="P1378" s="13">
        <f ca="1">_xll.meDateFromTenor(O1378,P$14,P$11,P$12)</f>
        <v>44641</v>
      </c>
      <c r="Q1378" s="98">
        <f ca="1"/>
        <v>6.2029539620429685E-3</v>
      </c>
      <c r="R1378" s="5" t="s">
        <v>4</v>
      </c>
      <c r="S1378" s="100">
        <f ca="1">_xll.meDateFromTenor(S1377,"1D","FOLLOWING",T$12)</f>
        <v>44459</v>
      </c>
      <c r="T1378" s="13">
        <f ca="1">_xll.meDateFromTenor(S1378,T$14,T$11,T$12)</f>
        <v>44824</v>
      </c>
      <c r="U1378" s="98">
        <f ca="1"/>
        <v>8.202745628463971E-3</v>
      </c>
      <c r="V1378" s="5" t="s">
        <v>4</v>
      </c>
      <c r="W1378" s="84" t="s">
        <v>4</v>
      </c>
    </row>
    <row r="1379" spans="1:23" x14ac:dyDescent="0.25">
      <c r="A1379" s="90">
        <v>1360</v>
      </c>
      <c r="B1379" s="83"/>
      <c r="C1379" s="100">
        <f ca="1">_xll.meDateFromTenor(C1378,"1D","FOLLOWING",D$12)</f>
        <v>44460</v>
      </c>
      <c r="D1379" s="13">
        <f ca="1">_xll.meDateFromTenor(C1379,D$14,D$11,D$12)</f>
        <v>44461</v>
      </c>
      <c r="E1379" s="98">
        <f ca="1"/>
        <v>2.4577092920803944E-3</v>
      </c>
      <c r="F1379" s="94"/>
      <c r="G1379" s="100">
        <f ca="1">_xll.meDateFromTenor(G1378,"1D","FOLLOWING",H$12)</f>
        <v>44460</v>
      </c>
      <c r="H1379" s="13">
        <f ca="1">_xll.meDateFromTenor(G1379,H$14,H$11,H$12)</f>
        <v>44490</v>
      </c>
      <c r="I1379" s="98">
        <f ca="1"/>
        <v>3.2266805138925847E-3</v>
      </c>
      <c r="J1379" s="94" t="s">
        <v>4</v>
      </c>
      <c r="K1379" s="100">
        <f ca="1">_xll.meDateFromTenor(K1378,"1D","FOLLOWING",L$12)</f>
        <v>44460</v>
      </c>
      <c r="L1379" s="13">
        <f ca="1">_xll.meDateFromTenor(K1379,L$14,L$11,L$12)</f>
        <v>44551</v>
      </c>
      <c r="M1379" s="98">
        <f ca="1"/>
        <v>4.4551178271825696E-3</v>
      </c>
      <c r="N1379" s="5" t="s">
        <v>4</v>
      </c>
      <c r="O1379" s="100">
        <f ca="1">_xll.meDateFromTenor(O1378,"1D","FOLLOWING",P$12)</f>
        <v>44460</v>
      </c>
      <c r="P1379" s="13">
        <f ca="1">_xll.meDateFromTenor(O1379,P$14,P$11,P$12)</f>
        <v>44641</v>
      </c>
      <c r="Q1379" s="98">
        <f ca="1"/>
        <v>6.2106922863840643E-3</v>
      </c>
      <c r="R1379" s="5" t="s">
        <v>4</v>
      </c>
      <c r="S1379" s="100">
        <f ca="1">_xll.meDateFromTenor(S1378,"1D","FOLLOWING",T$12)</f>
        <v>44460</v>
      </c>
      <c r="T1379" s="13">
        <f ca="1">_xll.meDateFromTenor(S1379,T$14,T$11,T$12)</f>
        <v>44825</v>
      </c>
      <c r="U1379" s="98">
        <f ca="1"/>
        <v>8.2100342632216126E-3</v>
      </c>
      <c r="V1379" s="5" t="s">
        <v>4</v>
      </c>
      <c r="W1379" s="84" t="s">
        <v>4</v>
      </c>
    </row>
    <row r="1380" spans="1:23" x14ac:dyDescent="0.25">
      <c r="A1380" s="90">
        <v>1361</v>
      </c>
      <c r="B1380" s="83"/>
      <c r="C1380" s="100">
        <f ca="1">_xll.meDateFromTenor(C1379,"1D","FOLLOWING",D$12)</f>
        <v>44461</v>
      </c>
      <c r="D1380" s="13">
        <f ca="1">_xll.meDateFromTenor(C1380,D$14,D$11,D$12)</f>
        <v>44462</v>
      </c>
      <c r="E1380" s="98">
        <f ca="1"/>
        <v>2.4667853325603542E-3</v>
      </c>
      <c r="F1380" s="94"/>
      <c r="G1380" s="100">
        <f ca="1">_xll.meDateFromTenor(G1379,"1D","FOLLOWING",H$12)</f>
        <v>44461</v>
      </c>
      <c r="H1380" s="13">
        <f ca="1">_xll.meDateFromTenor(G1380,H$14,H$11,H$12)</f>
        <v>44491</v>
      </c>
      <c r="I1380" s="98">
        <f ca="1"/>
        <v>3.2338487509360331E-3</v>
      </c>
      <c r="J1380" s="94" t="s">
        <v>4</v>
      </c>
      <c r="K1380" s="100">
        <f ca="1">_xll.meDateFromTenor(K1379,"1D","FOLLOWING",L$12)</f>
        <v>44461</v>
      </c>
      <c r="L1380" s="13">
        <f ca="1">_xll.meDateFromTenor(K1380,L$14,L$11,L$12)</f>
        <v>44552</v>
      </c>
      <c r="M1380" s="98">
        <f ca="1"/>
        <v>4.4630428734465611E-3</v>
      </c>
      <c r="N1380" s="5" t="s">
        <v>4</v>
      </c>
      <c r="O1380" s="100">
        <f ca="1">_xll.meDateFromTenor(O1379,"1D","FOLLOWING",P$12)</f>
        <v>44461</v>
      </c>
      <c r="P1380" s="13">
        <f ca="1">_xll.meDateFromTenor(O1380,P$14,P$11,P$12)</f>
        <v>44642</v>
      </c>
      <c r="Q1380" s="98">
        <f ca="1"/>
        <v>6.2184339775057341E-3</v>
      </c>
      <c r="R1380" s="5" t="s">
        <v>4</v>
      </c>
      <c r="S1380" s="100">
        <f ca="1">_xll.meDateFromTenor(S1379,"1D","FOLLOWING",T$12)</f>
        <v>44461</v>
      </c>
      <c r="T1380" s="13">
        <f ca="1">_xll.meDateFromTenor(S1380,T$14,T$11,T$12)</f>
        <v>44826</v>
      </c>
      <c r="U1380" s="98">
        <f ca="1"/>
        <v>8.2173223922332398E-3</v>
      </c>
      <c r="V1380" s="5" t="s">
        <v>4</v>
      </c>
      <c r="W1380" s="84" t="s">
        <v>4</v>
      </c>
    </row>
    <row r="1381" spans="1:23" x14ac:dyDescent="0.25">
      <c r="A1381" s="90">
        <v>1362</v>
      </c>
      <c r="B1381" s="83"/>
      <c r="C1381" s="100">
        <f ca="1">_xll.meDateFromTenor(C1380,"1D","FOLLOWING",D$12)</f>
        <v>44462</v>
      </c>
      <c r="D1381" s="13">
        <f ca="1">_xll.meDateFromTenor(C1381,D$14,D$11,D$12)</f>
        <v>44463</v>
      </c>
      <c r="E1381" s="98">
        <f ca="1"/>
        <v>2.4758542293131253E-3</v>
      </c>
      <c r="F1381" s="94"/>
      <c r="G1381" s="100">
        <f ca="1">_xll.meDateFromTenor(G1380,"1D","FOLLOWING",H$12)</f>
        <v>44462</v>
      </c>
      <c r="H1381" s="13">
        <f ca="1">_xll.meDateFromTenor(G1381,H$14,H$11,H$12)</f>
        <v>44494</v>
      </c>
      <c r="I1381" s="98">
        <f ca="1"/>
        <v>3.241024934488009E-3</v>
      </c>
      <c r="J1381" s="94" t="s">
        <v>4</v>
      </c>
      <c r="K1381" s="100">
        <f ca="1">_xll.meDateFromTenor(K1380,"1D","FOLLOWING",L$12)</f>
        <v>44462</v>
      </c>
      <c r="L1381" s="13">
        <f ca="1">_xll.meDateFromTenor(K1381,L$14,L$11,L$12)</f>
        <v>44553</v>
      </c>
      <c r="M1381" s="98">
        <f ca="1"/>
        <v>4.4709706404074514E-3</v>
      </c>
      <c r="N1381" s="5" t="s">
        <v>4</v>
      </c>
      <c r="O1381" s="100">
        <f ca="1">_xll.meDateFromTenor(O1380,"1D","FOLLOWING",P$12)</f>
        <v>44462</v>
      </c>
      <c r="P1381" s="13">
        <f ca="1">_xll.meDateFromTenor(O1381,P$14,P$11,P$12)</f>
        <v>44643</v>
      </c>
      <c r="Q1381" s="98">
        <f ca="1"/>
        <v>6.2261790432728593E-3</v>
      </c>
      <c r="R1381" s="5" t="s">
        <v>4</v>
      </c>
      <c r="S1381" s="100">
        <f ca="1">_xll.meDateFromTenor(S1380,"1D","FOLLOWING",T$12)</f>
        <v>44462</v>
      </c>
      <c r="T1381" s="13">
        <f ca="1">_xll.meDateFromTenor(S1381,T$14,T$11,T$12)</f>
        <v>44827</v>
      </c>
      <c r="U1381" s="98">
        <f ca="1"/>
        <v>8.2246100127659691E-3</v>
      </c>
      <c r="V1381" s="5" t="s">
        <v>4</v>
      </c>
      <c r="W1381" s="84" t="s">
        <v>4</v>
      </c>
    </row>
    <row r="1382" spans="1:23" x14ac:dyDescent="0.25">
      <c r="A1382" s="90">
        <v>1363</v>
      </c>
      <c r="B1382" s="83"/>
      <c r="C1382" s="100">
        <f ca="1">_xll.meDateFromTenor(C1381,"1D","FOLLOWING",D$12)</f>
        <v>44463</v>
      </c>
      <c r="D1382" s="13">
        <f ca="1">_xll.meDateFromTenor(C1382,D$14,D$11,D$12)</f>
        <v>44466</v>
      </c>
      <c r="E1382" s="98">
        <f ca="1"/>
        <v>2.4939854908991063E-3</v>
      </c>
      <c r="F1382" s="94"/>
      <c r="G1382" s="100">
        <f ca="1">_xll.meDateFromTenor(G1381,"1D","FOLLOWING",H$12)</f>
        <v>44463</v>
      </c>
      <c r="H1382" s="13">
        <f ca="1">_xll.meDateFromTenor(G1382,H$14,H$11,H$12)</f>
        <v>44494</v>
      </c>
      <c r="I1382" s="98">
        <f ca="1"/>
        <v>3.2482112061584293E-3</v>
      </c>
      <c r="J1382" s="94" t="s">
        <v>4</v>
      </c>
      <c r="K1382" s="100">
        <f ca="1">_xll.meDateFromTenor(K1381,"1D","FOLLOWING",L$12)</f>
        <v>44463</v>
      </c>
      <c r="L1382" s="13">
        <f ca="1">_xll.meDateFromTenor(K1382,L$14,L$11,L$12)</f>
        <v>44554</v>
      </c>
      <c r="M1382" s="98">
        <f ca="1"/>
        <v>4.4789011712915959E-3</v>
      </c>
      <c r="N1382" s="5" t="s">
        <v>4</v>
      </c>
      <c r="O1382" s="100">
        <f ca="1">_xll.meDateFromTenor(O1381,"1D","FOLLOWING",P$12)</f>
        <v>44463</v>
      </c>
      <c r="P1382" s="13">
        <f ca="1">_xll.meDateFromTenor(O1382,P$14,P$11,P$12)</f>
        <v>44644</v>
      </c>
      <c r="Q1382" s="98">
        <f ca="1"/>
        <v>6.2339274915503163E-3</v>
      </c>
      <c r="R1382" s="5" t="s">
        <v>4</v>
      </c>
      <c r="S1382" s="100">
        <f ca="1">_xll.meDateFromTenor(S1381,"1D","FOLLOWING",T$12)</f>
        <v>44463</v>
      </c>
      <c r="T1382" s="13">
        <f ca="1">_xll.meDateFromTenor(S1382,T$14,T$11,T$12)</f>
        <v>44830</v>
      </c>
      <c r="U1382" s="98">
        <f ca="1"/>
        <v>8.2318971220869137E-3</v>
      </c>
      <c r="V1382" s="5" t="s">
        <v>4</v>
      </c>
      <c r="W1382" s="84" t="s">
        <v>4</v>
      </c>
    </row>
    <row r="1383" spans="1:23" x14ac:dyDescent="0.25">
      <c r="A1383" s="90">
        <v>1364</v>
      </c>
      <c r="B1383" s="83"/>
      <c r="C1383" s="100">
        <f ca="1">_xll.meDateFromTenor(C1382,"1D","FOLLOWING",D$12)</f>
        <v>44466</v>
      </c>
      <c r="D1383" s="13">
        <f ca="1">_xll.meDateFromTenor(C1383,D$14,D$11,D$12)</f>
        <v>44467</v>
      </c>
      <c r="E1383" s="98">
        <f ca="1"/>
        <v>2.5120583906619825E-3</v>
      </c>
      <c r="F1383" s="94"/>
      <c r="G1383" s="100">
        <f ca="1">_xll.meDateFromTenor(G1382,"1D","FOLLOWING",H$12)</f>
        <v>44466</v>
      </c>
      <c r="H1383" s="13">
        <f ca="1">_xll.meDateFromTenor(G1383,H$14,H$11,H$12)</f>
        <v>44496</v>
      </c>
      <c r="I1383" s="98">
        <f ca="1"/>
        <v>3.2698519659795466E-3</v>
      </c>
      <c r="J1383" s="94" t="s">
        <v>4</v>
      </c>
      <c r="K1383" s="100">
        <f ca="1">_xll.meDateFromTenor(K1382,"1D","FOLLOWING",L$12)</f>
        <v>44466</v>
      </c>
      <c r="L1383" s="13">
        <f ca="1">_xll.meDateFromTenor(K1383,L$14,L$11,L$12)</f>
        <v>44557</v>
      </c>
      <c r="M1383" s="98">
        <f ca="1"/>
        <v>4.5027097797471797E-3</v>
      </c>
      <c r="N1383" s="5" t="s">
        <v>4</v>
      </c>
      <c r="O1383" s="100">
        <f ca="1">_xll.meDateFromTenor(O1382,"1D","FOLLOWING",P$12)</f>
        <v>44466</v>
      </c>
      <c r="P1383" s="13">
        <f ca="1">_xll.meDateFromTenor(O1383,P$14,P$11,P$12)</f>
        <v>44648</v>
      </c>
      <c r="Q1383" s="98">
        <f ca="1"/>
        <v>6.2571932100935011E-3</v>
      </c>
      <c r="R1383" s="5" t="s">
        <v>4</v>
      </c>
      <c r="S1383" s="100">
        <f ca="1">_xll.meDateFromTenor(S1382,"1D","FOLLOWING",T$12)</f>
        <v>44466</v>
      </c>
      <c r="T1383" s="13">
        <f ca="1">_xll.meDateFromTenor(S1383,T$14,T$11,T$12)</f>
        <v>44831</v>
      </c>
      <c r="U1383" s="98">
        <f ca="1"/>
        <v>8.2537553554502506E-3</v>
      </c>
      <c r="V1383" s="5" t="s">
        <v>4</v>
      </c>
      <c r="W1383" s="84" t="s">
        <v>4</v>
      </c>
    </row>
    <row r="1384" spans="1:23" x14ac:dyDescent="0.25">
      <c r="A1384" s="90">
        <v>1365</v>
      </c>
      <c r="B1384" s="83"/>
      <c r="C1384" s="100">
        <f ca="1">_xll.meDateFromTenor(C1383,"1D","FOLLOWING",D$12)</f>
        <v>44467</v>
      </c>
      <c r="D1384" s="13">
        <f ca="1">_xll.meDateFromTenor(C1384,D$14,D$11,D$12)</f>
        <v>44468</v>
      </c>
      <c r="E1384" s="98">
        <f ca="1"/>
        <v>2.5210915766220266E-3</v>
      </c>
      <c r="F1384" s="94"/>
      <c r="G1384" s="100">
        <f ca="1">_xll.meDateFromTenor(G1383,"1D","FOLLOWING",H$12)</f>
        <v>44467</v>
      </c>
      <c r="H1384" s="13">
        <f ca="1">_xll.meDateFromTenor(G1384,H$14,H$11,H$12)</f>
        <v>44497</v>
      </c>
      <c r="I1384" s="98">
        <f ca="1"/>
        <v>3.2771000062229274E-3</v>
      </c>
      <c r="J1384" s="94" t="s">
        <v>4</v>
      </c>
      <c r="K1384" s="100">
        <f ca="1">_xll.meDateFromTenor(K1383,"1D","FOLLOWING",L$12)</f>
        <v>44467</v>
      </c>
      <c r="L1384" s="13">
        <f ca="1">_xll.meDateFromTenor(K1384,L$14,L$11,L$12)</f>
        <v>44558</v>
      </c>
      <c r="M1384" s="98">
        <f ca="1"/>
        <v>4.5106517985879493E-3</v>
      </c>
      <c r="N1384" s="5" t="s">
        <v>4</v>
      </c>
      <c r="O1384" s="100">
        <f ca="1">_xll.meDateFromTenor(O1383,"1D","FOLLOWING",P$12)</f>
        <v>44467</v>
      </c>
      <c r="P1384" s="13">
        <f ca="1">_xll.meDateFromTenor(O1384,P$14,P$11,P$12)</f>
        <v>44648</v>
      </c>
      <c r="Q1384" s="98">
        <f ca="1"/>
        <v>6.2649552670610981E-3</v>
      </c>
      <c r="R1384" s="5" t="s">
        <v>4</v>
      </c>
      <c r="S1384" s="100">
        <f ca="1">_xll.meDateFromTenor(S1383,"1D","FOLLOWING",T$12)</f>
        <v>44467</v>
      </c>
      <c r="T1384" s="13">
        <f ca="1">_xll.meDateFromTenor(S1384,T$14,T$11,T$12)</f>
        <v>44832</v>
      </c>
      <c r="U1384" s="98">
        <f ca="1"/>
        <v>8.2610403925952539E-3</v>
      </c>
      <c r="V1384" s="5" t="s">
        <v>4</v>
      </c>
      <c r="W1384" s="84" t="s">
        <v>4</v>
      </c>
    </row>
    <row r="1385" spans="1:23" x14ac:dyDescent="0.25">
      <c r="A1385" s="90">
        <v>1366</v>
      </c>
      <c r="B1385" s="83"/>
      <c r="C1385" s="100">
        <f ca="1">_xll.meDateFromTenor(C1384,"1D","FOLLOWING",D$12)</f>
        <v>44468</v>
      </c>
      <c r="D1385" s="13">
        <f ca="1">_xll.meDateFromTenor(C1385,D$14,D$11,D$12)</f>
        <v>44469</v>
      </c>
      <c r="E1385" s="98">
        <f ca="1"/>
        <v>2.5301176222920982E-3</v>
      </c>
      <c r="F1385" s="94"/>
      <c r="G1385" s="100">
        <f ca="1">_xll.meDateFromTenor(G1384,"1D","FOLLOWING",H$12)</f>
        <v>44468</v>
      </c>
      <c r="H1385" s="13">
        <f ca="1">_xll.meDateFromTenor(G1385,H$14,H$11,H$12)</f>
        <v>44498</v>
      </c>
      <c r="I1385" s="98">
        <f ca="1"/>
        <v>3.2843688426343405E-3</v>
      </c>
      <c r="J1385" s="94" t="s">
        <v>4</v>
      </c>
      <c r="K1385" s="100">
        <f ca="1">_xll.meDateFromTenor(K1384,"1D","FOLLOWING",L$12)</f>
        <v>44468</v>
      </c>
      <c r="L1385" s="13">
        <f ca="1">_xll.meDateFromTenor(K1385,L$14,L$11,L$12)</f>
        <v>44559</v>
      </c>
      <c r="M1385" s="98">
        <f ca="1"/>
        <v>4.5185967974837732E-3</v>
      </c>
      <c r="N1385" s="5" t="s">
        <v>4</v>
      </c>
      <c r="O1385" s="100">
        <f ca="1">_xll.meDateFromTenor(O1384,"1D","FOLLOWING",P$12)</f>
        <v>44468</v>
      </c>
      <c r="P1385" s="13">
        <f ca="1">_xll.meDateFromTenor(O1385,P$14,P$11,P$12)</f>
        <v>44649</v>
      </c>
      <c r="Q1385" s="98">
        <f ca="1"/>
        <v>6.2727207458634282E-3</v>
      </c>
      <c r="R1385" s="5" t="s">
        <v>4</v>
      </c>
      <c r="S1385" s="100">
        <f ca="1">_xll.meDateFromTenor(S1384,"1D","FOLLOWING",T$12)</f>
        <v>44468</v>
      </c>
      <c r="T1385" s="13">
        <f ca="1">_xll.meDateFromTenor(S1385,T$14,T$11,T$12)</f>
        <v>44833</v>
      </c>
      <c r="U1385" s="98">
        <f ca="1"/>
        <v>8.2683249048640644E-3</v>
      </c>
      <c r="V1385" s="5" t="s">
        <v>4</v>
      </c>
      <c r="W1385" s="84" t="s">
        <v>4</v>
      </c>
    </row>
    <row r="1386" spans="1:23" x14ac:dyDescent="0.25">
      <c r="A1386" s="90">
        <v>1367</v>
      </c>
      <c r="B1386" s="83"/>
      <c r="C1386" s="100">
        <f ca="1">_xll.meDateFromTenor(C1385,"1D","FOLLOWING",D$12)</f>
        <v>44469</v>
      </c>
      <c r="D1386" s="13">
        <f ca="1">_xll.meDateFromTenor(C1386,D$14,D$11,D$12)</f>
        <v>44470</v>
      </c>
      <c r="E1386" s="98">
        <f ca="1"/>
        <v>2.5391365276754272E-3</v>
      </c>
      <c r="F1386" s="94"/>
      <c r="G1386" s="100">
        <f ca="1">_xll.meDateFromTenor(G1385,"1D","FOLLOWING",H$12)</f>
        <v>44469</v>
      </c>
      <c r="H1386" s="13">
        <f ca="1">_xll.meDateFromTenor(G1386,H$14,H$11,H$12)</f>
        <v>44498</v>
      </c>
      <c r="I1386" s="98">
        <f ca="1"/>
        <v>3.2916606168237046E-3</v>
      </c>
      <c r="J1386" s="94" t="s">
        <v>4</v>
      </c>
      <c r="K1386" s="100">
        <f ca="1">_xll.meDateFromTenor(K1385,"1D","FOLLOWING",L$12)</f>
        <v>44469</v>
      </c>
      <c r="L1386" s="13">
        <f ca="1">_xll.meDateFromTenor(K1386,L$14,L$11,L$12)</f>
        <v>44560</v>
      </c>
      <c r="M1386" s="98">
        <f ca="1"/>
        <v>4.526544819661007E-3</v>
      </c>
      <c r="N1386" s="5" t="s">
        <v>4</v>
      </c>
      <c r="O1386" s="100">
        <f ca="1">_xll.meDateFromTenor(O1385,"1D","FOLLOWING",P$12)</f>
        <v>44469</v>
      </c>
      <c r="P1386" s="13">
        <f ca="1">_xll.meDateFromTenor(O1386,P$14,P$11,P$12)</f>
        <v>44650</v>
      </c>
      <c r="Q1386" s="98">
        <f ca="1"/>
        <v>6.2804896543653711E-3</v>
      </c>
      <c r="R1386" s="5" t="s">
        <v>4</v>
      </c>
      <c r="S1386" s="100">
        <f ca="1">_xll.meDateFromTenor(S1385,"1D","FOLLOWING",T$12)</f>
        <v>44469</v>
      </c>
      <c r="T1386" s="13">
        <f ca="1">_xll.meDateFromTenor(S1386,T$14,T$11,T$12)</f>
        <v>44834</v>
      </c>
      <c r="U1386" s="98">
        <f ca="1"/>
        <v>8.2756088895238021E-3</v>
      </c>
      <c r="V1386" s="5" t="s">
        <v>4</v>
      </c>
      <c r="W1386" s="84" t="s">
        <v>4</v>
      </c>
    </row>
    <row r="1387" spans="1:23" x14ac:dyDescent="0.25">
      <c r="A1387" s="90">
        <v>1368</v>
      </c>
      <c r="B1387" s="83"/>
      <c r="C1387" s="100">
        <f ca="1">_xll.meDateFromTenor(C1386,"1D","FOLLOWING",D$12)</f>
        <v>44470</v>
      </c>
      <c r="D1387" s="13">
        <f ca="1">_xll.meDateFromTenor(C1387,D$14,D$11,D$12)</f>
        <v>44473</v>
      </c>
      <c r="E1387" s="98">
        <f ca="1"/>
        <v>2.557168703693919E-3</v>
      </c>
      <c r="F1387" s="94"/>
      <c r="G1387" s="100">
        <f ca="1">_xll.meDateFromTenor(G1386,"1D","FOLLOWING",H$12)</f>
        <v>44470</v>
      </c>
      <c r="H1387" s="13">
        <f ca="1">_xll.meDateFromTenor(G1387,H$14,H$11,H$12)</f>
        <v>44501</v>
      </c>
      <c r="I1387" s="98">
        <f ca="1"/>
        <v>3.2989774704009355E-3</v>
      </c>
      <c r="J1387" s="94" t="s">
        <v>4</v>
      </c>
      <c r="K1387" s="100">
        <f ca="1">_xll.meDateFromTenor(K1386,"1D","FOLLOWING",L$12)</f>
        <v>44470</v>
      </c>
      <c r="L1387" s="13">
        <f ca="1">_xll.meDateFromTenor(K1387,L$14,L$11,L$12)</f>
        <v>44564</v>
      </c>
      <c r="M1387" s="98">
        <f ca="1"/>
        <v>4.5344959083460116E-3</v>
      </c>
      <c r="N1387" s="5" t="s">
        <v>4</v>
      </c>
      <c r="O1387" s="100">
        <f ca="1">_xll.meDateFromTenor(O1386,"1D","FOLLOWING",P$12)</f>
        <v>44470</v>
      </c>
      <c r="P1387" s="13">
        <f ca="1">_xll.meDateFromTenor(O1387,P$14,P$11,P$12)</f>
        <v>44652</v>
      </c>
      <c r="Q1387" s="98">
        <f ca="1"/>
        <v>6.2882620004318093E-3</v>
      </c>
      <c r="R1387" s="5" t="s">
        <v>4</v>
      </c>
      <c r="S1387" s="100">
        <f ca="1">_xll.meDateFromTenor(S1386,"1D","FOLLOWING",T$12)</f>
        <v>44470</v>
      </c>
      <c r="T1387" s="13">
        <f ca="1">_xll.meDateFromTenor(S1387,T$14,T$11,T$12)</f>
        <v>44837</v>
      </c>
      <c r="U1387" s="98">
        <f ca="1"/>
        <v>8.2828923438415802E-3</v>
      </c>
      <c r="V1387" s="5" t="s">
        <v>4</v>
      </c>
      <c r="W1387" s="84" t="s">
        <v>4</v>
      </c>
    </row>
    <row r="1388" spans="1:23" x14ac:dyDescent="0.25">
      <c r="A1388" s="90">
        <v>1369</v>
      </c>
      <c r="B1388" s="83"/>
      <c r="C1388" s="100">
        <f ca="1">_xll.meDateFromTenor(C1387,"1D","FOLLOWING",D$12)</f>
        <v>44473</v>
      </c>
      <c r="D1388" s="13">
        <f ca="1">_xll.meDateFromTenor(C1388,D$14,D$11,D$12)</f>
        <v>44474</v>
      </c>
      <c r="E1388" s="98">
        <f ca="1"/>
        <v>2.575140755994164E-3</v>
      </c>
      <c r="F1388" s="94"/>
      <c r="G1388" s="100">
        <f ca="1">_xll.meDateFromTenor(G1387,"1D","FOLLOWING",H$12)</f>
        <v>44473</v>
      </c>
      <c r="H1388" s="13">
        <f ca="1">_xll.meDateFromTenor(G1388,H$14,H$11,H$12)</f>
        <v>44504</v>
      </c>
      <c r="I1388" s="98">
        <f ca="1"/>
        <v>3.3210999235590093E-3</v>
      </c>
      <c r="J1388" s="94" t="s">
        <v>4</v>
      </c>
      <c r="K1388" s="100">
        <f ca="1">_xll.meDateFromTenor(K1387,"1D","FOLLOWING",L$12)</f>
        <v>44473</v>
      </c>
      <c r="L1388" s="13">
        <f ca="1">_xll.meDateFromTenor(K1388,L$14,L$11,L$12)</f>
        <v>44565</v>
      </c>
      <c r="M1388" s="98">
        <f ca="1"/>
        <v>4.5583680057112407E-3</v>
      </c>
      <c r="N1388" s="5" t="s">
        <v>4</v>
      </c>
      <c r="O1388" s="100">
        <f ca="1">_xll.meDateFromTenor(O1387,"1D","FOLLOWING",P$12)</f>
        <v>44473</v>
      </c>
      <c r="P1388" s="13">
        <f ca="1">_xll.meDateFromTenor(O1388,P$14,P$11,P$12)</f>
        <v>44655</v>
      </c>
      <c r="Q1388" s="98">
        <f ca="1"/>
        <v>6.3115997426668787E-3</v>
      </c>
      <c r="R1388" s="5" t="s">
        <v>4</v>
      </c>
      <c r="S1388" s="100">
        <f ca="1">_xll.meDateFromTenor(S1387,"1D","FOLLOWING",T$12)</f>
        <v>44473</v>
      </c>
      <c r="T1388" s="13">
        <f ca="1">_xll.meDateFromTenor(S1388,T$14,T$11,T$12)</f>
        <v>44838</v>
      </c>
      <c r="U1388" s="98">
        <f ca="1"/>
        <v>8.304739497414353E-3</v>
      </c>
      <c r="V1388" s="5" t="s">
        <v>4</v>
      </c>
      <c r="W1388" s="84" t="s">
        <v>4</v>
      </c>
    </row>
    <row r="1389" spans="1:23" x14ac:dyDescent="0.25">
      <c r="A1389" s="90">
        <v>1370</v>
      </c>
      <c r="B1389" s="83"/>
      <c r="C1389" s="100">
        <f ca="1">_xll.meDateFromTenor(C1388,"1D","FOLLOWING",D$12)</f>
        <v>44474</v>
      </c>
      <c r="D1389" s="13">
        <f ca="1">_xll.meDateFromTenor(C1389,D$14,D$11,D$12)</f>
        <v>44475</v>
      </c>
      <c r="E1389" s="98">
        <f ca="1"/>
        <v>2.5841239674480447E-3</v>
      </c>
      <c r="F1389" s="94"/>
      <c r="G1389" s="100">
        <f ca="1">_xll.meDateFromTenor(G1388,"1D","FOLLOWING",H$12)</f>
        <v>44474</v>
      </c>
      <c r="H1389" s="13">
        <f ca="1">_xll.meDateFromTenor(G1389,H$14,H$11,H$12)</f>
        <v>44505</v>
      </c>
      <c r="I1389" s="98">
        <f ca="1"/>
        <v>3.3285379882949202E-3</v>
      </c>
      <c r="J1389" s="94" t="s">
        <v>4</v>
      </c>
      <c r="K1389" s="100">
        <f ca="1">_xll.meDateFromTenor(K1388,"1D","FOLLOWING",L$12)</f>
        <v>44474</v>
      </c>
      <c r="L1389" s="13">
        <f ca="1">_xll.meDateFromTenor(K1389,L$14,L$11,L$12)</f>
        <v>44566</v>
      </c>
      <c r="M1389" s="98">
        <f ca="1"/>
        <v>4.5663317926909154E-3</v>
      </c>
      <c r="N1389" s="5" t="s">
        <v>4</v>
      </c>
      <c r="O1389" s="100">
        <f ca="1">_xll.meDateFromTenor(O1388,"1D","FOLLOWING",P$12)</f>
        <v>44474</v>
      </c>
      <c r="P1389" s="13">
        <f ca="1">_xll.meDateFromTenor(O1389,P$14,P$11,P$12)</f>
        <v>44656</v>
      </c>
      <c r="Q1389" s="98">
        <f ca="1"/>
        <v>6.3193859176400849E-3</v>
      </c>
      <c r="R1389" s="5" t="s">
        <v>4</v>
      </c>
      <c r="S1389" s="100">
        <f ca="1">_xll.meDateFromTenor(S1388,"1D","FOLLOWING",T$12)</f>
        <v>44474</v>
      </c>
      <c r="T1389" s="13">
        <f ca="1">_xll.meDateFromTenor(S1389,T$14,T$11,T$12)</f>
        <v>44839</v>
      </c>
      <c r="U1389" s="98">
        <f ca="1"/>
        <v>8.3120208030354817E-3</v>
      </c>
      <c r="V1389" s="5" t="s">
        <v>4</v>
      </c>
      <c r="W1389" s="84" t="s">
        <v>4</v>
      </c>
    </row>
    <row r="1390" spans="1:23" x14ac:dyDescent="0.25">
      <c r="A1390" s="90">
        <v>1371</v>
      </c>
      <c r="B1390" s="83"/>
      <c r="C1390" s="100">
        <f ca="1">_xll.meDateFromTenor(C1389,"1D","FOLLOWING",D$12)</f>
        <v>44475</v>
      </c>
      <c r="D1390" s="13">
        <f ca="1">_xll.meDateFromTenor(C1390,D$14,D$11,D$12)</f>
        <v>44476</v>
      </c>
      <c r="E1390" s="98">
        <f ca="1"/>
        <v>2.5931000411731704E-3</v>
      </c>
      <c r="F1390" s="94"/>
      <c r="G1390" s="100">
        <f ca="1">_xll.meDateFromTenor(G1389,"1D","FOLLOWING",H$12)</f>
        <v>44475</v>
      </c>
      <c r="H1390" s="13">
        <f ca="1">_xll.meDateFromTenor(G1390,H$14,H$11,H$12)</f>
        <v>44508</v>
      </c>
      <c r="I1390" s="98">
        <f ca="1"/>
        <v>3.336008705516516E-3</v>
      </c>
      <c r="J1390" s="94" t="s">
        <v>4</v>
      </c>
      <c r="K1390" s="100">
        <f ca="1">_xll.meDateFromTenor(K1389,"1D","FOLLOWING",L$12)</f>
        <v>44475</v>
      </c>
      <c r="L1390" s="13">
        <f ca="1">_xll.meDateFromTenor(K1390,L$14,L$11,L$12)</f>
        <v>44567</v>
      </c>
      <c r="M1390" s="98">
        <f ca="1"/>
        <v>4.5742988623101583E-3</v>
      </c>
      <c r="N1390" s="5" t="s">
        <v>4</v>
      </c>
      <c r="O1390" s="100">
        <f ca="1">_xll.meDateFromTenor(O1389,"1D","FOLLOWING",P$12)</f>
        <v>44475</v>
      </c>
      <c r="P1390" s="13">
        <f ca="1">_xll.meDateFromTenor(O1390,P$14,P$11,P$12)</f>
        <v>44657</v>
      </c>
      <c r="Q1390" s="98">
        <f ca="1"/>
        <v>6.3271755695021858E-3</v>
      </c>
      <c r="R1390" s="5" t="s">
        <v>4</v>
      </c>
      <c r="S1390" s="100">
        <f ca="1">_xll.meDateFromTenor(S1389,"1D","FOLLOWING",T$12)</f>
        <v>44475</v>
      </c>
      <c r="T1390" s="13">
        <f ca="1">_xll.meDateFromTenor(S1390,T$14,T$11,T$12)</f>
        <v>44840</v>
      </c>
      <c r="U1390" s="98">
        <f ca="1"/>
        <v>8.3193015646502427E-3</v>
      </c>
      <c r="V1390" s="5" t="s">
        <v>4</v>
      </c>
      <c r="W1390" s="84" t="s">
        <v>4</v>
      </c>
    </row>
    <row r="1391" spans="1:23" x14ac:dyDescent="0.25">
      <c r="A1391" s="90">
        <v>1372</v>
      </c>
      <c r="B1391" s="83"/>
      <c r="C1391" s="100">
        <f ca="1">_xll.meDateFromTenor(C1390,"1D","FOLLOWING",D$12)</f>
        <v>44476</v>
      </c>
      <c r="D1391" s="13">
        <f ca="1">_xll.meDateFromTenor(C1391,D$14,D$11,D$12)</f>
        <v>44477</v>
      </c>
      <c r="E1391" s="98">
        <f ca="1"/>
        <v>2.6020689782853363E-3</v>
      </c>
      <c r="F1391" s="94"/>
      <c r="G1391" s="100">
        <f ca="1">_xll.meDateFromTenor(G1390,"1D","FOLLOWING",H$12)</f>
        <v>44476</v>
      </c>
      <c r="H1391" s="13">
        <f ca="1">_xll.meDateFromTenor(G1391,H$14,H$11,H$12)</f>
        <v>44508</v>
      </c>
      <c r="I1391" s="98">
        <f ca="1"/>
        <v>3.3435110818819378E-3</v>
      </c>
      <c r="J1391" s="94" t="s">
        <v>4</v>
      </c>
      <c r="K1391" s="100">
        <f ca="1">_xll.meDateFromTenor(K1390,"1D","FOLLOWING",L$12)</f>
        <v>44476</v>
      </c>
      <c r="L1391" s="13">
        <f ca="1">_xll.meDateFromTenor(K1391,L$14,L$11,L$12)</f>
        <v>44568</v>
      </c>
      <c r="M1391" s="98">
        <f ca="1"/>
        <v>4.5822692577953241E-3</v>
      </c>
      <c r="N1391" s="5" t="s">
        <v>4</v>
      </c>
      <c r="O1391" s="100">
        <f ca="1">_xll.meDateFromTenor(O1390,"1D","FOLLOWING",P$12)</f>
        <v>44476</v>
      </c>
      <c r="P1391" s="13">
        <f ca="1">_xll.meDateFromTenor(O1391,P$14,P$11,P$12)</f>
        <v>44658</v>
      </c>
      <c r="Q1391" s="98">
        <f ca="1"/>
        <v>6.3349687061180588E-3</v>
      </c>
      <c r="R1391" s="5" t="s">
        <v>4</v>
      </c>
      <c r="S1391" s="100">
        <f ca="1">_xll.meDateFromTenor(S1390,"1D","FOLLOWING",T$12)</f>
        <v>44476</v>
      </c>
      <c r="T1391" s="13">
        <f ca="1">_xll.meDateFromTenor(S1391,T$14,T$11,T$12)</f>
        <v>44841</v>
      </c>
      <c r="U1391" s="98">
        <f ca="1"/>
        <v>8.3265817795257508E-3</v>
      </c>
      <c r="V1391" s="5" t="s">
        <v>4</v>
      </c>
      <c r="W1391" s="84" t="s">
        <v>4</v>
      </c>
    </row>
    <row r="1392" spans="1:23" x14ac:dyDescent="0.25">
      <c r="A1392" s="90">
        <v>1373</v>
      </c>
      <c r="B1392" s="83"/>
      <c r="C1392" s="100">
        <f ca="1">_xll.meDateFromTenor(C1391,"1D","FOLLOWING",D$12)</f>
        <v>44477</v>
      </c>
      <c r="D1392" s="13">
        <f ca="1">_xll.meDateFromTenor(C1392,D$14,D$11,D$12)</f>
        <v>44480</v>
      </c>
      <c r="E1392" s="98">
        <f ca="1"/>
        <v>2.6200021320745104E-3</v>
      </c>
      <c r="F1392" s="94"/>
      <c r="G1392" s="100">
        <f ca="1">_xll.meDateFromTenor(G1391,"1D","FOLLOWING",H$12)</f>
        <v>44477</v>
      </c>
      <c r="H1392" s="13">
        <f ca="1">_xll.meDateFromTenor(G1392,H$14,H$11,H$12)</f>
        <v>44508</v>
      </c>
      <c r="I1392" s="98">
        <f ca="1"/>
        <v>3.3510441240493312E-3</v>
      </c>
      <c r="J1392" s="94" t="s">
        <v>4</v>
      </c>
      <c r="K1392" s="100">
        <f ca="1">_xll.meDateFromTenor(K1391,"1D","FOLLOWING",L$12)</f>
        <v>44477</v>
      </c>
      <c r="L1392" s="13">
        <f ca="1">_xll.meDateFromTenor(K1392,L$14,L$11,L$12)</f>
        <v>44571</v>
      </c>
      <c r="M1392" s="98">
        <f ca="1"/>
        <v>4.5902430223727754E-3</v>
      </c>
      <c r="N1392" s="5" t="s">
        <v>4</v>
      </c>
      <c r="O1392" s="100">
        <f ca="1">_xll.meDateFromTenor(O1391,"1D","FOLLOWING",P$12)</f>
        <v>44477</v>
      </c>
      <c r="P1392" s="13">
        <f ca="1">_xll.meDateFromTenor(O1392,P$14,P$11,P$12)</f>
        <v>44659</v>
      </c>
      <c r="Q1392" s="98">
        <f ca="1"/>
        <v>6.3427653353525845E-3</v>
      </c>
      <c r="R1392" s="5" t="s">
        <v>4</v>
      </c>
      <c r="S1392" s="100">
        <f ca="1">_xll.meDateFromTenor(S1391,"1D","FOLLOWING",T$12)</f>
        <v>44477</v>
      </c>
      <c r="T1392" s="13">
        <f ca="1">_xll.meDateFromTenor(S1392,T$14,T$11,T$12)</f>
        <v>44844</v>
      </c>
      <c r="U1392" s="98">
        <f ca="1"/>
        <v>8.3338614449291297E-3</v>
      </c>
      <c r="V1392" s="5" t="s">
        <v>4</v>
      </c>
      <c r="W1392" s="84" t="s">
        <v>4</v>
      </c>
    </row>
    <row r="1393" spans="1:23" x14ac:dyDescent="0.25">
      <c r="A1393" s="90">
        <v>1374</v>
      </c>
      <c r="B1393" s="83"/>
      <c r="C1393" s="100">
        <f ca="1">_xll.meDateFromTenor(C1392,"1D","FOLLOWING",D$12)</f>
        <v>44480</v>
      </c>
      <c r="D1393" s="13">
        <f ca="1">_xll.meDateFromTenor(C1393,D$14,D$11,D$12)</f>
        <v>44481</v>
      </c>
      <c r="E1393" s="98">
        <f ca="1"/>
        <v>2.6378733658201409E-3</v>
      </c>
      <c r="F1393" s="94"/>
      <c r="G1393" s="100">
        <f ca="1">_xll.meDateFromTenor(G1392,"1D","FOLLOWING",H$12)</f>
        <v>44480</v>
      </c>
      <c r="H1393" s="13">
        <f ca="1">_xll.meDateFromTenor(G1393,H$14,H$11,H$12)</f>
        <v>44511</v>
      </c>
      <c r="I1393" s="98">
        <f ca="1"/>
        <v>3.3738173119447867E-3</v>
      </c>
      <c r="J1393" s="94" t="s">
        <v>4</v>
      </c>
      <c r="K1393" s="100">
        <f ca="1">_xll.meDateFromTenor(K1392,"1D","FOLLOWING",L$12)</f>
        <v>44480</v>
      </c>
      <c r="L1393" s="13">
        <f ca="1">_xll.meDateFromTenor(K1393,L$14,L$11,L$12)</f>
        <v>44572</v>
      </c>
      <c r="M1393" s="98">
        <f ca="1"/>
        <v>4.6141849629224132E-3</v>
      </c>
      <c r="N1393" s="5" t="s">
        <v>4</v>
      </c>
      <c r="O1393" s="100">
        <f ca="1">_xll.meDateFromTenor(O1392,"1D","FOLLOWING",P$12)</f>
        <v>44480</v>
      </c>
      <c r="P1393" s="13">
        <f ca="1">_xll.meDateFromTenor(O1393,P$14,P$11,P$12)</f>
        <v>44662</v>
      </c>
      <c r="Q1393" s="98">
        <f ca="1"/>
        <v>6.366176257416872E-3</v>
      </c>
      <c r="R1393" s="5" t="s">
        <v>4</v>
      </c>
      <c r="S1393" s="100">
        <f ca="1">_xll.meDateFromTenor(S1392,"1D","FOLLOWING",T$12)</f>
        <v>44480</v>
      </c>
      <c r="T1393" s="13">
        <f ca="1">_xll.meDateFromTenor(S1393,T$14,T$11,T$12)</f>
        <v>44845</v>
      </c>
      <c r="U1393" s="98">
        <f ca="1"/>
        <v>8.3556971169776399E-3</v>
      </c>
      <c r="V1393" s="5" t="s">
        <v>4</v>
      </c>
      <c r="W1393" s="84" t="s">
        <v>4</v>
      </c>
    </row>
    <row r="1394" spans="1:23" x14ac:dyDescent="0.25">
      <c r="A1394" s="90">
        <v>1375</v>
      </c>
      <c r="B1394" s="83"/>
      <c r="C1394" s="100">
        <f ca="1">_xll.meDateFromTenor(C1393,"1D","FOLLOWING",D$12)</f>
        <v>44481</v>
      </c>
      <c r="D1394" s="13">
        <f ca="1">_xll.meDateFromTenor(C1394,D$14,D$11,D$12)</f>
        <v>44482</v>
      </c>
      <c r="E1394" s="98">
        <f ca="1"/>
        <v>2.6468066249933802E-3</v>
      </c>
      <c r="F1394" s="94"/>
      <c r="G1394" s="100">
        <f ca="1">_xll.meDateFromTenor(G1393,"1D","FOLLOWING",H$12)</f>
        <v>44481</v>
      </c>
      <c r="H1394" s="13">
        <f ca="1">_xll.meDateFromTenor(G1394,H$14,H$11,H$12)</f>
        <v>44512</v>
      </c>
      <c r="I1394" s="98">
        <f ca="1"/>
        <v>3.3814630839015098E-3</v>
      </c>
      <c r="J1394" s="94" t="s">
        <v>4</v>
      </c>
      <c r="K1394" s="100">
        <f ca="1">_xll.meDateFromTenor(K1393,"1D","FOLLOWING",L$12)</f>
        <v>44481</v>
      </c>
      <c r="L1394" s="13">
        <f ca="1">_xll.meDateFromTenor(K1394,L$14,L$11,L$12)</f>
        <v>44573</v>
      </c>
      <c r="M1394" s="98">
        <f ca="1"/>
        <v>4.6221726361325823E-3</v>
      </c>
      <c r="N1394" s="5" t="s">
        <v>4</v>
      </c>
      <c r="O1394" s="100">
        <f ca="1">_xll.meDateFromTenor(O1393,"1D","FOLLOWING",P$12)</f>
        <v>44481</v>
      </c>
      <c r="P1394" s="13">
        <f ca="1">_xll.meDateFromTenor(O1394,P$14,P$11,P$12)</f>
        <v>44663</v>
      </c>
      <c r="Q1394" s="98">
        <f ca="1"/>
        <v>6.373986935774803E-3</v>
      </c>
      <c r="R1394" s="5" t="s">
        <v>4</v>
      </c>
      <c r="S1394" s="100">
        <f ca="1">_xll.meDateFromTenor(S1393,"1D","FOLLOWING",T$12)</f>
        <v>44481</v>
      </c>
      <c r="T1394" s="13">
        <f ca="1">_xll.meDateFromTenor(S1394,T$14,T$11,T$12)</f>
        <v>44846</v>
      </c>
      <c r="U1394" s="98">
        <f ca="1"/>
        <v>8.3629745571636611E-3</v>
      </c>
      <c r="V1394" s="5" t="s">
        <v>4</v>
      </c>
      <c r="W1394" s="84" t="s">
        <v>4</v>
      </c>
    </row>
    <row r="1395" spans="1:23" x14ac:dyDescent="0.25">
      <c r="A1395" s="90">
        <v>1376</v>
      </c>
      <c r="B1395" s="83"/>
      <c r="C1395" s="100">
        <f ca="1">_xll.meDateFromTenor(C1394,"1D","FOLLOWING",D$12)</f>
        <v>44482</v>
      </c>
      <c r="D1395" s="13">
        <f ca="1">_xll.meDateFromTenor(C1395,D$14,D$11,D$12)</f>
        <v>44483</v>
      </c>
      <c r="E1395" s="98">
        <f ca="1"/>
        <v>2.655732749791835E-3</v>
      </c>
      <c r="F1395" s="94"/>
      <c r="G1395" s="100">
        <f ca="1">_xll.meDateFromTenor(G1394,"1D","FOLLOWING",H$12)</f>
        <v>44482</v>
      </c>
      <c r="H1395" s="13">
        <f ca="1">_xll.meDateFromTenor(G1395,H$14,H$11,H$12)</f>
        <v>44515</v>
      </c>
      <c r="I1395" s="98">
        <f ca="1"/>
        <v>3.3891345549509327E-3</v>
      </c>
      <c r="J1395" s="94" t="s">
        <v>4</v>
      </c>
      <c r="K1395" s="100">
        <f ca="1">_xll.meDateFromTenor(K1394,"1D","FOLLOWING",L$12)</f>
        <v>44482</v>
      </c>
      <c r="L1395" s="13">
        <f ca="1">_xll.meDateFromTenor(K1395,L$14,L$11,L$12)</f>
        <v>44574</v>
      </c>
      <c r="M1395" s="98">
        <f ca="1"/>
        <v>4.6301638945668352E-3</v>
      </c>
      <c r="N1395" s="5" t="s">
        <v>4</v>
      </c>
      <c r="O1395" s="100">
        <f ca="1">_xll.meDateFromTenor(O1394,"1D","FOLLOWING",P$12)</f>
        <v>44482</v>
      </c>
      <c r="P1395" s="13">
        <f ca="1">_xll.meDateFromTenor(O1395,P$14,P$11,P$12)</f>
        <v>44664</v>
      </c>
      <c r="Q1395" s="98">
        <f ca="1"/>
        <v>6.3818011460757898E-3</v>
      </c>
      <c r="R1395" s="5" t="s">
        <v>4</v>
      </c>
      <c r="S1395" s="100">
        <f ca="1">_xll.meDateFromTenor(S1394,"1D","FOLLOWING",T$12)</f>
        <v>44482</v>
      </c>
      <c r="T1395" s="13">
        <f ca="1">_xll.meDateFromTenor(S1395,T$14,T$11,T$12)</f>
        <v>44847</v>
      </c>
      <c r="U1395" s="98">
        <f ca="1"/>
        <v>8.3702514342131416E-3</v>
      </c>
      <c r="V1395" s="5" t="s">
        <v>4</v>
      </c>
      <c r="W1395" s="84" t="s">
        <v>4</v>
      </c>
    </row>
    <row r="1396" spans="1:23" x14ac:dyDescent="0.25">
      <c r="A1396" s="90">
        <v>1377</v>
      </c>
      <c r="B1396" s="83"/>
      <c r="C1396" s="100">
        <f ca="1">_xll.meDateFromTenor(C1395,"1D","FOLLOWING",D$12)</f>
        <v>44483</v>
      </c>
      <c r="D1396" s="13">
        <f ca="1">_xll.meDateFromTenor(C1396,D$14,D$11,D$12)</f>
        <v>44484</v>
      </c>
      <c r="E1396" s="98">
        <f ca="1"/>
        <v>2.664651741098192E-3</v>
      </c>
      <c r="F1396" s="94"/>
      <c r="G1396" s="100">
        <f ca="1">_xll.meDateFromTenor(G1395,"1D","FOLLOWING",H$12)</f>
        <v>44483</v>
      </c>
      <c r="H1396" s="13">
        <f ca="1">_xll.meDateFromTenor(G1396,H$14,H$11,H$12)</f>
        <v>44515</v>
      </c>
      <c r="I1396" s="98">
        <f ca="1"/>
        <v>3.3968307317511913E-3</v>
      </c>
      <c r="J1396" s="94" t="s">
        <v>4</v>
      </c>
      <c r="K1396" s="100">
        <f ca="1">_xll.meDateFromTenor(K1395,"1D","FOLLOWING",L$12)</f>
        <v>44483</v>
      </c>
      <c r="L1396" s="13">
        <f ca="1">_xll.meDateFromTenor(K1396,L$14,L$11,L$12)</f>
        <v>44575</v>
      </c>
      <c r="M1396" s="98">
        <f ca="1"/>
        <v>4.6381587814515205E-3</v>
      </c>
      <c r="N1396" s="5" t="s">
        <v>4</v>
      </c>
      <c r="O1396" s="100">
        <f ca="1">_xll.meDateFromTenor(O1395,"1D","FOLLOWING",P$12)</f>
        <v>44483</v>
      </c>
      <c r="P1396" s="13">
        <f ca="1">_xll.meDateFromTenor(O1396,P$14,P$11,P$12)</f>
        <v>44665</v>
      </c>
      <c r="Q1396" s="98">
        <f ca="1"/>
        <v>6.3896188961847034E-3</v>
      </c>
      <c r="R1396" s="5" t="s">
        <v>4</v>
      </c>
      <c r="S1396" s="100">
        <f ca="1">_xll.meDateFromTenor(S1395,"1D","FOLLOWING",T$12)</f>
        <v>44483</v>
      </c>
      <c r="T1396" s="13">
        <f ca="1">_xll.meDateFromTenor(S1396,T$14,T$11,T$12)</f>
        <v>44848</v>
      </c>
      <c r="U1396" s="98">
        <f ca="1"/>
        <v>8.3775277453931891E-3</v>
      </c>
      <c r="V1396" s="5" t="s">
        <v>4</v>
      </c>
      <c r="W1396" s="84" t="s">
        <v>4</v>
      </c>
    </row>
    <row r="1397" spans="1:23" x14ac:dyDescent="0.25">
      <c r="A1397" s="90">
        <v>1378</v>
      </c>
      <c r="B1397" s="83"/>
      <c r="C1397" s="100">
        <f ca="1">_xll.meDateFromTenor(C1396,"1D","FOLLOWING",D$12)</f>
        <v>44484</v>
      </c>
      <c r="D1397" s="13">
        <f ca="1">_xll.meDateFromTenor(C1397,D$14,D$11,D$12)</f>
        <v>44487</v>
      </c>
      <c r="E1397" s="98">
        <f ca="1"/>
        <v>2.6824859343931081E-3</v>
      </c>
      <c r="F1397" s="94"/>
      <c r="G1397" s="100">
        <f ca="1">_xll.meDateFromTenor(G1396,"1D","FOLLOWING",H$12)</f>
        <v>44484</v>
      </c>
      <c r="H1397" s="13">
        <f ca="1">_xll.meDateFromTenor(G1397,H$14,H$11,H$12)</f>
        <v>44515</v>
      </c>
      <c r="I1397" s="98">
        <f ca="1"/>
        <v>3.404550620960436E-3</v>
      </c>
      <c r="J1397" s="94" t="s">
        <v>4</v>
      </c>
      <c r="K1397" s="100">
        <f ca="1">_xll.meDateFromTenor(K1396,"1D","FOLLOWING",L$12)</f>
        <v>44484</v>
      </c>
      <c r="L1397" s="13">
        <f ca="1">_xll.meDateFromTenor(K1397,L$14,L$11,L$12)</f>
        <v>44578</v>
      </c>
      <c r="M1397" s="98">
        <f ca="1"/>
        <v>4.6461573400130036E-3</v>
      </c>
      <c r="N1397" s="5" t="s">
        <v>4</v>
      </c>
      <c r="O1397" s="100">
        <f ca="1">_xll.meDateFromTenor(O1396,"1D","FOLLOWING",P$12)</f>
        <v>44484</v>
      </c>
      <c r="P1397" s="13">
        <f ca="1">_xll.meDateFromTenor(O1397,P$14,P$11,P$12)</f>
        <v>44670</v>
      </c>
      <c r="Q1397" s="98">
        <f ca="1"/>
        <v>6.3974401939664296E-3</v>
      </c>
      <c r="R1397" s="5" t="s">
        <v>4</v>
      </c>
      <c r="S1397" s="100">
        <f ca="1">_xll.meDateFromTenor(S1396,"1D","FOLLOWING",T$12)</f>
        <v>44484</v>
      </c>
      <c r="T1397" s="13">
        <f ca="1">_xll.meDateFromTenor(S1397,T$14,T$11,T$12)</f>
        <v>44851</v>
      </c>
      <c r="U1397" s="98">
        <f ca="1"/>
        <v>8.3848034879709307E-3</v>
      </c>
      <c r="V1397" s="5" t="s">
        <v>4</v>
      </c>
      <c r="W1397" s="84" t="s">
        <v>4</v>
      </c>
    </row>
    <row r="1398" spans="1:23" x14ac:dyDescent="0.25">
      <c r="A1398" s="90">
        <v>1379</v>
      </c>
      <c r="B1398" s="83"/>
      <c r="C1398" s="100">
        <f ca="1">_xll.meDateFromTenor(C1397,"1D","FOLLOWING",D$12)</f>
        <v>44487</v>
      </c>
      <c r="D1398" s="13">
        <f ca="1">_xll.meDateFromTenor(C1398,D$14,D$11,D$12)</f>
        <v>44488</v>
      </c>
      <c r="E1398" s="98">
        <f ca="1"/>
        <v>2.700256377377472E-3</v>
      </c>
      <c r="F1398" s="94"/>
      <c r="G1398" s="100">
        <f ca="1">_xll.meDateFromTenor(G1397,"1D","FOLLOWING",H$12)</f>
        <v>44487</v>
      </c>
      <c r="H1398" s="13">
        <f ca="1">_xll.meDateFromTenor(G1398,H$14,H$11,H$12)</f>
        <v>44518</v>
      </c>
      <c r="I1398" s="98">
        <f ca="1"/>
        <v>3.4278426296235256E-3</v>
      </c>
      <c r="J1398" s="94" t="s">
        <v>4</v>
      </c>
      <c r="K1398" s="100">
        <f ca="1">_xll.meDateFromTenor(K1397,"1D","FOLLOWING",L$12)</f>
        <v>44487</v>
      </c>
      <c r="L1398" s="13">
        <f ca="1">_xll.meDateFromTenor(K1398,L$14,L$11,L$12)</f>
        <v>44579</v>
      </c>
      <c r="M1398" s="98">
        <f ca="1"/>
        <v>4.6701754780218152E-3</v>
      </c>
      <c r="N1398" s="5" t="s">
        <v>4</v>
      </c>
      <c r="O1398" s="100">
        <f ca="1">_xll.meDateFromTenor(O1397,"1D","FOLLOWING",P$12)</f>
        <v>44487</v>
      </c>
      <c r="P1398" s="13">
        <f ca="1">_xll.meDateFromTenor(O1398,P$14,P$11,P$12)</f>
        <v>44670</v>
      </c>
      <c r="Q1398" s="98">
        <f ca="1"/>
        <v>6.4209254519972713E-3</v>
      </c>
      <c r="R1398" s="5" t="s">
        <v>4</v>
      </c>
      <c r="S1398" s="100">
        <f ca="1">_xll.meDateFromTenor(S1397,"1D","FOLLOWING",T$12)</f>
        <v>44487</v>
      </c>
      <c r="T1398" s="13">
        <f ca="1">_xll.meDateFromTenor(S1398,T$14,T$11,T$12)</f>
        <v>44852</v>
      </c>
      <c r="U1398" s="98">
        <f ca="1"/>
        <v>8.4066272767614782E-3</v>
      </c>
      <c r="V1398" s="5" t="s">
        <v>4</v>
      </c>
      <c r="W1398" s="84" t="s">
        <v>4</v>
      </c>
    </row>
    <row r="1399" spans="1:23" x14ac:dyDescent="0.25">
      <c r="A1399" s="90">
        <v>1380</v>
      </c>
      <c r="B1399" s="83"/>
      <c r="C1399" s="100">
        <f ca="1">_xll.meDateFromTenor(C1398,"1D","FOLLOWING",D$12)</f>
        <v>44488</v>
      </c>
      <c r="D1399" s="13">
        <f ca="1">_xll.meDateFromTenor(C1399,D$14,D$11,D$12)</f>
        <v>44489</v>
      </c>
      <c r="E1399" s="98">
        <f ca="1"/>
        <v>2.709139706648787E-3</v>
      </c>
      <c r="F1399" s="94"/>
      <c r="G1399" s="100">
        <f ca="1">_xll.meDateFromTenor(G1398,"1D","FOLLOWING",H$12)</f>
        <v>44488</v>
      </c>
      <c r="H1399" s="13">
        <f ca="1">_xll.meDateFromTenor(G1399,H$14,H$11,H$12)</f>
        <v>44519</v>
      </c>
      <c r="I1399" s="98">
        <f ca="1"/>
        <v>3.4356474350501552E-3</v>
      </c>
      <c r="J1399" s="94" t="s">
        <v>4</v>
      </c>
      <c r="K1399" s="100">
        <f ca="1">_xll.meDateFromTenor(K1398,"1D","FOLLOWING",L$12)</f>
        <v>44488</v>
      </c>
      <c r="L1399" s="13">
        <f ca="1">_xll.meDateFromTenor(K1399,L$14,L$11,L$12)</f>
        <v>44580</v>
      </c>
      <c r="M1399" s="98">
        <f ca="1"/>
        <v>4.6781891555540706E-3</v>
      </c>
      <c r="N1399" s="5" t="s">
        <v>4</v>
      </c>
      <c r="O1399" s="100">
        <f ca="1">_xll.meDateFromTenor(O1398,"1D","FOLLOWING",P$12)</f>
        <v>44488</v>
      </c>
      <c r="P1399" s="13">
        <f ca="1">_xll.meDateFromTenor(O1399,P$14,P$11,P$12)</f>
        <v>44670</v>
      </c>
      <c r="Q1399" s="98">
        <f ca="1"/>
        <v>6.4287610191190395E-3</v>
      </c>
      <c r="R1399" s="5" t="s">
        <v>4</v>
      </c>
      <c r="S1399" s="100">
        <f ca="1">_xll.meDateFromTenor(S1398,"1D","FOLLOWING",T$12)</f>
        <v>44488</v>
      </c>
      <c r="T1399" s="13">
        <f ca="1">_xll.meDateFromTenor(S1399,T$14,T$11,T$12)</f>
        <v>44853</v>
      </c>
      <c r="U1399" s="98">
        <f ca="1"/>
        <v>8.413900717601161E-3</v>
      </c>
      <c r="V1399" s="5" t="s">
        <v>4</v>
      </c>
      <c r="W1399" s="84" t="s">
        <v>4</v>
      </c>
    </row>
    <row r="1400" spans="1:23" x14ac:dyDescent="0.25">
      <c r="A1400" s="90">
        <v>1381</v>
      </c>
      <c r="B1400" s="83"/>
      <c r="C1400" s="100">
        <f ca="1">_xll.meDateFromTenor(C1399,"1D","FOLLOWING",D$12)</f>
        <v>44489</v>
      </c>
      <c r="D1400" s="13">
        <f ca="1">_xll.meDateFromTenor(C1400,D$14,D$11,D$12)</f>
        <v>44490</v>
      </c>
      <c r="E1400" s="98">
        <f ca="1"/>
        <v>2.7180159045863128E-3</v>
      </c>
      <c r="F1400" s="94"/>
      <c r="G1400" s="100">
        <f ca="1">_xll.meDateFromTenor(G1399,"1D","FOLLOWING",H$12)</f>
        <v>44489</v>
      </c>
      <c r="H1400" s="13">
        <f ca="1">_xll.meDateFromTenor(G1400,H$14,H$11,H$12)</f>
        <v>44522</v>
      </c>
      <c r="I1400" s="98">
        <f ca="1"/>
        <v>3.443470986176493E-3</v>
      </c>
      <c r="J1400" s="94" t="s">
        <v>4</v>
      </c>
      <c r="K1400" s="100">
        <f ca="1">_xll.meDateFromTenor(K1399,"1D","FOLLOWING",L$12)</f>
        <v>44489</v>
      </c>
      <c r="L1400" s="13">
        <f ca="1">_xll.meDateFromTenor(K1400,L$14,L$11,L$12)</f>
        <v>44581</v>
      </c>
      <c r="M1400" s="98">
        <f ca="1"/>
        <v>4.6862067208949159E-3</v>
      </c>
      <c r="N1400" s="5" t="s">
        <v>4</v>
      </c>
      <c r="O1400" s="100">
        <f ca="1">_xll.meDateFromTenor(O1399,"1D","FOLLOWING",P$12)</f>
        <v>44489</v>
      </c>
      <c r="P1400" s="13">
        <f ca="1">_xll.meDateFromTenor(O1400,P$14,P$11,P$12)</f>
        <v>44671</v>
      </c>
      <c r="Q1400" s="98">
        <f ca="1"/>
        <v>6.4366001732380183E-3</v>
      </c>
      <c r="R1400" s="5" t="s">
        <v>4</v>
      </c>
      <c r="S1400" s="100">
        <f ca="1">_xll.meDateFromTenor(S1399,"1D","FOLLOWING",T$12)</f>
        <v>44489</v>
      </c>
      <c r="T1400" s="13">
        <f ca="1">_xll.meDateFromTenor(S1400,T$14,T$11,T$12)</f>
        <v>44854</v>
      </c>
      <c r="U1400" s="98">
        <f ca="1"/>
        <v>8.4211735761741211E-3</v>
      </c>
      <c r="V1400" s="5" t="s">
        <v>4</v>
      </c>
      <c r="W1400" s="84" t="s">
        <v>4</v>
      </c>
    </row>
    <row r="1401" spans="1:23" x14ac:dyDescent="0.25">
      <c r="A1401" s="90">
        <v>1382</v>
      </c>
      <c r="B1401" s="83"/>
      <c r="C1401" s="100">
        <f ca="1">_xll.meDateFromTenor(C1400,"1D","FOLLOWING",D$12)</f>
        <v>44490</v>
      </c>
      <c r="D1401" s="13">
        <f ca="1">_xll.meDateFromTenor(C1401,D$14,D$11,D$12)</f>
        <v>44491</v>
      </c>
      <c r="E1401" s="98">
        <f ca="1"/>
        <v>2.726884972065875E-3</v>
      </c>
      <c r="F1401" s="94"/>
      <c r="G1401" s="100">
        <f ca="1">_xll.meDateFromTenor(G1400,"1D","FOLLOWING",H$12)</f>
        <v>44490</v>
      </c>
      <c r="H1401" s="13">
        <f ca="1">_xll.meDateFromTenor(G1401,H$14,H$11,H$12)</f>
        <v>44522</v>
      </c>
      <c r="I1401" s="98">
        <f ca="1"/>
        <v>3.4513122896606815E-3</v>
      </c>
      <c r="J1401" s="94" t="s">
        <v>4</v>
      </c>
      <c r="K1401" s="100">
        <f ca="1">_xll.meDateFromTenor(K1400,"1D","FOLLOWING",L$12)</f>
        <v>44490</v>
      </c>
      <c r="L1401" s="13">
        <f ca="1">_xll.meDateFromTenor(K1401,L$14,L$11,L$12)</f>
        <v>44582</v>
      </c>
      <c r="M1401" s="98">
        <f ca="1"/>
        <v>4.6942282172707074E-3</v>
      </c>
      <c r="N1401" s="5" t="s">
        <v>4</v>
      </c>
      <c r="O1401" s="100">
        <f ca="1">_xll.meDateFromTenor(O1400,"1D","FOLLOWING",P$12)</f>
        <v>44490</v>
      </c>
      <c r="P1401" s="13">
        <f ca="1">_xll.meDateFromTenor(O1401,P$14,P$11,P$12)</f>
        <v>44672</v>
      </c>
      <c r="Q1401" s="98">
        <f ca="1"/>
        <v>6.4444429222190831E-3</v>
      </c>
      <c r="R1401" s="5" t="s">
        <v>4</v>
      </c>
      <c r="S1401" s="100">
        <f ca="1">_xll.meDateFromTenor(S1400,"1D","FOLLOWING",T$12)</f>
        <v>44490</v>
      </c>
      <c r="T1401" s="13">
        <f ca="1">_xll.meDateFromTenor(S1401,T$14,T$11,T$12)</f>
        <v>44855</v>
      </c>
      <c r="U1401" s="98">
        <f ca="1"/>
        <v>8.4284458497474769E-3</v>
      </c>
      <c r="V1401" s="5" t="s">
        <v>4</v>
      </c>
      <c r="W1401" s="84" t="s">
        <v>4</v>
      </c>
    </row>
    <row r="1402" spans="1:23" x14ac:dyDescent="0.25">
      <c r="A1402" s="90">
        <v>1383</v>
      </c>
      <c r="B1402" s="83"/>
      <c r="C1402" s="100">
        <f ca="1">_xll.meDateFromTenor(C1401,"1D","FOLLOWING",D$12)</f>
        <v>44491</v>
      </c>
      <c r="D1402" s="13">
        <f ca="1">_xll.meDateFromTenor(C1402,D$14,D$11,D$12)</f>
        <v>44494</v>
      </c>
      <c r="E1402" s="98">
        <f ca="1"/>
        <v>2.7446202647942071E-3</v>
      </c>
      <c r="F1402" s="94"/>
      <c r="G1402" s="100">
        <f ca="1">_xll.meDateFromTenor(G1401,"1D","FOLLOWING",H$12)</f>
        <v>44491</v>
      </c>
      <c r="H1402" s="13">
        <f ca="1">_xll.meDateFromTenor(G1402,H$14,H$11,H$12)</f>
        <v>44522</v>
      </c>
      <c r="I1402" s="98">
        <f ca="1"/>
        <v>3.4591703521608726E-3</v>
      </c>
      <c r="J1402" s="94" t="s">
        <v>4</v>
      </c>
      <c r="K1402" s="100">
        <f ca="1">_xll.meDateFromTenor(K1401,"1D","FOLLOWING",L$12)</f>
        <v>44491</v>
      </c>
      <c r="L1402" s="13">
        <f ca="1">_xll.meDateFromTenor(K1402,L$14,L$11,L$12)</f>
        <v>44585</v>
      </c>
      <c r="M1402" s="98">
        <f ca="1"/>
        <v>4.7022536879078149E-3</v>
      </c>
      <c r="N1402" s="5" t="s">
        <v>4</v>
      </c>
      <c r="O1402" s="100">
        <f ca="1">_xll.meDateFromTenor(O1401,"1D","FOLLOWING",P$12)</f>
        <v>44491</v>
      </c>
      <c r="P1402" s="13">
        <f ca="1">_xll.meDateFromTenor(O1402,P$14,P$11,P$12)</f>
        <v>44673</v>
      </c>
      <c r="Q1402" s="98">
        <f ca="1"/>
        <v>6.4522892739271248E-3</v>
      </c>
      <c r="R1402" s="5" t="s">
        <v>4</v>
      </c>
      <c r="S1402" s="100">
        <f ca="1">_xll.meDateFromTenor(S1401,"1D","FOLLOWING",T$12)</f>
        <v>44491</v>
      </c>
      <c r="T1402" s="13">
        <f ca="1">_xll.meDateFromTenor(S1402,T$14,T$11,T$12)</f>
        <v>44858</v>
      </c>
      <c r="U1402" s="98">
        <f ca="1"/>
        <v>8.435717535588352E-3</v>
      </c>
      <c r="V1402" s="5" t="s">
        <v>4</v>
      </c>
      <c r="W1402" s="84" t="s">
        <v>4</v>
      </c>
    </row>
    <row r="1403" spans="1:23" x14ac:dyDescent="0.25">
      <c r="A1403" s="90">
        <v>1384</v>
      </c>
      <c r="B1403" s="83"/>
      <c r="C1403" s="100">
        <f ca="1">_xll.meDateFromTenor(C1402,"1D","FOLLOWING",D$12)</f>
        <v>44494</v>
      </c>
      <c r="D1403" s="13">
        <f ca="1">_xll.meDateFromTenor(C1403,D$14,D$11,D$12)</f>
        <v>44495</v>
      </c>
      <c r="E1403" s="98">
        <f ca="1"/>
        <v>2.7622899441399739E-3</v>
      </c>
      <c r="F1403" s="94"/>
      <c r="G1403" s="100">
        <f ca="1">_xll.meDateFromTenor(G1402,"1D","FOLLOWING",H$12)</f>
        <v>44494</v>
      </c>
      <c r="H1403" s="13">
        <f ca="1">_xll.meDateFromTenor(G1403,H$14,H$11,H$12)</f>
        <v>44525</v>
      </c>
      <c r="I1403" s="98">
        <f ca="1"/>
        <v>3.4828351603388677E-3</v>
      </c>
      <c r="J1403" s="94" t="s">
        <v>4</v>
      </c>
      <c r="K1403" s="100">
        <f ca="1">_xll.meDateFromTenor(K1402,"1D","FOLLOWING",L$12)</f>
        <v>44494</v>
      </c>
      <c r="L1403" s="13">
        <f ca="1">_xll.meDateFromTenor(K1403,L$14,L$11,L$12)</f>
        <v>44586</v>
      </c>
      <c r="M1403" s="98">
        <f ca="1"/>
        <v>4.7263543776505631E-3</v>
      </c>
      <c r="N1403" s="5" t="s">
        <v>4</v>
      </c>
      <c r="O1403" s="100">
        <f ca="1">_xll.meDateFromTenor(O1402,"1D","FOLLOWING",P$12)</f>
        <v>44494</v>
      </c>
      <c r="P1403" s="13">
        <f ca="1">_xll.meDateFromTenor(O1403,P$14,P$11,P$12)</f>
        <v>44676</v>
      </c>
      <c r="Q1403" s="98">
        <f ca="1"/>
        <v>6.4758500240618532E-3</v>
      </c>
      <c r="R1403" s="5" t="s">
        <v>4</v>
      </c>
      <c r="S1403" s="100">
        <f ca="1">_xll.meDateFromTenor(S1402,"1D","FOLLOWING",T$12)</f>
        <v>44494</v>
      </c>
      <c r="T1403" s="13">
        <f ca="1">_xll.meDateFromTenor(S1403,T$14,T$11,T$12)</f>
        <v>44859</v>
      </c>
      <c r="U1403" s="98">
        <f ca="1"/>
        <v>8.4575290393872349E-3</v>
      </c>
      <c r="V1403" s="5" t="s">
        <v>4</v>
      </c>
      <c r="W1403" s="84" t="s">
        <v>4</v>
      </c>
    </row>
    <row r="1404" spans="1:23" x14ac:dyDescent="0.25">
      <c r="A1404" s="90">
        <v>1385</v>
      </c>
      <c r="B1404" s="83"/>
      <c r="C1404" s="100">
        <f ca="1">_xll.meDateFromTenor(C1403,"1D","FOLLOWING",D$12)</f>
        <v>44495</v>
      </c>
      <c r="D1404" s="13">
        <f ca="1">_xll.meDateFromTenor(C1404,D$14,D$11,D$12)</f>
        <v>44496</v>
      </c>
      <c r="E1404" s="98">
        <f ca="1"/>
        <v>2.7711233648557518E-3</v>
      </c>
      <c r="F1404" s="94"/>
      <c r="G1404" s="100">
        <f ca="1">_xll.meDateFromTenor(G1403,"1D","FOLLOWING",H$12)</f>
        <v>44495</v>
      </c>
      <c r="H1404" s="13">
        <f ca="1">_xll.meDateFromTenor(G1404,H$14,H$11,H$12)</f>
        <v>44526</v>
      </c>
      <c r="I1404" s="98">
        <f ca="1"/>
        <v>3.4907503254844939E-3</v>
      </c>
      <c r="J1404" s="94" t="s">
        <v>4</v>
      </c>
      <c r="K1404" s="100">
        <f ca="1">_xll.meDateFromTenor(K1403,"1D","FOLLOWING",L$12)</f>
        <v>44495</v>
      </c>
      <c r="L1404" s="13">
        <f ca="1">_xll.meDateFromTenor(K1404,L$14,L$11,L$12)</f>
        <v>44587</v>
      </c>
      <c r="M1404" s="98">
        <f ca="1"/>
        <v>4.7343961775964888E-3</v>
      </c>
      <c r="N1404" s="5" t="s">
        <v>4</v>
      </c>
      <c r="O1404" s="100">
        <f ca="1">_xll.meDateFromTenor(O1403,"1D","FOLLOWING",P$12)</f>
        <v>44495</v>
      </c>
      <c r="P1404" s="13">
        <f ca="1">_xll.meDateFromTenor(O1404,P$14,P$11,P$12)</f>
        <v>44677</v>
      </c>
      <c r="Q1404" s="98">
        <f ca="1"/>
        <v>6.4837108653265684E-3</v>
      </c>
      <c r="R1404" s="5" t="s">
        <v>4</v>
      </c>
      <c r="S1404" s="100">
        <f ca="1">_xll.meDateFromTenor(S1403,"1D","FOLLOWING",T$12)</f>
        <v>44495</v>
      </c>
      <c r="T1404" s="13">
        <f ca="1">_xll.meDateFromTenor(S1404,T$14,T$11,T$12)</f>
        <v>44860</v>
      </c>
      <c r="U1404" s="98">
        <f ca="1"/>
        <v>8.464798346969343E-3</v>
      </c>
      <c r="V1404" s="5" t="s">
        <v>4</v>
      </c>
      <c r="W1404" s="84" t="s">
        <v>4</v>
      </c>
    </row>
    <row r="1405" spans="1:23" x14ac:dyDescent="0.25">
      <c r="A1405" s="90">
        <v>1386</v>
      </c>
      <c r="B1405" s="83"/>
      <c r="C1405" s="100">
        <f ca="1">_xll.meDateFromTenor(C1404,"1D","FOLLOWING",D$12)</f>
        <v>44496</v>
      </c>
      <c r="D1405" s="13">
        <f ca="1">_xll.meDateFromTenor(C1405,D$14,D$11,D$12)</f>
        <v>44497</v>
      </c>
      <c r="E1405" s="98">
        <f ca="1"/>
        <v>2.779949657511614E-3</v>
      </c>
      <c r="F1405" s="94"/>
      <c r="G1405" s="100">
        <f ca="1">_xll.meDateFromTenor(G1404,"1D","FOLLOWING",H$12)</f>
        <v>44496</v>
      </c>
      <c r="H1405" s="13">
        <f ca="1">_xll.meDateFromTenor(G1405,H$14,H$11,H$12)</f>
        <v>44529</v>
      </c>
      <c r="I1405" s="98">
        <f ca="1"/>
        <v>3.498677282936841E-3</v>
      </c>
      <c r="J1405" s="94" t="s">
        <v>4</v>
      </c>
      <c r="K1405" s="100">
        <f ca="1">_xll.meDateFromTenor(K1404,"1D","FOLLOWING",L$12)</f>
        <v>44496</v>
      </c>
      <c r="L1405" s="13">
        <f ca="1">_xll.meDateFromTenor(K1405,L$14,L$11,L$12)</f>
        <v>44588</v>
      </c>
      <c r="M1405" s="98">
        <f ca="1"/>
        <v>4.7424421679355183E-3</v>
      </c>
      <c r="N1405" s="5" t="s">
        <v>4</v>
      </c>
      <c r="O1405" s="100">
        <f ca="1">_xll.meDateFromTenor(O1404,"1D","FOLLOWING",P$12)</f>
        <v>44496</v>
      </c>
      <c r="P1405" s="13">
        <f ca="1">_xll.meDateFromTenor(O1405,P$14,P$11,P$12)</f>
        <v>44678</v>
      </c>
      <c r="Q1405" s="98">
        <f ca="1"/>
        <v>6.4915753486426524E-3</v>
      </c>
      <c r="R1405" s="5" t="s">
        <v>4</v>
      </c>
      <c r="S1405" s="100">
        <f ca="1">_xll.meDateFromTenor(S1404,"1D","FOLLOWING",T$12)</f>
        <v>44496</v>
      </c>
      <c r="T1405" s="13">
        <f ca="1">_xll.meDateFromTenor(S1405,T$14,T$11,T$12)</f>
        <v>44861</v>
      </c>
      <c r="U1405" s="98">
        <f ca="1"/>
        <v>8.4720670531545535E-3</v>
      </c>
      <c r="V1405" s="5" t="s">
        <v>4</v>
      </c>
      <c r="W1405" s="84" t="s">
        <v>4</v>
      </c>
    </row>
    <row r="1406" spans="1:23" x14ac:dyDescent="0.25">
      <c r="A1406" s="90">
        <v>1387</v>
      </c>
      <c r="B1406" s="83"/>
      <c r="C1406" s="100">
        <f ca="1">_xll.meDateFromTenor(C1405,"1D","FOLLOWING",D$12)</f>
        <v>44497</v>
      </c>
      <c r="D1406" s="13">
        <f ca="1">_xll.meDateFromTenor(C1406,D$14,D$11,D$12)</f>
        <v>44498</v>
      </c>
      <c r="E1406" s="98">
        <f ca="1"/>
        <v>2.7887688225107904E-3</v>
      </c>
      <c r="F1406" s="94"/>
      <c r="G1406" s="100">
        <f ca="1">_xll.meDateFromTenor(G1405,"1D","FOLLOWING",H$12)</f>
        <v>44497</v>
      </c>
      <c r="H1406" s="13">
        <f ca="1">_xll.meDateFromTenor(G1406,H$14,H$11,H$12)</f>
        <v>44529</v>
      </c>
      <c r="I1406" s="98">
        <f ca="1"/>
        <v>3.5066150393540533E-3</v>
      </c>
      <c r="J1406" s="94" t="s">
        <v>4</v>
      </c>
      <c r="K1406" s="100">
        <f ca="1">_xll.meDateFromTenor(K1405,"1D","FOLLOWING",L$12)</f>
        <v>44497</v>
      </c>
      <c r="L1406" s="13">
        <f ca="1">_xll.meDateFromTenor(K1406,L$14,L$11,L$12)</f>
        <v>44589</v>
      </c>
      <c r="M1406" s="98">
        <f ca="1"/>
        <v>4.7504923918940097E-3</v>
      </c>
      <c r="N1406" s="5" t="s">
        <v>4</v>
      </c>
      <c r="O1406" s="100">
        <f ca="1">_xll.meDateFromTenor(O1405,"1D","FOLLOWING",P$12)</f>
        <v>44497</v>
      </c>
      <c r="P1406" s="13">
        <f ca="1">_xll.meDateFromTenor(O1406,P$14,P$11,P$12)</f>
        <v>44679</v>
      </c>
      <c r="Q1406" s="98">
        <f ca="1"/>
        <v>6.4994434818749867E-3</v>
      </c>
      <c r="R1406" s="5" t="s">
        <v>4</v>
      </c>
      <c r="S1406" s="100">
        <f ca="1">_xll.meDateFromTenor(S1405,"1D","FOLLOWING",T$12)</f>
        <v>44497</v>
      </c>
      <c r="T1406" s="13">
        <f ca="1">_xll.meDateFromTenor(S1406,T$14,T$11,T$12)</f>
        <v>44862</v>
      </c>
      <c r="U1406" s="98">
        <f ca="1"/>
        <v>8.4793351552099848E-3</v>
      </c>
      <c r="V1406" s="5" t="s">
        <v>4</v>
      </c>
      <c r="W1406" s="84" t="s">
        <v>4</v>
      </c>
    </row>
    <row r="1407" spans="1:23" x14ac:dyDescent="0.25">
      <c r="A1407" s="90">
        <v>1388</v>
      </c>
      <c r="B1407" s="83"/>
      <c r="C1407" s="100">
        <f ca="1">_xll.meDateFromTenor(C1406,"1D","FOLLOWING",D$12)</f>
        <v>44498</v>
      </c>
      <c r="D1407" s="13">
        <f ca="1">_xll.meDateFromTenor(C1407,D$14,D$11,D$12)</f>
        <v>44501</v>
      </c>
      <c r="E1407" s="98">
        <f ca="1"/>
        <v>2.8064052731567582E-3</v>
      </c>
      <c r="F1407" s="94"/>
      <c r="G1407" s="100">
        <f ca="1">_xll.meDateFromTenor(G1406,"1D","FOLLOWING",H$12)</f>
        <v>44498</v>
      </c>
      <c r="H1407" s="13">
        <f ca="1">_xll.meDateFromTenor(G1407,H$14,H$11,H$12)</f>
        <v>44529</v>
      </c>
      <c r="I1407" s="98">
        <f ca="1"/>
        <v>3.5145626013942774E-3</v>
      </c>
      <c r="J1407" s="94" t="s">
        <v>4</v>
      </c>
      <c r="K1407" s="100">
        <f ca="1">_xll.meDateFromTenor(K1406,"1D","FOLLOWING",L$12)</f>
        <v>44498</v>
      </c>
      <c r="L1407" s="13">
        <f ca="1">_xll.meDateFromTenor(K1407,L$14,L$11,L$12)</f>
        <v>44592</v>
      </c>
      <c r="M1407" s="98">
        <f ca="1"/>
        <v>4.7585468926983222E-3</v>
      </c>
      <c r="N1407" s="5" t="s">
        <v>4</v>
      </c>
      <c r="O1407" s="100">
        <f ca="1">_xll.meDateFromTenor(O1406,"1D","FOLLOWING",P$12)</f>
        <v>44498</v>
      </c>
      <c r="P1407" s="13">
        <f ca="1">_xll.meDateFromTenor(O1407,P$14,P$11,P$12)</f>
        <v>44680</v>
      </c>
      <c r="Q1407" s="98">
        <f ca="1"/>
        <v>6.5073152728884476E-3</v>
      </c>
      <c r="R1407" s="5" t="s">
        <v>4</v>
      </c>
      <c r="S1407" s="100">
        <f ca="1">_xll.meDateFromTenor(S1406,"1D","FOLLOWING",T$12)</f>
        <v>44498</v>
      </c>
      <c r="T1407" s="13">
        <f ca="1">_xll.meDateFromTenor(S1407,T$14,T$11,T$12)</f>
        <v>44865</v>
      </c>
      <c r="U1407" s="98">
        <f ca="1"/>
        <v>8.486602650402757E-3</v>
      </c>
      <c r="V1407" s="5" t="s">
        <v>4</v>
      </c>
      <c r="W1407" s="84" t="s">
        <v>4</v>
      </c>
    </row>
    <row r="1408" spans="1:23" x14ac:dyDescent="0.25">
      <c r="A1408" s="90">
        <v>1389</v>
      </c>
      <c r="B1408" s="83"/>
      <c r="C1408" s="100">
        <f ca="1">_xll.meDateFromTenor(C1407,"1D","FOLLOWING",D$12)</f>
        <v>44501</v>
      </c>
      <c r="D1408" s="13">
        <f ca="1">_xll.meDateFromTenor(C1408,D$14,D$11,D$12)</f>
        <v>44502</v>
      </c>
      <c r="E1408" s="98">
        <f ca="1"/>
        <v>2.8239742149511774E-3</v>
      </c>
      <c r="F1408" s="94"/>
      <c r="G1408" s="100">
        <f ca="1">_xll.meDateFromTenor(G1407,"1D","FOLLOWING",H$12)</f>
        <v>44501</v>
      </c>
      <c r="H1408" s="13">
        <f ca="1">_xll.meDateFromTenor(G1408,H$14,H$11,H$12)</f>
        <v>44531</v>
      </c>
      <c r="I1408" s="98">
        <f ca="1"/>
        <v>3.5384541878344567E-3</v>
      </c>
      <c r="J1408" s="94" t="s">
        <v>4</v>
      </c>
      <c r="K1408" s="100">
        <f ca="1">_xll.meDateFromTenor(K1407,"1D","FOLLOWING",L$12)</f>
        <v>44501</v>
      </c>
      <c r="L1408" s="13">
        <f ca="1">_xll.meDateFromTenor(K1408,L$14,L$11,L$12)</f>
        <v>44593</v>
      </c>
      <c r="M1408" s="98">
        <f ca="1"/>
        <v>4.7827364884497712E-3</v>
      </c>
      <c r="N1408" s="5" t="s">
        <v>4</v>
      </c>
      <c r="O1408" s="100">
        <f ca="1">_xll.meDateFromTenor(O1407,"1D","FOLLOWING",P$12)</f>
        <v>44501</v>
      </c>
      <c r="P1408" s="13">
        <f ca="1">_xll.meDateFromTenor(O1408,P$14,P$11,P$12)</f>
        <v>44683</v>
      </c>
      <c r="Q1408" s="98">
        <f ca="1"/>
        <v>6.5309526712643996E-3</v>
      </c>
      <c r="R1408" s="5" t="s">
        <v>4</v>
      </c>
      <c r="S1408" s="100">
        <f ca="1">_xll.meDateFromTenor(S1407,"1D","FOLLOWING",T$12)</f>
        <v>44501</v>
      </c>
      <c r="T1408" s="13">
        <f ca="1">_xll.meDateFromTenor(S1408,T$14,T$11,T$12)</f>
        <v>44866</v>
      </c>
      <c r="U1408" s="98">
        <f ca="1"/>
        <v>8.5084014674762735E-3</v>
      </c>
      <c r="V1408" s="5" t="s">
        <v>4</v>
      </c>
      <c r="W1408" s="84" t="s">
        <v>4</v>
      </c>
    </row>
    <row r="1409" spans="1:23" x14ac:dyDescent="0.25">
      <c r="A1409" s="90">
        <v>1390</v>
      </c>
      <c r="B1409" s="83"/>
      <c r="C1409" s="100">
        <f ca="1">_xll.meDateFromTenor(C1408,"1D","FOLLOWING",D$12)</f>
        <v>44502</v>
      </c>
      <c r="D1409" s="13">
        <f ca="1">_xll.meDateFromTenor(C1409,D$14,D$11,D$12)</f>
        <v>44503</v>
      </c>
      <c r="E1409" s="98">
        <f ca="1"/>
        <v>2.8327577481328712E-3</v>
      </c>
      <c r="F1409" s="94"/>
      <c r="G1409" s="100">
        <f ca="1">_xll.meDateFromTenor(G1408,"1D","FOLLOWING",H$12)</f>
        <v>44502</v>
      </c>
      <c r="H1409" s="13">
        <f ca="1">_xll.meDateFromTenor(G1409,H$14,H$11,H$12)</f>
        <v>44532</v>
      </c>
      <c r="I1409" s="98">
        <f ca="1"/>
        <v>3.5464310389481703E-3</v>
      </c>
      <c r="J1409" s="94" t="s">
        <v>4</v>
      </c>
      <c r="K1409" s="100">
        <f ca="1">_xll.meDateFromTenor(K1408,"1D","FOLLOWING",L$12)</f>
        <v>44502</v>
      </c>
      <c r="L1409" s="13">
        <f ca="1">_xll.meDateFromTenor(K1409,L$14,L$11,L$12)</f>
        <v>44594</v>
      </c>
      <c r="M1409" s="98">
        <f ca="1"/>
        <v>4.7908085289009566E-3</v>
      </c>
      <c r="N1409" s="5" t="s">
        <v>4</v>
      </c>
      <c r="O1409" s="100">
        <f ca="1">_xll.meDateFromTenor(O1408,"1D","FOLLOWING",P$12)</f>
        <v>44502</v>
      </c>
      <c r="P1409" s="13">
        <f ca="1">_xll.meDateFromTenor(O1409,P$14,P$11,P$12)</f>
        <v>44683</v>
      </c>
      <c r="Q1409" s="98">
        <f ca="1"/>
        <v>6.5388391720511739E-3</v>
      </c>
      <c r="R1409" s="5" t="s">
        <v>4</v>
      </c>
      <c r="S1409" s="100">
        <f ca="1">_xll.meDateFromTenor(S1408,"1D","FOLLOWING",T$12)</f>
        <v>44502</v>
      </c>
      <c r="T1409" s="13">
        <f ca="1">_xll.meDateFromTenor(S1409,T$14,T$11,T$12)</f>
        <v>44867</v>
      </c>
      <c r="U1409" s="98">
        <f ca="1"/>
        <v>8.515666507889574E-3</v>
      </c>
      <c r="V1409" s="5" t="s">
        <v>4</v>
      </c>
      <c r="W1409" s="84" t="s">
        <v>4</v>
      </c>
    </row>
    <row r="1410" spans="1:23" x14ac:dyDescent="0.25">
      <c r="A1410" s="90">
        <v>1391</v>
      </c>
      <c r="B1410" s="83"/>
      <c r="C1410" s="100">
        <f ca="1">_xll.meDateFromTenor(C1409,"1D","FOLLOWING",D$12)</f>
        <v>44503</v>
      </c>
      <c r="D1410" s="13">
        <f ca="1">_xll.meDateFromTenor(C1410,D$14,D$11,D$12)</f>
        <v>44504</v>
      </c>
      <c r="E1410" s="98">
        <f ca="1"/>
        <v>2.8415341562122443E-3</v>
      </c>
      <c r="F1410" s="94"/>
      <c r="G1410" s="100">
        <f ca="1">_xll.meDateFromTenor(G1409,"1D","FOLLOWING",H$12)</f>
        <v>44503</v>
      </c>
      <c r="H1410" s="13">
        <f ca="1">_xll.meDateFromTenor(G1410,H$14,H$11,H$12)</f>
        <v>44533</v>
      </c>
      <c r="I1410" s="98">
        <f ca="1"/>
        <v>3.5544127547133676E-3</v>
      </c>
      <c r="J1410" s="94" t="s">
        <v>4</v>
      </c>
      <c r="K1410" s="100">
        <f ca="1">_xll.meDateFromTenor(K1409,"1D","FOLLOWING",L$12)</f>
        <v>44503</v>
      </c>
      <c r="L1410" s="13">
        <f ca="1">_xll.meDateFromTenor(K1410,L$14,L$11,L$12)</f>
        <v>44595</v>
      </c>
      <c r="M1410" s="98">
        <f ca="1"/>
        <v>4.7988850623297569E-3</v>
      </c>
      <c r="N1410" s="5" t="s">
        <v>4</v>
      </c>
      <c r="O1410" s="100">
        <f ca="1">_xll.meDateFromTenor(O1409,"1D","FOLLOWING",P$12)</f>
        <v>44503</v>
      </c>
      <c r="P1410" s="13">
        <f ca="1">_xll.meDateFromTenor(O1410,P$14,P$11,P$12)</f>
        <v>44684</v>
      </c>
      <c r="Q1410" s="98">
        <f ca="1"/>
        <v>6.5467293699434754E-3</v>
      </c>
      <c r="R1410" s="5" t="s">
        <v>4</v>
      </c>
      <c r="S1410" s="100">
        <f ca="1">_xll.meDateFromTenor(S1409,"1D","FOLLOWING",T$12)</f>
        <v>44503</v>
      </c>
      <c r="T1410" s="13">
        <f ca="1">_xll.meDateFromTenor(S1410,T$14,T$11,T$12)</f>
        <v>44868</v>
      </c>
      <c r="U1410" s="98">
        <f ca="1"/>
        <v>8.5229309277758004E-3</v>
      </c>
      <c r="V1410" s="5" t="s">
        <v>4</v>
      </c>
      <c r="W1410" s="84" t="s">
        <v>4</v>
      </c>
    </row>
    <row r="1411" spans="1:23" x14ac:dyDescent="0.25">
      <c r="A1411" s="90">
        <v>1392</v>
      </c>
      <c r="B1411" s="83"/>
      <c r="C1411" s="100">
        <f ca="1">_xll.meDateFromTenor(C1410,"1D","FOLLOWING",D$12)</f>
        <v>44504</v>
      </c>
      <c r="D1411" s="13">
        <f ca="1">_xll.meDateFromTenor(C1411,D$14,D$11,D$12)</f>
        <v>44505</v>
      </c>
      <c r="E1411" s="98">
        <f ca="1"/>
        <v>2.8503034396725408E-3</v>
      </c>
      <c r="F1411" s="94"/>
      <c r="G1411" s="100">
        <f ca="1">_xll.meDateFromTenor(G1410,"1D","FOLLOWING",H$12)</f>
        <v>44504</v>
      </c>
      <c r="H1411" s="13">
        <f ca="1">_xll.meDateFromTenor(G1411,H$14,H$11,H$12)</f>
        <v>44536</v>
      </c>
      <c r="I1411" s="98">
        <f ca="1"/>
        <v>3.5623984704769417E-3</v>
      </c>
      <c r="J1411" s="94" t="s">
        <v>4</v>
      </c>
      <c r="K1411" s="100">
        <f ca="1">_xll.meDateFromTenor(K1410,"1D","FOLLOWING",L$12)</f>
        <v>44504</v>
      </c>
      <c r="L1411" s="13">
        <f ca="1">_xll.meDateFromTenor(K1411,L$14,L$11,L$12)</f>
        <v>44596</v>
      </c>
      <c r="M1411" s="98">
        <f ca="1"/>
        <v>4.8069661319625331E-3</v>
      </c>
      <c r="N1411" s="5" t="s">
        <v>4</v>
      </c>
      <c r="O1411" s="100">
        <f ca="1">_xll.meDateFromTenor(O1410,"1D","FOLLOWING",P$12)</f>
        <v>44504</v>
      </c>
      <c r="P1411" s="13">
        <f ca="1">_xll.meDateFromTenor(O1411,P$14,P$11,P$12)</f>
        <v>44685</v>
      </c>
      <c r="Q1411" s="98">
        <f ca="1"/>
        <v>6.5546232728061846E-3</v>
      </c>
      <c r="R1411" s="5" t="s">
        <v>4</v>
      </c>
      <c r="S1411" s="100">
        <f ca="1">_xll.meDateFromTenor(S1410,"1D","FOLLOWING",T$12)</f>
        <v>44504</v>
      </c>
      <c r="T1411" s="13">
        <f ca="1">_xll.meDateFromTenor(S1411,T$14,T$11,T$12)</f>
        <v>44869</v>
      </c>
      <c r="U1411" s="98">
        <f ca="1"/>
        <v>8.5301947244020744E-3</v>
      </c>
      <c r="V1411" s="5" t="s">
        <v>4</v>
      </c>
      <c r="W1411" s="84" t="s">
        <v>4</v>
      </c>
    </row>
    <row r="1412" spans="1:23" x14ac:dyDescent="0.25">
      <c r="A1412" s="90">
        <v>1393</v>
      </c>
      <c r="B1412" s="83"/>
      <c r="C1412" s="100">
        <f ca="1">_xll.meDateFromTenor(C1411,"1D","FOLLOWING",D$12)</f>
        <v>44505</v>
      </c>
      <c r="D1412" s="13">
        <f ca="1">_xll.meDateFromTenor(C1412,D$14,D$11,D$12)</f>
        <v>44508</v>
      </c>
      <c r="E1412" s="98">
        <f ca="1"/>
        <v>2.8678411050984914E-3</v>
      </c>
      <c r="F1412" s="94"/>
      <c r="G1412" s="100">
        <f ca="1">_xll.meDateFromTenor(G1411,"1D","FOLLOWING",H$12)</f>
        <v>44505</v>
      </c>
      <c r="H1412" s="13">
        <f ca="1">_xll.meDateFromTenor(G1412,H$14,H$11,H$12)</f>
        <v>44536</v>
      </c>
      <c r="I1412" s="98">
        <f ca="1"/>
        <v>3.5703873473235362E-3</v>
      </c>
      <c r="J1412" s="94" t="s">
        <v>4</v>
      </c>
      <c r="K1412" s="100">
        <f ca="1">_xll.meDateFromTenor(K1411,"1D","FOLLOWING",L$12)</f>
        <v>44505</v>
      </c>
      <c r="L1412" s="13">
        <f ca="1">_xll.meDateFromTenor(K1412,L$14,L$11,L$12)</f>
        <v>44599</v>
      </c>
      <c r="M1412" s="98">
        <f ca="1"/>
        <v>4.8150517810256425E-3</v>
      </c>
      <c r="N1412" s="5" t="s">
        <v>4</v>
      </c>
      <c r="O1412" s="100">
        <f ca="1">_xll.meDateFromTenor(O1411,"1D","FOLLOWING",P$12)</f>
        <v>44505</v>
      </c>
      <c r="P1412" s="13">
        <f ca="1">_xll.meDateFromTenor(O1412,P$14,P$11,P$12)</f>
        <v>44686</v>
      </c>
      <c r="Q1412" s="98">
        <f ca="1"/>
        <v>6.5625208885041813E-3</v>
      </c>
      <c r="R1412" s="5" t="s">
        <v>4</v>
      </c>
      <c r="S1412" s="100">
        <f ca="1">_xll.meDateFromTenor(S1411,"1D","FOLLOWING",T$12)</f>
        <v>44505</v>
      </c>
      <c r="T1412" s="13">
        <f ca="1">_xll.meDateFromTenor(S1412,T$14,T$11,T$12)</f>
        <v>44872</v>
      </c>
      <c r="U1412" s="98">
        <f ca="1"/>
        <v>8.5374578950355075E-3</v>
      </c>
      <c r="V1412" s="5" t="s">
        <v>4</v>
      </c>
      <c r="W1412" s="84" t="s">
        <v>4</v>
      </c>
    </row>
    <row r="1413" spans="1:23" x14ac:dyDescent="0.25">
      <c r="A1413" s="90">
        <v>1394</v>
      </c>
      <c r="B1413" s="83"/>
      <c r="C1413" s="100">
        <f ca="1">_xll.meDateFromTenor(C1412,"1D","FOLLOWING",D$12)</f>
        <v>44508</v>
      </c>
      <c r="D1413" s="13">
        <f ca="1">_xll.meDateFromTenor(C1413,D$14,D$11,D$12)</f>
        <v>44509</v>
      </c>
      <c r="E1413" s="98">
        <f ca="1"/>
        <v>2.8853093346552778E-3</v>
      </c>
      <c r="F1413" s="94"/>
      <c r="G1413" s="100">
        <f ca="1">_xll.meDateFromTenor(G1412,"1D","FOLLOWING",H$12)</f>
        <v>44508</v>
      </c>
      <c r="H1413" s="13">
        <f ca="1">_xll.meDateFromTenor(G1413,H$14,H$11,H$12)</f>
        <v>44538</v>
      </c>
      <c r="I1413" s="98">
        <f ca="1"/>
        <v>3.5943645552078589E-3</v>
      </c>
      <c r="J1413" s="94" t="s">
        <v>4</v>
      </c>
      <c r="K1413" s="100">
        <f ca="1">_xll.meDateFromTenor(K1412,"1D","FOLLOWING",L$12)</f>
        <v>44508</v>
      </c>
      <c r="L1413" s="13">
        <f ca="1">_xll.meDateFromTenor(K1413,L$14,L$11,L$12)</f>
        <v>44600</v>
      </c>
      <c r="M1413" s="98">
        <f ca="1"/>
        <v>4.8393366370605567E-3</v>
      </c>
      <c r="N1413" s="5" t="s">
        <v>4</v>
      </c>
      <c r="O1413" s="100">
        <f ca="1">_xll.meDateFromTenor(O1412,"1D","FOLLOWING",P$12)</f>
        <v>44508</v>
      </c>
      <c r="P1413" s="13">
        <f ca="1">_xll.meDateFromTenor(O1413,P$14,P$11,P$12)</f>
        <v>44690</v>
      </c>
      <c r="Q1413" s="98">
        <f ca="1"/>
        <v>6.5862360912586912E-3</v>
      </c>
      <c r="R1413" s="5" t="s">
        <v>4</v>
      </c>
      <c r="S1413" s="100">
        <f ca="1">_xll.meDateFromTenor(S1412,"1D","FOLLOWING",T$12)</f>
        <v>44508</v>
      </c>
      <c r="T1413" s="13">
        <f ca="1">_xll.meDateFromTenor(S1413,T$14,T$11,T$12)</f>
        <v>44873</v>
      </c>
      <c r="U1413" s="98">
        <f ca="1"/>
        <v>8.5592436236499592E-3</v>
      </c>
      <c r="V1413" s="5" t="s">
        <v>4</v>
      </c>
      <c r="W1413" s="84" t="s">
        <v>4</v>
      </c>
    </row>
    <row r="1414" spans="1:23" x14ac:dyDescent="0.25">
      <c r="A1414" s="90">
        <v>1395</v>
      </c>
      <c r="B1414" s="83"/>
      <c r="C1414" s="100">
        <f ca="1">_xll.meDateFromTenor(C1413,"1D","FOLLOWING",D$12)</f>
        <v>44509</v>
      </c>
      <c r="D1414" s="13">
        <f ca="1">_xll.meDateFromTenor(C1414,D$14,D$11,D$12)</f>
        <v>44510</v>
      </c>
      <c r="E1414" s="98">
        <f ca="1"/>
        <v>2.8940430006847346E-3</v>
      </c>
      <c r="F1414" s="94"/>
      <c r="G1414" s="100">
        <f ca="1">_xll.meDateFromTenor(G1413,"1D","FOLLOWING",H$12)</f>
        <v>44509</v>
      </c>
      <c r="H1414" s="13">
        <f ca="1">_xll.meDateFromTenor(G1414,H$14,H$11,H$12)</f>
        <v>44539</v>
      </c>
      <c r="I1414" s="98">
        <f ca="1"/>
        <v>3.6023576872329568E-3</v>
      </c>
      <c r="J1414" s="94" t="s">
        <v>4</v>
      </c>
      <c r="K1414" s="100">
        <f ca="1">_xll.meDateFromTenor(K1413,"1D","FOLLOWING",L$12)</f>
        <v>44509</v>
      </c>
      <c r="L1414" s="13">
        <f ca="1">_xll.meDateFromTenor(K1414,L$14,L$11,L$12)</f>
        <v>44601</v>
      </c>
      <c r="M1414" s="98">
        <f ca="1"/>
        <v>4.8474410361085893E-3</v>
      </c>
      <c r="N1414" s="5" t="s">
        <v>4</v>
      </c>
      <c r="O1414" s="100">
        <f ca="1">_xll.meDateFromTenor(O1413,"1D","FOLLOWING",P$12)</f>
        <v>44509</v>
      </c>
      <c r="P1414" s="13">
        <f ca="1">_xll.meDateFromTenor(O1414,P$14,P$11,P$12)</f>
        <v>44690</v>
      </c>
      <c r="Q1414" s="98">
        <f ca="1"/>
        <v>6.5941486369466354E-3</v>
      </c>
      <c r="R1414" s="5" t="s">
        <v>4</v>
      </c>
      <c r="S1414" s="100">
        <f ca="1">_xll.meDateFromTenor(S1413,"1D","FOLLOWING",T$12)</f>
        <v>44509</v>
      </c>
      <c r="T1414" s="13">
        <f ca="1">_xll.meDateFromTenor(S1414,T$14,T$11,T$12)</f>
        <v>44874</v>
      </c>
      <c r="U1414" s="98">
        <f ca="1"/>
        <v>8.5665042629832211E-3</v>
      </c>
      <c r="V1414" s="5" t="s">
        <v>4</v>
      </c>
      <c r="W1414" s="84" t="s">
        <v>4</v>
      </c>
    </row>
    <row r="1415" spans="1:23" x14ac:dyDescent="0.25">
      <c r="A1415" s="90">
        <v>1396</v>
      </c>
      <c r="B1415" s="83"/>
      <c r="C1415" s="100">
        <f ca="1">_xll.meDateFromTenor(C1414,"1D","FOLLOWING",D$12)</f>
        <v>44510</v>
      </c>
      <c r="D1415" s="13">
        <f ca="1">_xll.meDateFromTenor(C1415,D$14,D$11,D$12)</f>
        <v>44511</v>
      </c>
      <c r="E1415" s="98">
        <f ca="1"/>
        <v>2.9027695445731664E-3</v>
      </c>
      <c r="F1415" s="94"/>
      <c r="G1415" s="100">
        <f ca="1">_xll.meDateFromTenor(G1414,"1D","FOLLOWING",H$12)</f>
        <v>44510</v>
      </c>
      <c r="H1415" s="13">
        <f ca="1">_xll.meDateFromTenor(G1415,H$14,H$11,H$12)</f>
        <v>44540</v>
      </c>
      <c r="I1415" s="98">
        <f ca="1"/>
        <v>3.6103497857642879E-3</v>
      </c>
      <c r="J1415" s="94" t="s">
        <v>4</v>
      </c>
      <c r="K1415" s="100">
        <f ca="1">_xll.meDateFromTenor(K1414,"1D","FOLLOWING",L$12)</f>
        <v>44510</v>
      </c>
      <c r="L1415" s="13">
        <f ca="1">_xll.meDateFromTenor(K1415,L$14,L$11,L$12)</f>
        <v>44602</v>
      </c>
      <c r="M1415" s="98">
        <f ca="1"/>
        <v>4.8555502307187507E-3</v>
      </c>
      <c r="N1415" s="5" t="s">
        <v>4</v>
      </c>
      <c r="O1415" s="100">
        <f ca="1">_xll.meDateFromTenor(O1414,"1D","FOLLOWING",P$12)</f>
        <v>44510</v>
      </c>
      <c r="P1415" s="13">
        <f ca="1">_xll.meDateFromTenor(O1415,P$14,P$11,P$12)</f>
        <v>44691</v>
      </c>
      <c r="Q1415" s="98">
        <f ca="1"/>
        <v>6.6020649347942667E-3</v>
      </c>
      <c r="R1415" s="5" t="s">
        <v>4</v>
      </c>
      <c r="S1415" s="100">
        <f ca="1">_xll.meDateFromTenor(S1414,"1D","FOLLOWING",T$12)</f>
        <v>44510</v>
      </c>
      <c r="T1415" s="13">
        <f ca="1">_xll.meDateFromTenor(S1415,T$14,T$11,T$12)</f>
        <v>44875</v>
      </c>
      <c r="U1415" s="98">
        <f ca="1"/>
        <v>8.5737642626592305E-3</v>
      </c>
      <c r="V1415" s="5" t="s">
        <v>4</v>
      </c>
      <c r="W1415" s="84" t="s">
        <v>4</v>
      </c>
    </row>
    <row r="1416" spans="1:23" x14ac:dyDescent="0.25">
      <c r="A1416" s="90">
        <v>1397</v>
      </c>
      <c r="B1416" s="83"/>
      <c r="C1416" s="100">
        <f ca="1">_xll.meDateFromTenor(C1415,"1D","FOLLOWING",D$12)</f>
        <v>44511</v>
      </c>
      <c r="D1416" s="13">
        <f ca="1">_xll.meDateFromTenor(C1416,D$14,D$11,D$12)</f>
        <v>44512</v>
      </c>
      <c r="E1416" s="98">
        <f ca="1"/>
        <v>2.9114889664767388E-3</v>
      </c>
      <c r="F1416" s="94"/>
      <c r="G1416" s="100">
        <f ca="1">_xll.meDateFromTenor(G1415,"1D","FOLLOWING",H$12)</f>
        <v>44511</v>
      </c>
      <c r="H1416" s="13">
        <f ca="1">_xll.meDateFromTenor(G1416,H$14,H$11,H$12)</f>
        <v>44543</v>
      </c>
      <c r="I1416" s="98">
        <f ca="1"/>
        <v>3.6183400118864934E-3</v>
      </c>
      <c r="J1416" s="94" t="s">
        <v>4</v>
      </c>
      <c r="K1416" s="100">
        <f ca="1">_xll.meDateFromTenor(K1415,"1D","FOLLOWING",L$12)</f>
        <v>44511</v>
      </c>
      <c r="L1416" s="13">
        <f ca="1">_xll.meDateFromTenor(K1416,L$14,L$11,L$12)</f>
        <v>44603</v>
      </c>
      <c r="M1416" s="98">
        <f ca="1"/>
        <v>4.8636642641173983E-3</v>
      </c>
      <c r="N1416" s="5" t="s">
        <v>4</v>
      </c>
      <c r="O1416" s="100">
        <f ca="1">_xll.meDateFromTenor(O1415,"1D","FOLLOWING",P$12)</f>
        <v>44511</v>
      </c>
      <c r="P1416" s="13">
        <f ca="1">_xll.meDateFromTenor(O1416,P$14,P$11,P$12)</f>
        <v>44692</v>
      </c>
      <c r="Q1416" s="98">
        <f ca="1"/>
        <v>6.609984992666464E-3</v>
      </c>
      <c r="R1416" s="5" t="s">
        <v>4</v>
      </c>
      <c r="S1416" s="100">
        <f ca="1">_xll.meDateFromTenor(S1415,"1D","FOLLOWING",T$12)</f>
        <v>44511</v>
      </c>
      <c r="T1416" s="13">
        <f ca="1">_xll.meDateFromTenor(S1416,T$14,T$11,T$12)</f>
        <v>44876</v>
      </c>
      <c r="U1416" s="98">
        <f ca="1"/>
        <v>8.5810236199451093E-3</v>
      </c>
      <c r="V1416" s="5" t="s">
        <v>4</v>
      </c>
      <c r="W1416" s="84" t="s">
        <v>4</v>
      </c>
    </row>
    <row r="1417" spans="1:23" x14ac:dyDescent="0.25">
      <c r="A1417" s="90">
        <v>1398</v>
      </c>
      <c r="B1417" s="83"/>
      <c r="C1417" s="100">
        <f ca="1">_xll.meDateFromTenor(C1416,"1D","FOLLOWING",D$12)</f>
        <v>44512</v>
      </c>
      <c r="D1417" s="13">
        <f ca="1">_xll.meDateFromTenor(C1417,D$14,D$11,D$12)</f>
        <v>44515</v>
      </c>
      <c r="E1417" s="98">
        <f ca="1"/>
        <v>2.9289279021062486E-3</v>
      </c>
      <c r="F1417" s="94"/>
      <c r="G1417" s="100">
        <f ca="1">_xll.meDateFromTenor(G1416,"1D","FOLLOWING",H$12)</f>
        <v>44512</v>
      </c>
      <c r="H1417" s="13">
        <f ca="1">_xll.meDateFromTenor(G1417,H$14,H$11,H$12)</f>
        <v>44543</v>
      </c>
      <c r="I1417" s="98">
        <f ca="1"/>
        <v>3.6263275266842174E-3</v>
      </c>
      <c r="J1417" s="94" t="s">
        <v>4</v>
      </c>
      <c r="K1417" s="100">
        <f ca="1">_xll.meDateFromTenor(K1416,"1D","FOLLOWING",L$12)</f>
        <v>44512</v>
      </c>
      <c r="L1417" s="13">
        <f ca="1">_xll.meDateFromTenor(K1417,L$14,L$11,L$12)</f>
        <v>44606</v>
      </c>
      <c r="M1417" s="98">
        <f ca="1"/>
        <v>4.8717831795308912E-3</v>
      </c>
      <c r="N1417" s="5" t="s">
        <v>4</v>
      </c>
      <c r="O1417" s="100">
        <f ca="1">_xll.meDateFromTenor(O1416,"1D","FOLLOWING",P$12)</f>
        <v>44512</v>
      </c>
      <c r="P1417" s="13">
        <f ca="1">_xll.meDateFromTenor(O1417,P$14,P$11,P$12)</f>
        <v>44693</v>
      </c>
      <c r="Q1417" s="98">
        <f ca="1"/>
        <v>6.617908818428107E-3</v>
      </c>
      <c r="R1417" s="5" t="s">
        <v>4</v>
      </c>
      <c r="S1417" s="100">
        <f ca="1">_xll.meDateFromTenor(S1416,"1D","FOLLOWING",T$12)</f>
        <v>44512</v>
      </c>
      <c r="T1417" s="13">
        <f ca="1">_xll.meDateFromTenor(S1417,T$14,T$11,T$12)</f>
        <v>44879</v>
      </c>
      <c r="U1417" s="98">
        <f ca="1"/>
        <v>8.5882823321079757E-3</v>
      </c>
      <c r="V1417" s="5" t="s">
        <v>4</v>
      </c>
      <c r="W1417" s="84" t="s">
        <v>4</v>
      </c>
    </row>
    <row r="1418" spans="1:23" x14ac:dyDescent="0.25">
      <c r="A1418" s="90">
        <v>1399</v>
      </c>
      <c r="B1418" s="83"/>
      <c r="C1418" s="100">
        <f ca="1">_xll.meDateFromTenor(C1417,"1D","FOLLOWING",D$12)</f>
        <v>44515</v>
      </c>
      <c r="D1418" s="13">
        <f ca="1">_xll.meDateFromTenor(C1418,D$14,D$11,D$12)</f>
        <v>44516</v>
      </c>
      <c r="E1418" s="98">
        <f ca="1"/>
        <v>2.9462954439369695E-3</v>
      </c>
      <c r="F1418" s="94"/>
      <c r="G1418" s="100">
        <f ca="1">_xll.meDateFromTenor(G1417,"1D","FOLLOWING",H$12)</f>
        <v>44515</v>
      </c>
      <c r="H1418" s="13">
        <f ca="1">_xll.meDateFromTenor(G1418,H$14,H$11,H$12)</f>
        <v>44545</v>
      </c>
      <c r="I1418" s="98">
        <f ca="1"/>
        <v>3.6502654139769228E-3</v>
      </c>
      <c r="J1418" s="94" t="s">
        <v>4</v>
      </c>
      <c r="K1418" s="100">
        <f ca="1">_xll.meDateFromTenor(K1417,"1D","FOLLOWING",L$12)</f>
        <v>44515</v>
      </c>
      <c r="L1418" s="13">
        <f ca="1">_xll.meDateFromTenor(K1418,L$14,L$11,L$12)</f>
        <v>44607</v>
      </c>
      <c r="M1418" s="98">
        <f ca="1"/>
        <v>4.8961696501240394E-3</v>
      </c>
      <c r="N1418" s="5" t="s">
        <v>4</v>
      </c>
      <c r="O1418" s="100">
        <f ca="1">_xll.meDateFromTenor(O1417,"1D","FOLLOWING",P$12)</f>
        <v>44515</v>
      </c>
      <c r="P1418" s="13">
        <f ca="1">_xll.meDateFromTenor(O1418,P$14,P$11,P$12)</f>
        <v>44697</v>
      </c>
      <c r="Q1418" s="98">
        <f ca="1"/>
        <v>6.6417029816985126E-3</v>
      </c>
      <c r="R1418" s="5" t="s">
        <v>4</v>
      </c>
      <c r="S1418" s="100">
        <f ca="1">_xll.meDateFromTenor(S1417,"1D","FOLLOWING",T$12)</f>
        <v>44515</v>
      </c>
      <c r="T1418" s="13">
        <f ca="1">_xll.meDateFromTenor(S1418,T$14,T$11,T$12)</f>
        <v>44880</v>
      </c>
      <c r="U1418" s="98">
        <f ca="1"/>
        <v>8.6100545705296641E-3</v>
      </c>
      <c r="V1418" s="5" t="s">
        <v>4</v>
      </c>
      <c r="W1418" s="84" t="s">
        <v>4</v>
      </c>
    </row>
    <row r="1419" spans="1:23" x14ac:dyDescent="0.25">
      <c r="A1419" s="90">
        <v>1400</v>
      </c>
      <c r="B1419" s="83"/>
      <c r="C1419" s="100">
        <f ca="1">_xll.meDateFromTenor(C1418,"1D","FOLLOWING",D$12)</f>
        <v>44516</v>
      </c>
      <c r="D1419" s="13">
        <f ca="1">_xll.meDateFromTenor(C1419,D$14,D$11,D$12)</f>
        <v>44517</v>
      </c>
      <c r="E1419" s="98">
        <f ca="1"/>
        <v>2.9549792624821549E-3</v>
      </c>
      <c r="F1419" s="94"/>
      <c r="G1419" s="100">
        <f ca="1">_xll.meDateFromTenor(G1418,"1D","FOLLOWING",H$12)</f>
        <v>44516</v>
      </c>
      <c r="H1419" s="13">
        <f ca="1">_xll.meDateFromTenor(G1419,H$14,H$11,H$12)</f>
        <v>44546</v>
      </c>
      <c r="I1419" s="98">
        <f ca="1"/>
        <v>3.6582336943231449E-3</v>
      </c>
      <c r="J1419" s="94" t="s">
        <v>4</v>
      </c>
      <c r="K1419" s="100">
        <f ca="1">_xll.meDateFromTenor(K1418,"1D","FOLLOWING",L$12)</f>
        <v>44516</v>
      </c>
      <c r="L1419" s="13">
        <f ca="1">_xll.meDateFromTenor(K1419,L$14,L$11,L$12)</f>
        <v>44608</v>
      </c>
      <c r="M1419" s="98">
        <f ca="1"/>
        <v>4.9043085258605066E-3</v>
      </c>
      <c r="N1419" s="5" t="s">
        <v>4</v>
      </c>
      <c r="O1419" s="100">
        <f ca="1">_xll.meDateFromTenor(O1418,"1D","FOLLOWING",P$12)</f>
        <v>44516</v>
      </c>
      <c r="P1419" s="13">
        <f ca="1">_xll.meDateFromTenor(O1419,P$14,P$11,P$12)</f>
        <v>44697</v>
      </c>
      <c r="Q1419" s="98">
        <f ca="1"/>
        <v>6.649641957666738E-3</v>
      </c>
      <c r="R1419" s="5" t="s">
        <v>4</v>
      </c>
      <c r="S1419" s="100">
        <f ca="1">_xll.meDateFromTenor(S1418,"1D","FOLLOWING",T$12)</f>
        <v>44516</v>
      </c>
      <c r="T1419" s="13">
        <f ca="1">_xll.meDateFromTenor(S1419,T$14,T$11,T$12)</f>
        <v>44881</v>
      </c>
      <c r="U1419" s="98">
        <f ca="1"/>
        <v>8.6173106748716494E-3</v>
      </c>
      <c r="V1419" s="5" t="s">
        <v>4</v>
      </c>
      <c r="W1419" s="84" t="s">
        <v>4</v>
      </c>
    </row>
    <row r="1420" spans="1:23" x14ac:dyDescent="0.25">
      <c r="A1420" s="90">
        <v>1401</v>
      </c>
      <c r="B1420" s="83"/>
      <c r="C1420" s="100">
        <f ca="1">_xll.meDateFromTenor(C1419,"1D","FOLLOWING",D$12)</f>
        <v>44517</v>
      </c>
      <c r="D1420" s="13">
        <f ca="1">_xll.meDateFromTenor(C1420,D$14,D$11,D$12)</f>
        <v>44518</v>
      </c>
      <c r="E1420" s="98">
        <f ca="1"/>
        <v>2.963655961840209E-3</v>
      </c>
      <c r="F1420" s="94"/>
      <c r="G1420" s="100">
        <f ca="1">_xll.meDateFromTenor(G1419,"1D","FOLLOWING",H$12)</f>
        <v>44517</v>
      </c>
      <c r="H1420" s="13">
        <f ca="1">_xll.meDateFromTenor(G1420,H$14,H$11,H$12)</f>
        <v>44547</v>
      </c>
      <c r="I1420" s="98">
        <f ca="1"/>
        <v>3.6661950687680951E-3</v>
      </c>
      <c r="J1420" s="94" t="s">
        <v>4</v>
      </c>
      <c r="K1420" s="100">
        <f ca="1">_xll.meDateFromTenor(K1419,"1D","FOLLOWING",L$12)</f>
        <v>44517</v>
      </c>
      <c r="L1420" s="13">
        <f ca="1">_xll.meDateFromTenor(K1420,L$14,L$11,L$12)</f>
        <v>44609</v>
      </c>
      <c r="M1420" s="98">
        <f ca="1"/>
        <v>4.9124524997436123E-3</v>
      </c>
      <c r="N1420" s="5" t="s">
        <v>4</v>
      </c>
      <c r="O1420" s="100">
        <f ca="1">_xll.meDateFromTenor(O1419,"1D","FOLLOWING",P$12)</f>
        <v>44517</v>
      </c>
      <c r="P1420" s="13">
        <f ca="1">_xll.meDateFromTenor(O1420,P$14,P$11,P$12)</f>
        <v>44698</v>
      </c>
      <c r="Q1420" s="98">
        <f ca="1"/>
        <v>6.6575847408488062E-3</v>
      </c>
      <c r="R1420" s="5" t="s">
        <v>4</v>
      </c>
      <c r="S1420" s="100">
        <f ca="1">_xll.meDateFromTenor(S1419,"1D","FOLLOWING",T$12)</f>
        <v>44517</v>
      </c>
      <c r="T1420" s="13">
        <f ca="1">_xll.meDateFromTenor(S1420,T$14,T$11,T$12)</f>
        <v>44882</v>
      </c>
      <c r="U1420" s="98">
        <f ca="1"/>
        <v>8.6245661204262074E-3</v>
      </c>
      <c r="V1420" s="5" t="s">
        <v>4</v>
      </c>
      <c r="W1420" s="84" t="s">
        <v>4</v>
      </c>
    </row>
    <row r="1421" spans="1:23" x14ac:dyDescent="0.25">
      <c r="A1421" s="90">
        <v>1402</v>
      </c>
      <c r="B1421" s="83"/>
      <c r="C1421" s="100">
        <f ca="1">_xll.meDateFromTenor(C1420,"1D","FOLLOWING",D$12)</f>
        <v>44518</v>
      </c>
      <c r="D1421" s="13">
        <f ca="1">_xll.meDateFromTenor(C1421,D$14,D$11,D$12)</f>
        <v>44519</v>
      </c>
      <c r="E1421" s="98">
        <f ca="1"/>
        <v>2.9723255420149169E-3</v>
      </c>
      <c r="F1421" s="94"/>
      <c r="G1421" s="100">
        <f ca="1">_xll.meDateFromTenor(G1420,"1D","FOLLOWING",H$12)</f>
        <v>44518</v>
      </c>
      <c r="H1421" s="13">
        <f ca="1">_xll.meDateFromTenor(G1421,H$14,H$11,H$12)</f>
        <v>44550</v>
      </c>
      <c r="I1421" s="98">
        <f ca="1"/>
        <v>3.6741486983964209E-3</v>
      </c>
      <c r="J1421" s="94" t="s">
        <v>4</v>
      </c>
      <c r="K1421" s="100">
        <f ca="1">_xll.meDateFromTenor(K1420,"1D","FOLLOWING",L$12)</f>
        <v>44518</v>
      </c>
      <c r="L1421" s="13">
        <f ca="1">_xll.meDateFromTenor(K1421,L$14,L$11,L$12)</f>
        <v>44610</v>
      </c>
      <c r="M1421" s="98">
        <f ca="1"/>
        <v>4.9206016149997206E-3</v>
      </c>
      <c r="N1421" s="5" t="s">
        <v>4</v>
      </c>
      <c r="O1421" s="100">
        <f ca="1">_xll.meDateFromTenor(O1420,"1D","FOLLOWING",P$12)</f>
        <v>44518</v>
      </c>
      <c r="P1421" s="13">
        <f ca="1">_xll.meDateFromTenor(O1421,P$14,P$11,P$12)</f>
        <v>44699</v>
      </c>
      <c r="Q1421" s="98">
        <f ca="1"/>
        <v>6.6655313391096038E-3</v>
      </c>
      <c r="R1421" s="5" t="s">
        <v>4</v>
      </c>
      <c r="S1421" s="100">
        <f ca="1">_xll.meDateFromTenor(S1420,"1D","FOLLOWING",T$12)</f>
        <v>44518</v>
      </c>
      <c r="T1421" s="13">
        <f ca="1">_xll.meDateFromTenor(S1421,T$14,T$11,T$12)</f>
        <v>44883</v>
      </c>
      <c r="U1421" s="98">
        <f ca="1"/>
        <v>8.6318209044604598E-3</v>
      </c>
      <c r="V1421" s="5" t="s">
        <v>4</v>
      </c>
      <c r="W1421" s="84" t="s">
        <v>4</v>
      </c>
    </row>
    <row r="1422" spans="1:23" x14ac:dyDescent="0.25">
      <c r="A1422" s="90">
        <v>1403</v>
      </c>
      <c r="B1422" s="83"/>
      <c r="C1422" s="100">
        <f ca="1">_xll.meDateFromTenor(C1421,"1D","FOLLOWING",D$12)</f>
        <v>44519</v>
      </c>
      <c r="D1422" s="13">
        <f ca="1">_xll.meDateFromTenor(C1422,D$14,D$11,D$12)</f>
        <v>44522</v>
      </c>
      <c r="E1422" s="98">
        <f ca="1"/>
        <v>2.989665801482595E-3</v>
      </c>
      <c r="F1422" s="94"/>
      <c r="G1422" s="100">
        <f ca="1">_xll.meDateFromTenor(G1421,"1D","FOLLOWING",H$12)</f>
        <v>44519</v>
      </c>
      <c r="H1422" s="13">
        <f ca="1">_xll.meDateFromTenor(G1422,H$14,H$11,H$12)</f>
        <v>44550</v>
      </c>
      <c r="I1422" s="98">
        <f ca="1"/>
        <v>3.6820937442927637E-3</v>
      </c>
      <c r="J1422" s="94" t="s">
        <v>4</v>
      </c>
      <c r="K1422" s="100">
        <f ca="1">_xll.meDateFromTenor(K1421,"1D","FOLLOWING",L$12)</f>
        <v>44519</v>
      </c>
      <c r="L1422" s="13">
        <f ca="1">_xll.meDateFromTenor(K1422,L$14,L$11,L$12)</f>
        <v>44613</v>
      </c>
      <c r="M1422" s="98">
        <f ca="1"/>
        <v>4.9287559148551881E-3</v>
      </c>
      <c r="N1422" s="5" t="s">
        <v>4</v>
      </c>
      <c r="O1422" s="100">
        <f ca="1">_xll.meDateFromTenor(O1421,"1D","FOLLOWING",P$12)</f>
        <v>44519</v>
      </c>
      <c r="P1422" s="13">
        <f ca="1">_xll.meDateFromTenor(O1422,P$14,P$11,P$12)</f>
        <v>44700</v>
      </c>
      <c r="Q1422" s="98">
        <f ca="1"/>
        <v>6.6734817603140055E-3</v>
      </c>
      <c r="R1422" s="5" t="s">
        <v>4</v>
      </c>
      <c r="S1422" s="100">
        <f ca="1">_xll.meDateFromTenor(S1421,"1D","FOLLOWING",T$12)</f>
        <v>44519</v>
      </c>
      <c r="T1422" s="13">
        <f ca="1">_xll.meDateFromTenor(S1422,T$14,T$11,T$12)</f>
        <v>44886</v>
      </c>
      <c r="U1422" s="98">
        <f ca="1"/>
        <v>8.6390750242415215E-3</v>
      </c>
      <c r="V1422" s="5" t="s">
        <v>4</v>
      </c>
      <c r="W1422" s="84" t="s">
        <v>4</v>
      </c>
    </row>
    <row r="1423" spans="1:23" x14ac:dyDescent="0.25">
      <c r="A1423" s="90">
        <v>1404</v>
      </c>
      <c r="B1423" s="83"/>
      <c r="C1423" s="100">
        <f ca="1">_xll.meDateFromTenor(C1422,"1D","FOLLOWING",D$12)</f>
        <v>44522</v>
      </c>
      <c r="D1423" s="13">
        <f ca="1">_xll.meDateFromTenor(C1423,D$14,D$11,D$12)</f>
        <v>44523</v>
      </c>
      <c r="E1423" s="98">
        <f ca="1"/>
        <v>3.0069326793307678E-3</v>
      </c>
      <c r="F1423" s="94"/>
      <c r="G1423" s="100">
        <f ca="1">_xll.meDateFromTenor(G1422,"1D","FOLLOWING",H$12)</f>
        <v>44522</v>
      </c>
      <c r="H1423" s="13">
        <f ca="1">_xll.meDateFromTenor(G1423,H$14,H$11,H$12)</f>
        <v>44552</v>
      </c>
      <c r="I1423" s="98">
        <f ca="1"/>
        <v>3.7058689904363143E-3</v>
      </c>
      <c r="J1423" s="94" t="s">
        <v>4</v>
      </c>
      <c r="K1423" s="100">
        <f ca="1">_xll.meDateFromTenor(K1422,"1D","FOLLOWING",L$12)</f>
        <v>44522</v>
      </c>
      <c r="L1423" s="13">
        <f ca="1">_xll.meDateFromTenor(K1423,L$14,L$11,L$12)</f>
        <v>44614</v>
      </c>
      <c r="M1423" s="98">
        <f ca="1"/>
        <v>4.9532503542813284E-3</v>
      </c>
      <c r="N1423" s="5" t="s">
        <v>4</v>
      </c>
      <c r="O1423" s="100">
        <f ca="1">_xll.meDateFromTenor(O1422,"1D","FOLLOWING",P$12)</f>
        <v>44522</v>
      </c>
      <c r="P1423" s="13">
        <f ca="1">_xll.meDateFromTenor(O1423,P$14,P$11,P$12)</f>
        <v>44704</v>
      </c>
      <c r="Q1423" s="98">
        <f ca="1"/>
        <v>6.6973560402376368E-3</v>
      </c>
      <c r="R1423" s="5" t="s">
        <v>4</v>
      </c>
      <c r="S1423" s="100">
        <f ca="1">_xll.meDateFromTenor(S1422,"1D","FOLLOWING",T$12)</f>
        <v>44522</v>
      </c>
      <c r="T1423" s="13">
        <f ca="1">_xll.meDateFromTenor(S1423,T$14,T$11,T$12)</f>
        <v>44887</v>
      </c>
      <c r="U1423" s="98">
        <f ca="1"/>
        <v>8.6608333707367448E-3</v>
      </c>
      <c r="V1423" s="5" t="s">
        <v>4</v>
      </c>
      <c r="W1423" s="84" t="s">
        <v>4</v>
      </c>
    </row>
    <row r="1424" spans="1:23" x14ac:dyDescent="0.25">
      <c r="A1424" s="90">
        <v>1405</v>
      </c>
      <c r="B1424" s="83"/>
      <c r="C1424" s="100">
        <f ca="1">_xll.meDateFromTenor(C1423,"1D","FOLLOWING",D$12)</f>
        <v>44523</v>
      </c>
      <c r="D1424" s="13">
        <f ca="1">_xll.meDateFromTenor(C1424,D$14,D$11,D$12)</f>
        <v>44524</v>
      </c>
      <c r="E1424" s="98">
        <f ca="1"/>
        <v>3.0155666696524979E-3</v>
      </c>
      <c r="F1424" s="94"/>
      <c r="G1424" s="100">
        <f ca="1">_xll.meDateFromTenor(G1423,"1D","FOLLOWING",H$12)</f>
        <v>44523</v>
      </c>
      <c r="H1424" s="13">
        <f ca="1">_xll.meDateFromTenor(G1424,H$14,H$11,H$12)</f>
        <v>44553</v>
      </c>
      <c r="I1424" s="98">
        <f ca="1"/>
        <v>3.7137713122511479E-3</v>
      </c>
      <c r="J1424" s="94" t="s">
        <v>4</v>
      </c>
      <c r="K1424" s="100">
        <f ca="1">_xll.meDateFromTenor(K1423,"1D","FOLLOWING",L$12)</f>
        <v>44523</v>
      </c>
      <c r="L1424" s="13">
        <f ca="1">_xll.meDateFromTenor(K1424,L$14,L$11,L$12)</f>
        <v>44615</v>
      </c>
      <c r="M1424" s="98">
        <f ca="1"/>
        <v>4.9614258247978188E-3</v>
      </c>
      <c r="N1424" s="5" t="s">
        <v>4</v>
      </c>
      <c r="O1424" s="100">
        <f ca="1">_xll.meDateFromTenor(O1423,"1D","FOLLOWING",P$12)</f>
        <v>44523</v>
      </c>
      <c r="P1424" s="13">
        <f ca="1">_xll.meDateFromTenor(O1424,P$14,P$11,P$12)</f>
        <v>44704</v>
      </c>
      <c r="Q1424" s="98">
        <f ca="1"/>
        <v>6.7053218318652574E-3</v>
      </c>
      <c r="R1424" s="5" t="s">
        <v>4</v>
      </c>
      <c r="S1424" s="100">
        <f ca="1">_xll.meDateFromTenor(S1423,"1D","FOLLOWING",T$12)</f>
        <v>44523</v>
      </c>
      <c r="T1424" s="13">
        <f ca="1">_xll.meDateFromTenor(S1424,T$14,T$11,T$12)</f>
        <v>44888</v>
      </c>
      <c r="U1424" s="98">
        <f ca="1"/>
        <v>8.6680848061762242E-3</v>
      </c>
      <c r="V1424" s="5" t="s">
        <v>4</v>
      </c>
      <c r="W1424" s="84" t="s">
        <v>4</v>
      </c>
    </row>
    <row r="1425" spans="1:23" x14ac:dyDescent="0.25">
      <c r="A1425" s="90">
        <v>1406</v>
      </c>
      <c r="B1425" s="83"/>
      <c r="C1425" s="100">
        <f ca="1">_xll.meDateFromTenor(C1424,"1D","FOLLOWING",D$12)</f>
        <v>44524</v>
      </c>
      <c r="D1425" s="13">
        <f ca="1">_xll.meDateFromTenor(C1425,D$14,D$11,D$12)</f>
        <v>44525</v>
      </c>
      <c r="E1425" s="98">
        <f ca="1"/>
        <v>3.024193543348869E-3</v>
      </c>
      <c r="F1425" s="94"/>
      <c r="G1425" s="100">
        <f ca="1">_xll.meDateFromTenor(G1424,"1D","FOLLOWING",H$12)</f>
        <v>44524</v>
      </c>
      <c r="H1425" s="13">
        <f ca="1">_xll.meDateFromTenor(G1425,H$14,H$11,H$12)</f>
        <v>44554</v>
      </c>
      <c r="I1425" s="98">
        <f ca="1"/>
        <v>3.7216608557572111E-3</v>
      </c>
      <c r="J1425" s="94" t="s">
        <v>4</v>
      </c>
      <c r="K1425" s="100">
        <f ca="1">_xll.meDateFromTenor(K1424,"1D","FOLLOWING",L$12)</f>
        <v>44524</v>
      </c>
      <c r="L1425" s="13">
        <f ca="1">_xll.meDateFromTenor(K1425,L$14,L$11,L$12)</f>
        <v>44616</v>
      </c>
      <c r="M1425" s="98">
        <f ca="1"/>
        <v>4.9696066960454631E-3</v>
      </c>
      <c r="N1425" s="5" t="s">
        <v>4</v>
      </c>
      <c r="O1425" s="100">
        <f ca="1">_xll.meDateFromTenor(O1424,"1D","FOLLOWING",P$12)</f>
        <v>44524</v>
      </c>
      <c r="P1425" s="13">
        <f ca="1">_xll.meDateFromTenor(O1425,P$14,P$11,P$12)</f>
        <v>44705</v>
      </c>
      <c r="Q1425" s="98">
        <f ca="1"/>
        <v>6.7132914857608809E-3</v>
      </c>
      <c r="R1425" s="5" t="s">
        <v>4</v>
      </c>
      <c r="S1425" s="100">
        <f ca="1">_xll.meDateFromTenor(S1424,"1D","FOLLOWING",T$12)</f>
        <v>44524</v>
      </c>
      <c r="T1425" s="13">
        <f ca="1">_xll.meDateFromTenor(S1425,T$14,T$11,T$12)</f>
        <v>44889</v>
      </c>
      <c r="U1425" s="98">
        <f ca="1"/>
        <v>8.6753355636980996E-3</v>
      </c>
      <c r="V1425" s="5" t="s">
        <v>4</v>
      </c>
      <c r="W1425" s="84" t="s">
        <v>4</v>
      </c>
    </row>
    <row r="1426" spans="1:23" x14ac:dyDescent="0.25">
      <c r="A1426" s="90">
        <v>1407</v>
      </c>
      <c r="B1426" s="83"/>
      <c r="C1426" s="100">
        <f ca="1">_xll.meDateFromTenor(C1425,"1D","FOLLOWING",D$12)</f>
        <v>44525</v>
      </c>
      <c r="D1426" s="13">
        <f ca="1">_xll.meDateFromTenor(C1426,D$14,D$11,D$12)</f>
        <v>44526</v>
      </c>
      <c r="E1426" s="98">
        <f ca="1"/>
        <v>3.0328133006558267E-3</v>
      </c>
      <c r="F1426" s="94"/>
      <c r="G1426" s="100">
        <f ca="1">_xll.meDateFromTenor(G1425,"1D","FOLLOWING",H$12)</f>
        <v>44525</v>
      </c>
      <c r="H1426" s="13">
        <f ca="1">_xll.meDateFromTenor(G1426,H$14,H$11,H$12)</f>
        <v>44557</v>
      </c>
      <c r="I1426" s="98">
        <f ca="1"/>
        <v>3.7295367820391456E-3</v>
      </c>
      <c r="J1426" s="94" t="s">
        <v>4</v>
      </c>
      <c r="K1426" s="100">
        <f ca="1">_xll.meDateFromTenor(K1425,"1D","FOLLOWING",L$12)</f>
        <v>44525</v>
      </c>
      <c r="L1426" s="13">
        <f ca="1">_xll.meDateFromTenor(K1426,L$14,L$11,L$12)</f>
        <v>44617</v>
      </c>
      <c r="M1426" s="98">
        <f ca="1"/>
        <v>4.9777930112506188E-3</v>
      </c>
      <c r="N1426" s="5" t="s">
        <v>4</v>
      </c>
      <c r="O1426" s="100">
        <f ca="1">_xll.meDateFromTenor(O1425,"1D","FOLLOWING",P$12)</f>
        <v>44525</v>
      </c>
      <c r="P1426" s="13">
        <f ca="1">_xll.meDateFromTenor(O1426,P$14,P$11,P$12)</f>
        <v>44706</v>
      </c>
      <c r="Q1426" s="98">
        <f ca="1"/>
        <v>6.7212650097893878E-3</v>
      </c>
      <c r="R1426" s="5" t="s">
        <v>4</v>
      </c>
      <c r="S1426" s="100">
        <f ca="1">_xll.meDateFromTenor(S1425,"1D","FOLLOWING",T$12)</f>
        <v>44525</v>
      </c>
      <c r="T1426" s="13">
        <f ca="1">_xll.meDateFromTenor(S1426,T$14,T$11,T$12)</f>
        <v>44890</v>
      </c>
      <c r="U1426" s="98">
        <f ca="1"/>
        <v>8.6825856405694912E-3</v>
      </c>
      <c r="V1426" s="5" t="s">
        <v>4</v>
      </c>
      <c r="W1426" s="84" t="s">
        <v>4</v>
      </c>
    </row>
    <row r="1427" spans="1:23" x14ac:dyDescent="0.25">
      <c r="A1427" s="90">
        <v>1408</v>
      </c>
      <c r="B1427" s="83"/>
      <c r="C1427" s="100">
        <f ca="1">_xll.meDateFromTenor(C1426,"1D","FOLLOWING",D$12)</f>
        <v>44526</v>
      </c>
      <c r="D1427" s="13">
        <f ca="1">_xll.meDateFromTenor(C1427,D$14,D$11,D$12)</f>
        <v>44529</v>
      </c>
      <c r="E1427" s="98">
        <f ca="1"/>
        <v>3.0500549364022647E-3</v>
      </c>
      <c r="F1427" s="94"/>
      <c r="G1427" s="100">
        <f ca="1">_xll.meDateFromTenor(G1426,"1D","FOLLOWING",H$12)</f>
        <v>44526</v>
      </c>
      <c r="H1427" s="13">
        <f ca="1">_xll.meDateFromTenor(G1427,H$14,H$11,H$12)</f>
        <v>44557</v>
      </c>
      <c r="I1427" s="98">
        <f ca="1"/>
        <v>3.7373982521815927E-3</v>
      </c>
      <c r="J1427" s="94" t="s">
        <v>4</v>
      </c>
      <c r="K1427" s="100">
        <f ca="1">_xll.meDateFromTenor(K1426,"1D","FOLLOWING",L$12)</f>
        <v>44526</v>
      </c>
      <c r="L1427" s="13">
        <f ca="1">_xll.meDateFromTenor(K1427,L$14,L$11,L$12)</f>
        <v>44620</v>
      </c>
      <c r="M1427" s="98">
        <f ca="1"/>
        <v>4.9859848136396441E-3</v>
      </c>
      <c r="N1427" s="5" t="s">
        <v>4</v>
      </c>
      <c r="O1427" s="100">
        <f ca="1">_xll.meDateFromTenor(O1426,"1D","FOLLOWING",P$12)</f>
        <v>44526</v>
      </c>
      <c r="P1427" s="13">
        <f ca="1">_xll.meDateFromTenor(O1427,P$14,P$11,P$12)</f>
        <v>44707</v>
      </c>
      <c r="Q1427" s="98">
        <f ca="1"/>
        <v>6.729242411815657E-3</v>
      </c>
      <c r="R1427" s="5" t="s">
        <v>4</v>
      </c>
      <c r="S1427" s="100">
        <f ca="1">_xll.meDateFromTenor(S1426,"1D","FOLLOWING",T$12)</f>
        <v>44526</v>
      </c>
      <c r="T1427" s="13">
        <f ca="1">_xll.meDateFromTenor(S1427,T$14,T$11,T$12)</f>
        <v>44893</v>
      </c>
      <c r="U1427" s="98">
        <f ca="1"/>
        <v>8.6898350340575154E-3</v>
      </c>
      <c r="V1427" s="5" t="s">
        <v>4</v>
      </c>
      <c r="W1427" s="84" t="s">
        <v>4</v>
      </c>
    </row>
    <row r="1428" spans="1:23" x14ac:dyDescent="0.25">
      <c r="A1428" s="90">
        <v>1409</v>
      </c>
      <c r="B1428" s="83"/>
      <c r="C1428" s="100">
        <f ca="1">_xll.meDateFromTenor(C1427,"1D","FOLLOWING",D$12)</f>
        <v>44529</v>
      </c>
      <c r="D1428" s="13">
        <f ca="1">_xll.meDateFromTenor(C1428,D$14,D$11,D$12)</f>
        <v>44530</v>
      </c>
      <c r="E1428" s="98">
        <f ca="1"/>
        <v>3.0672211729671694E-3</v>
      </c>
      <c r="F1428" s="94"/>
      <c r="G1428" s="100">
        <f ca="1">_xll.meDateFromTenor(G1427,"1D","FOLLOWING",H$12)</f>
        <v>44529</v>
      </c>
      <c r="H1428" s="13">
        <f ca="1">_xll.meDateFromTenor(G1428,H$14,H$11,H$12)</f>
        <v>44559</v>
      </c>
      <c r="I1428" s="98">
        <f ca="1"/>
        <v>3.7608875366184546E-3</v>
      </c>
      <c r="J1428" s="94" t="s">
        <v>4</v>
      </c>
      <c r="K1428" s="100">
        <f ca="1">_xll.meDateFromTenor(K1427,"1D","FOLLOWING",L$12)</f>
        <v>44529</v>
      </c>
      <c r="L1428" s="13">
        <f ca="1">_xll.meDateFromTenor(K1428,L$14,L$11,L$12)</f>
        <v>44620</v>
      </c>
      <c r="M1428" s="98">
        <f ca="1"/>
        <v>5.0105935761735419E-3</v>
      </c>
      <c r="N1428" s="5" t="s">
        <v>4</v>
      </c>
      <c r="O1428" s="100">
        <f ca="1">_xll.meDateFromTenor(O1427,"1D","FOLLOWING",P$12)</f>
        <v>44529</v>
      </c>
      <c r="P1428" s="13">
        <f ca="1">_xll.meDateFromTenor(O1428,P$14,P$11,P$12)</f>
        <v>44711</v>
      </c>
      <c r="Q1428" s="98">
        <f ca="1"/>
        <v>6.7531979645298517E-3</v>
      </c>
      <c r="R1428" s="5" t="s">
        <v>4</v>
      </c>
      <c r="S1428" s="100">
        <f ca="1">_xll.meDateFromTenor(S1427,"1D","FOLLOWING",T$12)</f>
        <v>44529</v>
      </c>
      <c r="T1428" s="13">
        <f ca="1">_xll.meDateFromTenor(S1428,T$14,T$11,T$12)</f>
        <v>44894</v>
      </c>
      <c r="U1428" s="98">
        <f ca="1"/>
        <v>8.7115790868925735E-3</v>
      </c>
      <c r="V1428" s="5" t="s">
        <v>4</v>
      </c>
      <c r="W1428" s="84" t="s">
        <v>4</v>
      </c>
    </row>
    <row r="1429" spans="1:23" x14ac:dyDescent="0.25">
      <c r="A1429" s="90">
        <v>1410</v>
      </c>
      <c r="B1429" s="83"/>
      <c r="C1429" s="100">
        <f ca="1">_xll.meDateFromTenor(C1428,"1D","FOLLOWING",D$12)</f>
        <v>44530</v>
      </c>
      <c r="D1429" s="13">
        <f ca="1">_xll.meDateFromTenor(C1429,D$14,D$11,D$12)</f>
        <v>44531</v>
      </c>
      <c r="E1429" s="98">
        <f ca="1"/>
        <v>3.0758053536943972E-3</v>
      </c>
      <c r="F1429" s="94"/>
      <c r="G1429" s="100">
        <f ca="1">_xll.meDateFromTenor(G1428,"1D","FOLLOWING",H$12)</f>
        <v>44530</v>
      </c>
      <c r="H1429" s="13">
        <f ca="1">_xll.meDateFromTenor(G1429,H$14,H$11,H$12)</f>
        <v>44560</v>
      </c>
      <c r="I1429" s="98">
        <f ca="1"/>
        <v>3.7686827930493881E-3</v>
      </c>
      <c r="J1429" s="94" t="s">
        <v>4</v>
      </c>
      <c r="K1429" s="100">
        <f ca="1">_xll.meDateFromTenor(K1428,"1D","FOLLOWING",L$12)</f>
        <v>44530</v>
      </c>
      <c r="L1429" s="13">
        <f ca="1">_xll.meDateFromTenor(K1429,L$14,L$11,L$12)</f>
        <v>44620</v>
      </c>
      <c r="M1429" s="98">
        <f ca="1"/>
        <v>5.0188077595616437E-3</v>
      </c>
      <c r="N1429" s="5" t="s">
        <v>4</v>
      </c>
      <c r="O1429" s="100">
        <f ca="1">_xll.meDateFromTenor(O1428,"1D","FOLLOWING",P$12)</f>
        <v>44530</v>
      </c>
      <c r="P1429" s="13">
        <f ca="1">_xll.meDateFromTenor(O1429,P$14,P$11,P$12)</f>
        <v>44711</v>
      </c>
      <c r="Q1429" s="98">
        <f ca="1"/>
        <v>6.7611909571959746E-3</v>
      </c>
      <c r="R1429" s="5" t="s">
        <v>4</v>
      </c>
      <c r="S1429" s="100">
        <f ca="1">_xll.meDateFromTenor(S1428,"1D","FOLLOWING",T$12)</f>
        <v>44530</v>
      </c>
      <c r="T1429" s="13">
        <f ca="1">_xll.meDateFromTenor(S1429,T$14,T$11,T$12)</f>
        <v>44895</v>
      </c>
      <c r="U1429" s="98">
        <f ca="1"/>
        <v>8.7188257195183107E-3</v>
      </c>
      <c r="V1429" s="5" t="s">
        <v>4</v>
      </c>
      <c r="W1429" s="84" t="s">
        <v>4</v>
      </c>
    </row>
    <row r="1430" spans="1:23" x14ac:dyDescent="0.25">
      <c r="A1430" s="90">
        <v>1411</v>
      </c>
      <c r="B1430" s="83"/>
      <c r="C1430" s="100">
        <f ca="1">_xll.meDateFromTenor(C1429,"1D","FOLLOWING",D$12)</f>
        <v>44531</v>
      </c>
      <c r="D1430" s="13">
        <f ca="1">_xll.meDateFromTenor(C1430,D$14,D$11,D$12)</f>
        <v>44532</v>
      </c>
      <c r="E1430" s="98">
        <f ca="1"/>
        <v>3.0843824204302601E-3</v>
      </c>
      <c r="F1430" s="94"/>
      <c r="G1430" s="100">
        <f ca="1">_xll.meDateFromTenor(G1429,"1D","FOLLOWING",H$12)</f>
        <v>44531</v>
      </c>
      <c r="H1430" s="13">
        <f ca="1">_xll.meDateFromTenor(G1430,H$14,H$11,H$12)</f>
        <v>44564</v>
      </c>
      <c r="I1430" s="98">
        <f ca="1"/>
        <v>3.7764593987640498E-3</v>
      </c>
      <c r="J1430" s="94" t="s">
        <v>4</v>
      </c>
      <c r="K1430" s="100">
        <f ca="1">_xll.meDateFromTenor(K1429,"1D","FOLLOWING",L$12)</f>
        <v>44531</v>
      </c>
      <c r="L1430" s="13">
        <f ca="1">_xll.meDateFromTenor(K1430,L$14,L$11,L$12)</f>
        <v>44621</v>
      </c>
      <c r="M1430" s="98">
        <f ca="1"/>
        <v>5.0270276462654117E-3</v>
      </c>
      <c r="N1430" s="5" t="s">
        <v>4</v>
      </c>
      <c r="O1430" s="100">
        <f ca="1">_xll.meDateFromTenor(O1429,"1D","FOLLOWING",P$12)</f>
        <v>44531</v>
      </c>
      <c r="P1430" s="13">
        <f ca="1">_xll.meDateFromTenor(O1430,P$14,P$11,P$12)</f>
        <v>44713</v>
      </c>
      <c r="Q1430" s="98">
        <f ca="1"/>
        <v>6.7691878671842631E-3</v>
      </c>
      <c r="R1430" s="5" t="s">
        <v>4</v>
      </c>
      <c r="S1430" s="100">
        <f ca="1">_xll.meDateFromTenor(S1429,"1D","FOLLOWING",T$12)</f>
        <v>44531</v>
      </c>
      <c r="T1430" s="13">
        <f ca="1">_xll.meDateFromTenor(S1430,T$14,T$11,T$12)</f>
        <v>44896</v>
      </c>
      <c r="U1430" s="98">
        <f ca="1"/>
        <v>8.7260716550962691E-3</v>
      </c>
      <c r="V1430" s="5" t="s">
        <v>4</v>
      </c>
      <c r="W1430" s="84" t="s">
        <v>4</v>
      </c>
    </row>
    <row r="1431" spans="1:23" x14ac:dyDescent="0.25">
      <c r="A1431" s="90">
        <v>1412</v>
      </c>
      <c r="B1431" s="83"/>
      <c r="C1431" s="100">
        <f ca="1">_xll.meDateFromTenor(C1430,"1D","FOLLOWING",D$12)</f>
        <v>44532</v>
      </c>
      <c r="D1431" s="13">
        <f ca="1">_xll.meDateFromTenor(C1431,D$14,D$11,D$12)</f>
        <v>44533</v>
      </c>
      <c r="E1431" s="98">
        <f ca="1"/>
        <v>3.0929491188219143E-3</v>
      </c>
      <c r="F1431" s="94"/>
      <c r="G1431" s="100">
        <f ca="1">_xll.meDateFromTenor(G1430,"1D","FOLLOWING",H$12)</f>
        <v>44532</v>
      </c>
      <c r="H1431" s="13">
        <f ca="1">_xll.meDateFromTenor(G1431,H$14,H$11,H$12)</f>
        <v>44564</v>
      </c>
      <c r="I1431" s="98">
        <f ca="1"/>
        <v>3.7842165148470816E-3</v>
      </c>
      <c r="J1431" s="94" t="s">
        <v>4</v>
      </c>
      <c r="K1431" s="100">
        <f ca="1">_xll.meDateFromTenor(K1430,"1D","FOLLOWING",L$12)</f>
        <v>44532</v>
      </c>
      <c r="L1431" s="13">
        <f ca="1">_xll.meDateFromTenor(K1431,L$14,L$11,L$12)</f>
        <v>44622</v>
      </c>
      <c r="M1431" s="98">
        <f ca="1"/>
        <v>5.0352532795112041E-3</v>
      </c>
      <c r="N1431" s="5" t="s">
        <v>4</v>
      </c>
      <c r="O1431" s="100">
        <f ca="1">_xll.meDateFromTenor(O1430,"1D","FOLLOWING",P$12)</f>
        <v>44532</v>
      </c>
      <c r="P1431" s="13">
        <f ca="1">_xll.meDateFromTenor(O1431,P$14,P$11,P$12)</f>
        <v>44714</v>
      </c>
      <c r="Q1431" s="98">
        <f ca="1"/>
        <v>6.7771887023595932E-3</v>
      </c>
      <c r="R1431" s="5" t="s">
        <v>4</v>
      </c>
      <c r="S1431" s="100">
        <f ca="1">_xll.meDateFromTenor(S1430,"1D","FOLLOWING",T$12)</f>
        <v>44532</v>
      </c>
      <c r="T1431" s="13">
        <f ca="1">_xll.meDateFromTenor(S1431,T$14,T$11,T$12)</f>
        <v>44897</v>
      </c>
      <c r="U1431" s="98">
        <f ca="1"/>
        <v>8.7333168908935669E-3</v>
      </c>
      <c r="V1431" s="5" t="s">
        <v>4</v>
      </c>
      <c r="W1431" s="84" t="s">
        <v>4</v>
      </c>
    </row>
    <row r="1432" spans="1:23" x14ac:dyDescent="0.25">
      <c r="A1432" s="90">
        <v>1413</v>
      </c>
      <c r="B1432" s="83"/>
      <c r="C1432" s="100">
        <f ca="1">_xll.meDateFromTenor(C1431,"1D","FOLLOWING",D$12)</f>
        <v>44533</v>
      </c>
      <c r="D1432" s="13">
        <f ca="1">_xll.meDateFromTenor(C1432,D$14,D$11,D$12)</f>
        <v>44536</v>
      </c>
      <c r="E1432" s="98">
        <f ca="1"/>
        <v>3.1100270941751391E-3</v>
      </c>
      <c r="F1432" s="94"/>
      <c r="G1432" s="100">
        <f ca="1">_xll.meDateFromTenor(G1431,"1D","FOLLOWING",H$12)</f>
        <v>44533</v>
      </c>
      <c r="H1432" s="13">
        <f ca="1">_xll.meDateFromTenor(G1432,H$14,H$11,H$12)</f>
        <v>44564</v>
      </c>
      <c r="I1432" s="98">
        <f ca="1"/>
        <v>3.7919534785547677E-3</v>
      </c>
      <c r="J1432" s="94" t="s">
        <v>4</v>
      </c>
      <c r="K1432" s="100">
        <f ca="1">_xll.meDateFromTenor(K1431,"1D","FOLLOWING",L$12)</f>
        <v>44533</v>
      </c>
      <c r="L1432" s="13">
        <f ca="1">_xll.meDateFromTenor(K1432,L$14,L$11,L$12)</f>
        <v>44623</v>
      </c>
      <c r="M1432" s="98">
        <f ca="1"/>
        <v>5.0434846853941399E-3</v>
      </c>
      <c r="N1432" s="5" t="s">
        <v>4</v>
      </c>
      <c r="O1432" s="100">
        <f ca="1">_xll.meDateFromTenor(O1431,"1D","FOLLOWING",P$12)</f>
        <v>44533</v>
      </c>
      <c r="P1432" s="13">
        <f ca="1">_xll.meDateFromTenor(O1432,P$14,P$11,P$12)</f>
        <v>44715</v>
      </c>
      <c r="Q1432" s="98">
        <f ca="1"/>
        <v>6.7851934626027401E-3</v>
      </c>
      <c r="R1432" s="5" t="s">
        <v>4</v>
      </c>
      <c r="S1432" s="100">
        <f ca="1">_xll.meDateFromTenor(S1431,"1D","FOLLOWING",T$12)</f>
        <v>44533</v>
      </c>
      <c r="T1432" s="13">
        <f ca="1">_xll.meDateFromTenor(S1432,T$14,T$11,T$12)</f>
        <v>44900</v>
      </c>
      <c r="U1432" s="98">
        <f ca="1"/>
        <v>8.7405614241773226E-3</v>
      </c>
      <c r="V1432" s="5" t="s">
        <v>4</v>
      </c>
      <c r="W1432" s="84" t="s">
        <v>4</v>
      </c>
    </row>
    <row r="1433" spans="1:23" x14ac:dyDescent="0.25">
      <c r="A1433" s="90">
        <v>1414</v>
      </c>
      <c r="B1433" s="83"/>
      <c r="C1433" s="100">
        <f ca="1">_xll.meDateFromTenor(C1432,"1D","FOLLOWING",D$12)</f>
        <v>44536</v>
      </c>
      <c r="D1433" s="13">
        <f ca="1">_xll.meDateFromTenor(C1433,D$14,D$11,D$12)</f>
        <v>44537</v>
      </c>
      <c r="E1433" s="98">
        <f ca="1"/>
        <v>3.1269625368240518E-3</v>
      </c>
      <c r="F1433" s="94"/>
      <c r="G1433" s="100">
        <f ca="1">_xll.meDateFromTenor(G1432,"1D","FOLLOWING",H$12)</f>
        <v>44536</v>
      </c>
      <c r="H1433" s="13">
        <f ca="1">_xll.meDateFromTenor(G1433,H$14,H$11,H$12)</f>
        <v>44567</v>
      </c>
      <c r="I1433" s="98">
        <f ca="1"/>
        <v>3.8150445795408112E-3</v>
      </c>
      <c r="J1433" s="94" t="s">
        <v>4</v>
      </c>
      <c r="K1433" s="100">
        <f ca="1">_xll.meDateFromTenor(K1432,"1D","FOLLOWING",L$12)</f>
        <v>44536</v>
      </c>
      <c r="L1433" s="13">
        <f ca="1">_xll.meDateFromTenor(K1433,L$14,L$11,L$12)</f>
        <v>44627</v>
      </c>
      <c r="M1433" s="98">
        <f ca="1"/>
        <v>5.0682130460424288E-3</v>
      </c>
      <c r="N1433" s="5" t="s">
        <v>4</v>
      </c>
      <c r="O1433" s="100">
        <f ca="1">_xll.meDateFromTenor(O1432,"1D","FOLLOWING",P$12)</f>
        <v>44536</v>
      </c>
      <c r="P1433" s="13">
        <f ca="1">_xll.meDateFromTenor(O1433,P$14,P$11,P$12)</f>
        <v>44718</v>
      </c>
      <c r="Q1433" s="98">
        <f ca="1"/>
        <v>6.809230941246221E-3</v>
      </c>
      <c r="R1433" s="5" t="s">
        <v>4</v>
      </c>
      <c r="S1433" s="100">
        <f ca="1">_xll.meDateFromTenor(S1432,"1D","FOLLOWING",T$12)</f>
        <v>44536</v>
      </c>
      <c r="T1433" s="13">
        <f ca="1">_xll.meDateFromTenor(S1433,T$14,T$11,T$12)</f>
        <v>44901</v>
      </c>
      <c r="U1433" s="98">
        <f ca="1"/>
        <v>8.7622907816185119E-3</v>
      </c>
      <c r="V1433" s="5" t="s">
        <v>4</v>
      </c>
      <c r="W1433" s="84" t="s">
        <v>4</v>
      </c>
    </row>
    <row r="1434" spans="1:23" x14ac:dyDescent="0.25">
      <c r="A1434" s="90">
        <v>1415</v>
      </c>
      <c r="B1434" s="83"/>
      <c r="C1434" s="100">
        <f ca="1">_xll.meDateFromTenor(C1433,"1D","FOLLOWING",D$12)</f>
        <v>44537</v>
      </c>
      <c r="D1434" s="13">
        <f ca="1">_xll.meDateFromTenor(C1434,D$14,D$11,D$12)</f>
        <v>44538</v>
      </c>
      <c r="E1434" s="98">
        <f ca="1"/>
        <v>3.1353992913980095E-3</v>
      </c>
      <c r="F1434" s="94"/>
      <c r="G1434" s="100">
        <f ca="1">_xll.meDateFromTenor(G1433,"1D","FOLLOWING",H$12)</f>
        <v>44537</v>
      </c>
      <c r="H1434" s="13">
        <f ca="1">_xll.meDateFromTenor(G1434,H$14,H$11,H$12)</f>
        <v>44568</v>
      </c>
      <c r="I1434" s="98">
        <f ca="1"/>
        <v>3.8227024102054593E-3</v>
      </c>
      <c r="J1434" s="94" t="s">
        <v>4</v>
      </c>
      <c r="K1434" s="100">
        <f ca="1">_xll.meDateFromTenor(K1433,"1D","FOLLOWING",L$12)</f>
        <v>44537</v>
      </c>
      <c r="L1434" s="13">
        <f ca="1">_xll.meDateFromTenor(K1434,L$14,L$11,L$12)</f>
        <v>44627</v>
      </c>
      <c r="M1434" s="98">
        <f ca="1"/>
        <v>5.0764670153880817E-3</v>
      </c>
      <c r="N1434" s="5" t="s">
        <v>4</v>
      </c>
      <c r="O1434" s="100">
        <f ca="1">_xll.meDateFromTenor(O1433,"1D","FOLLOWING",P$12)</f>
        <v>44537</v>
      </c>
      <c r="P1434" s="13">
        <f ca="1">_xll.meDateFromTenor(O1434,P$14,P$11,P$12)</f>
        <v>44719</v>
      </c>
      <c r="Q1434" s="98">
        <f ca="1"/>
        <v>6.8172510332995644E-3</v>
      </c>
      <c r="R1434" s="5" t="s">
        <v>4</v>
      </c>
      <c r="S1434" s="100">
        <f ca="1">_xll.meDateFromTenor(S1433,"1D","FOLLOWING",T$12)</f>
        <v>44537</v>
      </c>
      <c r="T1434" s="13">
        <f ca="1">_xll.meDateFromTenor(S1434,T$14,T$11,T$12)</f>
        <v>44902</v>
      </c>
      <c r="U1434" s="98">
        <f ca="1"/>
        <v>8.7695324775192741E-3</v>
      </c>
      <c r="V1434" s="5" t="s">
        <v>4</v>
      </c>
      <c r="W1434" s="84" t="s">
        <v>4</v>
      </c>
    </row>
    <row r="1435" spans="1:23" x14ac:dyDescent="0.25">
      <c r="A1435" s="90">
        <v>1416</v>
      </c>
      <c r="B1435" s="83"/>
      <c r="C1435" s="100">
        <f ca="1">_xll.meDateFromTenor(C1434,"1D","FOLLOWING",D$12)</f>
        <v>44538</v>
      </c>
      <c r="D1435" s="13">
        <f ca="1">_xll.meDateFromTenor(C1435,D$14,D$11,D$12)</f>
        <v>44539</v>
      </c>
      <c r="E1435" s="98">
        <f ca="1"/>
        <v>3.143809405524126E-3</v>
      </c>
      <c r="F1435" s="94"/>
      <c r="G1435" s="100">
        <f ca="1">_xll.meDateFromTenor(G1434,"1D","FOLLOWING",H$12)</f>
        <v>44538</v>
      </c>
      <c r="H1435" s="13">
        <f ca="1">_xll.meDateFromTenor(G1435,H$14,H$11,H$12)</f>
        <v>44571</v>
      </c>
      <c r="I1435" s="98">
        <f ca="1"/>
        <v>3.8303410028955763E-3</v>
      </c>
      <c r="J1435" s="94" t="s">
        <v>4</v>
      </c>
      <c r="K1435" s="100">
        <f ca="1">_xll.meDateFromTenor(K1434,"1D","FOLLOWING",L$12)</f>
        <v>44538</v>
      </c>
      <c r="L1435" s="13">
        <f ca="1">_xll.meDateFromTenor(K1435,L$14,L$11,L$12)</f>
        <v>44628</v>
      </c>
      <c r="M1435" s="98">
        <f ca="1"/>
        <v>5.0847264766967068E-3</v>
      </c>
      <c r="N1435" s="5" t="s">
        <v>4</v>
      </c>
      <c r="O1435" s="100">
        <f ca="1">_xll.meDateFromTenor(O1434,"1D","FOLLOWING",P$12)</f>
        <v>44538</v>
      </c>
      <c r="P1435" s="13">
        <f ca="1">_xll.meDateFromTenor(O1435,P$14,P$11,P$12)</f>
        <v>44720</v>
      </c>
      <c r="Q1435" s="98">
        <f ca="1"/>
        <v>6.8252748582060818E-3</v>
      </c>
      <c r="R1435" s="5" t="s">
        <v>4</v>
      </c>
      <c r="S1435" s="100">
        <f ca="1">_xll.meDateFromTenor(S1434,"1D","FOLLOWING",T$12)</f>
        <v>44538</v>
      </c>
      <c r="T1435" s="13">
        <f ca="1">_xll.meDateFromTenor(S1435,T$14,T$11,T$12)</f>
        <v>44903</v>
      </c>
      <c r="U1435" s="98">
        <f ca="1"/>
        <v>8.7767734572420826E-3</v>
      </c>
      <c r="V1435" s="5" t="s">
        <v>4</v>
      </c>
      <c r="W1435" s="84" t="s">
        <v>4</v>
      </c>
    </row>
    <row r="1436" spans="1:23" x14ac:dyDescent="0.25">
      <c r="A1436" s="90">
        <v>1417</v>
      </c>
      <c r="B1436" s="83"/>
      <c r="C1436" s="100">
        <f ca="1">_xll.meDateFromTenor(C1435,"1D","FOLLOWING",D$12)</f>
        <v>44539</v>
      </c>
      <c r="D1436" s="13">
        <f ca="1">_xll.meDateFromTenor(C1436,D$14,D$11,D$12)</f>
        <v>44540</v>
      </c>
      <c r="E1436" s="98">
        <f ca="1"/>
        <v>3.1521928785588973E-3</v>
      </c>
      <c r="F1436" s="94"/>
      <c r="G1436" s="100">
        <f ca="1">_xll.meDateFromTenor(G1435,"1D","FOLLOWING",H$12)</f>
        <v>44539</v>
      </c>
      <c r="H1436" s="13">
        <f ca="1">_xll.meDateFromTenor(G1436,H$14,H$11,H$12)</f>
        <v>44571</v>
      </c>
      <c r="I1436" s="98">
        <f ca="1"/>
        <v>3.8379605757256517E-3</v>
      </c>
      <c r="J1436" s="94" t="s">
        <v>4</v>
      </c>
      <c r="K1436" s="100">
        <f ca="1">_xll.meDateFromTenor(K1435,"1D","FOLLOWING",L$12)</f>
        <v>44539</v>
      </c>
      <c r="L1436" s="13">
        <f ca="1">_xll.meDateFromTenor(K1436,L$14,L$11,L$12)</f>
        <v>44629</v>
      </c>
      <c r="M1436" s="98">
        <f ca="1"/>
        <v>5.0929913704072247E-3</v>
      </c>
      <c r="N1436" s="5" t="s">
        <v>4</v>
      </c>
      <c r="O1436" s="100">
        <f ca="1">_xll.meDateFromTenor(O1435,"1D","FOLLOWING",P$12)</f>
        <v>44539</v>
      </c>
      <c r="P1436" s="13">
        <f ca="1">_xll.meDateFromTenor(O1436,P$14,P$11,P$12)</f>
        <v>44721</v>
      </c>
      <c r="Q1436" s="98">
        <f ca="1"/>
        <v>6.833302375926025E-3</v>
      </c>
      <c r="R1436" s="5" t="s">
        <v>4</v>
      </c>
      <c r="S1436" s="100">
        <f ca="1">_xll.meDateFromTenor(S1435,"1D","FOLLOWING",T$12)</f>
        <v>44539</v>
      </c>
      <c r="T1436" s="13">
        <f ca="1">_xll.meDateFromTenor(S1436,T$14,T$11,T$12)</f>
        <v>44904</v>
      </c>
      <c r="U1436" s="98">
        <f ca="1"/>
        <v>8.784013718054054E-3</v>
      </c>
      <c r="V1436" s="5" t="s">
        <v>4</v>
      </c>
      <c r="W1436" s="84" t="s">
        <v>4</v>
      </c>
    </row>
    <row r="1437" spans="1:23" x14ac:dyDescent="0.25">
      <c r="A1437" s="90">
        <v>1418</v>
      </c>
      <c r="B1437" s="83"/>
      <c r="C1437" s="100">
        <f ca="1">_xll.meDateFromTenor(C1436,"1D","FOLLOWING",D$12)</f>
        <v>44540</v>
      </c>
      <c r="D1437" s="13">
        <f ca="1">_xll.meDateFromTenor(C1437,D$14,D$11,D$12)</f>
        <v>44543</v>
      </c>
      <c r="E1437" s="98">
        <f ca="1"/>
        <v>3.1688989134350388E-3</v>
      </c>
      <c r="F1437" s="94"/>
      <c r="G1437" s="100">
        <f ca="1">_xll.meDateFromTenor(G1436,"1D","FOLLOWING",H$12)</f>
        <v>44540</v>
      </c>
      <c r="H1437" s="13">
        <f ca="1">_xll.meDateFromTenor(G1437,H$14,H$11,H$12)</f>
        <v>44571</v>
      </c>
      <c r="I1437" s="98">
        <f ca="1"/>
        <v>3.8455613468101769E-3</v>
      </c>
      <c r="J1437" s="94" t="s">
        <v>4</v>
      </c>
      <c r="K1437" s="100">
        <f ca="1">_xll.meDateFromTenor(K1436,"1D","FOLLOWING",L$12)</f>
        <v>44540</v>
      </c>
      <c r="L1437" s="13">
        <f ca="1">_xll.meDateFromTenor(K1437,L$14,L$11,L$12)</f>
        <v>44630</v>
      </c>
      <c r="M1437" s="98">
        <f ca="1"/>
        <v>5.1012616369585538E-3</v>
      </c>
      <c r="N1437" s="5" t="s">
        <v>4</v>
      </c>
      <c r="O1437" s="100">
        <f ca="1">_xll.meDateFromTenor(O1436,"1D","FOLLOWING",P$12)</f>
        <v>44540</v>
      </c>
      <c r="P1437" s="13">
        <f ca="1">_xll.meDateFromTenor(O1437,P$14,P$11,P$12)</f>
        <v>44722</v>
      </c>
      <c r="Q1437" s="98">
        <f ca="1"/>
        <v>6.8413335464196454E-3</v>
      </c>
      <c r="R1437" s="5" t="s">
        <v>4</v>
      </c>
      <c r="S1437" s="100">
        <f ca="1">_xll.meDateFromTenor(S1436,"1D","FOLLOWING",T$12)</f>
        <v>44540</v>
      </c>
      <c r="T1437" s="13">
        <f ca="1">_xll.meDateFromTenor(S1437,T$14,T$11,T$12)</f>
        <v>44907</v>
      </c>
      <c r="U1437" s="98">
        <f ca="1"/>
        <v>8.7912532572223066E-3</v>
      </c>
      <c r="V1437" s="5" t="s">
        <v>4</v>
      </c>
      <c r="W1437" s="84" t="s">
        <v>4</v>
      </c>
    </row>
    <row r="1438" spans="1:23" x14ac:dyDescent="0.25">
      <c r="A1438" s="90">
        <v>1419</v>
      </c>
      <c r="B1438" s="83"/>
      <c r="C1438" s="100">
        <f ca="1">_xll.meDateFromTenor(C1437,"1D","FOLLOWING",D$12)</f>
        <v>44543</v>
      </c>
      <c r="D1438" s="13">
        <f ca="1">_xll.meDateFromTenor(C1438,D$14,D$11,D$12)</f>
        <v>44544</v>
      </c>
      <c r="E1438" s="98">
        <f ca="1"/>
        <v>3.1854603540532617E-3</v>
      </c>
      <c r="F1438" s="94"/>
      <c r="G1438" s="100">
        <f ca="1">_xll.meDateFromTenor(G1437,"1D","FOLLOWING",H$12)</f>
        <v>44543</v>
      </c>
      <c r="H1438" s="13">
        <f ca="1">_xll.meDateFromTenor(G1438,H$14,H$11,H$12)</f>
        <v>44574</v>
      </c>
      <c r="I1438" s="98">
        <f ca="1"/>
        <v>3.8682530307353664E-3</v>
      </c>
      <c r="J1438" s="94" t="s">
        <v>4</v>
      </c>
      <c r="K1438" s="100">
        <f ca="1">_xll.meDateFromTenor(K1437,"1D","FOLLOWING",L$12)</f>
        <v>44543</v>
      </c>
      <c r="L1438" s="13">
        <f ca="1">_xll.meDateFromTenor(K1438,L$14,L$11,L$12)</f>
        <v>44634</v>
      </c>
      <c r="M1438" s="98">
        <f ca="1"/>
        <v>5.1261040780465816E-3</v>
      </c>
      <c r="N1438" s="5" t="s">
        <v>4</v>
      </c>
      <c r="O1438" s="100">
        <f ca="1">_xll.meDateFromTenor(O1437,"1D","FOLLOWING",P$12)</f>
        <v>44543</v>
      </c>
      <c r="P1438" s="13">
        <f ca="1">_xll.meDateFromTenor(O1438,P$14,P$11,P$12)</f>
        <v>44725</v>
      </c>
      <c r="Q1438" s="98">
        <f ca="1"/>
        <v>6.8654485741450645E-3</v>
      </c>
      <c r="R1438" s="5" t="s">
        <v>4</v>
      </c>
      <c r="S1438" s="100">
        <f ca="1">_xll.meDateFromTenor(S1437,"1D","FOLLOWING",T$12)</f>
        <v>44543</v>
      </c>
      <c r="T1438" s="13">
        <f ca="1">_xll.meDateFromTenor(S1438,T$14,T$11,T$12)</f>
        <v>44908</v>
      </c>
      <c r="U1438" s="98">
        <f ca="1"/>
        <v>8.8129675175359305E-3</v>
      </c>
      <c r="V1438" s="5" t="s">
        <v>4</v>
      </c>
      <c r="W1438" s="84" t="s">
        <v>4</v>
      </c>
    </row>
    <row r="1439" spans="1:23" x14ac:dyDescent="0.25">
      <c r="A1439" s="90">
        <v>1420</v>
      </c>
      <c r="B1439" s="83"/>
      <c r="C1439" s="100">
        <f ca="1">_xll.meDateFromTenor(C1438,"1D","FOLLOWING",D$12)</f>
        <v>44544</v>
      </c>
      <c r="D1439" s="13">
        <f ca="1">_xll.meDateFromTenor(C1439,D$14,D$11,D$12)</f>
        <v>44545</v>
      </c>
      <c r="E1439" s="98">
        <f ca="1"/>
        <v>3.1937106169271589E-3</v>
      </c>
      <c r="F1439" s="94"/>
      <c r="G1439" s="100">
        <f ca="1">_xll.meDateFromTenor(G1438,"1D","FOLLOWING",H$12)</f>
        <v>44544</v>
      </c>
      <c r="H1439" s="13">
        <f ca="1">_xll.meDateFromTenor(G1439,H$14,H$11,H$12)</f>
        <v>44575</v>
      </c>
      <c r="I1439" s="98">
        <f ca="1"/>
        <v>3.8757807759826012E-3</v>
      </c>
      <c r="J1439" s="94" t="s">
        <v>4</v>
      </c>
      <c r="K1439" s="100">
        <f ca="1">_xll.meDateFromTenor(K1438,"1D","FOLLOWING",L$12)</f>
        <v>44544</v>
      </c>
      <c r="L1439" s="13">
        <f ca="1">_xll.meDateFromTenor(K1439,L$14,L$11,L$12)</f>
        <v>44634</v>
      </c>
      <c r="M1439" s="98">
        <f ca="1"/>
        <v>5.134395240350329E-3</v>
      </c>
      <c r="N1439" s="5" t="s">
        <v>4</v>
      </c>
      <c r="O1439" s="100">
        <f ca="1">_xll.meDateFromTenor(O1438,"1D","FOLLOWING",P$12)</f>
        <v>44544</v>
      </c>
      <c r="P1439" s="13">
        <f ca="1">_xll.meDateFromTenor(O1439,P$14,P$11,P$12)</f>
        <v>44726</v>
      </c>
      <c r="Q1439" s="98">
        <f ca="1"/>
        <v>6.8734939553358907E-3</v>
      </c>
      <c r="R1439" s="5" t="s">
        <v>4</v>
      </c>
      <c r="S1439" s="100">
        <f ca="1">_xll.meDateFromTenor(S1438,"1D","FOLLOWING",T$12)</f>
        <v>44544</v>
      </c>
      <c r="T1439" s="13">
        <f ca="1">_xll.meDateFromTenor(S1439,T$14,T$11,T$12)</f>
        <v>44909</v>
      </c>
      <c r="U1439" s="98">
        <f ca="1"/>
        <v>8.8202041428004831E-3</v>
      </c>
      <c r="V1439" s="5" t="s">
        <v>4</v>
      </c>
      <c r="W1439" s="84" t="s">
        <v>4</v>
      </c>
    </row>
    <row r="1440" spans="1:23" x14ac:dyDescent="0.25">
      <c r="A1440" s="90">
        <v>1421</v>
      </c>
      <c r="B1440" s="83"/>
      <c r="C1440" s="100">
        <f ca="1">_xll.meDateFromTenor(C1439,"1D","FOLLOWING",D$12)</f>
        <v>44545</v>
      </c>
      <c r="D1440" s="13">
        <f ca="1">_xll.meDateFromTenor(C1440,D$14,D$11,D$12)</f>
        <v>44546</v>
      </c>
      <c r="E1440" s="98">
        <f ca="1"/>
        <v>3.2019342367112782E-3</v>
      </c>
      <c r="F1440" s="94"/>
      <c r="G1440" s="100">
        <f ca="1">_xll.meDateFromTenor(G1439,"1D","FOLLOWING",H$12)</f>
        <v>44545</v>
      </c>
      <c r="H1440" s="13">
        <f ca="1">_xll.meDateFromTenor(G1440,H$14,H$11,H$12)</f>
        <v>44578</v>
      </c>
      <c r="I1440" s="98">
        <f ca="1"/>
        <v>3.8832908100567432E-3</v>
      </c>
      <c r="J1440" s="94" t="s">
        <v>4</v>
      </c>
      <c r="K1440" s="100">
        <f ca="1">_xll.meDateFromTenor(K1439,"1D","FOLLOWING",L$12)</f>
        <v>44545</v>
      </c>
      <c r="L1440" s="13">
        <f ca="1">_xll.meDateFromTenor(K1440,L$14,L$11,L$12)</f>
        <v>44635</v>
      </c>
      <c r="M1440" s="98">
        <f ca="1"/>
        <v>5.1426914776894804E-3</v>
      </c>
      <c r="N1440" s="5" t="s">
        <v>4</v>
      </c>
      <c r="O1440" s="100">
        <f ca="1">_xll.meDateFromTenor(O1439,"1D","FOLLOWING",P$12)</f>
        <v>44545</v>
      </c>
      <c r="P1440" s="13">
        <f ca="1">_xll.meDateFromTenor(O1440,P$14,P$11,P$12)</f>
        <v>44727</v>
      </c>
      <c r="Q1440" s="98">
        <f ca="1"/>
        <v>6.8815427891016478E-3</v>
      </c>
      <c r="R1440" s="5" t="s">
        <v>4</v>
      </c>
      <c r="S1440" s="100">
        <f ca="1">_xll.meDateFromTenor(S1439,"1D","FOLLOWING",T$12)</f>
        <v>44545</v>
      </c>
      <c r="T1440" s="13">
        <f ca="1">_xll.meDateFromTenor(S1440,T$14,T$11,T$12)</f>
        <v>44910</v>
      </c>
      <c r="U1440" s="98">
        <f ca="1"/>
        <v>8.8274400327569055E-3</v>
      </c>
      <c r="V1440" s="5" t="s">
        <v>4</v>
      </c>
      <c r="W1440" s="84" t="s">
        <v>4</v>
      </c>
    </row>
    <row r="1441" spans="1:23" x14ac:dyDescent="0.25">
      <c r="A1441" s="90">
        <v>1422</v>
      </c>
      <c r="B1441" s="83"/>
      <c r="C1441" s="100">
        <f ca="1">_xll.meDateFromTenor(C1440,"1D","FOLLOWING",D$12)</f>
        <v>44546</v>
      </c>
      <c r="D1441" s="13">
        <f ca="1">_xll.meDateFromTenor(C1441,D$14,D$11,D$12)</f>
        <v>44547</v>
      </c>
      <c r="E1441" s="98">
        <f ca="1"/>
        <v>3.2101312129290661E-3</v>
      </c>
      <c r="F1441" s="94"/>
      <c r="G1441" s="100">
        <f ca="1">_xll.meDateFromTenor(G1440,"1D","FOLLOWING",H$12)</f>
        <v>44546</v>
      </c>
      <c r="H1441" s="13">
        <f ca="1">_xll.meDateFromTenor(G1441,H$14,H$11,H$12)</f>
        <v>44578</v>
      </c>
      <c r="I1441" s="98">
        <f ca="1"/>
        <v>3.8907833510722829E-3</v>
      </c>
      <c r="J1441" s="94" t="s">
        <v>4</v>
      </c>
      <c r="K1441" s="100">
        <f ca="1">_xll.meDateFromTenor(K1440,"1D","FOLLOWING",L$12)</f>
        <v>44546</v>
      </c>
      <c r="L1441" s="13">
        <f ca="1">_xll.meDateFromTenor(K1441,L$14,L$11,L$12)</f>
        <v>44636</v>
      </c>
      <c r="M1441" s="98">
        <f ca="1"/>
        <v>5.1509927305029507E-3</v>
      </c>
      <c r="N1441" s="5" t="s">
        <v>4</v>
      </c>
      <c r="O1441" s="100">
        <f ca="1">_xll.meDateFromTenor(O1440,"1D","FOLLOWING",P$12)</f>
        <v>44546</v>
      </c>
      <c r="P1441" s="13">
        <f ca="1">_xll.meDateFromTenor(O1441,P$14,P$11,P$12)</f>
        <v>44728</v>
      </c>
      <c r="Q1441" s="98">
        <f ca="1"/>
        <v>6.8895950354025837E-3</v>
      </c>
      <c r="R1441" s="5" t="s">
        <v>4</v>
      </c>
      <c r="S1441" s="100">
        <f ca="1">_xll.meDateFromTenor(S1440,"1D","FOLLOWING",T$12)</f>
        <v>44546</v>
      </c>
      <c r="T1441" s="13">
        <f ca="1">_xll.meDateFromTenor(S1441,T$14,T$11,T$12)</f>
        <v>44911</v>
      </c>
      <c r="U1441" s="98">
        <f ca="1"/>
        <v>8.8346751846723175E-3</v>
      </c>
      <c r="V1441" s="5" t="s">
        <v>4</v>
      </c>
      <c r="W1441" s="84" t="s">
        <v>4</v>
      </c>
    </row>
    <row r="1442" spans="1:23" x14ac:dyDescent="0.25">
      <c r="A1442" s="90">
        <v>1423</v>
      </c>
      <c r="B1442" s="83"/>
      <c r="C1442" s="100">
        <f ca="1">_xll.meDateFromTenor(C1441,"1D","FOLLOWING",D$12)</f>
        <v>44547</v>
      </c>
      <c r="D1442" s="13">
        <f ca="1">_xll.meDateFromTenor(C1442,D$14,D$11,D$12)</f>
        <v>44550</v>
      </c>
      <c r="E1442" s="98">
        <f ca="1"/>
        <v>3.2264652676785191E-3</v>
      </c>
      <c r="F1442" s="94"/>
      <c r="G1442" s="100">
        <f ca="1">_xll.meDateFromTenor(G1441,"1D","FOLLOWING",H$12)</f>
        <v>44547</v>
      </c>
      <c r="H1442" s="13">
        <f ca="1">_xll.meDateFromTenor(G1442,H$14,H$11,H$12)</f>
        <v>44578</v>
      </c>
      <c r="I1442" s="98">
        <f ca="1"/>
        <v>3.8982586171437089E-3</v>
      </c>
      <c r="J1442" s="94" t="s">
        <v>4</v>
      </c>
      <c r="K1442" s="100">
        <f ca="1">_xll.meDateFromTenor(K1441,"1D","FOLLOWING",L$12)</f>
        <v>44547</v>
      </c>
      <c r="L1442" s="13">
        <f ca="1">_xll.meDateFromTenor(K1442,L$14,L$11,L$12)</f>
        <v>44637</v>
      </c>
      <c r="M1442" s="98">
        <f ca="1"/>
        <v>5.1592989392296581E-3</v>
      </c>
      <c r="N1442" s="5" t="s">
        <v>4</v>
      </c>
      <c r="O1442" s="100">
        <f ca="1">_xll.meDateFromTenor(O1441,"1D","FOLLOWING",P$12)</f>
        <v>44547</v>
      </c>
      <c r="P1442" s="13">
        <f ca="1">_xll.meDateFromTenor(O1442,P$14,P$11,P$12)</f>
        <v>44729</v>
      </c>
      <c r="Q1442" s="98">
        <f ca="1"/>
        <v>6.8976506541989502E-3</v>
      </c>
      <c r="R1442" s="5" t="s">
        <v>4</v>
      </c>
      <c r="S1442" s="100">
        <f ca="1">_xll.meDateFromTenor(S1441,"1D","FOLLOWING",T$12)</f>
        <v>44547</v>
      </c>
      <c r="T1442" s="13">
        <f ca="1">_xll.meDateFromTenor(S1442,T$14,T$11,T$12)</f>
        <v>44914</v>
      </c>
      <c r="U1442" s="98">
        <f ca="1"/>
        <v>8.8419095958138343E-3</v>
      </c>
      <c r="V1442" s="5" t="s">
        <v>4</v>
      </c>
      <c r="W1442" s="84" t="s">
        <v>4</v>
      </c>
    </row>
    <row r="1443" spans="1:23" x14ac:dyDescent="0.25">
      <c r="A1443" s="90">
        <v>1424</v>
      </c>
      <c r="B1443" s="83"/>
      <c r="C1443" s="100">
        <f ca="1">_xll.meDateFromTenor(C1442,"1D","FOLLOWING",D$12)</f>
        <v>44550</v>
      </c>
      <c r="D1443" s="13">
        <f ca="1">_xll.meDateFromTenor(C1443,D$14,D$11,D$12)</f>
        <v>44551</v>
      </c>
      <c r="E1443" s="98">
        <f ca="1"/>
        <v>3.2426526740531518E-3</v>
      </c>
      <c r="F1443" s="94"/>
      <c r="G1443" s="100">
        <f ca="1">_xll.meDateFromTenor(G1442,"1D","FOLLOWING",H$12)</f>
        <v>44550</v>
      </c>
      <c r="H1443" s="13">
        <f ca="1">_xll.meDateFromTenor(G1443,H$14,H$11,H$12)</f>
        <v>44581</v>
      </c>
      <c r="I1443" s="98">
        <f ca="1"/>
        <v>3.9205829468382239E-3</v>
      </c>
      <c r="J1443" s="94" t="s">
        <v>4</v>
      </c>
      <c r="K1443" s="100">
        <f ca="1">_xll.meDateFromTenor(K1442,"1D","FOLLOWING",L$12)</f>
        <v>44550</v>
      </c>
      <c r="L1443" s="13">
        <f ca="1">_xll.meDateFromTenor(K1443,L$14,L$11,L$12)</f>
        <v>44641</v>
      </c>
      <c r="M1443" s="98">
        <f ca="1"/>
        <v>5.1842467052783808E-3</v>
      </c>
      <c r="N1443" s="5" t="s">
        <v>4</v>
      </c>
      <c r="O1443" s="100">
        <f ca="1">_xll.meDateFromTenor(O1442,"1D","FOLLOWING",P$12)</f>
        <v>44550</v>
      </c>
      <c r="P1443" s="13">
        <f ca="1">_xll.meDateFromTenor(O1443,P$14,P$11,P$12)</f>
        <v>44732</v>
      </c>
      <c r="Q1443" s="98">
        <f ca="1"/>
        <v>6.9218373451631291E-3</v>
      </c>
      <c r="R1443" s="5" t="s">
        <v>4</v>
      </c>
      <c r="S1443" s="100">
        <f ca="1">_xll.meDateFromTenor(S1442,"1D","FOLLOWING",T$12)</f>
        <v>44550</v>
      </c>
      <c r="T1443" s="13">
        <f ca="1">_xll.meDateFromTenor(S1443,T$14,T$11,T$12)</f>
        <v>44915</v>
      </c>
      <c r="U1443" s="98">
        <f ca="1"/>
        <v>8.8636083572661891E-3</v>
      </c>
      <c r="V1443" s="5" t="s">
        <v>4</v>
      </c>
      <c r="W1443" s="84" t="s">
        <v>4</v>
      </c>
    </row>
    <row r="1444" spans="1:23" x14ac:dyDescent="0.25">
      <c r="A1444" s="90">
        <v>1425</v>
      </c>
      <c r="B1444" s="83"/>
      <c r="C1444" s="100">
        <f ca="1">_xll.meDateFromTenor(C1443,"1D","FOLLOWING",D$12)</f>
        <v>44551</v>
      </c>
      <c r="D1444" s="13">
        <f ca="1">_xll.meDateFromTenor(C1444,D$14,D$11,D$12)</f>
        <v>44552</v>
      </c>
      <c r="E1444" s="98">
        <f ca="1"/>
        <v>3.2507164263600769E-3</v>
      </c>
      <c r="F1444" s="94"/>
      <c r="G1444" s="100">
        <f ca="1">_xll.meDateFromTenor(G1443,"1D","FOLLOWING",H$12)</f>
        <v>44551</v>
      </c>
      <c r="H1444" s="13">
        <f ca="1">_xll.meDateFromTenor(G1444,H$14,H$11,H$12)</f>
        <v>44582</v>
      </c>
      <c r="I1444" s="98">
        <f ca="1"/>
        <v>3.9279912942781119E-3</v>
      </c>
      <c r="J1444" s="94" t="s">
        <v>4</v>
      </c>
      <c r="K1444" s="100">
        <f ca="1">_xll.meDateFromTenor(K1443,"1D","FOLLOWING",L$12)</f>
        <v>44551</v>
      </c>
      <c r="L1444" s="13">
        <f ca="1">_xll.meDateFromTenor(K1444,L$14,L$11,L$12)</f>
        <v>44641</v>
      </c>
      <c r="M1444" s="98">
        <f ca="1"/>
        <v>5.1925721420472163E-3</v>
      </c>
      <c r="N1444" s="5" t="s">
        <v>4</v>
      </c>
      <c r="O1444" s="100">
        <f ca="1">_xll.meDateFromTenor(O1443,"1D","FOLLOWING",P$12)</f>
        <v>44551</v>
      </c>
      <c r="P1444" s="13">
        <f ca="1">_xll.meDateFromTenor(O1444,P$14,P$11,P$12)</f>
        <v>44733</v>
      </c>
      <c r="Q1444" s="98">
        <f ca="1"/>
        <v>6.9299060535437176E-3</v>
      </c>
      <c r="R1444" s="5" t="s">
        <v>4</v>
      </c>
      <c r="S1444" s="100">
        <f ca="1">_xll.meDateFromTenor(S1443,"1D","FOLLOWING",T$12)</f>
        <v>44551</v>
      </c>
      <c r="T1444" s="13">
        <f ca="1">_xll.meDateFromTenor(S1444,T$14,T$11,T$12)</f>
        <v>44916</v>
      </c>
      <c r="U1444" s="98">
        <f ca="1"/>
        <v>8.8708397779833029E-3</v>
      </c>
      <c r="V1444" s="5" t="s">
        <v>4</v>
      </c>
      <c r="W1444" s="84" t="s">
        <v>4</v>
      </c>
    </row>
    <row r="1445" spans="1:23" x14ac:dyDescent="0.25">
      <c r="A1445" s="90">
        <v>1426</v>
      </c>
      <c r="B1445" s="83"/>
      <c r="C1445" s="100">
        <f ca="1">_xll.meDateFromTenor(C1444,"1D","FOLLOWING",D$12)</f>
        <v>44552</v>
      </c>
      <c r="D1445" s="13">
        <f ca="1">_xll.meDateFromTenor(C1445,D$14,D$11,D$12)</f>
        <v>44553</v>
      </c>
      <c r="E1445" s="98">
        <f ca="1"/>
        <v>3.2587535326195527E-3</v>
      </c>
      <c r="F1445" s="94"/>
      <c r="G1445" s="100">
        <f ca="1">_xll.meDateFromTenor(G1444,"1D","FOLLOWING",H$12)</f>
        <v>44552</v>
      </c>
      <c r="H1445" s="13">
        <f ca="1">_xll.meDateFromTenor(G1445,H$14,H$11,H$12)</f>
        <v>44585</v>
      </c>
      <c r="I1445" s="98">
        <f ca="1"/>
        <v>3.935383457346342E-3</v>
      </c>
      <c r="J1445" s="94" t="s">
        <v>4</v>
      </c>
      <c r="K1445" s="100">
        <f ca="1">_xll.meDateFromTenor(K1444,"1D","FOLLOWING",L$12)</f>
        <v>44552</v>
      </c>
      <c r="L1445" s="13">
        <f ca="1">_xll.meDateFromTenor(K1445,L$14,L$11,L$12)</f>
        <v>44642</v>
      </c>
      <c r="M1445" s="98">
        <f ca="1"/>
        <v>5.2009022369238784E-3</v>
      </c>
      <c r="N1445" s="5" t="s">
        <v>4</v>
      </c>
      <c r="O1445" s="100">
        <f ca="1">_xll.meDateFromTenor(O1444,"1D","FOLLOWING",P$12)</f>
        <v>44552</v>
      </c>
      <c r="P1445" s="13">
        <f ca="1">_xll.meDateFromTenor(O1445,P$14,P$11,P$12)</f>
        <v>44734</v>
      </c>
      <c r="Q1445" s="98">
        <f ca="1"/>
        <v>6.9379779342209893E-3</v>
      </c>
      <c r="R1445" s="5" t="s">
        <v>4</v>
      </c>
      <c r="S1445" s="100">
        <f ca="1">_xll.meDateFromTenor(S1444,"1D","FOLLOWING",T$12)</f>
        <v>44552</v>
      </c>
      <c r="T1445" s="13">
        <f ca="1">_xll.meDateFromTenor(S1445,T$14,T$11,T$12)</f>
        <v>44917</v>
      </c>
      <c r="U1445" s="98">
        <f ca="1"/>
        <v>8.8780704442621081E-3</v>
      </c>
      <c r="V1445" s="5" t="s">
        <v>4</v>
      </c>
      <c r="W1445" s="84" t="s">
        <v>4</v>
      </c>
    </row>
    <row r="1446" spans="1:23" x14ac:dyDescent="0.25">
      <c r="A1446" s="90">
        <v>1427</v>
      </c>
      <c r="B1446" s="83"/>
      <c r="C1446" s="100">
        <f ca="1">_xll.meDateFromTenor(C1445,"1D","FOLLOWING",D$12)</f>
        <v>44553</v>
      </c>
      <c r="D1446" s="13">
        <f ca="1">_xll.meDateFromTenor(C1446,D$14,D$11,D$12)</f>
        <v>44554</v>
      </c>
      <c r="E1446" s="98">
        <f ca="1"/>
        <v>3.2667639926758705E-3</v>
      </c>
      <c r="F1446" s="94"/>
      <c r="G1446" s="100">
        <f ca="1">_xll.meDateFromTenor(G1445,"1D","FOLLOWING",H$12)</f>
        <v>44553</v>
      </c>
      <c r="H1446" s="13">
        <f ca="1">_xll.meDateFromTenor(G1446,H$14,H$11,H$12)</f>
        <v>44585</v>
      </c>
      <c r="I1446" s="98">
        <f ca="1"/>
        <v>3.9427596541574024E-3</v>
      </c>
      <c r="J1446" s="94" t="s">
        <v>4</v>
      </c>
      <c r="K1446" s="100">
        <f ca="1">_xll.meDateFromTenor(K1445,"1D","FOLLOWING",L$12)</f>
        <v>44553</v>
      </c>
      <c r="L1446" s="13">
        <f ca="1">_xll.meDateFromTenor(K1446,L$14,L$11,L$12)</f>
        <v>44643</v>
      </c>
      <c r="M1446" s="98">
        <f ca="1"/>
        <v>5.2092369303472818E-3</v>
      </c>
      <c r="N1446" s="5" t="s">
        <v>4</v>
      </c>
      <c r="O1446" s="100">
        <f ca="1">_xll.meDateFromTenor(O1445,"1D","FOLLOWING",P$12)</f>
        <v>44553</v>
      </c>
      <c r="P1446" s="13">
        <f ca="1">_xll.meDateFromTenor(O1446,P$14,P$11,P$12)</f>
        <v>44735</v>
      </c>
      <c r="Q1446" s="98">
        <f ca="1"/>
        <v>6.9460529471551897E-3</v>
      </c>
      <c r="R1446" s="5" t="s">
        <v>4</v>
      </c>
      <c r="S1446" s="100">
        <f ca="1">_xll.meDateFromTenor(S1445,"1D","FOLLOWING",T$12)</f>
        <v>44553</v>
      </c>
      <c r="T1446" s="13">
        <f ca="1">_xll.meDateFromTenor(S1446,T$14,T$11,T$12)</f>
        <v>44918</v>
      </c>
      <c r="U1446" s="98">
        <f ca="1"/>
        <v>8.8853003533697229E-3</v>
      </c>
      <c r="V1446" s="5" t="s">
        <v>4</v>
      </c>
      <c r="W1446" s="84" t="s">
        <v>4</v>
      </c>
    </row>
    <row r="1447" spans="1:23" x14ac:dyDescent="0.25">
      <c r="A1447" s="90">
        <v>1428</v>
      </c>
      <c r="B1447" s="83"/>
      <c r="C1447" s="100">
        <f ca="1">_xll.meDateFromTenor(C1446,"1D","FOLLOWING",D$12)</f>
        <v>44554</v>
      </c>
      <c r="D1447" s="13">
        <f ca="1">_xll.meDateFromTenor(C1447,D$14,D$11,D$12)</f>
        <v>44557</v>
      </c>
      <c r="E1447" s="98">
        <f ca="1"/>
        <v>3.282726022453112E-3</v>
      </c>
      <c r="F1447" s="94"/>
      <c r="G1447" s="100">
        <f ca="1">_xll.meDateFromTenor(G1446,"1D","FOLLOWING",H$12)</f>
        <v>44554</v>
      </c>
      <c r="H1447" s="13">
        <f ca="1">_xll.meDateFromTenor(G1447,H$14,H$11,H$12)</f>
        <v>44585</v>
      </c>
      <c r="I1447" s="98">
        <f ca="1"/>
        <v>3.950120102825791E-3</v>
      </c>
      <c r="J1447" s="94" t="s">
        <v>4</v>
      </c>
      <c r="K1447" s="100">
        <f ca="1">_xll.meDateFromTenor(K1446,"1D","FOLLOWING",L$12)</f>
        <v>44554</v>
      </c>
      <c r="L1447" s="13">
        <f ca="1">_xll.meDateFromTenor(K1447,L$14,L$11,L$12)</f>
        <v>44644</v>
      </c>
      <c r="M1447" s="98">
        <f ca="1"/>
        <v>5.2175761627563533E-3</v>
      </c>
      <c r="N1447" s="5" t="s">
        <v>4</v>
      </c>
      <c r="O1447" s="100">
        <f ca="1">_xll.meDateFromTenor(O1446,"1D","FOLLOWING",P$12)</f>
        <v>44554</v>
      </c>
      <c r="P1447" s="13">
        <f ca="1">_xll.meDateFromTenor(O1447,P$14,P$11,P$12)</f>
        <v>44736</v>
      </c>
      <c r="Q1447" s="98">
        <f ca="1"/>
        <v>6.9541310523065763E-3</v>
      </c>
      <c r="R1447" s="5" t="s">
        <v>4</v>
      </c>
      <c r="S1447" s="100">
        <f ca="1">_xll.meDateFromTenor(S1446,"1D","FOLLOWING",T$12)</f>
        <v>44554</v>
      </c>
      <c r="T1447" s="13">
        <f ca="1">_xll.meDateFromTenor(S1447,T$14,T$11,T$12)</f>
        <v>44922</v>
      </c>
      <c r="U1447" s="98">
        <f ca="1"/>
        <v>8.8925295025732692E-3</v>
      </c>
      <c r="V1447" s="5" t="s">
        <v>4</v>
      </c>
      <c r="W1447" s="84" t="s">
        <v>4</v>
      </c>
    </row>
    <row r="1448" spans="1:23" x14ac:dyDescent="0.25">
      <c r="A1448" s="90">
        <v>1429</v>
      </c>
      <c r="B1448" s="83"/>
      <c r="C1448" s="100">
        <f ca="1">_xll.meDateFromTenor(C1447,"1D","FOLLOWING",D$12)</f>
        <v>44557</v>
      </c>
      <c r="D1448" s="13">
        <f ca="1">_xll.meDateFromTenor(C1448,D$14,D$11,D$12)</f>
        <v>44558</v>
      </c>
      <c r="E1448" s="98">
        <f ca="1"/>
        <v>3.2985393589340778E-3</v>
      </c>
      <c r="F1448" s="94"/>
      <c r="G1448" s="100">
        <f ca="1">_xll.meDateFromTenor(G1447,"1D","FOLLOWING",H$12)</f>
        <v>44557</v>
      </c>
      <c r="H1448" s="13">
        <f ca="1">_xll.meDateFromTenor(G1448,H$14,H$11,H$12)</f>
        <v>44588</v>
      </c>
      <c r="I1448" s="98">
        <f ca="1"/>
        <v>3.9721091411198169E-3</v>
      </c>
      <c r="J1448" s="94" t="s">
        <v>4</v>
      </c>
      <c r="K1448" s="100">
        <f ca="1">_xll.meDateFromTenor(K1447,"1D","FOLLOWING",L$12)</f>
        <v>44557</v>
      </c>
      <c r="L1448" s="13">
        <f ca="1">_xll.meDateFromTenor(K1448,L$14,L$11,L$12)</f>
        <v>44648</v>
      </c>
      <c r="M1448" s="98">
        <f ca="1"/>
        <v>5.2426204982867269E-3</v>
      </c>
      <c r="N1448" s="5" t="s">
        <v>4</v>
      </c>
      <c r="O1448" s="100">
        <f ca="1">_xll.meDateFromTenor(O1447,"1D","FOLLOWING",P$12)</f>
        <v>44557</v>
      </c>
      <c r="P1448" s="13">
        <f ca="1">_xll.meDateFromTenor(O1448,P$14,P$11,P$12)</f>
        <v>44739</v>
      </c>
      <c r="Q1448" s="98">
        <f ca="1"/>
        <v>6.978383520666342E-3</v>
      </c>
      <c r="R1448" s="5" t="s">
        <v>4</v>
      </c>
      <c r="S1448" s="100">
        <f ca="1">_xll.meDateFromTenor(S1447,"1D","FOLLOWING",T$12)</f>
        <v>44557</v>
      </c>
      <c r="T1448" s="13">
        <f ca="1">_xll.meDateFromTenor(S1448,T$14,T$11,T$12)</f>
        <v>44922</v>
      </c>
      <c r="U1448" s="98">
        <f ca="1"/>
        <v>8.9142123634306583E-3</v>
      </c>
      <c r="V1448" s="5" t="s">
        <v>4</v>
      </c>
      <c r="W1448" s="84" t="s">
        <v>4</v>
      </c>
    </row>
    <row r="1449" spans="1:23" x14ac:dyDescent="0.25">
      <c r="A1449" s="90">
        <v>1430</v>
      </c>
      <c r="B1449" s="83"/>
      <c r="C1449" s="100">
        <f ca="1">_xll.meDateFromTenor(C1448,"1D","FOLLOWING",D$12)</f>
        <v>44558</v>
      </c>
      <c r="D1449" s="13">
        <f ca="1">_xll.meDateFromTenor(C1449,D$14,D$11,D$12)</f>
        <v>44559</v>
      </c>
      <c r="E1449" s="98">
        <f ca="1"/>
        <v>3.3064165802082872E-3</v>
      </c>
      <c r="F1449" s="94"/>
      <c r="G1449" s="100">
        <f ca="1">_xll.meDateFromTenor(G1448,"1D","FOLLOWING",H$12)</f>
        <v>44558</v>
      </c>
      <c r="H1449" s="13">
        <f ca="1">_xll.meDateFromTenor(G1449,H$14,H$11,H$12)</f>
        <v>44589</v>
      </c>
      <c r="I1449" s="98">
        <f ca="1"/>
        <v>3.9794087783624156E-3</v>
      </c>
      <c r="J1449" s="94" t="s">
        <v>4</v>
      </c>
      <c r="K1449" s="100">
        <f ca="1">_xll.meDateFromTenor(K1448,"1D","FOLLOWING",L$12)</f>
        <v>44558</v>
      </c>
      <c r="L1449" s="13">
        <f ca="1">_xll.meDateFromTenor(K1449,L$14,L$11,L$12)</f>
        <v>44648</v>
      </c>
      <c r="M1449" s="98">
        <f ca="1"/>
        <v>5.250977291027633E-3</v>
      </c>
      <c r="N1449" s="5" t="s">
        <v>4</v>
      </c>
      <c r="O1449" s="100">
        <f ca="1">_xll.meDateFromTenor(O1448,"1D","FOLLOWING",P$12)</f>
        <v>44558</v>
      </c>
      <c r="P1449" s="13">
        <f ca="1">_xll.meDateFromTenor(O1449,P$14,P$11,P$12)</f>
        <v>44740</v>
      </c>
      <c r="Q1449" s="98">
        <f ca="1"/>
        <v>6.9864735942889652E-3</v>
      </c>
      <c r="R1449" s="5" t="s">
        <v>4</v>
      </c>
      <c r="S1449" s="100">
        <f ca="1">_xll.meDateFromTenor(S1448,"1D","FOLLOWING",T$12)</f>
        <v>44558</v>
      </c>
      <c r="T1449" s="13">
        <f ca="1">_xll.meDateFromTenor(S1449,T$14,T$11,T$12)</f>
        <v>44923</v>
      </c>
      <c r="U1449" s="98">
        <f ca="1"/>
        <v>8.9214384456890936E-3</v>
      </c>
      <c r="V1449" s="5" t="s">
        <v>4</v>
      </c>
      <c r="W1449" s="84" t="s">
        <v>4</v>
      </c>
    </row>
    <row r="1450" spans="1:23" x14ac:dyDescent="0.25">
      <c r="A1450" s="90">
        <v>1431</v>
      </c>
      <c r="B1450" s="83"/>
      <c r="C1450" s="100">
        <f ca="1">_xll.meDateFromTenor(C1449,"1D","FOLLOWING",D$12)</f>
        <v>44559</v>
      </c>
      <c r="D1450" s="13">
        <f ca="1">_xll.meDateFromTenor(C1450,D$14,D$11,D$12)</f>
        <v>44560</v>
      </c>
      <c r="E1450" s="98">
        <f ca="1"/>
        <v>3.3142671520019905E-3</v>
      </c>
      <c r="F1450" s="94"/>
      <c r="G1450" s="100">
        <f ca="1">_xll.meDateFromTenor(G1449,"1D","FOLLOWING",H$12)</f>
        <v>44559</v>
      </c>
      <c r="H1450" s="13">
        <f ca="1">_xll.meDateFromTenor(G1450,H$14,H$11,H$12)</f>
        <v>44592</v>
      </c>
      <c r="I1450" s="98">
        <f ca="1"/>
        <v>3.986693758034795E-3</v>
      </c>
      <c r="J1450" s="94" t="s">
        <v>4</v>
      </c>
      <c r="K1450" s="100">
        <f ca="1">_xll.meDateFromTenor(K1449,"1D","FOLLOWING",L$12)</f>
        <v>44559</v>
      </c>
      <c r="L1450" s="13">
        <f ca="1">_xll.meDateFromTenor(K1450,L$14,L$11,L$12)</f>
        <v>44649</v>
      </c>
      <c r="M1450" s="98">
        <f ca="1"/>
        <v>5.2593383249487915E-3</v>
      </c>
      <c r="N1450" s="5" t="s">
        <v>4</v>
      </c>
      <c r="O1450" s="100">
        <f ca="1">_xll.meDateFromTenor(O1449,"1D","FOLLOWING",P$12)</f>
        <v>44559</v>
      </c>
      <c r="P1450" s="13">
        <f ca="1">_xll.meDateFromTenor(O1450,P$14,P$11,P$12)</f>
        <v>44741</v>
      </c>
      <c r="Q1450" s="98">
        <f ca="1"/>
        <v>6.994566559930024E-3</v>
      </c>
      <c r="R1450" s="5" t="s">
        <v>4</v>
      </c>
      <c r="S1450" s="100">
        <f ca="1">_xll.meDateFromTenor(S1449,"1D","FOLLOWING",T$12)</f>
        <v>44559</v>
      </c>
      <c r="T1450" s="13">
        <f ca="1">_xll.meDateFromTenor(S1450,T$14,T$11,T$12)</f>
        <v>44924</v>
      </c>
      <c r="U1450" s="98">
        <f ca="1"/>
        <v>8.9286637543790504E-3</v>
      </c>
      <c r="V1450" s="5" t="s">
        <v>4</v>
      </c>
      <c r="W1450" s="84" t="s">
        <v>4</v>
      </c>
    </row>
    <row r="1451" spans="1:23" x14ac:dyDescent="0.25">
      <c r="A1451" s="90">
        <v>1432</v>
      </c>
      <c r="B1451" s="83"/>
      <c r="C1451" s="100">
        <f ca="1">_xll.meDateFromTenor(C1450,"1D","FOLLOWING",D$12)</f>
        <v>44560</v>
      </c>
      <c r="D1451" s="13">
        <f ca="1">_xll.meDateFromTenor(C1451,D$14,D$11,D$12)</f>
        <v>44561</v>
      </c>
      <c r="E1451" s="98">
        <f ca="1"/>
        <v>3.3220910742310177E-3</v>
      </c>
      <c r="F1451" s="94"/>
      <c r="G1451" s="100">
        <f ca="1">_xll.meDateFromTenor(G1450,"1D","FOLLOWING",H$12)</f>
        <v>44560</v>
      </c>
      <c r="H1451" s="13">
        <f ca="1">_xll.meDateFromTenor(G1451,H$14,H$11,H$12)</f>
        <v>44592</v>
      </c>
      <c r="I1451" s="98">
        <f ca="1"/>
        <v>3.9939642982514444E-3</v>
      </c>
      <c r="J1451" s="94" t="s">
        <v>4</v>
      </c>
      <c r="K1451" s="100">
        <f ca="1">_xll.meDateFromTenor(K1450,"1D","FOLLOWING",L$12)</f>
        <v>44560</v>
      </c>
      <c r="L1451" s="13">
        <f ca="1">_xll.meDateFromTenor(K1451,L$14,L$11,L$12)</f>
        <v>44650</v>
      </c>
      <c r="M1451" s="98">
        <f ca="1"/>
        <v>5.2677035404891217E-3</v>
      </c>
      <c r="N1451" s="5" t="s">
        <v>4</v>
      </c>
      <c r="O1451" s="100">
        <f ca="1">_xll.meDateFromTenor(O1450,"1D","FOLLOWING",P$12)</f>
        <v>44560</v>
      </c>
      <c r="P1451" s="13">
        <f ca="1">_xll.meDateFromTenor(O1451,P$14,P$11,P$12)</f>
        <v>44742</v>
      </c>
      <c r="Q1451" s="98">
        <f ca="1"/>
        <v>7.0026623775497707E-3</v>
      </c>
      <c r="R1451" s="5" t="s">
        <v>4</v>
      </c>
      <c r="S1451" s="100">
        <f ca="1">_xll.meDateFromTenor(S1450,"1D","FOLLOWING",T$12)</f>
        <v>44560</v>
      </c>
      <c r="T1451" s="13">
        <f ca="1">_xll.meDateFromTenor(S1451,T$14,T$11,T$12)</f>
        <v>44925</v>
      </c>
      <c r="U1451" s="98">
        <f ca="1"/>
        <v>8.9358882867676386E-3</v>
      </c>
      <c r="V1451" s="5" t="s">
        <v>4</v>
      </c>
      <c r="W1451" s="84" t="s">
        <v>4</v>
      </c>
    </row>
    <row r="1452" spans="1:23" x14ac:dyDescent="0.25">
      <c r="A1452" s="90">
        <v>1433</v>
      </c>
      <c r="B1452" s="83"/>
      <c r="C1452" s="100">
        <f ca="1">_xll.meDateFromTenor(C1451,"1D","FOLLOWING",D$12)</f>
        <v>44561</v>
      </c>
      <c r="D1452" s="13">
        <f ca="1">_xll.meDateFromTenor(C1452,D$14,D$11,D$12)</f>
        <v>44564</v>
      </c>
      <c r="E1452" s="98">
        <f ca="1"/>
        <v>3.3376810285192468E-3</v>
      </c>
      <c r="F1452" s="94"/>
      <c r="G1452" s="100">
        <f ca="1">_xll.meDateFromTenor(G1451,"1D","FOLLOWING",H$12)</f>
        <v>44561</v>
      </c>
      <c r="H1452" s="13">
        <f ca="1">_xll.meDateFromTenor(G1452,H$14,H$11,H$12)</f>
        <v>44592</v>
      </c>
      <c r="I1452" s="98">
        <f ca="1"/>
        <v>4.0012206171268555E-3</v>
      </c>
      <c r="J1452" s="94" t="s">
        <v>4</v>
      </c>
      <c r="K1452" s="100">
        <f ca="1">_xll.meDateFromTenor(K1451,"1D","FOLLOWING",L$12)</f>
        <v>44561</v>
      </c>
      <c r="L1452" s="13">
        <f ca="1">_xll.meDateFromTenor(K1452,L$14,L$11,L$12)</f>
        <v>44651</v>
      </c>
      <c r="M1452" s="98">
        <f ca="1"/>
        <v>5.2760728780875425E-3</v>
      </c>
      <c r="N1452" s="5" t="s">
        <v>4</v>
      </c>
      <c r="O1452" s="100">
        <f ca="1">_xll.meDateFromTenor(O1451,"1D","FOLLOWING",P$12)</f>
        <v>44561</v>
      </c>
      <c r="P1452" s="13">
        <f ca="1">_xll.meDateFromTenor(O1452,P$14,P$11,P$12)</f>
        <v>44742</v>
      </c>
      <c r="Q1452" s="98">
        <f ca="1"/>
        <v>7.0107610071084526E-3</v>
      </c>
      <c r="R1452" s="5" t="s">
        <v>4</v>
      </c>
      <c r="S1452" s="100">
        <f ca="1">_xll.meDateFromTenor(S1451,"1D","FOLLOWING",T$12)</f>
        <v>44561</v>
      </c>
      <c r="T1452" s="13">
        <f ca="1">_xll.meDateFromTenor(S1452,T$14,T$11,T$12)</f>
        <v>44925</v>
      </c>
      <c r="U1452" s="98">
        <f ca="1"/>
        <v>8.9431120401219817E-3</v>
      </c>
      <c r="V1452" s="5" t="s">
        <v>4</v>
      </c>
      <c r="W1452" s="84" t="s">
        <v>4</v>
      </c>
    </row>
    <row r="1453" spans="1:23" x14ac:dyDescent="0.25">
      <c r="A1453" s="90">
        <v>1434</v>
      </c>
      <c r="B1453" s="83"/>
      <c r="C1453" s="100">
        <f ca="1">_xll.meDateFromTenor(C1452,"1D","FOLLOWING",D$12)</f>
        <v>44564</v>
      </c>
      <c r="D1453" s="13">
        <f ca="1">_xll.meDateFromTenor(C1453,D$14,D$11,D$12)</f>
        <v>44565</v>
      </c>
      <c r="E1453" s="98">
        <f ca="1"/>
        <v>3.353120257373918E-3</v>
      </c>
      <c r="F1453" s="94"/>
      <c r="G1453" s="100">
        <f ca="1">_xll.meDateFromTenor(G1452,"1D","FOLLOWING",H$12)</f>
        <v>44564</v>
      </c>
      <c r="H1453" s="13">
        <f ca="1">_xll.meDateFromTenor(G1453,H$14,H$11,H$12)</f>
        <v>44595</v>
      </c>
      <c r="I1453" s="98">
        <f ca="1"/>
        <v>4.0229064268505728E-3</v>
      </c>
      <c r="J1453" s="94" t="s">
        <v>4</v>
      </c>
      <c r="K1453" s="100">
        <f ca="1">_xll.meDateFromTenor(K1452,"1D","FOLLOWING",L$12)</f>
        <v>44564</v>
      </c>
      <c r="L1453" s="13">
        <f ca="1">_xll.meDateFromTenor(K1453,L$14,L$11,L$12)</f>
        <v>44655</v>
      </c>
      <c r="M1453" s="98">
        <f ca="1"/>
        <v>5.3012050276205229E-3</v>
      </c>
      <c r="N1453" s="5" t="s">
        <v>4</v>
      </c>
      <c r="O1453" s="100">
        <f ca="1">_xll.meDateFromTenor(O1452,"1D","FOLLOWING",P$12)</f>
        <v>44564</v>
      </c>
      <c r="P1453" s="13">
        <f ca="1">_xll.meDateFromTenor(O1453,P$14,P$11,P$12)</f>
        <v>44746</v>
      </c>
      <c r="Q1453" s="98">
        <f ca="1"/>
        <v>7.0350733670206207E-3</v>
      </c>
      <c r="R1453" s="5" t="s">
        <v>4</v>
      </c>
      <c r="S1453" s="100">
        <f ca="1">_xll.meDateFromTenor(S1452,"1D","FOLLOWING",T$12)</f>
        <v>44564</v>
      </c>
      <c r="T1453" s="13">
        <f ca="1">_xll.meDateFromTenor(S1453,T$14,T$11,T$12)</f>
        <v>44929</v>
      </c>
      <c r="U1453" s="98">
        <f ca="1"/>
        <v>8.9647785986506981E-3</v>
      </c>
      <c r="V1453" s="5" t="s">
        <v>4</v>
      </c>
      <c r="W1453" s="84" t="s">
        <v>4</v>
      </c>
    </row>
    <row r="1454" spans="1:23" x14ac:dyDescent="0.25">
      <c r="A1454" s="90">
        <v>1435</v>
      </c>
      <c r="B1454" s="83"/>
      <c r="C1454" s="100">
        <f ca="1">_xll.meDateFromTenor(C1453,"1D","FOLLOWING",D$12)</f>
        <v>44565</v>
      </c>
      <c r="D1454" s="13">
        <f ca="1">_xll.meDateFromTenor(C1454,D$14,D$11,D$12)</f>
        <v>44566</v>
      </c>
      <c r="E1454" s="98">
        <f ca="1"/>
        <v>3.3608109242783063E-3</v>
      </c>
      <c r="F1454" s="94"/>
      <c r="G1454" s="100">
        <f ca="1">_xll.meDateFromTenor(G1453,"1D","FOLLOWING",H$12)</f>
        <v>44565</v>
      </c>
      <c r="H1454" s="13">
        <f ca="1">_xll.meDateFromTenor(G1454,H$14,H$11,H$12)</f>
        <v>44596</v>
      </c>
      <c r="I1454" s="98">
        <f ca="1"/>
        <v>4.030108521360265E-3</v>
      </c>
      <c r="J1454" s="94" t="s">
        <v>4</v>
      </c>
      <c r="K1454" s="100">
        <f ca="1">_xll.meDateFromTenor(K1453,"1D","FOLLOWING",L$12)</f>
        <v>44565</v>
      </c>
      <c r="L1454" s="13">
        <f ca="1">_xll.meDateFromTenor(K1454,L$14,L$11,L$12)</f>
        <v>44655</v>
      </c>
      <c r="M1454" s="98">
        <f ca="1"/>
        <v>5.3095902578404837E-3</v>
      </c>
      <c r="N1454" s="5" t="s">
        <v>4</v>
      </c>
      <c r="O1454" s="100">
        <f ca="1">_xll.meDateFromTenor(O1453,"1D","FOLLOWING",P$12)</f>
        <v>44565</v>
      </c>
      <c r="P1454" s="13">
        <f ca="1">_xll.meDateFromTenor(O1454,P$14,P$11,P$12)</f>
        <v>44746</v>
      </c>
      <c r="Q1454" s="98">
        <f ca="1"/>
        <v>7.0431828439375538E-3</v>
      </c>
      <c r="R1454" s="5" t="s">
        <v>4</v>
      </c>
      <c r="S1454" s="100">
        <f ca="1">_xll.meDateFromTenor(S1453,"1D","FOLLOWING",T$12)</f>
        <v>44565</v>
      </c>
      <c r="T1454" s="13">
        <f ca="1">_xll.meDateFromTenor(S1454,T$14,T$11,T$12)</f>
        <v>44930</v>
      </c>
      <c r="U1454" s="98">
        <f ca="1"/>
        <v>8.9719992085392289E-3</v>
      </c>
      <c r="V1454" s="5" t="s">
        <v>4</v>
      </c>
      <c r="W1454" s="84" t="s">
        <v>4</v>
      </c>
    </row>
    <row r="1455" spans="1:23" x14ac:dyDescent="0.25">
      <c r="A1455" s="90">
        <v>1436</v>
      </c>
      <c r="B1455" s="83"/>
      <c r="C1455" s="100">
        <f ca="1">_xll.meDateFromTenor(C1454,"1D","FOLLOWING",D$12)</f>
        <v>44566</v>
      </c>
      <c r="D1455" s="13">
        <f ca="1">_xll.meDateFromTenor(C1455,D$14,D$11,D$12)</f>
        <v>44567</v>
      </c>
      <c r="E1455" s="98">
        <f ca="1"/>
        <v>3.3684749385004828E-3</v>
      </c>
      <c r="F1455" s="94"/>
      <c r="G1455" s="100">
        <f ca="1">_xll.meDateFromTenor(G1454,"1D","FOLLOWING",H$12)</f>
        <v>44566</v>
      </c>
      <c r="H1455" s="13">
        <f ca="1">_xll.meDateFromTenor(G1455,H$14,H$11,H$12)</f>
        <v>44599</v>
      </c>
      <c r="I1455" s="98">
        <f ca="1"/>
        <v>4.0373003642271031E-3</v>
      </c>
      <c r="J1455" s="94" t="s">
        <v>4</v>
      </c>
      <c r="K1455" s="100">
        <f ca="1">_xll.meDateFromTenor(K1454,"1D","FOLLOWING",L$12)</f>
        <v>44566</v>
      </c>
      <c r="L1455" s="13">
        <f ca="1">_xll.meDateFromTenor(K1455,L$14,L$11,L$12)</f>
        <v>44656</v>
      </c>
      <c r="M1455" s="98">
        <f ca="1"/>
        <v>5.3179793123131246E-3</v>
      </c>
      <c r="N1455" s="5" t="s">
        <v>4</v>
      </c>
      <c r="O1455" s="100">
        <f ca="1">_xll.meDateFromTenor(O1454,"1D","FOLLOWING",P$12)</f>
        <v>44566</v>
      </c>
      <c r="P1455" s="13">
        <f ca="1">_xll.meDateFromTenor(O1455,P$14,P$11,P$12)</f>
        <v>44747</v>
      </c>
      <c r="Q1455" s="98">
        <f ca="1"/>
        <v>7.0512949325946764E-3</v>
      </c>
      <c r="R1455" s="5" t="s">
        <v>4</v>
      </c>
      <c r="S1455" s="100">
        <f ca="1">_xll.meDateFromTenor(S1454,"1D","FOLLOWING",T$12)</f>
        <v>44566</v>
      </c>
      <c r="T1455" s="13">
        <f ca="1">_xll.meDateFromTenor(S1455,T$14,T$11,T$12)</f>
        <v>44931</v>
      </c>
      <c r="U1455" s="98">
        <f ca="1"/>
        <v>8.9792190257290995E-3</v>
      </c>
      <c r="V1455" s="5" t="s">
        <v>4</v>
      </c>
      <c r="W1455" s="84" t="s">
        <v>4</v>
      </c>
    </row>
    <row r="1456" spans="1:23" x14ac:dyDescent="0.25">
      <c r="A1456" s="90">
        <v>1437</v>
      </c>
      <c r="B1456" s="83"/>
      <c r="C1456" s="100">
        <f ca="1">_xll.meDateFromTenor(C1455,"1D","FOLLOWING",D$12)</f>
        <v>44567</v>
      </c>
      <c r="D1456" s="13">
        <f ca="1">_xll.meDateFromTenor(C1456,D$14,D$11,D$12)</f>
        <v>44568</v>
      </c>
      <c r="E1456" s="98">
        <f ca="1"/>
        <v>3.3761122997250058E-3</v>
      </c>
      <c r="F1456" s="94"/>
      <c r="G1456" s="100">
        <f ca="1">_xll.meDateFromTenor(G1455,"1D","FOLLOWING",H$12)</f>
        <v>44567</v>
      </c>
      <c r="H1456" s="13">
        <f ca="1">_xll.meDateFromTenor(G1456,H$14,H$11,H$12)</f>
        <v>44599</v>
      </c>
      <c r="I1456" s="98">
        <f ca="1"/>
        <v>4.0444850526915052E-3</v>
      </c>
      <c r="J1456" s="94" t="s">
        <v>4</v>
      </c>
      <c r="K1456" s="100">
        <f ca="1">_xll.meDateFromTenor(K1455,"1D","FOLLOWING",L$12)</f>
        <v>44567</v>
      </c>
      <c r="L1456" s="13">
        <f ca="1">_xll.meDateFromTenor(K1456,L$14,L$11,L$12)</f>
        <v>44657</v>
      </c>
      <c r="M1456" s="98">
        <f ca="1"/>
        <v>5.3263721314773648E-3</v>
      </c>
      <c r="N1456" s="5" t="s">
        <v>4</v>
      </c>
      <c r="O1456" s="100">
        <f ca="1">_xll.meDateFromTenor(O1455,"1D","FOLLOWING",P$12)</f>
        <v>44567</v>
      </c>
      <c r="P1456" s="13">
        <f ca="1">_xll.meDateFromTenor(O1456,P$14,P$11,P$12)</f>
        <v>44748</v>
      </c>
      <c r="Q1456" s="98">
        <f ca="1"/>
        <v>7.0594095929522394E-3</v>
      </c>
      <c r="R1456" s="5" t="s">
        <v>4</v>
      </c>
      <c r="S1456" s="100">
        <f ca="1">_xll.meDateFromTenor(S1455,"1D","FOLLOWING",T$12)</f>
        <v>44567</v>
      </c>
      <c r="T1456" s="13">
        <f ca="1">_xll.meDateFromTenor(S1456,T$14,T$11,T$12)</f>
        <v>44932</v>
      </c>
      <c r="U1456" s="98">
        <f ca="1"/>
        <v>8.9864380474874283E-3</v>
      </c>
      <c r="V1456" s="5" t="s">
        <v>4</v>
      </c>
      <c r="W1456" s="84" t="s">
        <v>4</v>
      </c>
    </row>
    <row r="1457" spans="1:23" x14ac:dyDescent="0.25">
      <c r="A1457" s="90">
        <v>1438</v>
      </c>
      <c r="B1457" s="83"/>
      <c r="C1457" s="100">
        <f ca="1">_xll.meDateFromTenor(C1456,"1D","FOLLOWING",D$12)</f>
        <v>44568</v>
      </c>
      <c r="D1457" s="13">
        <f ca="1">_xll.meDateFromTenor(C1457,D$14,D$11,D$12)</f>
        <v>44571</v>
      </c>
      <c r="E1457" s="98">
        <f ca="1"/>
        <v>3.3913301228592463E-3</v>
      </c>
      <c r="F1457" s="94"/>
      <c r="G1457" s="100">
        <f ca="1">_xll.meDateFromTenor(G1456,"1D","FOLLOWING",H$12)</f>
        <v>44568</v>
      </c>
      <c r="H1457" s="13">
        <f ca="1">_xll.meDateFromTenor(G1457,H$14,H$11,H$12)</f>
        <v>44599</v>
      </c>
      <c r="I1457" s="98">
        <f ca="1"/>
        <v>4.0516656839938913E-3</v>
      </c>
      <c r="J1457" s="94" t="s">
        <v>4</v>
      </c>
      <c r="K1457" s="100">
        <f ca="1">_xll.meDateFromTenor(K1456,"1D","FOLLOWING",L$12)</f>
        <v>44568</v>
      </c>
      <c r="L1457" s="13">
        <f ca="1">_xll.meDateFromTenor(K1457,L$14,L$11,L$12)</f>
        <v>44658</v>
      </c>
      <c r="M1457" s="98">
        <f ca="1"/>
        <v>5.3347686557721208E-3</v>
      </c>
      <c r="N1457" s="5" t="s">
        <v>4</v>
      </c>
      <c r="O1457" s="100">
        <f ca="1">_xll.meDateFromTenor(O1456,"1D","FOLLOWING",P$12)</f>
        <v>44568</v>
      </c>
      <c r="P1457" s="13">
        <f ca="1">_xll.meDateFromTenor(O1457,P$14,P$11,P$12)</f>
        <v>44749</v>
      </c>
      <c r="Q1457" s="98">
        <f ca="1"/>
        <v>7.0675267849704907E-3</v>
      </c>
      <c r="R1457" s="5" t="s">
        <v>4</v>
      </c>
      <c r="S1457" s="100">
        <f ca="1">_xll.meDateFromTenor(S1456,"1D","FOLLOWING",T$12)</f>
        <v>44568</v>
      </c>
      <c r="T1457" s="13">
        <f ca="1">_xll.meDateFromTenor(S1457,T$14,T$11,T$12)</f>
        <v>44935</v>
      </c>
      <c r="U1457" s="98">
        <f ca="1"/>
        <v>8.9936562710813319E-3</v>
      </c>
      <c r="V1457" s="5" t="s">
        <v>4</v>
      </c>
      <c r="W1457" s="84" t="s">
        <v>4</v>
      </c>
    </row>
    <row r="1458" spans="1:23" x14ac:dyDescent="0.25">
      <c r="A1458" s="90">
        <v>1439</v>
      </c>
      <c r="B1458" s="83"/>
      <c r="C1458" s="100">
        <f ca="1">_xll.meDateFromTenor(C1457,"1D","FOLLOWING",D$12)</f>
        <v>44571</v>
      </c>
      <c r="D1458" s="13">
        <f ca="1">_xll.meDateFromTenor(C1458,D$14,D$11,D$12)</f>
        <v>44572</v>
      </c>
      <c r="E1458" s="98">
        <f ca="1"/>
        <v>3.40639520302999E-3</v>
      </c>
      <c r="F1458" s="94"/>
      <c r="G1458" s="100">
        <f ca="1">_xll.meDateFromTenor(G1457,"1D","FOLLOWING",H$12)</f>
        <v>44571</v>
      </c>
      <c r="H1458" s="13">
        <f ca="1">_xll.meDateFromTenor(G1458,H$14,H$11,H$12)</f>
        <v>44602</v>
      </c>
      <c r="I1458" s="98">
        <f ca="1"/>
        <v>4.0732142073331397E-3</v>
      </c>
      <c r="J1458" s="94" t="s">
        <v>4</v>
      </c>
      <c r="K1458" s="100">
        <f ca="1">_xll.meDateFromTenor(K1457,"1D","FOLLOWING",L$12)</f>
        <v>44571</v>
      </c>
      <c r="L1458" s="13">
        <f ca="1">_xll.meDateFromTenor(K1458,L$14,L$11,L$12)</f>
        <v>44662</v>
      </c>
      <c r="M1458" s="98">
        <f ca="1"/>
        <v>5.3599798638286665E-3</v>
      </c>
      <c r="N1458" s="5" t="s">
        <v>4</v>
      </c>
      <c r="O1458" s="100">
        <f ca="1">_xll.meDateFromTenor(O1457,"1D","FOLLOWING",P$12)</f>
        <v>44571</v>
      </c>
      <c r="P1458" s="13">
        <f ca="1">_xll.meDateFromTenor(O1458,P$14,P$11,P$12)</f>
        <v>44753</v>
      </c>
      <c r="Q1458" s="98">
        <f ca="1"/>
        <v>7.0918931505918915E-3</v>
      </c>
      <c r="R1458" s="5" t="s">
        <v>4</v>
      </c>
      <c r="S1458" s="100">
        <f ca="1">_xll.meDateFromTenor(S1457,"1D","FOLLOWING",T$12)</f>
        <v>44571</v>
      </c>
      <c r="T1458" s="13">
        <f ca="1">_xll.meDateFromTenor(S1458,T$14,T$11,T$12)</f>
        <v>44936</v>
      </c>
      <c r="U1458" s="98">
        <f ca="1"/>
        <v>9.0153061255476806E-3</v>
      </c>
      <c r="V1458" s="5" t="s">
        <v>4</v>
      </c>
      <c r="W1458" s="84" t="s">
        <v>4</v>
      </c>
    </row>
    <row r="1459" spans="1:23" x14ac:dyDescent="0.25">
      <c r="A1459" s="90">
        <v>1440</v>
      </c>
      <c r="B1459" s="83"/>
      <c r="C1459" s="100">
        <f ca="1">_xll.meDateFromTenor(C1458,"1D","FOLLOWING",D$12)</f>
        <v>44572</v>
      </c>
      <c r="D1459" s="13">
        <f ca="1">_xll.meDateFromTenor(C1459,D$14,D$11,D$12)</f>
        <v>44573</v>
      </c>
      <c r="E1459" s="98">
        <f ca="1"/>
        <v>3.4138992909399581E-3</v>
      </c>
      <c r="F1459" s="94"/>
      <c r="G1459" s="100">
        <f ca="1">_xll.meDateFromTenor(G1458,"1D","FOLLOWING",H$12)</f>
        <v>44572</v>
      </c>
      <c r="H1459" s="13">
        <f ca="1">_xll.meDateFromTenor(G1459,H$14,H$11,H$12)</f>
        <v>44603</v>
      </c>
      <c r="I1459" s="98">
        <f ca="1"/>
        <v>4.0804095823916515E-3</v>
      </c>
      <c r="J1459" s="94" t="s">
        <v>4</v>
      </c>
      <c r="K1459" s="100">
        <f ca="1">_xll.meDateFromTenor(K1458,"1D","FOLLOWING",L$12)</f>
        <v>44572</v>
      </c>
      <c r="L1459" s="13">
        <f ca="1">_xll.meDateFromTenor(K1459,L$14,L$11,L$12)</f>
        <v>44662</v>
      </c>
      <c r="M1459" s="98">
        <f ca="1"/>
        <v>5.3683906130346688E-3</v>
      </c>
      <c r="N1459" s="5" t="s">
        <v>4</v>
      </c>
      <c r="O1459" s="100">
        <f ca="1">_xll.meDateFromTenor(O1458,"1D","FOLLOWING",P$12)</f>
        <v>44572</v>
      </c>
      <c r="P1459" s="13">
        <f ca="1">_xll.meDateFromTenor(O1459,P$14,P$11,P$12)</f>
        <v>44753</v>
      </c>
      <c r="Q1459" s="98">
        <f ca="1"/>
        <v>7.1000200688554086E-3</v>
      </c>
      <c r="R1459" s="5" t="s">
        <v>4</v>
      </c>
      <c r="S1459" s="100">
        <f ca="1">_xll.meDateFromTenor(S1458,"1D","FOLLOWING",T$12)</f>
        <v>44572</v>
      </c>
      <c r="T1459" s="13">
        <f ca="1">_xll.meDateFromTenor(S1459,T$14,T$11,T$12)</f>
        <v>44937</v>
      </c>
      <c r="U1459" s="98">
        <f ca="1"/>
        <v>9.0225211291550672E-3</v>
      </c>
      <c r="V1459" s="5" t="s">
        <v>4</v>
      </c>
      <c r="W1459" s="84" t="s">
        <v>4</v>
      </c>
    </row>
    <row r="1460" spans="1:23" x14ac:dyDescent="0.25">
      <c r="A1460" s="90">
        <v>1441</v>
      </c>
      <c r="B1460" s="83"/>
      <c r="C1460" s="100">
        <f ca="1">_xll.meDateFromTenor(C1459,"1D","FOLLOWING",D$12)</f>
        <v>44573</v>
      </c>
      <c r="D1460" s="13">
        <f ca="1">_xll.meDateFromTenor(C1460,D$14,D$11,D$12)</f>
        <v>44574</v>
      </c>
      <c r="E1460" s="98">
        <f ca="1"/>
        <v>3.4213767224150521E-3</v>
      </c>
      <c r="F1460" s="94"/>
      <c r="G1460" s="100">
        <f ca="1">_xll.meDateFromTenor(G1459,"1D","FOLLOWING",H$12)</f>
        <v>44573</v>
      </c>
      <c r="H1460" s="13">
        <f ca="1">_xll.meDateFromTenor(G1460,H$14,H$11,H$12)</f>
        <v>44606</v>
      </c>
      <c r="I1460" s="98">
        <f ca="1"/>
        <v>4.0876163864902414E-3</v>
      </c>
      <c r="J1460" s="94" t="s">
        <v>4</v>
      </c>
      <c r="K1460" s="100">
        <f ca="1">_xll.meDateFromTenor(K1459,"1D","FOLLOWING",L$12)</f>
        <v>44573</v>
      </c>
      <c r="L1460" s="13">
        <f ca="1">_xll.meDateFromTenor(K1460,L$14,L$11,L$12)</f>
        <v>44663</v>
      </c>
      <c r="M1460" s="98">
        <f ca="1"/>
        <v>5.3768047695657772E-3</v>
      </c>
      <c r="N1460" s="5" t="s">
        <v>4</v>
      </c>
      <c r="O1460" s="100">
        <f ca="1">_xll.meDateFromTenor(O1459,"1D","FOLLOWING",P$12)</f>
        <v>44573</v>
      </c>
      <c r="P1460" s="13">
        <f ca="1">_xll.meDateFromTenor(O1460,P$14,P$11,P$12)</f>
        <v>44754</v>
      </c>
      <c r="Q1460" s="98">
        <f ca="1"/>
        <v>7.1081493185808694E-3</v>
      </c>
      <c r="R1460" s="5" t="s">
        <v>4</v>
      </c>
      <c r="S1460" s="100">
        <f ca="1">_xll.meDateFromTenor(S1459,"1D","FOLLOWING",T$12)</f>
        <v>44573</v>
      </c>
      <c r="T1460" s="13">
        <f ca="1">_xll.meDateFromTenor(S1460,T$14,T$11,T$12)</f>
        <v>44938</v>
      </c>
      <c r="U1460" s="98">
        <f ca="1"/>
        <v>9.0297353209336205E-3</v>
      </c>
      <c r="V1460" s="5" t="s">
        <v>4</v>
      </c>
      <c r="W1460" s="84" t="s">
        <v>4</v>
      </c>
    </row>
    <row r="1461" spans="1:23" x14ac:dyDescent="0.25">
      <c r="A1461" s="90">
        <v>1442</v>
      </c>
      <c r="B1461" s="83"/>
      <c r="C1461" s="100">
        <f ca="1">_xll.meDateFromTenor(C1460,"1D","FOLLOWING",D$12)</f>
        <v>44574</v>
      </c>
      <c r="D1461" s="13">
        <f ca="1">_xll.meDateFromTenor(C1461,D$14,D$11,D$12)</f>
        <v>44575</v>
      </c>
      <c r="E1461" s="98">
        <f ca="1"/>
        <v>3.4288274972110924E-3</v>
      </c>
      <c r="F1461" s="94"/>
      <c r="G1461" s="100">
        <f ca="1">_xll.meDateFromTenor(G1460,"1D","FOLLOWING",H$12)</f>
        <v>44574</v>
      </c>
      <c r="H1461" s="13">
        <f ca="1">_xll.meDateFromTenor(G1461,H$14,H$11,H$12)</f>
        <v>44606</v>
      </c>
      <c r="I1461" s="98">
        <f ca="1"/>
        <v>4.0948377168693291E-3</v>
      </c>
      <c r="J1461" s="94" t="s">
        <v>4</v>
      </c>
      <c r="K1461" s="100">
        <f ca="1">_xll.meDateFromTenor(K1460,"1D","FOLLOWING",L$12)</f>
        <v>44574</v>
      </c>
      <c r="L1461" s="13">
        <f ca="1">_xll.meDateFromTenor(K1461,L$14,L$11,L$12)</f>
        <v>44664</v>
      </c>
      <c r="M1461" s="98">
        <f ca="1"/>
        <v>5.3852222738609125E-3</v>
      </c>
      <c r="N1461" s="5" t="s">
        <v>4</v>
      </c>
      <c r="O1461" s="100">
        <f ca="1">_xll.meDateFromTenor(O1460,"1D","FOLLOWING",P$12)</f>
        <v>44574</v>
      </c>
      <c r="P1461" s="13">
        <f ca="1">_xll.meDateFromTenor(O1461,P$14,P$11,P$12)</f>
        <v>44755</v>
      </c>
      <c r="Q1461" s="98">
        <f ca="1"/>
        <v>7.1162808597285227E-3</v>
      </c>
      <c r="R1461" s="5" t="s">
        <v>4</v>
      </c>
      <c r="S1461" s="100">
        <f ca="1">_xll.meDateFromTenor(S1460,"1D","FOLLOWING",T$12)</f>
        <v>44574</v>
      </c>
      <c r="T1461" s="13">
        <f ca="1">_xll.meDateFromTenor(S1461,T$14,T$11,T$12)</f>
        <v>44939</v>
      </c>
      <c r="U1461" s="98">
        <f ca="1"/>
        <v>9.0369486981504554E-3</v>
      </c>
      <c r="V1461" s="5" t="s">
        <v>4</v>
      </c>
      <c r="W1461" s="84" t="s">
        <v>4</v>
      </c>
    </row>
    <row r="1462" spans="1:23" x14ac:dyDescent="0.25">
      <c r="A1462" s="90">
        <v>1443</v>
      </c>
      <c r="B1462" s="83"/>
      <c r="C1462" s="100">
        <f ca="1">_xll.meDateFromTenor(C1461,"1D","FOLLOWING",D$12)</f>
        <v>44575</v>
      </c>
      <c r="D1462" s="13">
        <f ca="1">_xll.meDateFromTenor(C1462,D$14,D$11,D$12)</f>
        <v>44578</v>
      </c>
      <c r="E1462" s="98">
        <f ca="1"/>
        <v>3.4436731284161761E-3</v>
      </c>
      <c r="F1462" s="94"/>
      <c r="G1462" s="100">
        <f ca="1">_xll.meDateFromTenor(G1461,"1D","FOLLOWING",H$12)</f>
        <v>44575</v>
      </c>
      <c r="H1462" s="13">
        <f ca="1">_xll.meDateFromTenor(G1462,H$14,H$11,H$12)</f>
        <v>44606</v>
      </c>
      <c r="I1462" s="98">
        <f ca="1"/>
        <v>4.1020766707693347E-3</v>
      </c>
      <c r="J1462" s="94" t="s">
        <v>4</v>
      </c>
      <c r="K1462" s="100">
        <f ca="1">_xll.meDateFromTenor(K1461,"1D","FOLLOWING",L$12)</f>
        <v>44575</v>
      </c>
      <c r="L1462" s="13">
        <f ca="1">_xll.meDateFromTenor(K1462,L$14,L$11,L$12)</f>
        <v>44665</v>
      </c>
      <c r="M1462" s="98">
        <f ca="1"/>
        <v>5.3936430663589895E-3</v>
      </c>
      <c r="N1462" s="5" t="s">
        <v>4</v>
      </c>
      <c r="O1462" s="100">
        <f ca="1">_xll.meDateFromTenor(O1461,"1D","FOLLOWING",P$12)</f>
        <v>44575</v>
      </c>
      <c r="P1462" s="13">
        <f ca="1">_xll.meDateFromTenor(O1462,P$14,P$11,P$12)</f>
        <v>44756</v>
      </c>
      <c r="Q1462" s="98">
        <f ca="1"/>
        <v>7.1244146522586203E-3</v>
      </c>
      <c r="R1462" s="5" t="s">
        <v>4</v>
      </c>
      <c r="S1462" s="100">
        <f ca="1">_xll.meDateFromTenor(S1461,"1D","FOLLOWING",T$12)</f>
        <v>44575</v>
      </c>
      <c r="T1462" s="13">
        <f ca="1">_xll.meDateFromTenor(S1462,T$14,T$11,T$12)</f>
        <v>44942</v>
      </c>
      <c r="U1462" s="98">
        <f ca="1"/>
        <v>9.0441612580726902E-3</v>
      </c>
      <c r="V1462" s="5" t="s">
        <v>4</v>
      </c>
      <c r="W1462" s="84" t="s">
        <v>4</v>
      </c>
    </row>
    <row r="1463" spans="1:23" x14ac:dyDescent="0.25">
      <c r="A1463" s="90">
        <v>1444</v>
      </c>
      <c r="B1463" s="83"/>
      <c r="C1463" s="100">
        <f ca="1">_xll.meDateFromTenor(C1462,"1D","FOLLOWING",D$12)</f>
        <v>44578</v>
      </c>
      <c r="D1463" s="13">
        <f ca="1">_xll.meDateFromTenor(C1463,D$14,D$11,D$12)</f>
        <v>44579</v>
      </c>
      <c r="E1463" s="98">
        <f ca="1"/>
        <v>3.4583640163615846E-3</v>
      </c>
      <c r="F1463" s="94"/>
      <c r="G1463" s="100">
        <f ca="1">_xll.meDateFromTenor(G1462,"1D","FOLLOWING",H$12)</f>
        <v>44578</v>
      </c>
      <c r="H1463" s="13">
        <f ca="1">_xll.meDateFromTenor(G1463,H$14,H$11,H$12)</f>
        <v>44609</v>
      </c>
      <c r="I1463" s="98">
        <f ca="1"/>
        <v>4.1239302459990445E-3</v>
      </c>
      <c r="J1463" s="94" t="s">
        <v>4</v>
      </c>
      <c r="K1463" s="100">
        <f ca="1">_xll.meDateFromTenor(K1462,"1D","FOLLOWING",L$12)</f>
        <v>44578</v>
      </c>
      <c r="L1463" s="13">
        <f ca="1">_xll.meDateFromTenor(K1463,L$14,L$11,L$12)</f>
        <v>44670</v>
      </c>
      <c r="M1463" s="98">
        <f ca="1"/>
        <v>5.4189245774600601E-3</v>
      </c>
      <c r="N1463" s="5" t="s">
        <v>4</v>
      </c>
      <c r="O1463" s="100">
        <f ca="1">_xll.meDateFromTenor(O1462,"1D","FOLLOWING",P$12)</f>
        <v>44578</v>
      </c>
      <c r="P1463" s="13">
        <f ca="1">_xll.meDateFromTenor(O1463,P$14,P$11,P$12)</f>
        <v>44760</v>
      </c>
      <c r="Q1463" s="98">
        <f ca="1"/>
        <v>7.1488291377460782E-3</v>
      </c>
      <c r="R1463" s="5" t="s">
        <v>4</v>
      </c>
      <c r="S1463" s="100">
        <f ca="1">_xll.meDateFromTenor(S1462,"1D","FOLLOWING",T$12)</f>
        <v>44578</v>
      </c>
      <c r="T1463" s="13">
        <f ca="1">_xll.meDateFromTenor(S1463,T$14,T$11,T$12)</f>
        <v>44943</v>
      </c>
      <c r="U1463" s="98">
        <f ca="1"/>
        <v>9.0657940067429728E-3</v>
      </c>
      <c r="V1463" s="5" t="s">
        <v>4</v>
      </c>
      <c r="W1463" s="84" t="s">
        <v>4</v>
      </c>
    </row>
    <row r="1464" spans="1:23" x14ac:dyDescent="0.25">
      <c r="A1464" s="90">
        <v>1445</v>
      </c>
      <c r="B1464" s="83"/>
      <c r="C1464" s="100">
        <f ca="1">_xll.meDateFromTenor(C1463,"1D","FOLLOWING",D$12)</f>
        <v>44579</v>
      </c>
      <c r="D1464" s="13">
        <f ca="1">_xll.meDateFromTenor(C1464,D$14,D$11,D$12)</f>
        <v>44580</v>
      </c>
      <c r="E1464" s="98">
        <f ca="1"/>
        <v>3.4656814985029151E-3</v>
      </c>
      <c r="F1464" s="94"/>
      <c r="G1464" s="100">
        <f ca="1">_xll.meDateFromTenor(G1463,"1D","FOLLOWING",H$12)</f>
        <v>44579</v>
      </c>
      <c r="H1464" s="13">
        <f ca="1">_xll.meDateFromTenor(G1464,H$14,H$11,H$12)</f>
        <v>44610</v>
      </c>
      <c r="I1464" s="98">
        <f ca="1"/>
        <v>4.1312706663869095E-3</v>
      </c>
      <c r="J1464" s="94" t="s">
        <v>4</v>
      </c>
      <c r="K1464" s="100">
        <f ca="1">_xll.meDateFromTenor(K1463,"1D","FOLLOWING",L$12)</f>
        <v>44579</v>
      </c>
      <c r="L1464" s="13">
        <f ca="1">_xll.meDateFromTenor(K1464,L$14,L$11,L$12)</f>
        <v>44670</v>
      </c>
      <c r="M1464" s="98">
        <f ca="1"/>
        <v>5.4273579271590907E-3</v>
      </c>
      <c r="N1464" s="5" t="s">
        <v>4</v>
      </c>
      <c r="O1464" s="100">
        <f ca="1">_xll.meDateFromTenor(O1463,"1D","FOLLOWING",P$12)</f>
        <v>44579</v>
      </c>
      <c r="P1464" s="13">
        <f ca="1">_xll.meDateFromTenor(O1464,P$14,P$11,P$12)</f>
        <v>44760</v>
      </c>
      <c r="Q1464" s="98">
        <f ca="1"/>
        <v>7.1569715354084544E-3</v>
      </c>
      <c r="R1464" s="5" t="s">
        <v>4</v>
      </c>
      <c r="S1464" s="100">
        <f ca="1">_xll.meDateFromTenor(S1463,"1D","FOLLOWING",T$12)</f>
        <v>44579</v>
      </c>
      <c r="T1464" s="13">
        <f ca="1">_xll.meDateFromTenor(S1464,T$14,T$11,T$12)</f>
        <v>44944</v>
      </c>
      <c r="U1464" s="98">
        <f ca="1"/>
        <v>9.0730032701579841E-3</v>
      </c>
      <c r="V1464" s="5" t="s">
        <v>4</v>
      </c>
      <c r="W1464" s="84" t="s">
        <v>4</v>
      </c>
    </row>
    <row r="1465" spans="1:23" x14ac:dyDescent="0.25">
      <c r="A1465" s="90">
        <v>1446</v>
      </c>
      <c r="B1465" s="83"/>
      <c r="C1465" s="100">
        <f ca="1">_xll.meDateFromTenor(C1464,"1D","FOLLOWING",D$12)</f>
        <v>44580</v>
      </c>
      <c r="D1465" s="13">
        <f ca="1">_xll.meDateFromTenor(C1465,D$14,D$11,D$12)</f>
        <v>44581</v>
      </c>
      <c r="E1465" s="98">
        <f ca="1"/>
        <v>3.4729723202881046E-3</v>
      </c>
      <c r="F1465" s="94"/>
      <c r="G1465" s="100">
        <f ca="1">_xll.meDateFromTenor(G1464,"1D","FOLLOWING",H$12)</f>
        <v>44580</v>
      </c>
      <c r="H1465" s="13">
        <f ca="1">_xll.meDateFromTenor(G1465,H$14,H$11,H$12)</f>
        <v>44613</v>
      </c>
      <c r="I1465" s="98">
        <f ca="1"/>
        <v>4.1386441964977845E-3</v>
      </c>
      <c r="J1465" s="94" t="s">
        <v>4</v>
      </c>
      <c r="K1465" s="100">
        <f ca="1">_xll.meDateFromTenor(K1464,"1D","FOLLOWING",L$12)</f>
        <v>44580</v>
      </c>
      <c r="L1465" s="13">
        <f ca="1">_xll.meDateFromTenor(K1465,L$14,L$11,L$12)</f>
        <v>44670</v>
      </c>
      <c r="M1465" s="98">
        <f ca="1"/>
        <v>5.4357942672556506E-3</v>
      </c>
      <c r="N1465" s="5" t="s">
        <v>4</v>
      </c>
      <c r="O1465" s="100">
        <f ca="1">_xll.meDateFromTenor(O1464,"1D","FOLLOWING",P$12)</f>
        <v>44580</v>
      </c>
      <c r="P1465" s="13">
        <f ca="1">_xll.meDateFromTenor(O1465,P$14,P$11,P$12)</f>
        <v>44761</v>
      </c>
      <c r="Q1465" s="98">
        <f ca="1"/>
        <v>7.1651159842545248E-3</v>
      </c>
      <c r="R1465" s="5" t="s">
        <v>4</v>
      </c>
      <c r="S1465" s="100">
        <f ca="1">_xll.meDateFromTenor(S1464,"1D","FOLLOWING",T$12)</f>
        <v>44580</v>
      </c>
      <c r="T1465" s="13">
        <f ca="1">_xll.meDateFromTenor(S1465,T$14,T$11,T$12)</f>
        <v>44945</v>
      </c>
      <c r="U1465" s="98">
        <f ca="1"/>
        <v>9.0802117026139804E-3</v>
      </c>
      <c r="V1465" s="5" t="s">
        <v>4</v>
      </c>
      <c r="W1465" s="84" t="s">
        <v>4</v>
      </c>
    </row>
    <row r="1466" spans="1:23" x14ac:dyDescent="0.25">
      <c r="A1466" s="90">
        <v>1447</v>
      </c>
      <c r="B1466" s="83"/>
      <c r="C1466" s="100">
        <f ca="1">_xll.meDateFromTenor(C1465,"1D","FOLLOWING",D$12)</f>
        <v>44581</v>
      </c>
      <c r="D1466" s="13">
        <f ca="1">_xll.meDateFromTenor(C1466,D$14,D$11,D$12)</f>
        <v>44582</v>
      </c>
      <c r="E1466" s="98">
        <f ca="1"/>
        <v>3.4802364810821019E-3</v>
      </c>
      <c r="F1466" s="94"/>
      <c r="G1466" s="100">
        <f ca="1">_xll.meDateFromTenor(G1465,"1D","FOLLOWING",H$12)</f>
        <v>44581</v>
      </c>
      <c r="H1466" s="13">
        <f ca="1">_xll.meDateFromTenor(G1466,H$14,H$11,H$12)</f>
        <v>44613</v>
      </c>
      <c r="I1466" s="98">
        <f ca="1"/>
        <v>4.1460539335720931E-3</v>
      </c>
      <c r="J1466" s="94" t="s">
        <v>4</v>
      </c>
      <c r="K1466" s="100">
        <f ca="1">_xll.meDateFromTenor(K1465,"1D","FOLLOWING",L$12)</f>
        <v>44581</v>
      </c>
      <c r="L1466" s="13">
        <f ca="1">_xll.meDateFromTenor(K1466,L$14,L$11,L$12)</f>
        <v>44671</v>
      </c>
      <c r="M1466" s="98">
        <f ca="1"/>
        <v>5.4442335381886661E-3</v>
      </c>
      <c r="N1466" s="5" t="s">
        <v>4</v>
      </c>
      <c r="O1466" s="100">
        <f ca="1">_xll.meDateFromTenor(O1465,"1D","FOLLOWING",P$12)</f>
        <v>44581</v>
      </c>
      <c r="P1466" s="13">
        <f ca="1">_xll.meDateFromTenor(O1466,P$14,P$11,P$12)</f>
        <v>44762</v>
      </c>
      <c r="Q1466" s="98">
        <f ca="1"/>
        <v>7.1732624442445436E-3</v>
      </c>
      <c r="R1466" s="5" t="s">
        <v>4</v>
      </c>
      <c r="S1466" s="100">
        <f ca="1">_xll.meDateFromTenor(S1465,"1D","FOLLOWING",T$12)</f>
        <v>44581</v>
      </c>
      <c r="T1466" s="13">
        <f ca="1">_xll.meDateFromTenor(S1466,T$14,T$11,T$12)</f>
        <v>44946</v>
      </c>
      <c r="U1466" s="98">
        <f ca="1"/>
        <v>9.0874193013780885E-3</v>
      </c>
      <c r="V1466" s="5" t="s">
        <v>4</v>
      </c>
      <c r="W1466" s="84" t="s">
        <v>4</v>
      </c>
    </row>
    <row r="1467" spans="1:23" x14ac:dyDescent="0.25">
      <c r="A1467" s="90">
        <v>1448</v>
      </c>
      <c r="B1467" s="83"/>
      <c r="C1467" s="100">
        <f ca="1">_xll.meDateFromTenor(C1466,"1D","FOLLOWING",D$12)</f>
        <v>44582</v>
      </c>
      <c r="D1467" s="13">
        <f ca="1">_xll.meDateFromTenor(C1467,D$14,D$11,D$12)</f>
        <v>44585</v>
      </c>
      <c r="E1467" s="98">
        <f ca="1"/>
        <v>3.4947098548341808E-3</v>
      </c>
      <c r="F1467" s="94"/>
      <c r="G1467" s="100">
        <f ca="1">_xll.meDateFromTenor(G1466,"1D","FOLLOWING",H$12)</f>
        <v>44582</v>
      </c>
      <c r="H1467" s="13">
        <f ca="1">_xll.meDateFromTenor(G1467,H$14,H$11,H$12)</f>
        <v>44613</v>
      </c>
      <c r="I1467" s="98">
        <f ca="1"/>
        <v>4.1535029748502534E-3</v>
      </c>
      <c r="J1467" s="94" t="s">
        <v>4</v>
      </c>
      <c r="K1467" s="100">
        <f ca="1">_xll.meDateFromTenor(K1466,"1D","FOLLOWING",L$12)</f>
        <v>44582</v>
      </c>
      <c r="L1467" s="13">
        <f ca="1">_xll.meDateFromTenor(K1467,L$14,L$11,L$12)</f>
        <v>44672</v>
      </c>
      <c r="M1467" s="98">
        <f ca="1"/>
        <v>5.45267568039705E-3</v>
      </c>
      <c r="N1467" s="5" t="s">
        <v>4</v>
      </c>
      <c r="O1467" s="100">
        <f ca="1">_xll.meDateFromTenor(O1466,"1D","FOLLOWING",P$12)</f>
        <v>44582</v>
      </c>
      <c r="P1467" s="13">
        <f ca="1">_xll.meDateFromTenor(O1467,P$14,P$11,P$12)</f>
        <v>44763</v>
      </c>
      <c r="Q1467" s="98">
        <f ca="1"/>
        <v>7.181410875338759E-3</v>
      </c>
      <c r="R1467" s="5" t="s">
        <v>4</v>
      </c>
      <c r="S1467" s="100">
        <f ca="1">_xll.meDateFromTenor(S1466,"1D","FOLLOWING",T$12)</f>
        <v>44582</v>
      </c>
      <c r="T1467" s="13">
        <f ca="1">_xll.meDateFromTenor(S1467,T$14,T$11,T$12)</f>
        <v>44949</v>
      </c>
      <c r="U1467" s="98">
        <f ca="1"/>
        <v>9.0946260637174165E-3</v>
      </c>
      <c r="V1467" s="5" t="s">
        <v>4</v>
      </c>
      <c r="W1467" s="84" t="s">
        <v>4</v>
      </c>
    </row>
    <row r="1468" spans="1:23" x14ac:dyDescent="0.25">
      <c r="A1468" s="90">
        <v>1449</v>
      </c>
      <c r="B1468" s="83"/>
      <c r="C1468" s="100">
        <f ca="1">_xll.meDateFromTenor(C1467,"1D","FOLLOWING",D$12)</f>
        <v>44585</v>
      </c>
      <c r="D1468" s="13">
        <f ca="1">_xll.meDateFromTenor(C1468,D$14,D$11,D$12)</f>
        <v>44586</v>
      </c>
      <c r="E1468" s="98">
        <f ca="1"/>
        <v>3.509026504167641E-3</v>
      </c>
      <c r="F1468" s="94"/>
      <c r="G1468" s="100">
        <f ca="1">_xll.meDateFromTenor(G1467,"1D","FOLLOWING",H$12)</f>
        <v>44585</v>
      </c>
      <c r="H1468" s="13">
        <f ca="1">_xll.meDateFromTenor(G1468,H$14,H$11,H$12)</f>
        <v>44616</v>
      </c>
      <c r="I1468" s="98">
        <f ca="1"/>
        <v>4.1761168963120269E-3</v>
      </c>
      <c r="J1468" s="94" t="s">
        <v>4</v>
      </c>
      <c r="K1468" s="100">
        <f ca="1">_xll.meDateFromTenor(K1467,"1D","FOLLOWING",L$12)</f>
        <v>44585</v>
      </c>
      <c r="L1468" s="13">
        <f ca="1">_xll.meDateFromTenor(K1468,L$14,L$11,L$12)</f>
        <v>44676</v>
      </c>
      <c r="M1468" s="98">
        <f ca="1"/>
        <v>5.4780187390636014E-3</v>
      </c>
      <c r="N1468" s="5" t="s">
        <v>4</v>
      </c>
      <c r="O1468" s="100">
        <f ca="1">_xll.meDateFromTenor(O1467,"1D","FOLLOWING",P$12)</f>
        <v>44585</v>
      </c>
      <c r="P1468" s="13">
        <f ca="1">_xll.meDateFromTenor(O1468,P$14,P$11,P$12)</f>
        <v>44767</v>
      </c>
      <c r="Q1468" s="98">
        <f ca="1"/>
        <v>7.2058675948490965E-3</v>
      </c>
      <c r="R1468" s="5" t="s">
        <v>4</v>
      </c>
      <c r="S1468" s="100">
        <f ca="1">_xll.meDateFromTenor(S1467,"1D","FOLLOWING",T$12)</f>
        <v>44585</v>
      </c>
      <c r="T1468" s="13">
        <f ca="1">_xll.meDateFromTenor(S1468,T$14,T$11,T$12)</f>
        <v>44950</v>
      </c>
      <c r="U1468" s="98">
        <f ca="1"/>
        <v>9.1162413048579295E-3</v>
      </c>
      <c r="V1468" s="5" t="s">
        <v>4</v>
      </c>
      <c r="W1468" s="84" t="s">
        <v>4</v>
      </c>
    </row>
    <row r="1469" spans="1:23" x14ac:dyDescent="0.25">
      <c r="A1469" s="90">
        <v>1450</v>
      </c>
      <c r="B1469" s="83"/>
      <c r="C1469" s="100">
        <f ca="1">_xll.meDateFromTenor(C1468,"1D","FOLLOWING",D$12)</f>
        <v>44586</v>
      </c>
      <c r="D1469" s="13">
        <f ca="1">_xll.meDateFromTenor(C1469,D$14,D$11,D$12)</f>
        <v>44587</v>
      </c>
      <c r="E1469" s="98">
        <f ca="1"/>
        <v>3.5161573517589252E-3</v>
      </c>
      <c r="F1469" s="94"/>
      <c r="G1469" s="100">
        <f ca="1">_xll.meDateFromTenor(G1468,"1D","FOLLOWING",H$12)</f>
        <v>44586</v>
      </c>
      <c r="H1469" s="13">
        <f ca="1">_xll.meDateFromTenor(G1469,H$14,H$11,H$12)</f>
        <v>44617</v>
      </c>
      <c r="I1469" s="98">
        <f ca="1"/>
        <v>4.183754126809781E-3</v>
      </c>
      <c r="J1469" s="94" t="s">
        <v>4</v>
      </c>
      <c r="K1469" s="100">
        <f ca="1">_xll.meDateFromTenor(K1468,"1D","FOLLOWING",L$12)</f>
        <v>44586</v>
      </c>
      <c r="L1469" s="13">
        <f ca="1">_xll.meDateFromTenor(K1469,L$14,L$11,L$12)</f>
        <v>44676</v>
      </c>
      <c r="M1469" s="98">
        <f ca="1"/>
        <v>5.4864717707626444E-3</v>
      </c>
      <c r="N1469" s="5" t="s">
        <v>4</v>
      </c>
      <c r="O1469" s="100">
        <f ca="1">_xll.meDateFromTenor(O1468,"1D","FOLLOWING",P$12)</f>
        <v>44586</v>
      </c>
      <c r="P1469" s="13">
        <f ca="1">_xll.meDateFromTenor(O1469,P$14,P$11,P$12)</f>
        <v>44767</v>
      </c>
      <c r="Q1469" s="98">
        <f ca="1"/>
        <v>7.2140235099626077E-3</v>
      </c>
      <c r="R1469" s="5" t="s">
        <v>4</v>
      </c>
      <c r="S1469" s="100">
        <f ca="1">_xll.meDateFromTenor(S1468,"1D","FOLLOWING",T$12)</f>
        <v>44586</v>
      </c>
      <c r="T1469" s="13">
        <f ca="1">_xll.meDateFromTenor(S1469,T$14,T$11,T$12)</f>
        <v>44951</v>
      </c>
      <c r="U1469" s="98">
        <f ca="1"/>
        <v>9.1234446941693328E-3</v>
      </c>
      <c r="V1469" s="5" t="s">
        <v>4</v>
      </c>
      <c r="W1469" s="84" t="s">
        <v>4</v>
      </c>
    </row>
    <row r="1470" spans="1:23" x14ac:dyDescent="0.25">
      <c r="A1470" s="90">
        <v>1451</v>
      </c>
      <c r="B1470" s="83"/>
      <c r="C1470" s="100">
        <f ca="1">_xll.meDateFromTenor(C1469,"1D","FOLLOWING",D$12)</f>
        <v>44587</v>
      </c>
      <c r="D1470" s="13">
        <f ca="1">_xll.meDateFromTenor(C1470,D$14,D$11,D$12)</f>
        <v>44588</v>
      </c>
      <c r="E1470" s="98">
        <f ca="1"/>
        <v>3.5232615349217941E-3</v>
      </c>
      <c r="F1470" s="94"/>
      <c r="G1470" s="100">
        <f ca="1">_xll.meDateFromTenor(G1469,"1D","FOLLOWING",H$12)</f>
        <v>44587</v>
      </c>
      <c r="H1470" s="13">
        <f ca="1">_xll.meDateFromTenor(G1470,H$14,H$11,H$12)</f>
        <v>44620</v>
      </c>
      <c r="I1470" s="98">
        <f ca="1"/>
        <v>4.19144614771348E-3</v>
      </c>
      <c r="J1470" s="94" t="s">
        <v>4</v>
      </c>
      <c r="K1470" s="100">
        <f ca="1">_xll.meDateFromTenor(K1469,"1D","FOLLOWING",L$12)</f>
        <v>44587</v>
      </c>
      <c r="L1470" s="13">
        <f ca="1">_xll.meDateFromTenor(K1470,L$14,L$11,L$12)</f>
        <v>44677</v>
      </c>
      <c r="M1470" s="98">
        <f ca="1"/>
        <v>5.4949273759316479E-3</v>
      </c>
      <c r="N1470" s="5" t="s">
        <v>4</v>
      </c>
      <c r="O1470" s="100">
        <f ca="1">_xll.meDateFromTenor(O1469,"1D","FOLLOWING",P$12)</f>
        <v>44587</v>
      </c>
      <c r="P1470" s="13">
        <f ca="1">_xll.meDateFromTenor(O1470,P$14,P$11,P$12)</f>
        <v>44768</v>
      </c>
      <c r="Q1470" s="98">
        <f ca="1"/>
        <v>7.2221811959815663E-3</v>
      </c>
      <c r="R1470" s="5" t="s">
        <v>4</v>
      </c>
      <c r="S1470" s="100">
        <f ca="1">_xll.meDateFromTenor(S1469,"1D","FOLLOWING",T$12)</f>
        <v>44587</v>
      </c>
      <c r="T1470" s="13">
        <f ca="1">_xll.meDateFromTenor(S1470,T$14,T$11,T$12)</f>
        <v>44952</v>
      </c>
      <c r="U1470" s="98">
        <f ca="1"/>
        <v>9.1306472333915496E-3</v>
      </c>
      <c r="V1470" s="5" t="s">
        <v>4</v>
      </c>
      <c r="W1470" s="84" t="s">
        <v>4</v>
      </c>
    </row>
    <row r="1471" spans="1:23" x14ac:dyDescent="0.25">
      <c r="A1471" s="90">
        <v>1452</v>
      </c>
      <c r="B1471" s="83"/>
      <c r="C1471" s="100">
        <f ca="1">_xll.meDateFromTenor(C1470,"1D","FOLLOWING",D$12)</f>
        <v>44588</v>
      </c>
      <c r="D1471" s="13">
        <f ca="1">_xll.meDateFromTenor(C1471,D$14,D$11,D$12)</f>
        <v>44589</v>
      </c>
      <c r="E1471" s="98">
        <f ca="1"/>
        <v>3.5303390526925135E-3</v>
      </c>
      <c r="F1471" s="94"/>
      <c r="G1471" s="100">
        <f ca="1">_xll.meDateFromTenor(G1470,"1D","FOLLOWING",H$12)</f>
        <v>44588</v>
      </c>
      <c r="H1471" s="13">
        <f ca="1">_xll.meDateFromTenor(G1471,H$14,H$11,H$12)</f>
        <v>44620</v>
      </c>
      <c r="I1471" s="98">
        <f ca="1"/>
        <v>4.1991960562635447E-3</v>
      </c>
      <c r="J1471" s="94" t="s">
        <v>4</v>
      </c>
      <c r="K1471" s="100">
        <f ca="1">_xll.meDateFromTenor(K1470,"1D","FOLLOWING",L$12)</f>
        <v>44588</v>
      </c>
      <c r="L1471" s="13">
        <f ca="1">_xll.meDateFromTenor(K1471,L$14,L$11,L$12)</f>
        <v>44678</v>
      </c>
      <c r="M1471" s="98">
        <f ca="1"/>
        <v>5.5033854950095277E-3</v>
      </c>
      <c r="N1471" s="5" t="s">
        <v>4</v>
      </c>
      <c r="O1471" s="100">
        <f ca="1">_xll.meDateFromTenor(O1470,"1D","FOLLOWING",P$12)</f>
        <v>44588</v>
      </c>
      <c r="P1471" s="13">
        <f ca="1">_xll.meDateFromTenor(O1471,P$14,P$11,P$12)</f>
        <v>44769</v>
      </c>
      <c r="Q1471" s="98">
        <f ca="1"/>
        <v>7.2303406128662257E-3</v>
      </c>
      <c r="R1471" s="5" t="s">
        <v>4</v>
      </c>
      <c r="S1471" s="100">
        <f ca="1">_xll.meDateFromTenor(S1470,"1D","FOLLOWING",T$12)</f>
        <v>44588</v>
      </c>
      <c r="T1471" s="13">
        <f ca="1">_xll.meDateFromTenor(S1471,T$14,T$11,T$12)</f>
        <v>44953</v>
      </c>
      <c r="U1471" s="98">
        <f ca="1"/>
        <v>9.1378489197916947E-3</v>
      </c>
      <c r="V1471" s="5" t="s">
        <v>4</v>
      </c>
      <c r="W1471" s="84" t="s">
        <v>4</v>
      </c>
    </row>
    <row r="1472" spans="1:23" x14ac:dyDescent="0.25">
      <c r="A1472" s="90">
        <v>1453</v>
      </c>
      <c r="B1472" s="83"/>
      <c r="C1472" s="100">
        <f ca="1">_xll.meDateFromTenor(C1471,"1D","FOLLOWING",D$12)</f>
        <v>44589</v>
      </c>
      <c r="D1472" s="13">
        <f ca="1">_xll.meDateFromTenor(C1472,D$14,D$11,D$12)</f>
        <v>44592</v>
      </c>
      <c r="E1472" s="98">
        <f ca="1"/>
        <v>3.5444400984106406E-3</v>
      </c>
      <c r="F1472" s="94"/>
      <c r="G1472" s="100">
        <f ca="1">_xll.meDateFromTenor(G1471,"1D","FOLLOWING",H$12)</f>
        <v>44589</v>
      </c>
      <c r="H1472" s="13">
        <f ca="1">_xll.meDateFromTenor(G1472,H$14,H$11,H$12)</f>
        <v>44620</v>
      </c>
      <c r="I1472" s="98">
        <f ca="1"/>
        <v>4.2070069497003905E-3</v>
      </c>
      <c r="J1472" s="94" t="s">
        <v>4</v>
      </c>
      <c r="K1472" s="100">
        <f ca="1">_xll.meDateFromTenor(K1471,"1D","FOLLOWING",L$12)</f>
        <v>44589</v>
      </c>
      <c r="L1472" s="13">
        <f ca="1">_xll.meDateFromTenor(K1472,L$14,L$11,L$12)</f>
        <v>44679</v>
      </c>
      <c r="M1472" s="98">
        <f ca="1"/>
        <v>5.5118460684352028E-3</v>
      </c>
      <c r="N1472" s="5" t="s">
        <v>4</v>
      </c>
      <c r="O1472" s="100">
        <f ca="1">_xll.meDateFromTenor(O1471,"1D","FOLLOWING",P$12)</f>
        <v>44589</v>
      </c>
      <c r="P1472" s="13">
        <f ca="1">_xll.meDateFromTenor(O1472,P$14,P$11,P$12)</f>
        <v>44770</v>
      </c>
      <c r="Q1472" s="98">
        <f ca="1"/>
        <v>7.2385017205768322E-3</v>
      </c>
      <c r="R1472" s="5" t="s">
        <v>4</v>
      </c>
      <c r="S1472" s="100">
        <f ca="1">_xll.meDateFromTenor(S1471,"1D","FOLLOWING",T$12)</f>
        <v>44589</v>
      </c>
      <c r="T1472" s="13">
        <f ca="1">_xll.meDateFromTenor(S1472,T$14,T$11,T$12)</f>
        <v>44956</v>
      </c>
      <c r="U1472" s="98">
        <f ca="1"/>
        <v>9.1450497506368848E-3</v>
      </c>
      <c r="V1472" s="5" t="s">
        <v>4</v>
      </c>
      <c r="W1472" s="84" t="s">
        <v>4</v>
      </c>
    </row>
    <row r="1473" spans="1:23" x14ac:dyDescent="0.25">
      <c r="A1473" s="90">
        <v>1454</v>
      </c>
      <c r="B1473" s="83"/>
      <c r="C1473" s="100">
        <f ca="1">_xll.meDateFromTenor(C1472,"1D","FOLLOWING",D$12)</f>
        <v>44592</v>
      </c>
      <c r="D1473" s="13">
        <f ca="1">_xll.meDateFromTenor(C1473,D$14,D$11,D$12)</f>
        <v>44593</v>
      </c>
      <c r="E1473" s="98">
        <f ca="1"/>
        <v>3.5583824604496204E-3</v>
      </c>
      <c r="F1473" s="94"/>
      <c r="G1473" s="100">
        <f ca="1">_xll.meDateFromTenor(G1472,"1D","FOLLOWING",H$12)</f>
        <v>44592</v>
      </c>
      <c r="H1473" s="13">
        <f ca="1">_xll.meDateFromTenor(G1473,H$14,H$11,H$12)</f>
        <v>44620</v>
      </c>
      <c r="I1473" s="98">
        <f ca="1"/>
        <v>4.2308365117358342E-3</v>
      </c>
      <c r="J1473" s="94" t="s">
        <v>4</v>
      </c>
      <c r="K1473" s="100">
        <f ca="1">_xll.meDateFromTenor(K1472,"1D","FOLLOWING",L$12)</f>
        <v>44592</v>
      </c>
      <c r="L1473" s="13">
        <f ca="1">_xll.meDateFromTenor(K1473,L$14,L$11,L$12)</f>
        <v>44680</v>
      </c>
      <c r="M1473" s="98">
        <f ca="1"/>
        <v>5.5372419191881891E-3</v>
      </c>
      <c r="N1473" s="5" t="s">
        <v>4</v>
      </c>
      <c r="O1473" s="100">
        <f ca="1">_xll.meDateFromTenor(O1472,"1D","FOLLOWING",P$12)</f>
        <v>44592</v>
      </c>
      <c r="P1473" s="13">
        <f ca="1">_xll.meDateFromTenor(O1473,P$14,P$11,P$12)</f>
        <v>44771</v>
      </c>
      <c r="Q1473" s="98">
        <f ca="1"/>
        <v>7.2629947882668711E-3</v>
      </c>
      <c r="R1473" s="5" t="s">
        <v>4</v>
      </c>
      <c r="S1473" s="100">
        <f ca="1">_xll.meDateFromTenor(S1472,"1D","FOLLOWING",T$12)</f>
        <v>44592</v>
      </c>
      <c r="T1473" s="13">
        <f ca="1">_xll.meDateFromTenor(S1473,T$14,T$11,T$12)</f>
        <v>44957</v>
      </c>
      <c r="U1473" s="98">
        <f ca="1"/>
        <v>9.1666470825139262E-3</v>
      </c>
      <c r="V1473" s="5" t="s">
        <v>4</v>
      </c>
      <c r="W1473" s="84" t="s">
        <v>4</v>
      </c>
    </row>
    <row r="1474" spans="1:23" x14ac:dyDescent="0.25">
      <c r="A1474" s="90">
        <v>1455</v>
      </c>
      <c r="B1474" s="83"/>
      <c r="C1474" s="100">
        <f ca="1">_xll.meDateFromTenor(C1473,"1D","FOLLOWING",D$12)</f>
        <v>44593</v>
      </c>
      <c r="D1474" s="13">
        <f ca="1">_xll.meDateFromTenor(C1474,D$14,D$11,D$12)</f>
        <v>44594</v>
      </c>
      <c r="E1474" s="98">
        <f ca="1"/>
        <v>3.5653266430374342E-3</v>
      </c>
      <c r="F1474" s="94"/>
      <c r="G1474" s="100">
        <f ca="1">_xll.meDateFromTenor(G1473,"1D","FOLLOWING",H$12)</f>
        <v>44593</v>
      </c>
      <c r="H1474" s="13">
        <f ca="1">_xll.meDateFromTenor(G1474,H$14,H$11,H$12)</f>
        <v>44621</v>
      </c>
      <c r="I1474" s="98">
        <f ca="1"/>
        <v>4.2389223171240102E-3</v>
      </c>
      <c r="J1474" s="94" t="s">
        <v>4</v>
      </c>
      <c r="K1474" s="100">
        <f ca="1">_xll.meDateFromTenor(K1473,"1D","FOLLOWING",L$12)</f>
        <v>44593</v>
      </c>
      <c r="L1474" s="13">
        <f ca="1">_xll.meDateFromTenor(K1474,L$14,L$11,L$12)</f>
        <v>44683</v>
      </c>
      <c r="M1474" s="98">
        <f ca="1"/>
        <v>5.5457117143942313E-3</v>
      </c>
      <c r="N1474" s="5" t="s">
        <v>4</v>
      </c>
      <c r="O1474" s="100">
        <f ca="1">_xll.meDateFromTenor(O1473,"1D","FOLLOWING",P$12)</f>
        <v>44593</v>
      </c>
      <c r="P1474" s="13">
        <f ca="1">_xll.meDateFromTenor(O1474,P$14,P$11,P$12)</f>
        <v>44774</v>
      </c>
      <c r="Q1474" s="98">
        <f ca="1"/>
        <v>7.2711622588837897E-3</v>
      </c>
      <c r="R1474" s="5" t="s">
        <v>4</v>
      </c>
      <c r="S1474" s="100">
        <f ca="1">_xll.meDateFromTenor(S1473,"1D","FOLLOWING",T$12)</f>
        <v>44593</v>
      </c>
      <c r="T1474" s="13">
        <f ca="1">_xll.meDateFromTenor(S1474,T$14,T$11,T$12)</f>
        <v>44958</v>
      </c>
      <c r="U1474" s="98">
        <f ca="1"/>
        <v>9.173844463810487E-3</v>
      </c>
      <c r="V1474" s="5" t="s">
        <v>4</v>
      </c>
      <c r="W1474" s="84" t="s">
        <v>4</v>
      </c>
    </row>
    <row r="1475" spans="1:23" x14ac:dyDescent="0.25">
      <c r="A1475" s="90">
        <v>1456</v>
      </c>
      <c r="B1475" s="83"/>
      <c r="C1475" s="100">
        <f ca="1">_xll.meDateFromTenor(C1474,"1D","FOLLOWING",D$12)</f>
        <v>44594</v>
      </c>
      <c r="D1475" s="13">
        <f ca="1">_xll.meDateFromTenor(C1475,D$14,D$11,D$12)</f>
        <v>44595</v>
      </c>
      <c r="E1475" s="98">
        <f ca="1"/>
        <v>3.5722441566405092E-3</v>
      </c>
      <c r="F1475" s="94"/>
      <c r="G1475" s="100">
        <f ca="1">_xll.meDateFromTenor(G1474,"1D","FOLLOWING",H$12)</f>
        <v>44594</v>
      </c>
      <c r="H1475" s="13">
        <f ca="1">_xll.meDateFromTenor(G1475,H$14,H$11,H$12)</f>
        <v>44622</v>
      </c>
      <c r="I1475" s="98">
        <f ca="1"/>
        <v>4.2470845936010667E-3</v>
      </c>
      <c r="J1475" s="94" t="s">
        <v>4</v>
      </c>
      <c r="K1475" s="100">
        <f ca="1">_xll.meDateFromTenor(K1474,"1D","FOLLOWING",L$12)</f>
        <v>44594</v>
      </c>
      <c r="L1475" s="13">
        <f ca="1">_xll.meDateFromTenor(K1475,L$14,L$11,L$12)</f>
        <v>44683</v>
      </c>
      <c r="M1475" s="98">
        <f ca="1"/>
        <v>5.5541836661426591E-3</v>
      </c>
      <c r="N1475" s="5" t="s">
        <v>4</v>
      </c>
      <c r="O1475" s="100">
        <f ca="1">_xll.meDateFromTenor(O1474,"1D","FOLLOWING",P$12)</f>
        <v>44594</v>
      </c>
      <c r="P1475" s="13">
        <f ca="1">_xll.meDateFromTenor(O1475,P$14,P$11,P$12)</f>
        <v>44775</v>
      </c>
      <c r="Q1475" s="98">
        <f ca="1"/>
        <v>7.2793312201279098E-3</v>
      </c>
      <c r="R1475" s="5" t="s">
        <v>4</v>
      </c>
      <c r="S1475" s="100">
        <f ca="1">_xll.meDateFromTenor(S1474,"1D","FOLLOWING",T$12)</f>
        <v>44594</v>
      </c>
      <c r="T1475" s="13">
        <f ca="1">_xll.meDateFromTenor(S1475,T$14,T$11,T$12)</f>
        <v>44959</v>
      </c>
      <c r="U1475" s="98">
        <f ca="1"/>
        <v>9.1810409758876846E-3</v>
      </c>
      <c r="V1475" s="5" t="s">
        <v>4</v>
      </c>
      <c r="W1475" s="84" t="s">
        <v>4</v>
      </c>
    </row>
    <row r="1476" spans="1:23" x14ac:dyDescent="0.25">
      <c r="A1476" s="90">
        <v>1457</v>
      </c>
      <c r="B1476" s="83"/>
      <c r="C1476" s="100">
        <f ca="1">_xll.meDateFromTenor(C1475,"1D","FOLLOWING",D$12)</f>
        <v>44595</v>
      </c>
      <c r="D1476" s="13">
        <f ca="1">_xll.meDateFromTenor(C1476,D$14,D$11,D$12)</f>
        <v>44596</v>
      </c>
      <c r="E1476" s="98">
        <f ca="1"/>
        <v>3.5791350004549206E-3</v>
      </c>
      <c r="F1476" s="94"/>
      <c r="G1476" s="100">
        <f ca="1">_xll.meDateFromTenor(G1475,"1D","FOLLOWING",H$12)</f>
        <v>44595</v>
      </c>
      <c r="H1476" s="13">
        <f ca="1">_xll.meDateFromTenor(G1476,H$14,H$11,H$12)</f>
        <v>44623</v>
      </c>
      <c r="I1476" s="98">
        <f ca="1"/>
        <v>4.2553248327180633E-3</v>
      </c>
      <c r="J1476" s="94" t="s">
        <v>4</v>
      </c>
      <c r="K1476" s="100">
        <f ca="1">_xll.meDateFromTenor(K1475,"1D","FOLLOWING",L$12)</f>
        <v>44595</v>
      </c>
      <c r="L1476" s="13">
        <f ca="1">_xll.meDateFromTenor(K1476,L$14,L$11,L$12)</f>
        <v>44684</v>
      </c>
      <c r="M1476" s="98">
        <f ca="1"/>
        <v>5.5626577148723926E-3</v>
      </c>
      <c r="N1476" s="5" t="s">
        <v>4</v>
      </c>
      <c r="O1476" s="100">
        <f ca="1">_xll.meDateFromTenor(O1475,"1D","FOLLOWING",P$12)</f>
        <v>44595</v>
      </c>
      <c r="P1476" s="13">
        <f ca="1">_xll.meDateFromTenor(O1476,P$14,P$11,P$12)</f>
        <v>44776</v>
      </c>
      <c r="Q1476" s="98">
        <f ca="1"/>
        <v>7.2875016319594848E-3</v>
      </c>
      <c r="R1476" s="5" t="s">
        <v>4</v>
      </c>
      <c r="S1476" s="100">
        <f ca="1">_xll.meDateFromTenor(S1475,"1D","FOLLOWING",T$12)</f>
        <v>44595</v>
      </c>
      <c r="T1476" s="13">
        <f ca="1">_xll.meDateFromTenor(S1476,T$14,T$11,T$12)</f>
        <v>44960</v>
      </c>
      <c r="U1476" s="98">
        <f ca="1"/>
        <v>9.1882366160126339E-3</v>
      </c>
      <c r="V1476" s="5" t="s">
        <v>4</v>
      </c>
      <c r="W1476" s="84" t="s">
        <v>4</v>
      </c>
    </row>
    <row r="1477" spans="1:23" x14ac:dyDescent="0.25">
      <c r="A1477" s="90">
        <v>1458</v>
      </c>
      <c r="B1477" s="83"/>
      <c r="C1477" s="100">
        <f ca="1">_xll.meDateFromTenor(C1476,"1D","FOLLOWING",D$12)</f>
        <v>44596</v>
      </c>
      <c r="D1477" s="13">
        <f ca="1">_xll.meDateFromTenor(C1477,D$14,D$11,D$12)</f>
        <v>44599</v>
      </c>
      <c r="E1477" s="98">
        <f ca="1"/>
        <v>3.5928636428652449E-3</v>
      </c>
      <c r="F1477" s="94"/>
      <c r="G1477" s="100">
        <f ca="1">_xll.meDateFromTenor(G1476,"1D","FOLLOWING",H$12)</f>
        <v>44596</v>
      </c>
      <c r="H1477" s="13">
        <f ca="1">_xll.meDateFromTenor(G1477,H$14,H$11,H$12)</f>
        <v>44624</v>
      </c>
      <c r="I1477" s="98">
        <f ca="1"/>
        <v>4.2636381032686238E-3</v>
      </c>
      <c r="J1477" s="94" t="s">
        <v>4</v>
      </c>
      <c r="K1477" s="100">
        <f ca="1">_xll.meDateFromTenor(K1476,"1D","FOLLOWING",L$12)</f>
        <v>44596</v>
      </c>
      <c r="L1477" s="13">
        <f ca="1">_xll.meDateFromTenor(K1477,L$14,L$11,L$12)</f>
        <v>44685</v>
      </c>
      <c r="M1477" s="98">
        <f ca="1"/>
        <v>5.5711338010223481E-3</v>
      </c>
      <c r="N1477" s="5" t="s">
        <v>4</v>
      </c>
      <c r="O1477" s="100">
        <f ca="1">_xll.meDateFromTenor(O1476,"1D","FOLLOWING",P$12)</f>
        <v>44596</v>
      </c>
      <c r="P1477" s="13">
        <f ca="1">_xll.meDateFromTenor(O1477,P$14,P$11,P$12)</f>
        <v>44777</v>
      </c>
      <c r="Q1477" s="98">
        <f ca="1"/>
        <v>7.2956734543387644E-3</v>
      </c>
      <c r="R1477" s="5" t="s">
        <v>4</v>
      </c>
      <c r="S1477" s="100">
        <f ca="1">_xll.meDateFromTenor(S1476,"1D","FOLLOWING",T$12)</f>
        <v>44596</v>
      </c>
      <c r="T1477" s="13">
        <f ca="1">_xll.meDateFromTenor(S1477,T$14,T$11,T$12)</f>
        <v>44963</v>
      </c>
      <c r="U1477" s="98">
        <f ca="1"/>
        <v>9.1954313814524569E-3</v>
      </c>
      <c r="V1477" s="5" t="s">
        <v>4</v>
      </c>
      <c r="W1477" s="84" t="s">
        <v>4</v>
      </c>
    </row>
    <row r="1478" spans="1:23" x14ac:dyDescent="0.25">
      <c r="A1478" s="90">
        <v>1459</v>
      </c>
      <c r="B1478" s="83"/>
      <c r="C1478" s="100">
        <f ca="1">_xll.meDateFromTenor(C1477,"1D","FOLLOWING",D$12)</f>
        <v>44599</v>
      </c>
      <c r="D1478" s="13">
        <f ca="1">_xll.meDateFromTenor(C1478,D$14,D$11,D$12)</f>
        <v>44600</v>
      </c>
      <c r="E1478" s="98">
        <f ca="1"/>
        <v>3.6064316658629327E-3</v>
      </c>
      <c r="F1478" s="94"/>
      <c r="G1478" s="100">
        <f ca="1">_xll.meDateFromTenor(G1477,"1D","FOLLOWING",H$12)</f>
        <v>44599</v>
      </c>
      <c r="H1478" s="13">
        <f ca="1">_xll.meDateFromTenor(G1478,H$14,H$11,H$12)</f>
        <v>44627</v>
      </c>
      <c r="I1478" s="98">
        <f ca="1"/>
        <v>4.2889507345643509E-3</v>
      </c>
      <c r="J1478" s="94" t="s">
        <v>4</v>
      </c>
      <c r="K1478" s="100">
        <f ca="1">_xll.meDateFromTenor(K1477,"1D","FOLLOWING",L$12)</f>
        <v>44599</v>
      </c>
      <c r="L1478" s="13">
        <f ca="1">_xll.meDateFromTenor(K1478,L$14,L$11,L$12)</f>
        <v>44690</v>
      </c>
      <c r="M1478" s="98">
        <f ca="1"/>
        <v>5.5965736883827272E-3</v>
      </c>
      <c r="N1478" s="5" t="s">
        <v>4</v>
      </c>
      <c r="O1478" s="100">
        <f ca="1">_xll.meDateFromTenor(O1477,"1D","FOLLOWING",P$12)</f>
        <v>44599</v>
      </c>
      <c r="P1478" s="13">
        <f ca="1">_xll.meDateFromTenor(O1478,P$14,P$11,P$12)</f>
        <v>44781</v>
      </c>
      <c r="Q1478" s="98">
        <f ca="1"/>
        <v>7.3201969843653273E-3</v>
      </c>
      <c r="R1478" s="5" t="s">
        <v>4</v>
      </c>
      <c r="S1478" s="100">
        <f ca="1">_xll.meDateFromTenor(S1477,"1D","FOLLOWING",T$12)</f>
        <v>44599</v>
      </c>
      <c r="T1478" s="13">
        <f ca="1">_xll.meDateFromTenor(S1478,T$14,T$11,T$12)</f>
        <v>44964</v>
      </c>
      <c r="U1478" s="98">
        <f ca="1"/>
        <v>9.2170104023323266E-3</v>
      </c>
      <c r="V1478" s="5" t="s">
        <v>4</v>
      </c>
      <c r="W1478" s="84" t="s">
        <v>4</v>
      </c>
    </row>
    <row r="1479" spans="1:23" x14ac:dyDescent="0.25">
      <c r="A1479" s="90">
        <v>1460</v>
      </c>
      <c r="B1479" s="83"/>
      <c r="C1479" s="100">
        <f ca="1">_xll.meDateFromTenor(C1478,"1D","FOLLOWING",D$12)</f>
        <v>44600</v>
      </c>
      <c r="D1479" s="13">
        <f ca="1">_xll.meDateFromTenor(C1479,D$14,D$11,D$12)</f>
        <v>44601</v>
      </c>
      <c r="E1479" s="98">
        <f ca="1"/>
        <v>3.6131891513952264E-3</v>
      </c>
      <c r="F1479" s="94"/>
      <c r="G1479" s="100">
        <f ca="1">_xll.meDateFromTenor(G1478,"1D","FOLLOWING",H$12)</f>
        <v>44600</v>
      </c>
      <c r="H1479" s="13">
        <f ca="1">_xll.meDateFromTenor(G1479,H$14,H$11,H$12)</f>
        <v>44628</v>
      </c>
      <c r="I1479" s="98">
        <f ca="1"/>
        <v>4.2974907618918293E-3</v>
      </c>
      <c r="J1479" s="94" t="s">
        <v>4</v>
      </c>
      <c r="K1479" s="100">
        <f ca="1">_xll.meDateFromTenor(K1478,"1D","FOLLOWING",L$12)</f>
        <v>44600</v>
      </c>
      <c r="L1479" s="13">
        <f ca="1">_xll.meDateFromTenor(K1479,L$14,L$11,L$12)</f>
        <v>44690</v>
      </c>
      <c r="M1479" s="98">
        <f ca="1"/>
        <v>5.6050573286027536E-3</v>
      </c>
      <c r="N1479" s="5" t="s">
        <v>4</v>
      </c>
      <c r="O1479" s="100">
        <f ca="1">_xll.meDateFromTenor(O1478,"1D","FOLLOWING",P$12)</f>
        <v>44600</v>
      </c>
      <c r="P1479" s="13">
        <f ca="1">_xll.meDateFromTenor(O1479,P$14,P$11,P$12)</f>
        <v>44781</v>
      </c>
      <c r="Q1479" s="98">
        <f ca="1"/>
        <v>7.3283740485379275E-3</v>
      </c>
      <c r="R1479" s="5" t="s">
        <v>4</v>
      </c>
      <c r="S1479" s="100">
        <f ca="1">_xll.meDateFromTenor(S1478,"1D","FOLLOWING",T$12)</f>
        <v>44600</v>
      </c>
      <c r="T1479" s="13">
        <f ca="1">_xll.meDateFromTenor(S1479,T$14,T$11,T$12)</f>
        <v>44965</v>
      </c>
      <c r="U1479" s="98">
        <f ca="1"/>
        <v>9.224201641702812E-3</v>
      </c>
      <c r="V1479" s="5" t="s">
        <v>4</v>
      </c>
      <c r="W1479" s="84" t="s">
        <v>4</v>
      </c>
    </row>
    <row r="1480" spans="1:23" x14ac:dyDescent="0.25">
      <c r="A1480" s="90">
        <v>1461</v>
      </c>
      <c r="B1480" s="83"/>
      <c r="C1480" s="100">
        <f ca="1">_xll.meDateFromTenor(C1479,"1D","FOLLOWING",D$12)</f>
        <v>44601</v>
      </c>
      <c r="D1480" s="13">
        <f ca="1">_xll.meDateFromTenor(C1480,D$14,D$11,D$12)</f>
        <v>44602</v>
      </c>
      <c r="E1480" s="98">
        <f ca="1"/>
        <v>3.6199199628222825E-3</v>
      </c>
      <c r="F1480" s="94"/>
      <c r="G1480" s="100">
        <f ca="1">_xll.meDateFromTenor(G1479,"1D","FOLLOWING",H$12)</f>
        <v>44601</v>
      </c>
      <c r="H1480" s="13">
        <f ca="1">_xll.meDateFromTenor(G1480,H$14,H$11,H$12)</f>
        <v>44629</v>
      </c>
      <c r="I1480" s="98">
        <f ca="1"/>
        <v>4.3060711361742028E-3</v>
      </c>
      <c r="J1480" s="94" t="s">
        <v>4</v>
      </c>
      <c r="K1480" s="100">
        <f ca="1">_xll.meDateFromTenor(K1479,"1D","FOLLOWING",L$12)</f>
        <v>44601</v>
      </c>
      <c r="L1480" s="13">
        <f ca="1">_xll.meDateFromTenor(K1480,L$14,L$11,L$12)</f>
        <v>44690</v>
      </c>
      <c r="M1480" s="98">
        <f ca="1"/>
        <v>5.6135427084375925E-3</v>
      </c>
      <c r="N1480" s="5" t="s">
        <v>4</v>
      </c>
      <c r="O1480" s="100">
        <f ca="1">_xll.meDateFromTenor(O1479,"1D","FOLLOWING",P$12)</f>
        <v>44601</v>
      </c>
      <c r="P1480" s="13">
        <f ca="1">_xll.meDateFromTenor(O1480,P$14,P$11,P$12)</f>
        <v>44782</v>
      </c>
      <c r="Q1480" s="98">
        <f ca="1"/>
        <v>7.3365523230594842E-3</v>
      </c>
      <c r="R1480" s="5" t="s">
        <v>4</v>
      </c>
      <c r="S1480" s="100">
        <f ca="1">_xll.meDateFromTenor(S1479,"1D","FOLLOWING",T$12)</f>
        <v>44601</v>
      </c>
      <c r="T1480" s="13">
        <f ca="1">_xll.meDateFromTenor(S1480,T$14,T$11,T$12)</f>
        <v>44966</v>
      </c>
      <c r="U1480" s="98">
        <f ca="1"/>
        <v>9.2313919927237541E-3</v>
      </c>
      <c r="V1480" s="5" t="s">
        <v>4</v>
      </c>
      <c r="W1480" s="84" t="s">
        <v>4</v>
      </c>
    </row>
    <row r="1481" spans="1:23" x14ac:dyDescent="0.25">
      <c r="A1481" s="90">
        <v>1462</v>
      </c>
      <c r="B1481" s="83"/>
      <c r="C1481" s="100">
        <f ca="1">_xll.meDateFromTenor(C1480,"1D","FOLLOWING",D$12)</f>
        <v>44602</v>
      </c>
      <c r="D1481" s="13">
        <f ca="1">_xll.meDateFromTenor(C1481,D$14,D$11,D$12)</f>
        <v>44603</v>
      </c>
      <c r="E1481" s="98">
        <f ca="1"/>
        <v>3.6266241000687915E-3</v>
      </c>
      <c r="F1481" s="94"/>
      <c r="G1481" s="100">
        <f ca="1">_xll.meDateFromTenor(G1480,"1D","FOLLOWING",H$12)</f>
        <v>44602</v>
      </c>
      <c r="H1481" s="13">
        <f ca="1">_xll.meDateFromTenor(G1481,H$14,H$11,H$12)</f>
        <v>44630</v>
      </c>
      <c r="I1481" s="98">
        <f ca="1"/>
        <v>4.3146853205157367E-3</v>
      </c>
      <c r="J1481" s="94" t="s">
        <v>4</v>
      </c>
      <c r="K1481" s="100">
        <f ca="1">_xll.meDateFromTenor(K1480,"1D","FOLLOWING",L$12)</f>
        <v>44602</v>
      </c>
      <c r="L1481" s="13">
        <f ca="1">_xll.meDateFromTenor(K1481,L$14,L$11,L$12)</f>
        <v>44691</v>
      </c>
      <c r="M1481" s="98">
        <f ca="1"/>
        <v>5.6220297683261629E-3</v>
      </c>
      <c r="N1481" s="5" t="s">
        <v>4</v>
      </c>
      <c r="O1481" s="100">
        <f ca="1">_xll.meDateFromTenor(O1480,"1D","FOLLOWING",P$12)</f>
        <v>44602</v>
      </c>
      <c r="P1481" s="13">
        <f ca="1">_xll.meDateFromTenor(O1481,P$14,P$11,P$12)</f>
        <v>44783</v>
      </c>
      <c r="Q1481" s="98">
        <f ca="1"/>
        <v>7.3447317678902481E-3</v>
      </c>
      <c r="R1481" s="5" t="s">
        <v>4</v>
      </c>
      <c r="S1481" s="100">
        <f ca="1">_xll.meDateFromTenor(S1480,"1D","FOLLOWING",T$12)</f>
        <v>44602</v>
      </c>
      <c r="T1481" s="13">
        <f ca="1">_xll.meDateFromTenor(S1481,T$14,T$11,T$12)</f>
        <v>44967</v>
      </c>
      <c r="U1481" s="98">
        <f ca="1"/>
        <v>9.2385814526622784E-3</v>
      </c>
      <c r="V1481" s="5" t="s">
        <v>4</v>
      </c>
      <c r="W1481" s="84" t="s">
        <v>4</v>
      </c>
    </row>
    <row r="1482" spans="1:23" x14ac:dyDescent="0.25">
      <c r="A1482" s="90">
        <v>1463</v>
      </c>
      <c r="B1482" s="83"/>
      <c r="C1482" s="100">
        <f ca="1">_xll.meDateFromTenor(C1481,"1D","FOLLOWING",D$12)</f>
        <v>44603</v>
      </c>
      <c r="D1482" s="13">
        <f ca="1">_xll.meDateFromTenor(C1482,D$14,D$11,D$12)</f>
        <v>44606</v>
      </c>
      <c r="E1482" s="98">
        <f ca="1"/>
        <v>3.6399802592066845E-3</v>
      </c>
      <c r="F1482" s="94"/>
      <c r="G1482" s="100">
        <f ca="1">_xll.meDateFromTenor(G1481,"1D","FOLLOWING",H$12)</f>
        <v>44603</v>
      </c>
      <c r="H1482" s="13">
        <f ca="1">_xll.meDateFromTenor(G1482,H$14,H$11,H$12)</f>
        <v>44631</v>
      </c>
      <c r="I1482" s="98">
        <f ca="1"/>
        <v>4.3233267780206962E-3</v>
      </c>
      <c r="J1482" s="94" t="s">
        <v>4</v>
      </c>
      <c r="K1482" s="100">
        <f ca="1">_xll.meDateFromTenor(K1481,"1D","FOLLOWING",L$12)</f>
        <v>44603</v>
      </c>
      <c r="L1482" s="13">
        <f ca="1">_xll.meDateFromTenor(K1482,L$14,L$11,L$12)</f>
        <v>44692</v>
      </c>
      <c r="M1482" s="98">
        <f ca="1"/>
        <v>5.630518448707383E-3</v>
      </c>
      <c r="N1482" s="5" t="s">
        <v>4</v>
      </c>
      <c r="O1482" s="100">
        <f ca="1">_xll.meDateFromTenor(O1481,"1D","FOLLOWING",P$12)</f>
        <v>44603</v>
      </c>
      <c r="P1482" s="13">
        <f ca="1">_xll.meDateFromTenor(O1482,P$14,P$11,P$12)</f>
        <v>44784</v>
      </c>
      <c r="Q1482" s="98">
        <f ca="1"/>
        <v>7.3529123429904707E-3</v>
      </c>
      <c r="R1482" s="5" t="s">
        <v>4</v>
      </c>
      <c r="S1482" s="100">
        <f ca="1">_xll.meDateFromTenor(S1481,"1D","FOLLOWING",T$12)</f>
        <v>44603</v>
      </c>
      <c r="T1482" s="13">
        <f ca="1">_xll.meDateFromTenor(S1482,T$14,T$11,T$12)</f>
        <v>44970</v>
      </c>
      <c r="U1482" s="98">
        <f ca="1"/>
        <v>9.2457700187854961E-3</v>
      </c>
      <c r="V1482" s="5" t="s">
        <v>4</v>
      </c>
      <c r="W1482" s="84" t="s">
        <v>4</v>
      </c>
    </row>
    <row r="1483" spans="1:23" x14ac:dyDescent="0.25">
      <c r="A1483" s="90">
        <v>1464</v>
      </c>
      <c r="B1483" s="83"/>
      <c r="C1483" s="100">
        <f ca="1">_xll.meDateFromTenor(C1482,"1D","FOLLOWING",D$12)</f>
        <v>44606</v>
      </c>
      <c r="D1483" s="13">
        <f ca="1">_xll.meDateFromTenor(C1483,D$14,D$11,D$12)</f>
        <v>44607</v>
      </c>
      <c r="E1483" s="98">
        <f ca="1"/>
        <v>3.6531738894757669E-3</v>
      </c>
      <c r="F1483" s="94"/>
      <c r="G1483" s="100">
        <f ca="1">_xll.meDateFromTenor(G1482,"1D","FOLLOWING",H$12)</f>
        <v>44606</v>
      </c>
      <c r="H1483" s="13">
        <f ca="1">_xll.meDateFromTenor(G1483,H$14,H$11,H$12)</f>
        <v>44634</v>
      </c>
      <c r="I1483" s="98">
        <f ca="1"/>
        <v>4.3493494205587907E-3</v>
      </c>
      <c r="J1483" s="94" t="s">
        <v>4</v>
      </c>
      <c r="K1483" s="100">
        <f ca="1">_xll.meDateFromTenor(K1482,"1D","FOLLOWING",L$12)</f>
        <v>44606</v>
      </c>
      <c r="L1483" s="13">
        <f ca="1">_xll.meDateFromTenor(K1483,L$14,L$11,L$12)</f>
        <v>44697</v>
      </c>
      <c r="M1483" s="98">
        <f ca="1"/>
        <v>5.655993617196116E-3</v>
      </c>
      <c r="N1483" s="5" t="s">
        <v>4</v>
      </c>
      <c r="O1483" s="100">
        <f ca="1">_xll.meDateFromTenor(O1482,"1D","FOLLOWING",P$12)</f>
        <v>44606</v>
      </c>
      <c r="P1483" s="13">
        <f ca="1">_xll.meDateFromTenor(O1483,P$14,P$11,P$12)</f>
        <v>44788</v>
      </c>
      <c r="Q1483" s="98">
        <f ca="1"/>
        <v>7.3774604495103861E-3</v>
      </c>
      <c r="R1483" s="5" t="s">
        <v>4</v>
      </c>
      <c r="S1483" s="100">
        <f ca="1">_xll.meDateFromTenor(S1482,"1D","FOLLOWING",T$12)</f>
        <v>44606</v>
      </c>
      <c r="T1483" s="13">
        <f ca="1">_xll.meDateFromTenor(S1483,T$14,T$11,T$12)</f>
        <v>44971</v>
      </c>
      <c r="U1483" s="98">
        <f ca="1"/>
        <v>9.2673303269344958E-3</v>
      </c>
      <c r="V1483" s="5" t="s">
        <v>4</v>
      </c>
      <c r="W1483" s="84" t="s">
        <v>4</v>
      </c>
    </row>
    <row r="1484" spans="1:23" x14ac:dyDescent="0.25">
      <c r="A1484" s="90">
        <v>1465</v>
      </c>
      <c r="B1484" s="83"/>
      <c r="C1484" s="100">
        <f ca="1">_xll.meDateFromTenor(C1483,"1D","FOLLOWING",D$12)</f>
        <v>44607</v>
      </c>
      <c r="D1484" s="13">
        <f ca="1">_xll.meDateFromTenor(C1484,D$14,D$11,D$12)</f>
        <v>44608</v>
      </c>
      <c r="E1484" s="98">
        <f ca="1"/>
        <v>3.6597446436553546E-3</v>
      </c>
      <c r="F1484" s="94"/>
      <c r="G1484" s="100">
        <f ca="1">_xll.meDateFromTenor(G1483,"1D","FOLLOWING",H$12)</f>
        <v>44607</v>
      </c>
      <c r="H1484" s="13">
        <f ca="1">_xll.meDateFromTenor(G1484,H$14,H$11,H$12)</f>
        <v>44635</v>
      </c>
      <c r="I1484" s="98">
        <f ca="1"/>
        <v>4.3580346017601116E-3</v>
      </c>
      <c r="J1484" s="94" t="s">
        <v>4</v>
      </c>
      <c r="K1484" s="100">
        <f ca="1">_xll.meDateFromTenor(K1483,"1D","FOLLOWING",L$12)</f>
        <v>44607</v>
      </c>
      <c r="L1484" s="13">
        <f ca="1">_xll.meDateFromTenor(K1484,L$14,L$11,L$12)</f>
        <v>44697</v>
      </c>
      <c r="M1484" s="98">
        <f ca="1"/>
        <v>5.66448818393711E-3</v>
      </c>
      <c r="N1484" s="5" t="s">
        <v>4</v>
      </c>
      <c r="O1484" s="100">
        <f ca="1">_xll.meDateFromTenor(O1483,"1D","FOLLOWING",P$12)</f>
        <v>44607</v>
      </c>
      <c r="P1484" s="13">
        <f ca="1">_xll.meDateFromTenor(O1484,P$14,P$11,P$12)</f>
        <v>44788</v>
      </c>
      <c r="Q1484" s="98">
        <f ca="1"/>
        <v>7.3856451452909404E-3</v>
      </c>
      <c r="R1484" s="5" t="s">
        <v>4</v>
      </c>
      <c r="S1484" s="100">
        <f ca="1">_xll.meDateFromTenor(S1483,"1D","FOLLOWING",T$12)</f>
        <v>44607</v>
      </c>
      <c r="T1484" s="13">
        <f ca="1">_xll.meDateFromTenor(S1484,T$14,T$11,T$12)</f>
        <v>44972</v>
      </c>
      <c r="U1484" s="98">
        <f ca="1"/>
        <v>9.2745152904676696E-3</v>
      </c>
      <c r="V1484" s="5" t="s">
        <v>4</v>
      </c>
      <c r="W1484" s="84" t="s">
        <v>4</v>
      </c>
    </row>
    <row r="1485" spans="1:23" x14ac:dyDescent="0.25">
      <c r="A1485" s="90">
        <v>1466</v>
      </c>
      <c r="B1485" s="83"/>
      <c r="C1485" s="100">
        <f ca="1">_xll.meDateFromTenor(C1484,"1D","FOLLOWING",D$12)</f>
        <v>44608</v>
      </c>
      <c r="D1485" s="13">
        <f ca="1">_xll.meDateFromTenor(C1485,D$14,D$11,D$12)</f>
        <v>44609</v>
      </c>
      <c r="E1485" s="98">
        <f ca="1"/>
        <v>3.666288718938193E-3</v>
      </c>
      <c r="F1485" s="94"/>
      <c r="G1485" s="100">
        <f ca="1">_xll.meDateFromTenor(G1484,"1D","FOLLOWING",H$12)</f>
        <v>44608</v>
      </c>
      <c r="H1485" s="13">
        <f ca="1">_xll.meDateFromTenor(G1485,H$14,H$11,H$12)</f>
        <v>44636</v>
      </c>
      <c r="I1485" s="98">
        <f ca="1"/>
        <v>4.366714371646192E-3</v>
      </c>
      <c r="J1485" s="94" t="s">
        <v>4</v>
      </c>
      <c r="K1485" s="100">
        <f ca="1">_xll.meDateFromTenor(K1484,"1D","FOLLOWING",L$12)</f>
        <v>44608</v>
      </c>
      <c r="L1485" s="13">
        <f ca="1">_xll.meDateFromTenor(K1485,L$14,L$11,L$12)</f>
        <v>44697</v>
      </c>
      <c r="M1485" s="98">
        <f ca="1"/>
        <v>5.6729840733653449E-3</v>
      </c>
      <c r="N1485" s="5" t="s">
        <v>4</v>
      </c>
      <c r="O1485" s="100">
        <f ca="1">_xll.meDateFromTenor(O1484,"1D","FOLLOWING",P$12)</f>
        <v>44608</v>
      </c>
      <c r="P1485" s="13">
        <f ca="1">_xll.meDateFromTenor(O1485,P$14,P$11,P$12)</f>
        <v>44789</v>
      </c>
      <c r="Q1485" s="98">
        <f ca="1"/>
        <v>7.3938307711422088E-3</v>
      </c>
      <c r="R1485" s="5" t="s">
        <v>4</v>
      </c>
      <c r="S1485" s="100">
        <f ca="1">_xll.meDateFromTenor(S1484,"1D","FOLLOWING",T$12)</f>
        <v>44608</v>
      </c>
      <c r="T1485" s="13">
        <f ca="1">_xll.meDateFromTenor(S1485,T$14,T$11,T$12)</f>
        <v>44973</v>
      </c>
      <c r="U1485" s="98">
        <f ca="1"/>
        <v>9.2816993465211287E-3</v>
      </c>
      <c r="V1485" s="5" t="s">
        <v>4</v>
      </c>
      <c r="W1485" s="84" t="s">
        <v>4</v>
      </c>
    </row>
    <row r="1486" spans="1:23" x14ac:dyDescent="0.25">
      <c r="A1486" s="90">
        <v>1467</v>
      </c>
      <c r="B1486" s="83"/>
      <c r="C1486" s="100">
        <f ca="1">_xll.meDateFromTenor(C1485,"1D","FOLLOWING",D$12)</f>
        <v>44609</v>
      </c>
      <c r="D1486" s="13">
        <f ca="1">_xll.meDateFromTenor(C1486,D$14,D$11,D$12)</f>
        <v>44610</v>
      </c>
      <c r="E1486" s="98">
        <f ca="1"/>
        <v>3.6728061146801081E-3</v>
      </c>
      <c r="F1486" s="94"/>
      <c r="G1486" s="100">
        <f ca="1">_xll.meDateFromTenor(G1485,"1D","FOLLOWING",H$12)</f>
        <v>44609</v>
      </c>
      <c r="H1486" s="13">
        <f ca="1">_xll.meDateFromTenor(G1486,H$14,H$11,H$12)</f>
        <v>44637</v>
      </c>
      <c r="I1486" s="98">
        <f ca="1"/>
        <v>4.3753821933212936E-3</v>
      </c>
      <c r="J1486" s="94" t="s">
        <v>4</v>
      </c>
      <c r="K1486" s="100">
        <f ca="1">_xll.meDateFromTenor(K1485,"1D","FOLLOWING",L$12)</f>
        <v>44609</v>
      </c>
      <c r="L1486" s="13">
        <f ca="1">_xll.meDateFromTenor(K1486,L$14,L$11,L$12)</f>
        <v>44698</v>
      </c>
      <c r="M1486" s="98">
        <f ca="1"/>
        <v>5.6814812259197399E-3</v>
      </c>
      <c r="N1486" s="5" t="s">
        <v>4</v>
      </c>
      <c r="O1486" s="100">
        <f ca="1">_xll.meDateFromTenor(O1485,"1D","FOLLOWING",P$12)</f>
        <v>44609</v>
      </c>
      <c r="P1486" s="13">
        <f ca="1">_xll.meDateFromTenor(O1486,P$14,P$11,P$12)</f>
        <v>44790</v>
      </c>
      <c r="Q1486" s="98">
        <f ca="1"/>
        <v>7.4020172870244375E-3</v>
      </c>
      <c r="R1486" s="5" t="s">
        <v>4</v>
      </c>
      <c r="S1486" s="100">
        <f ca="1">_xll.meDateFromTenor(S1485,"1D","FOLLOWING",T$12)</f>
        <v>44609</v>
      </c>
      <c r="T1486" s="13">
        <f ca="1">_xll.meDateFromTenor(S1486,T$14,T$11,T$12)</f>
        <v>44974</v>
      </c>
      <c r="U1486" s="98">
        <f ca="1"/>
        <v>9.288882492361988E-3</v>
      </c>
      <c r="V1486" s="5" t="s">
        <v>4</v>
      </c>
      <c r="W1486" s="84" t="s">
        <v>4</v>
      </c>
    </row>
    <row r="1487" spans="1:23" x14ac:dyDescent="0.25">
      <c r="A1487" s="90">
        <v>1468</v>
      </c>
      <c r="B1487" s="83"/>
      <c r="C1487" s="100">
        <f ca="1">_xll.meDateFromTenor(C1486,"1D","FOLLOWING",D$12)</f>
        <v>44610</v>
      </c>
      <c r="D1487" s="13">
        <f ca="1">_xll.meDateFromTenor(C1487,D$14,D$11,D$12)</f>
        <v>44613</v>
      </c>
      <c r="E1487" s="98">
        <f ca="1"/>
        <v>3.6857897063759955E-3</v>
      </c>
      <c r="F1487" s="94"/>
      <c r="G1487" s="100">
        <f ca="1">_xll.meDateFromTenor(G1486,"1D","FOLLOWING",H$12)</f>
        <v>44610</v>
      </c>
      <c r="H1487" s="13">
        <f ca="1">_xll.meDateFromTenor(G1487,H$14,H$11,H$12)</f>
        <v>44638</v>
      </c>
      <c r="I1487" s="98">
        <f ca="1"/>
        <v>4.3840315298896817E-3</v>
      </c>
      <c r="J1487" s="94" t="s">
        <v>4</v>
      </c>
      <c r="K1487" s="100">
        <f ca="1">_xll.meDateFromTenor(K1486,"1D","FOLLOWING",L$12)</f>
        <v>44610</v>
      </c>
      <c r="L1487" s="13">
        <f ca="1">_xll.meDateFromTenor(K1487,L$14,L$11,L$12)</f>
        <v>44699</v>
      </c>
      <c r="M1487" s="98">
        <f ca="1"/>
        <v>5.689979582039208E-3</v>
      </c>
      <c r="N1487" s="5" t="s">
        <v>4</v>
      </c>
      <c r="O1487" s="100">
        <f ca="1">_xll.meDateFromTenor(O1486,"1D","FOLLOWING",P$12)</f>
        <v>44610</v>
      </c>
      <c r="P1487" s="13">
        <f ca="1">_xll.meDateFromTenor(O1487,P$14,P$11,P$12)</f>
        <v>44791</v>
      </c>
      <c r="Q1487" s="98">
        <f ca="1"/>
        <v>7.4102046528978765E-3</v>
      </c>
      <c r="R1487" s="5" t="s">
        <v>4</v>
      </c>
      <c r="S1487" s="100">
        <f ca="1">_xll.meDateFromTenor(S1486,"1D","FOLLOWING",T$12)</f>
        <v>44610</v>
      </c>
      <c r="T1487" s="13">
        <f ca="1">_xll.meDateFromTenor(S1487,T$14,T$11,T$12)</f>
        <v>44977</v>
      </c>
      <c r="U1487" s="98">
        <f ca="1"/>
        <v>9.2960647252573695E-3</v>
      </c>
      <c r="V1487" s="5" t="s">
        <v>4</v>
      </c>
      <c r="W1487" s="84" t="s">
        <v>4</v>
      </c>
    </row>
    <row r="1488" spans="1:23" x14ac:dyDescent="0.25">
      <c r="A1488" s="90">
        <v>1469</v>
      </c>
      <c r="B1488" s="83"/>
      <c r="C1488" s="100">
        <f ca="1">_xll.meDateFromTenor(C1487,"1D","FOLLOWING",D$12)</f>
        <v>44613</v>
      </c>
      <c r="D1488" s="13">
        <f ca="1">_xll.meDateFromTenor(C1488,D$14,D$11,D$12)</f>
        <v>44614</v>
      </c>
      <c r="E1488" s="98">
        <f ca="1"/>
        <v>3.6986088877183124E-3</v>
      </c>
      <c r="F1488" s="94"/>
      <c r="G1488" s="100">
        <f ca="1">_xll.meDateFromTenor(G1487,"1D","FOLLOWING",H$12)</f>
        <v>44613</v>
      </c>
      <c r="H1488" s="13">
        <f ca="1">_xll.meDateFromTenor(G1488,H$14,H$11,H$12)</f>
        <v>44641</v>
      </c>
      <c r="I1488" s="98">
        <f ca="1"/>
        <v>4.4098032599972341E-3</v>
      </c>
      <c r="J1488" s="94" t="s">
        <v>4</v>
      </c>
      <c r="K1488" s="100">
        <f ca="1">_xll.meDateFromTenor(K1487,"1D","FOLLOWING",L$12)</f>
        <v>44613</v>
      </c>
      <c r="L1488" s="13">
        <f ca="1">_xll.meDateFromTenor(K1488,L$14,L$11,L$12)</f>
        <v>44704</v>
      </c>
      <c r="M1488" s="98">
        <f ca="1"/>
        <v>5.7154812761772509E-3</v>
      </c>
      <c r="N1488" s="5" t="s">
        <v>4</v>
      </c>
      <c r="O1488" s="100">
        <f ca="1">_xll.meDateFromTenor(O1487,"1D","FOLLOWING",P$12)</f>
        <v>44613</v>
      </c>
      <c r="P1488" s="13">
        <f ca="1">_xll.meDateFromTenor(O1488,P$14,P$11,P$12)</f>
        <v>44795</v>
      </c>
      <c r="Q1488" s="98">
        <f ca="1"/>
        <v>7.4347714500679661E-3</v>
      </c>
      <c r="R1488" s="5" t="s">
        <v>4</v>
      </c>
      <c r="S1488" s="100">
        <f ca="1">_xll.meDateFromTenor(S1487,"1D","FOLLOWING",T$12)</f>
        <v>44613</v>
      </c>
      <c r="T1488" s="13">
        <f ca="1">_xll.meDateFromTenor(S1488,T$14,T$11,T$12)</f>
        <v>44978</v>
      </c>
      <c r="U1488" s="98">
        <f ca="1"/>
        <v>9.3176059189418008E-3</v>
      </c>
      <c r="V1488" s="5" t="s">
        <v>4</v>
      </c>
      <c r="W1488" s="84" t="s">
        <v>4</v>
      </c>
    </row>
    <row r="1489" spans="1:23" x14ac:dyDescent="0.25">
      <c r="A1489" s="90">
        <v>1470</v>
      </c>
      <c r="B1489" s="83"/>
      <c r="C1489" s="100">
        <f ca="1">_xll.meDateFromTenor(C1488,"1D","FOLLOWING",D$12)</f>
        <v>44614</v>
      </c>
      <c r="D1489" s="13">
        <f ca="1">_xll.meDateFromTenor(C1489,D$14,D$11,D$12)</f>
        <v>44615</v>
      </c>
      <c r="E1489" s="98">
        <f ca="1"/>
        <v>3.7049928748983888E-3</v>
      </c>
      <c r="F1489" s="94"/>
      <c r="G1489" s="100">
        <f ca="1">_xll.meDateFromTenor(G1488,"1D","FOLLOWING",H$12)</f>
        <v>44614</v>
      </c>
      <c r="H1489" s="13">
        <f ca="1">_xll.meDateFromTenor(G1489,H$14,H$11,H$12)</f>
        <v>44642</v>
      </c>
      <c r="I1489" s="98">
        <f ca="1"/>
        <v>4.4183132871814341E-3</v>
      </c>
      <c r="J1489" s="94" t="s">
        <v>4</v>
      </c>
      <c r="K1489" s="100">
        <f ca="1">_xll.meDateFromTenor(K1488,"1D","FOLLOWING",L$12)</f>
        <v>44614</v>
      </c>
      <c r="L1489" s="13">
        <f ca="1">_xll.meDateFromTenor(K1489,L$14,L$11,L$12)</f>
        <v>44704</v>
      </c>
      <c r="M1489" s="98">
        <f ca="1"/>
        <v>5.7239838509462035E-3</v>
      </c>
      <c r="N1489" s="5" t="s">
        <v>4</v>
      </c>
      <c r="O1489" s="100">
        <f ca="1">_xll.meDateFromTenor(O1488,"1D","FOLLOWING",P$12)</f>
        <v>44614</v>
      </c>
      <c r="P1489" s="13">
        <f ca="1">_xll.meDateFromTenor(O1489,P$14,P$11,P$12)</f>
        <v>44795</v>
      </c>
      <c r="Q1489" s="98">
        <f ca="1"/>
        <v>7.4429618155087557E-3</v>
      </c>
      <c r="R1489" s="5" t="s">
        <v>4</v>
      </c>
      <c r="S1489" s="100">
        <f ca="1">_xll.meDateFromTenor(S1488,"1D","FOLLOWING",T$12)</f>
        <v>44614</v>
      </c>
      <c r="T1489" s="13">
        <f ca="1">_xll.meDateFromTenor(S1489,T$14,T$11,T$12)</f>
        <v>44979</v>
      </c>
      <c r="U1489" s="98">
        <f ca="1"/>
        <v>9.3247844727264301E-3</v>
      </c>
      <c r="V1489" s="5" t="s">
        <v>4</v>
      </c>
      <c r="W1489" s="84" t="s">
        <v>4</v>
      </c>
    </row>
    <row r="1490" spans="1:23" x14ac:dyDescent="0.25">
      <c r="A1490" s="90">
        <v>1471</v>
      </c>
      <c r="B1490" s="83"/>
      <c r="C1490" s="100">
        <f ca="1">_xll.meDateFromTenor(C1489,"1D","FOLLOWING",D$12)</f>
        <v>44615</v>
      </c>
      <c r="D1490" s="13">
        <f ca="1">_xll.meDateFromTenor(C1490,D$14,D$11,D$12)</f>
        <v>44616</v>
      </c>
      <c r="E1490" s="98">
        <f ca="1"/>
        <v>3.7113501778212902E-3</v>
      </c>
      <c r="F1490" s="94"/>
      <c r="G1490" s="100">
        <f ca="1">_xll.meDateFromTenor(G1489,"1D","FOLLOWING",H$12)</f>
        <v>44615</v>
      </c>
      <c r="H1490" s="13">
        <f ca="1">_xll.meDateFromTenor(G1490,H$14,H$11,H$12)</f>
        <v>44643</v>
      </c>
      <c r="I1490" s="98">
        <f ca="1"/>
        <v>4.4267721447802501E-3</v>
      </c>
      <c r="J1490" s="94" t="s">
        <v>4</v>
      </c>
      <c r="K1490" s="100">
        <f ca="1">_xll.meDateFromTenor(K1489,"1D","FOLLOWING",L$12)</f>
        <v>44615</v>
      </c>
      <c r="L1490" s="13">
        <f ca="1">_xll.meDateFromTenor(K1490,L$14,L$11,L$12)</f>
        <v>44704</v>
      </c>
      <c r="M1490" s="98">
        <f ca="1"/>
        <v>5.7324873314748221E-3</v>
      </c>
      <c r="N1490" s="5" t="s">
        <v>4</v>
      </c>
      <c r="O1490" s="100">
        <f ca="1">_xll.meDateFromTenor(O1489,"1D","FOLLOWING",P$12)</f>
        <v>44615</v>
      </c>
      <c r="P1490" s="13">
        <f ca="1">_xll.meDateFromTenor(O1490,P$14,P$11,P$12)</f>
        <v>44796</v>
      </c>
      <c r="Q1490" s="98">
        <f ca="1"/>
        <v>7.4511528307420073E-3</v>
      </c>
      <c r="R1490" s="5" t="s">
        <v>4</v>
      </c>
      <c r="S1490" s="100">
        <f ca="1">_xll.meDateFromTenor(S1489,"1D","FOLLOWING",T$12)</f>
        <v>44615</v>
      </c>
      <c r="T1490" s="13">
        <f ca="1">_xll.meDateFromTenor(S1490,T$14,T$11,T$12)</f>
        <v>44980</v>
      </c>
      <c r="U1490" s="98">
        <f ca="1"/>
        <v>9.3319620999011716E-3</v>
      </c>
      <c r="V1490" s="5" t="s">
        <v>4</v>
      </c>
      <c r="W1490" s="84" t="s">
        <v>4</v>
      </c>
    </row>
    <row r="1491" spans="1:23" x14ac:dyDescent="0.25">
      <c r="A1491" s="90">
        <v>1472</v>
      </c>
      <c r="B1491" s="83"/>
      <c r="C1491" s="100">
        <f ca="1">_xll.meDateFromTenor(C1490,"1D","FOLLOWING",D$12)</f>
        <v>44616</v>
      </c>
      <c r="D1491" s="13">
        <f ca="1">_xll.meDateFromTenor(C1491,D$14,D$11,D$12)</f>
        <v>44617</v>
      </c>
      <c r="E1491" s="98">
        <f ca="1"/>
        <v>3.717680795932207E-3</v>
      </c>
      <c r="F1491" s="94"/>
      <c r="G1491" s="100">
        <f ca="1">_xll.meDateFromTenor(G1490,"1D","FOLLOWING",H$12)</f>
        <v>44616</v>
      </c>
      <c r="H1491" s="13">
        <f ca="1">_xll.meDateFromTenor(G1491,H$14,H$11,H$12)</f>
        <v>44644</v>
      </c>
      <c r="I1491" s="98">
        <f ca="1"/>
        <v>4.4351732958979474E-3</v>
      </c>
      <c r="J1491" s="94" t="s">
        <v>4</v>
      </c>
      <c r="K1491" s="100">
        <f ca="1">_xll.meDateFromTenor(K1490,"1D","FOLLOWING",L$12)</f>
        <v>44616</v>
      </c>
      <c r="L1491" s="13">
        <f ca="1">_xll.meDateFromTenor(K1491,L$14,L$11,L$12)</f>
        <v>44705</v>
      </c>
      <c r="M1491" s="98">
        <f ca="1"/>
        <v>5.7409916582020215E-3</v>
      </c>
      <c r="N1491" s="5" t="s">
        <v>4</v>
      </c>
      <c r="O1491" s="100">
        <f ca="1">_xll.meDateFromTenor(O1490,"1D","FOLLOWING",P$12)</f>
        <v>44616</v>
      </c>
      <c r="P1491" s="13">
        <f ca="1">_xll.meDateFromTenor(O1491,P$14,P$11,P$12)</f>
        <v>44797</v>
      </c>
      <c r="Q1491" s="98">
        <f ca="1"/>
        <v>7.4593444557279724E-3</v>
      </c>
      <c r="R1491" s="5" t="s">
        <v>4</v>
      </c>
      <c r="S1491" s="100">
        <f ca="1">_xll.meDateFromTenor(S1490,"1D","FOLLOWING",T$12)</f>
        <v>44616</v>
      </c>
      <c r="T1491" s="13">
        <f ca="1">_xll.meDateFromTenor(S1491,T$14,T$11,T$12)</f>
        <v>44981</v>
      </c>
      <c r="U1491" s="98">
        <f ca="1"/>
        <v>9.3391387977331333E-3</v>
      </c>
      <c r="V1491" s="5" t="s">
        <v>4</v>
      </c>
      <c r="W1491" s="84" t="s">
        <v>4</v>
      </c>
    </row>
    <row r="1492" spans="1:23" x14ac:dyDescent="0.25">
      <c r="A1492" s="90">
        <v>1473</v>
      </c>
      <c r="B1492" s="83"/>
      <c r="C1492" s="100">
        <f ca="1">_xll.meDateFromTenor(C1491,"1D","FOLLOWING",D$12)</f>
        <v>44617</v>
      </c>
      <c r="D1492" s="13">
        <f ca="1">_xll.meDateFromTenor(C1492,D$14,D$11,D$12)</f>
        <v>44620</v>
      </c>
      <c r="E1492" s="98">
        <f ca="1"/>
        <v>3.730291731560512E-3</v>
      </c>
      <c r="F1492" s="94"/>
      <c r="G1492" s="100">
        <f ca="1">_xll.meDateFromTenor(G1491,"1D","FOLLOWING",H$12)</f>
        <v>44617</v>
      </c>
      <c r="H1492" s="13">
        <f ca="1">_xll.meDateFromTenor(G1492,H$14,H$11,H$12)</f>
        <v>44645</v>
      </c>
      <c r="I1492" s="98">
        <f ca="1"/>
        <v>4.4435102036387963E-3</v>
      </c>
      <c r="J1492" s="94" t="s">
        <v>4</v>
      </c>
      <c r="K1492" s="100">
        <f ca="1">_xll.meDateFromTenor(K1491,"1D","FOLLOWING",L$12)</f>
        <v>44617</v>
      </c>
      <c r="L1492" s="13">
        <f ca="1">_xll.meDateFromTenor(K1492,L$14,L$11,L$12)</f>
        <v>44706</v>
      </c>
      <c r="M1492" s="98">
        <f ca="1"/>
        <v>5.7494967715667261E-3</v>
      </c>
      <c r="N1492" s="5" t="s">
        <v>4</v>
      </c>
      <c r="O1492" s="100">
        <f ca="1">_xll.meDateFromTenor(O1491,"1D","FOLLOWING",P$12)</f>
        <v>44617</v>
      </c>
      <c r="P1492" s="13">
        <f ca="1">_xll.meDateFromTenor(O1492,P$14,P$11,P$12)</f>
        <v>44798</v>
      </c>
      <c r="Q1492" s="98">
        <f ca="1"/>
        <v>7.4675366504269036E-3</v>
      </c>
      <c r="R1492" s="5" t="s">
        <v>4</v>
      </c>
      <c r="S1492" s="100">
        <f ca="1">_xll.meDateFromTenor(S1491,"1D","FOLLOWING",T$12)</f>
        <v>44617</v>
      </c>
      <c r="T1492" s="13">
        <f ca="1">_xll.meDateFromTenor(S1492,T$14,T$11,T$12)</f>
        <v>44984</v>
      </c>
      <c r="U1492" s="98">
        <f ca="1"/>
        <v>9.3463145634894423E-3</v>
      </c>
      <c r="V1492" s="5" t="s">
        <v>4</v>
      </c>
      <c r="W1492" s="84" t="s">
        <v>4</v>
      </c>
    </row>
    <row r="1493" spans="1:23" x14ac:dyDescent="0.25">
      <c r="A1493" s="90">
        <v>1474</v>
      </c>
      <c r="B1493" s="83"/>
      <c r="C1493" s="100">
        <f ca="1">_xll.meDateFromTenor(C1492,"1D","FOLLOWING",D$12)</f>
        <v>44620</v>
      </c>
      <c r="D1493" s="13">
        <f ca="1">_xll.meDateFromTenor(C1493,D$14,D$11,D$12)</f>
        <v>44621</v>
      </c>
      <c r="E1493" s="98">
        <f ca="1"/>
        <v>3.74273640551931E-3</v>
      </c>
      <c r="F1493" s="94"/>
      <c r="G1493" s="100">
        <f ca="1">_xll.meDateFromTenor(G1492,"1D","FOLLOWING",H$12)</f>
        <v>44620</v>
      </c>
      <c r="H1493" s="13">
        <f ca="1">_xll.meDateFromTenor(G1493,H$14,H$11,H$12)</f>
        <v>44648</v>
      </c>
      <c r="I1493" s="98">
        <f ca="1"/>
        <v>4.4680700976428983E-3</v>
      </c>
      <c r="J1493" s="94" t="s">
        <v>4</v>
      </c>
      <c r="K1493" s="100">
        <f ca="1">_xll.meDateFromTenor(K1492,"1D","FOLLOWING",L$12)</f>
        <v>44620</v>
      </c>
      <c r="L1493" s="13">
        <f ca="1">_xll.meDateFromTenor(K1493,L$14,L$11,L$12)</f>
        <v>44711</v>
      </c>
      <c r="M1493" s="98">
        <f ca="1"/>
        <v>5.7750162358750348E-3</v>
      </c>
      <c r="N1493" s="5" t="s">
        <v>4</v>
      </c>
      <c r="O1493" s="100">
        <f ca="1">_xll.meDateFromTenor(O1492,"1D","FOLLOWING",P$12)</f>
        <v>44620</v>
      </c>
      <c r="P1493" s="13">
        <f ca="1">_xll.meDateFromTenor(O1493,P$14,P$11,P$12)</f>
        <v>44802</v>
      </c>
      <c r="Q1493" s="98">
        <f ca="1"/>
        <v>7.4921162524039919E-3</v>
      </c>
      <c r="R1493" s="5" t="s">
        <v>4</v>
      </c>
      <c r="S1493" s="100">
        <f ca="1">_xll.meDateFromTenor(S1492,"1D","FOLLOWING",T$12)</f>
        <v>44620</v>
      </c>
      <c r="T1493" s="13">
        <f ca="1">_xll.meDateFromTenor(S1493,T$14,T$11,T$12)</f>
        <v>44985</v>
      </c>
      <c r="U1493" s="98">
        <f ca="1"/>
        <v>9.3678362409755998E-3</v>
      </c>
      <c r="V1493" s="5" t="s">
        <v>4</v>
      </c>
      <c r="W1493" s="84" t="s">
        <v>4</v>
      </c>
    </row>
    <row r="1494" spans="1:23" x14ac:dyDescent="0.25">
      <c r="A1494" s="90">
        <v>1475</v>
      </c>
      <c r="B1494" s="83"/>
      <c r="C1494" s="100">
        <f ca="1">_xll.meDateFromTenor(C1493,"1D","FOLLOWING",D$12)</f>
        <v>44621</v>
      </c>
      <c r="D1494" s="13">
        <f ca="1">_xll.meDateFromTenor(C1494,D$14,D$11,D$12)</f>
        <v>44622</v>
      </c>
      <c r="E1494" s="98">
        <f ca="1"/>
        <v>3.7489335879653221E-3</v>
      </c>
      <c r="F1494" s="94"/>
      <c r="G1494" s="100">
        <f ca="1">_xll.meDateFromTenor(G1493,"1D","FOLLOWING",H$12)</f>
        <v>44621</v>
      </c>
      <c r="H1494" s="13">
        <f ca="1">_xll.meDateFromTenor(G1494,H$14,H$11,H$12)</f>
        <v>44652</v>
      </c>
      <c r="I1494" s="98">
        <f ca="1"/>
        <v>4.4760846629190035E-3</v>
      </c>
      <c r="J1494" s="94" t="s">
        <v>4</v>
      </c>
      <c r="K1494" s="100">
        <f ca="1">_xll.meDateFromTenor(K1493,"1D","FOLLOWING",L$12)</f>
        <v>44621</v>
      </c>
      <c r="L1494" s="13">
        <f ca="1">_xll.meDateFromTenor(K1494,L$14,L$11,L$12)</f>
        <v>44713</v>
      </c>
      <c r="M1494" s="98">
        <f ca="1"/>
        <v>5.7835239001789284E-3</v>
      </c>
      <c r="N1494" s="5" t="s">
        <v>4</v>
      </c>
      <c r="O1494" s="100">
        <f ca="1">_xll.meDateFromTenor(O1493,"1D","FOLLOWING",P$12)</f>
        <v>44621</v>
      </c>
      <c r="P1494" s="13">
        <f ca="1">_xll.meDateFromTenor(O1494,P$14,P$11,P$12)</f>
        <v>44805</v>
      </c>
      <c r="Q1494" s="98">
        <f ca="1"/>
        <v>7.5003103255572865E-3</v>
      </c>
      <c r="R1494" s="5" t="s">
        <v>4</v>
      </c>
      <c r="S1494" s="100">
        <f ca="1">_xll.meDateFromTenor(S1493,"1D","FOLLOWING",T$12)</f>
        <v>44621</v>
      </c>
      <c r="T1494" s="13">
        <f ca="1">_xll.meDateFromTenor(S1494,T$14,T$11,T$12)</f>
        <v>44986</v>
      </c>
      <c r="U1494" s="98">
        <f ca="1"/>
        <v>9.375008251100457E-3</v>
      </c>
      <c r="V1494" s="5" t="s">
        <v>4</v>
      </c>
      <c r="W1494" s="84" t="s">
        <v>4</v>
      </c>
    </row>
    <row r="1495" spans="1:23" x14ac:dyDescent="0.25">
      <c r="A1495" s="90">
        <v>1476</v>
      </c>
      <c r="B1495" s="83"/>
      <c r="C1495" s="100">
        <f ca="1">_xll.meDateFromTenor(C1494,"1D","FOLLOWING",D$12)</f>
        <v>44622</v>
      </c>
      <c r="D1495" s="13">
        <f ca="1">_xll.meDateFromTenor(C1495,D$14,D$11,D$12)</f>
        <v>44623</v>
      </c>
      <c r="E1495" s="98">
        <f ca="1"/>
        <v>3.7551139274866782E-3</v>
      </c>
      <c r="F1495" s="94"/>
      <c r="G1495" s="100">
        <f ca="1">_xll.meDateFromTenor(G1494,"1D","FOLLOWING",H$12)</f>
        <v>44622</v>
      </c>
      <c r="H1495" s="13">
        <f ca="1">_xll.meDateFromTenor(G1495,H$14,H$11,H$12)</f>
        <v>44655</v>
      </c>
      <c r="I1495" s="98">
        <f ca="1"/>
        <v>4.4840023003395882E-3</v>
      </c>
      <c r="J1495" s="94" t="s">
        <v>4</v>
      </c>
      <c r="K1495" s="100">
        <f ca="1">_xll.meDateFromTenor(K1494,"1D","FOLLOWING",L$12)</f>
        <v>44622</v>
      </c>
      <c r="L1495" s="13">
        <f ca="1">_xll.meDateFromTenor(K1495,L$14,L$11,L$12)</f>
        <v>44714</v>
      </c>
      <c r="M1495" s="98">
        <f ca="1"/>
        <v>5.7920320533149149E-3</v>
      </c>
      <c r="N1495" s="5" t="s">
        <v>4</v>
      </c>
      <c r="O1495" s="100">
        <f ca="1">_xll.meDateFromTenor(O1494,"1D","FOLLOWING",P$12)</f>
        <v>44622</v>
      </c>
      <c r="P1495" s="13">
        <f ca="1">_xll.meDateFromTenor(O1495,P$14,P$11,P$12)</f>
        <v>44806</v>
      </c>
      <c r="Q1495" s="98">
        <f ca="1"/>
        <v>7.5085047682248007E-3</v>
      </c>
      <c r="R1495" s="5" t="s">
        <v>4</v>
      </c>
      <c r="S1495" s="100">
        <f ca="1">_xll.meDateFromTenor(S1494,"1D","FOLLOWING",T$12)</f>
        <v>44622</v>
      </c>
      <c r="T1495" s="13">
        <f ca="1">_xll.meDateFromTenor(S1495,T$14,T$11,T$12)</f>
        <v>44987</v>
      </c>
      <c r="U1495" s="98">
        <f ca="1"/>
        <v>9.3821793154852465E-3</v>
      </c>
      <c r="V1495" s="5" t="s">
        <v>4</v>
      </c>
      <c r="W1495" s="84" t="s">
        <v>4</v>
      </c>
    </row>
    <row r="1496" spans="1:23" x14ac:dyDescent="0.25">
      <c r="A1496" s="90">
        <v>1477</v>
      </c>
      <c r="B1496" s="83"/>
      <c r="C1496" s="100">
        <f ca="1">_xll.meDateFromTenor(C1495,"1D","FOLLOWING",D$12)</f>
        <v>44623</v>
      </c>
      <c r="D1496" s="13">
        <f ca="1">_xll.meDateFromTenor(C1496,D$14,D$11,D$12)</f>
        <v>44624</v>
      </c>
      <c r="E1496" s="98">
        <f ca="1"/>
        <v>3.7613168092936692E-3</v>
      </c>
      <c r="F1496" s="94"/>
      <c r="G1496" s="100">
        <f ca="1">_xll.meDateFromTenor(G1495,"1D","FOLLOWING",H$12)</f>
        <v>44623</v>
      </c>
      <c r="H1496" s="13">
        <f ca="1">_xll.meDateFromTenor(G1496,H$14,H$11,H$12)</f>
        <v>44655</v>
      </c>
      <c r="I1496" s="98">
        <f ca="1"/>
        <v>4.491818516958684E-3</v>
      </c>
      <c r="J1496" s="94" t="s">
        <v>4</v>
      </c>
      <c r="K1496" s="100">
        <f ca="1">_xll.meDateFromTenor(K1495,"1D","FOLLOWING",L$12)</f>
        <v>44623</v>
      </c>
      <c r="L1496" s="13">
        <f ca="1">_xll.meDateFromTenor(K1496,L$14,L$11,L$12)</f>
        <v>44715</v>
      </c>
      <c r="M1496" s="98">
        <f ca="1"/>
        <v>5.800540642510706E-3</v>
      </c>
      <c r="N1496" s="5" t="s">
        <v>4</v>
      </c>
      <c r="O1496" s="100">
        <f ca="1">_xll.meDateFromTenor(O1495,"1D","FOLLOWING",P$12)</f>
        <v>44623</v>
      </c>
      <c r="P1496" s="13">
        <f ca="1">_xll.meDateFromTenor(O1496,P$14,P$11,P$12)</f>
        <v>44809</v>
      </c>
      <c r="Q1496" s="98">
        <f ca="1"/>
        <v>7.5166995403667764E-3</v>
      </c>
      <c r="R1496" s="5" t="s">
        <v>4</v>
      </c>
      <c r="S1496" s="100">
        <f ca="1">_xll.meDateFromTenor(S1495,"1D","FOLLOWING",T$12)</f>
        <v>44623</v>
      </c>
      <c r="T1496" s="13">
        <f ca="1">_xll.meDateFromTenor(S1496,T$14,T$11,T$12)</f>
        <v>44988</v>
      </c>
      <c r="U1496" s="98">
        <f ca="1"/>
        <v>9.3893494313970777E-3</v>
      </c>
      <c r="V1496" s="5" t="s">
        <v>4</v>
      </c>
      <c r="W1496" s="84" t="s">
        <v>4</v>
      </c>
    </row>
    <row r="1497" spans="1:23" x14ac:dyDescent="0.25">
      <c r="A1497" s="90">
        <v>1478</v>
      </c>
      <c r="B1497" s="83"/>
      <c r="C1497" s="100">
        <f ca="1">_xll.meDateFromTenor(C1496,"1D","FOLLOWING",D$12)</f>
        <v>44624</v>
      </c>
      <c r="D1497" s="13">
        <f ca="1">_xll.meDateFromTenor(C1497,D$14,D$11,D$12)</f>
        <v>44627</v>
      </c>
      <c r="E1497" s="98">
        <f ca="1"/>
        <v>3.773870103485281E-3</v>
      </c>
      <c r="F1497" s="94"/>
      <c r="G1497" s="100">
        <f ca="1">_xll.meDateFromTenor(G1496,"1D","FOLLOWING",H$12)</f>
        <v>44624</v>
      </c>
      <c r="H1497" s="13">
        <f ca="1">_xll.meDateFromTenor(G1497,H$14,H$11,H$12)</f>
        <v>44655</v>
      </c>
      <c r="I1497" s="98">
        <f ca="1"/>
        <v>4.4995369956294115E-3</v>
      </c>
      <c r="J1497" s="94" t="s">
        <v>4</v>
      </c>
      <c r="K1497" s="100">
        <f ca="1">_xll.meDateFromTenor(K1496,"1D","FOLLOWING",L$12)</f>
        <v>44624</v>
      </c>
      <c r="L1497" s="13">
        <f ca="1">_xll.meDateFromTenor(K1497,L$14,L$11,L$12)</f>
        <v>44718</v>
      </c>
      <c r="M1497" s="98">
        <f ca="1"/>
        <v>5.8090496421492142E-3</v>
      </c>
      <c r="N1497" s="5" t="s">
        <v>4</v>
      </c>
      <c r="O1497" s="100">
        <f ca="1">_xll.meDateFromTenor(O1496,"1D","FOLLOWING",P$12)</f>
        <v>44624</v>
      </c>
      <c r="P1497" s="13">
        <f ca="1">_xll.meDateFromTenor(O1497,P$14,P$11,P$12)</f>
        <v>44809</v>
      </c>
      <c r="Q1497" s="98">
        <f ca="1"/>
        <v>7.5248946019434784E-3</v>
      </c>
      <c r="R1497" s="5" t="s">
        <v>4</v>
      </c>
      <c r="S1497" s="100">
        <f ca="1">_xll.meDateFromTenor(S1496,"1D","FOLLOWING",T$12)</f>
        <v>44624</v>
      </c>
      <c r="T1497" s="13">
        <f ca="1">_xll.meDateFromTenor(S1497,T$14,T$11,T$12)</f>
        <v>44991</v>
      </c>
      <c r="U1497" s="98">
        <f ca="1"/>
        <v>9.3965185961030848E-3</v>
      </c>
      <c r="V1497" s="5" t="s">
        <v>4</v>
      </c>
      <c r="W1497" s="84" t="s">
        <v>4</v>
      </c>
    </row>
    <row r="1498" spans="1:23" x14ac:dyDescent="0.25">
      <c r="A1498" s="90">
        <v>1479</v>
      </c>
      <c r="B1498" s="83"/>
      <c r="C1498" s="100">
        <f ca="1">_xll.meDateFromTenor(C1497,"1D","FOLLOWING",D$12)</f>
        <v>44627</v>
      </c>
      <c r="D1498" s="13">
        <f ca="1">_xll.meDateFromTenor(C1498,D$14,D$11,D$12)</f>
        <v>44628</v>
      </c>
      <c r="E1498" s="98">
        <f ca="1"/>
        <v>3.786452254858593E-3</v>
      </c>
      <c r="F1498" s="94"/>
      <c r="G1498" s="100">
        <f ca="1">_xll.meDateFromTenor(G1497,"1D","FOLLOWING",H$12)</f>
        <v>44627</v>
      </c>
      <c r="H1498" s="13">
        <f ca="1">_xll.meDateFromTenor(G1498,H$14,H$11,H$12)</f>
        <v>44658</v>
      </c>
      <c r="I1498" s="98">
        <f ca="1"/>
        <v>4.5221632719801607E-3</v>
      </c>
      <c r="J1498" s="94" t="s">
        <v>4</v>
      </c>
      <c r="K1498" s="100">
        <f ca="1">_xll.meDateFromTenor(K1497,"1D","FOLLOWING",L$12)</f>
        <v>44627</v>
      </c>
      <c r="L1498" s="13">
        <f ca="1">_xll.meDateFromTenor(K1498,L$14,L$11,L$12)</f>
        <v>44719</v>
      </c>
      <c r="M1498" s="98">
        <f ca="1"/>
        <v>5.834578915437991E-3</v>
      </c>
      <c r="N1498" s="5" t="s">
        <v>4</v>
      </c>
      <c r="O1498" s="100">
        <f ca="1">_xll.meDateFromTenor(O1497,"1D","FOLLOWING",P$12)</f>
        <v>44627</v>
      </c>
      <c r="P1498" s="13">
        <f ca="1">_xll.meDateFromTenor(O1498,P$14,P$11,P$12)</f>
        <v>44811</v>
      </c>
      <c r="Q1498" s="98">
        <f ca="1"/>
        <v>7.5494811228843861E-3</v>
      </c>
      <c r="R1498" s="5" t="s">
        <v>4</v>
      </c>
      <c r="S1498" s="100">
        <f ca="1">_xll.meDateFromTenor(S1497,"1D","FOLLOWING",T$12)</f>
        <v>44627</v>
      </c>
      <c r="T1498" s="13">
        <f ca="1">_xll.meDateFromTenor(S1498,T$14,T$11,T$12)</f>
        <v>44992</v>
      </c>
      <c r="U1498" s="98">
        <f ca="1"/>
        <v>9.4180203556572684E-3</v>
      </c>
      <c r="V1498" s="5" t="s">
        <v>4</v>
      </c>
      <c r="W1498" s="84" t="s">
        <v>4</v>
      </c>
    </row>
    <row r="1499" spans="1:23" x14ac:dyDescent="0.25">
      <c r="A1499" s="90">
        <v>1480</v>
      </c>
      <c r="B1499" s="83"/>
      <c r="C1499" s="100">
        <f ca="1">_xll.meDateFromTenor(C1498,"1D","FOLLOWING",D$12)</f>
        <v>44628</v>
      </c>
      <c r="D1499" s="13">
        <f ca="1">_xll.meDateFromTenor(C1499,D$14,D$11,D$12)</f>
        <v>44629</v>
      </c>
      <c r="E1499" s="98">
        <f ca="1"/>
        <v>3.7928171043872341E-3</v>
      </c>
      <c r="F1499" s="94"/>
      <c r="G1499" s="100">
        <f ca="1">_xll.meDateFromTenor(G1498,"1D","FOLLOWING",H$12)</f>
        <v>44628</v>
      </c>
      <c r="H1499" s="13">
        <f ca="1">_xll.meDateFromTenor(G1499,H$14,H$11,H$12)</f>
        <v>44659</v>
      </c>
      <c r="I1499" s="98">
        <f ca="1"/>
        <v>4.5295480668862097E-3</v>
      </c>
      <c r="J1499" s="94" t="s">
        <v>4</v>
      </c>
      <c r="K1499" s="100">
        <f ca="1">_xll.meDateFromTenor(K1498,"1D","FOLLOWING",L$12)</f>
        <v>44628</v>
      </c>
      <c r="L1499" s="13">
        <f ca="1">_xll.meDateFromTenor(K1499,L$14,L$11,L$12)</f>
        <v>44720</v>
      </c>
      <c r="M1499" s="98">
        <f ca="1"/>
        <v>5.8430893685643397E-3</v>
      </c>
      <c r="N1499" s="5" t="s">
        <v>4</v>
      </c>
      <c r="O1499" s="100">
        <f ca="1">_xll.meDateFromTenor(O1498,"1D","FOLLOWING",P$12)</f>
        <v>44628</v>
      </c>
      <c r="P1499" s="13">
        <f ca="1">_xll.meDateFromTenor(O1499,P$14,P$11,P$12)</f>
        <v>44812</v>
      </c>
      <c r="Q1499" s="98">
        <f ca="1"/>
        <v>7.5576769418024626E-3</v>
      </c>
      <c r="R1499" s="5" t="s">
        <v>4</v>
      </c>
      <c r="S1499" s="100">
        <f ca="1">_xll.meDateFromTenor(S1498,"1D","FOLLOWING",T$12)</f>
        <v>44628</v>
      </c>
      <c r="T1499" s="13">
        <f ca="1">_xll.meDateFromTenor(S1499,T$14,T$11,T$12)</f>
        <v>44993</v>
      </c>
      <c r="U1499" s="98">
        <f ca="1"/>
        <v>9.4251856882111157E-3</v>
      </c>
      <c r="V1499" s="5" t="s">
        <v>4</v>
      </c>
      <c r="W1499" s="84" t="s">
        <v>4</v>
      </c>
    </row>
    <row r="1500" spans="1:23" x14ac:dyDescent="0.25">
      <c r="A1500" s="90">
        <v>1481</v>
      </c>
      <c r="B1500" s="83"/>
      <c r="C1500" s="100">
        <f ca="1">_xll.meDateFromTenor(C1499,"1D","FOLLOWING",D$12)</f>
        <v>44629</v>
      </c>
      <c r="D1500" s="13">
        <f ca="1">_xll.meDateFromTenor(C1500,D$14,D$11,D$12)</f>
        <v>44630</v>
      </c>
      <c r="E1500" s="98">
        <f ca="1"/>
        <v>3.7992143524772817E-3</v>
      </c>
      <c r="F1500" s="94"/>
      <c r="G1500" s="100">
        <f ca="1">_xll.meDateFromTenor(G1499,"1D","FOLLOWING",H$12)</f>
        <v>44629</v>
      </c>
      <c r="H1500" s="13">
        <f ca="1">_xll.meDateFromTenor(G1500,H$14,H$11,H$12)</f>
        <v>44662</v>
      </c>
      <c r="I1500" s="98">
        <f ca="1"/>
        <v>4.536863757858293E-3</v>
      </c>
      <c r="J1500" s="94" t="s">
        <v>4</v>
      </c>
      <c r="K1500" s="100">
        <f ca="1">_xll.meDateFromTenor(K1499,"1D","FOLLOWING",L$12)</f>
        <v>44629</v>
      </c>
      <c r="L1500" s="13">
        <f ca="1">_xll.meDateFromTenor(K1500,L$14,L$11,L$12)</f>
        <v>44721</v>
      </c>
      <c r="M1500" s="98">
        <f ca="1"/>
        <v>5.8516001379918985E-3</v>
      </c>
      <c r="N1500" s="5" t="s">
        <v>4</v>
      </c>
      <c r="O1500" s="100">
        <f ca="1">_xll.meDateFromTenor(O1499,"1D","FOLLOWING",P$12)</f>
        <v>44629</v>
      </c>
      <c r="P1500" s="13">
        <f ca="1">_xll.meDateFromTenor(O1500,P$14,P$11,P$12)</f>
        <v>44813</v>
      </c>
      <c r="Q1500" s="98">
        <f ca="1"/>
        <v>7.5658728499565083E-3</v>
      </c>
      <c r="R1500" s="5" t="s">
        <v>4</v>
      </c>
      <c r="S1500" s="100">
        <f ca="1">_xll.meDateFromTenor(S1499,"1D","FOLLOWING",T$12)</f>
        <v>44629</v>
      </c>
      <c r="T1500" s="13">
        <f ca="1">_xll.meDateFromTenor(S1500,T$14,T$11,T$12)</f>
        <v>44994</v>
      </c>
      <c r="U1500" s="98">
        <f ca="1"/>
        <v>9.4323500558947167E-3</v>
      </c>
      <c r="V1500" s="5" t="s">
        <v>4</v>
      </c>
      <c r="W1500" s="84" t="s">
        <v>4</v>
      </c>
    </row>
    <row r="1501" spans="1:23" x14ac:dyDescent="0.25">
      <c r="A1501" s="90">
        <v>1482</v>
      </c>
      <c r="B1501" s="83"/>
      <c r="C1501" s="100">
        <f ca="1">_xll.meDateFromTenor(C1500,"1D","FOLLOWING",D$12)</f>
        <v>44630</v>
      </c>
      <c r="D1501" s="13">
        <f ca="1">_xll.meDateFromTenor(C1501,D$14,D$11,D$12)</f>
        <v>44631</v>
      </c>
      <c r="E1501" s="98">
        <f ca="1"/>
        <v>3.8056440008122474E-3</v>
      </c>
      <c r="F1501" s="94"/>
      <c r="G1501" s="100">
        <f ca="1">_xll.meDateFromTenor(G1500,"1D","FOLLOWING",H$12)</f>
        <v>44630</v>
      </c>
      <c r="H1501" s="13">
        <f ca="1">_xll.meDateFromTenor(G1501,H$14,H$11,H$12)</f>
        <v>44662</v>
      </c>
      <c r="I1501" s="98">
        <f ca="1"/>
        <v>4.544116071699294E-3</v>
      </c>
      <c r="J1501" s="94" t="s">
        <v>4</v>
      </c>
      <c r="K1501" s="100">
        <f ca="1">_xll.meDateFromTenor(K1500,"1D","FOLLOWING",L$12)</f>
        <v>44630</v>
      </c>
      <c r="L1501" s="13">
        <f ca="1">_xll.meDateFromTenor(K1501,L$14,L$11,L$12)</f>
        <v>44722</v>
      </c>
      <c r="M1501" s="98">
        <f ca="1"/>
        <v>5.860111204892369E-3</v>
      </c>
      <c r="N1501" s="5" t="s">
        <v>4</v>
      </c>
      <c r="O1501" s="100">
        <f ca="1">_xll.meDateFromTenor(O1500,"1D","FOLLOWING",P$12)</f>
        <v>44630</v>
      </c>
      <c r="P1501" s="13">
        <f ca="1">_xll.meDateFromTenor(O1501,P$14,P$11,P$12)</f>
        <v>44816</v>
      </c>
      <c r="Q1501" s="98">
        <f ca="1"/>
        <v>7.5740688073067768E-3</v>
      </c>
      <c r="R1501" s="5" t="s">
        <v>4</v>
      </c>
      <c r="S1501" s="100">
        <f ca="1">_xll.meDateFromTenor(S1500,"1D","FOLLOWING",T$12)</f>
        <v>44630</v>
      </c>
      <c r="T1501" s="13">
        <f ca="1">_xll.meDateFromTenor(S1501,T$14,T$11,T$12)</f>
        <v>44995</v>
      </c>
      <c r="U1501" s="98">
        <f ca="1"/>
        <v>9.43951345597519E-3</v>
      </c>
      <c r="V1501" s="5" t="s">
        <v>4</v>
      </c>
      <c r="W1501" s="84" t="s">
        <v>4</v>
      </c>
    </row>
    <row r="1502" spans="1:23" x14ac:dyDescent="0.25">
      <c r="A1502" s="90">
        <v>1483</v>
      </c>
      <c r="B1502" s="83"/>
      <c r="C1502" s="100">
        <f ca="1">_xll.meDateFromTenor(C1501,"1D","FOLLOWING",D$12)</f>
        <v>44631</v>
      </c>
      <c r="D1502" s="13">
        <f ca="1">_xll.meDateFromTenor(C1502,D$14,D$11,D$12)</f>
        <v>44634</v>
      </c>
      <c r="E1502" s="98">
        <f ca="1"/>
        <v>3.818651812492556E-3</v>
      </c>
      <c r="F1502" s="94"/>
      <c r="G1502" s="100">
        <f ca="1">_xll.meDateFromTenor(G1501,"1D","FOLLOWING",H$12)</f>
        <v>44631</v>
      </c>
      <c r="H1502" s="13">
        <f ca="1">_xll.meDateFromTenor(G1502,H$14,H$11,H$12)</f>
        <v>44662</v>
      </c>
      <c r="I1502" s="98">
        <f ca="1"/>
        <v>4.5513107352120937E-3</v>
      </c>
      <c r="J1502" s="94" t="s">
        <v>4</v>
      </c>
      <c r="K1502" s="100">
        <f ca="1">_xll.meDateFromTenor(K1501,"1D","FOLLOWING",L$12)</f>
        <v>44631</v>
      </c>
      <c r="L1502" s="13">
        <f ca="1">_xll.meDateFromTenor(K1502,L$14,L$11,L$12)</f>
        <v>44725</v>
      </c>
      <c r="M1502" s="98">
        <f ca="1"/>
        <v>5.8686225504374495E-3</v>
      </c>
      <c r="N1502" s="5" t="s">
        <v>4</v>
      </c>
      <c r="O1502" s="100">
        <f ca="1">_xll.meDateFromTenor(O1501,"1D","FOLLOWING",P$12)</f>
        <v>44631</v>
      </c>
      <c r="P1502" s="13">
        <f ca="1">_xll.meDateFromTenor(O1502,P$14,P$11,P$12)</f>
        <v>44816</v>
      </c>
      <c r="Q1502" s="98">
        <f ca="1"/>
        <v>7.5822647738135159E-3</v>
      </c>
      <c r="R1502" s="5" t="s">
        <v>4</v>
      </c>
      <c r="S1502" s="100">
        <f ca="1">_xll.meDateFromTenor(S1501,"1D","FOLLOWING",T$12)</f>
        <v>44631</v>
      </c>
      <c r="T1502" s="13">
        <f ca="1">_xll.meDateFromTenor(S1502,T$14,T$11,T$12)</f>
        <v>44998</v>
      </c>
      <c r="U1502" s="98">
        <f ca="1"/>
        <v>9.4466758857196572E-3</v>
      </c>
      <c r="V1502" s="5" t="s">
        <v>4</v>
      </c>
      <c r="W1502" s="84" t="s">
        <v>4</v>
      </c>
    </row>
    <row r="1503" spans="1:23" x14ac:dyDescent="0.25">
      <c r="A1503" s="90">
        <v>1484</v>
      </c>
      <c r="B1503" s="83"/>
      <c r="C1503" s="100">
        <f ca="1">_xll.meDateFromTenor(C1502,"1D","FOLLOWING",D$12)</f>
        <v>44634</v>
      </c>
      <c r="D1503" s="13">
        <f ca="1">_xll.meDateFromTenor(C1503,D$14,D$11,D$12)</f>
        <v>44635</v>
      </c>
      <c r="E1503" s="98">
        <f ca="1"/>
        <v>3.8316866320637511E-3</v>
      </c>
      <c r="F1503" s="94"/>
      <c r="G1503" s="100">
        <f ca="1">_xll.meDateFromTenor(G1502,"1D","FOLLOWING",H$12)</f>
        <v>44634</v>
      </c>
      <c r="H1503" s="13">
        <f ca="1">_xll.meDateFromTenor(G1503,H$14,H$11,H$12)</f>
        <v>44665</v>
      </c>
      <c r="I1503" s="98">
        <f ca="1"/>
        <v>4.5726060918101002E-3</v>
      </c>
      <c r="J1503" s="94" t="s">
        <v>4</v>
      </c>
      <c r="K1503" s="100">
        <f ca="1">_xll.meDateFromTenor(K1502,"1D","FOLLOWING",L$12)</f>
        <v>44634</v>
      </c>
      <c r="L1503" s="13">
        <f ca="1">_xll.meDateFromTenor(K1503,L$14,L$11,L$12)</f>
        <v>44726</v>
      </c>
      <c r="M1503" s="98">
        <f ca="1"/>
        <v>5.8941580706573576E-3</v>
      </c>
      <c r="N1503" s="5" t="s">
        <v>4</v>
      </c>
      <c r="O1503" s="100">
        <f ca="1">_xll.meDateFromTenor(O1502,"1D","FOLLOWING",P$12)</f>
        <v>44634</v>
      </c>
      <c r="P1503" s="13">
        <f ca="1">_xll.meDateFromTenor(O1503,P$14,P$11,P$12)</f>
        <v>44818</v>
      </c>
      <c r="Q1503" s="98">
        <f ca="1"/>
        <v>7.606852327875069E-3</v>
      </c>
      <c r="R1503" s="5" t="s">
        <v>4</v>
      </c>
      <c r="S1503" s="100">
        <f ca="1">_xll.meDateFromTenor(S1502,"1D","FOLLOWING",T$12)</f>
        <v>44634</v>
      </c>
      <c r="T1503" s="13">
        <f ca="1">_xll.meDateFromTenor(S1503,T$14,T$11,T$12)</f>
        <v>44999</v>
      </c>
      <c r="U1503" s="98">
        <f ca="1"/>
        <v>9.4681573256081685E-3</v>
      </c>
      <c r="V1503" s="5" t="s">
        <v>4</v>
      </c>
      <c r="W1503" s="84" t="s">
        <v>4</v>
      </c>
    </row>
    <row r="1504" spans="1:23" x14ac:dyDescent="0.25">
      <c r="A1504" s="90">
        <v>1485</v>
      </c>
      <c r="B1504" s="83"/>
      <c r="C1504" s="100">
        <f ca="1">_xll.meDateFromTenor(C1503,"1D","FOLLOWING",D$12)</f>
        <v>44635</v>
      </c>
      <c r="D1504" s="13">
        <f ca="1">_xll.meDateFromTenor(C1504,D$14,D$11,D$12)</f>
        <v>44636</v>
      </c>
      <c r="E1504" s="98">
        <f ca="1"/>
        <v>3.8382783080675551E-3</v>
      </c>
      <c r="F1504" s="94"/>
      <c r="G1504" s="100">
        <f ca="1">_xll.meDateFromTenor(G1503,"1D","FOLLOWING",H$12)</f>
        <v>44635</v>
      </c>
      <c r="H1504" s="13">
        <f ca="1">_xll.meDateFromTenor(G1504,H$14,H$11,H$12)</f>
        <v>44670</v>
      </c>
      <c r="I1504" s="98">
        <f ca="1"/>
        <v>4.5796274220389127E-3</v>
      </c>
      <c r="J1504" s="94" t="s">
        <v>4</v>
      </c>
      <c r="K1504" s="100">
        <f ca="1">_xll.meDateFromTenor(K1503,"1D","FOLLOWING",L$12)</f>
        <v>44635</v>
      </c>
      <c r="L1504" s="13">
        <f ca="1">_xll.meDateFromTenor(K1504,L$14,L$11,L$12)</f>
        <v>44727</v>
      </c>
      <c r="M1504" s="98">
        <f ca="1"/>
        <v>5.9026703424978847E-3</v>
      </c>
      <c r="N1504" s="5" t="s">
        <v>4</v>
      </c>
      <c r="O1504" s="100">
        <f ca="1">_xll.meDateFromTenor(O1503,"1D","FOLLOWING",P$12)</f>
        <v>44635</v>
      </c>
      <c r="P1504" s="13">
        <f ca="1">_xll.meDateFromTenor(O1504,P$14,P$11,P$12)</f>
        <v>44819</v>
      </c>
      <c r="Q1504" s="98">
        <f ca="1"/>
        <v>7.6150479306102007E-3</v>
      </c>
      <c r="R1504" s="5" t="s">
        <v>4</v>
      </c>
      <c r="S1504" s="100">
        <f ca="1">_xll.meDateFromTenor(S1503,"1D","FOLLOWING",T$12)</f>
        <v>44635</v>
      </c>
      <c r="T1504" s="13">
        <f ca="1">_xll.meDateFromTenor(S1504,T$14,T$11,T$12)</f>
        <v>45000</v>
      </c>
      <c r="U1504" s="98">
        <f ca="1"/>
        <v>9.4753158466797712E-3</v>
      </c>
      <c r="V1504" s="5" t="s">
        <v>4</v>
      </c>
      <c r="W1504" s="84" t="s">
        <v>4</v>
      </c>
    </row>
    <row r="1505" spans="1:23" x14ac:dyDescent="0.25">
      <c r="A1505" s="90">
        <v>1486</v>
      </c>
      <c r="B1505" s="83"/>
      <c r="C1505" s="100">
        <f ca="1">_xll.meDateFromTenor(C1504,"1D","FOLLOWING",D$12)</f>
        <v>44636</v>
      </c>
      <c r="D1505" s="13">
        <f ca="1">_xll.meDateFromTenor(C1505,D$14,D$11,D$12)</f>
        <v>44637</v>
      </c>
      <c r="E1505" s="98">
        <f ca="1"/>
        <v>3.8449023943070799E-3</v>
      </c>
      <c r="F1505" s="94"/>
      <c r="G1505" s="100">
        <f ca="1">_xll.meDateFromTenor(G1504,"1D","FOLLOWING",H$12)</f>
        <v>44636</v>
      </c>
      <c r="H1505" s="13">
        <f ca="1">_xll.meDateFromTenor(G1505,H$14,H$11,H$12)</f>
        <v>44670</v>
      </c>
      <c r="I1505" s="98">
        <f ca="1"/>
        <v>4.5866197359539325E-3</v>
      </c>
      <c r="J1505" s="94" t="s">
        <v>4</v>
      </c>
      <c r="K1505" s="100">
        <f ca="1">_xll.meDateFromTenor(K1504,"1D","FOLLOWING",L$12)</f>
        <v>44636</v>
      </c>
      <c r="L1505" s="13">
        <f ca="1">_xll.meDateFromTenor(K1505,L$14,L$11,L$12)</f>
        <v>44728</v>
      </c>
      <c r="M1505" s="98">
        <f ca="1"/>
        <v>5.9111827988415216E-3</v>
      </c>
      <c r="N1505" s="5" t="s">
        <v>4</v>
      </c>
      <c r="O1505" s="100">
        <f ca="1">_xll.meDateFromTenor(O1504,"1D","FOLLOWING",P$12)</f>
        <v>44636</v>
      </c>
      <c r="P1505" s="13">
        <f ca="1">_xll.meDateFromTenor(O1505,P$14,P$11,P$12)</f>
        <v>44820</v>
      </c>
      <c r="Q1505" s="98">
        <f ca="1"/>
        <v>7.6232433423030557E-3</v>
      </c>
      <c r="R1505" s="5" t="s">
        <v>4</v>
      </c>
      <c r="S1505" s="100">
        <f ca="1">_xll.meDateFromTenor(S1504,"1D","FOLLOWING",T$12)</f>
        <v>44636</v>
      </c>
      <c r="T1505" s="13">
        <f ca="1">_xll.meDateFromTenor(S1505,T$14,T$11,T$12)</f>
        <v>45001</v>
      </c>
      <c r="U1505" s="98">
        <f ca="1"/>
        <v>9.4824733837509546E-3</v>
      </c>
      <c r="V1505" s="5" t="s">
        <v>4</v>
      </c>
      <c r="W1505" s="84" t="s">
        <v>4</v>
      </c>
    </row>
    <row r="1506" spans="1:23" x14ac:dyDescent="0.25">
      <c r="A1506" s="90">
        <v>1487</v>
      </c>
      <c r="B1506" s="83"/>
      <c r="C1506" s="100">
        <f ca="1">_xll.meDateFromTenor(C1505,"1D","FOLLOWING",D$12)</f>
        <v>44637</v>
      </c>
      <c r="D1506" s="13">
        <f ca="1">_xll.meDateFromTenor(C1506,D$14,D$11,D$12)</f>
        <v>44638</v>
      </c>
      <c r="E1506" s="98">
        <f ca="1"/>
        <v>3.8515588932603504E-3</v>
      </c>
      <c r="F1506" s="94"/>
      <c r="G1506" s="100">
        <f ca="1">_xll.meDateFromTenor(G1505,"1D","FOLLOWING",H$12)</f>
        <v>44637</v>
      </c>
      <c r="H1506" s="13">
        <f ca="1">_xll.meDateFromTenor(G1506,H$14,H$11,H$12)</f>
        <v>44670</v>
      </c>
      <c r="I1506" s="98">
        <f ca="1"/>
        <v>4.5935887603580422E-3</v>
      </c>
      <c r="J1506" s="94" t="s">
        <v>4</v>
      </c>
      <c r="K1506" s="100">
        <f ca="1">_xll.meDateFromTenor(K1505,"1D","FOLLOWING",L$12)</f>
        <v>44637</v>
      </c>
      <c r="L1506" s="13">
        <f ca="1">_xll.meDateFromTenor(K1506,L$14,L$11,L$12)</f>
        <v>44729</v>
      </c>
      <c r="M1506" s="98">
        <f ca="1"/>
        <v>5.919695420859971E-3</v>
      </c>
      <c r="N1506" s="5" t="s">
        <v>4</v>
      </c>
      <c r="O1506" s="100">
        <f ca="1">_xll.meDateFromTenor(O1505,"1D","FOLLOWING",P$12)</f>
        <v>44637</v>
      </c>
      <c r="P1506" s="13">
        <f ca="1">_xll.meDateFromTenor(O1506,P$14,P$11,P$12)</f>
        <v>44823</v>
      </c>
      <c r="Q1506" s="98">
        <f ca="1"/>
        <v>7.6314385229138866E-3</v>
      </c>
      <c r="R1506" s="5" t="s">
        <v>4</v>
      </c>
      <c r="S1506" s="100">
        <f ca="1">_xll.meDateFromTenor(S1505,"1D","FOLLOWING",T$12)</f>
        <v>44637</v>
      </c>
      <c r="T1506" s="13">
        <f ca="1">_xll.meDateFromTenor(S1506,T$14,T$11,T$12)</f>
        <v>45002</v>
      </c>
      <c r="U1506" s="98">
        <f ca="1"/>
        <v>9.4896299340888318E-3</v>
      </c>
      <c r="V1506" s="5" t="s">
        <v>4</v>
      </c>
      <c r="W1506" s="84" t="s">
        <v>4</v>
      </c>
    </row>
    <row r="1507" spans="1:23" x14ac:dyDescent="0.25">
      <c r="A1507" s="90">
        <v>1488</v>
      </c>
      <c r="B1507" s="83"/>
      <c r="C1507" s="100">
        <f ca="1">_xll.meDateFromTenor(C1506,"1D","FOLLOWING",D$12)</f>
        <v>44638</v>
      </c>
      <c r="D1507" s="13">
        <f ca="1">_xll.meDateFromTenor(C1507,D$14,D$11,D$12)</f>
        <v>44641</v>
      </c>
      <c r="E1507" s="98">
        <f ca="1"/>
        <v>3.865021435993462E-3</v>
      </c>
      <c r="F1507" s="94"/>
      <c r="G1507" s="100">
        <f ca="1">_xll.meDateFromTenor(G1506,"1D","FOLLOWING",H$12)</f>
        <v>44638</v>
      </c>
      <c r="H1507" s="13">
        <f ca="1">_xll.meDateFromTenor(G1507,H$14,H$11,H$12)</f>
        <v>44670</v>
      </c>
      <c r="I1507" s="98">
        <f ca="1"/>
        <v>4.6005402220541218E-3</v>
      </c>
      <c r="J1507" s="94" t="s">
        <v>4</v>
      </c>
      <c r="K1507" s="100">
        <f ca="1">_xll.meDateFromTenor(K1506,"1D","FOLLOWING",L$12)</f>
        <v>44638</v>
      </c>
      <c r="L1507" s="13">
        <f ca="1">_xll.meDateFromTenor(K1507,L$14,L$11,L$12)</f>
        <v>44732</v>
      </c>
      <c r="M1507" s="98">
        <f ca="1"/>
        <v>5.9282081897249319E-3</v>
      </c>
      <c r="N1507" s="5" t="s">
        <v>4</v>
      </c>
      <c r="O1507" s="100">
        <f ca="1">_xll.meDateFromTenor(O1506,"1D","FOLLOWING",P$12)</f>
        <v>44638</v>
      </c>
      <c r="P1507" s="13">
        <f ca="1">_xll.meDateFromTenor(O1507,P$14,P$11,P$12)</f>
        <v>44823</v>
      </c>
      <c r="Q1507" s="98">
        <f ca="1"/>
        <v>7.6396334324029423E-3</v>
      </c>
      <c r="R1507" s="5" t="s">
        <v>4</v>
      </c>
      <c r="S1507" s="100">
        <f ca="1">_xll.meDateFromTenor(S1506,"1D","FOLLOWING",T$12)</f>
        <v>44638</v>
      </c>
      <c r="T1507" s="13">
        <f ca="1">_xll.meDateFromTenor(S1507,T$14,T$11,T$12)</f>
        <v>45005</v>
      </c>
      <c r="U1507" s="98">
        <f ca="1"/>
        <v>9.4967854949605246E-3</v>
      </c>
      <c r="V1507" s="5" t="s">
        <v>4</v>
      </c>
      <c r="W1507" s="84" t="s">
        <v>4</v>
      </c>
    </row>
    <row r="1508" spans="1:23" x14ac:dyDescent="0.25">
      <c r="A1508" s="90">
        <v>1489</v>
      </c>
      <c r="B1508" s="83"/>
      <c r="C1508" s="100">
        <f ca="1">_xll.meDateFromTenor(C1507,"1D","FOLLOWING",D$12)</f>
        <v>44641</v>
      </c>
      <c r="D1508" s="13">
        <f ca="1">_xll.meDateFromTenor(C1508,D$14,D$11,D$12)</f>
        <v>44642</v>
      </c>
      <c r="E1508" s="98">
        <f ca="1"/>
        <v>3.8785090482480146E-3</v>
      </c>
      <c r="F1508" s="94"/>
      <c r="G1508" s="100">
        <f ca="1">_xll.meDateFromTenor(G1507,"1D","FOLLOWING",H$12)</f>
        <v>44641</v>
      </c>
      <c r="H1508" s="13">
        <f ca="1">_xll.meDateFromTenor(G1508,H$14,H$11,H$12)</f>
        <v>44672</v>
      </c>
      <c r="I1508" s="98">
        <f ca="1"/>
        <v>4.6213464989230037E-3</v>
      </c>
      <c r="J1508" s="94" t="s">
        <v>4</v>
      </c>
      <c r="K1508" s="100">
        <f ca="1">_xll.meDateFromTenor(K1507,"1D","FOLLOWING",L$12)</f>
        <v>44641</v>
      </c>
      <c r="L1508" s="13">
        <f ca="1">_xll.meDateFromTenor(K1508,L$14,L$11,L$12)</f>
        <v>44733</v>
      </c>
      <c r="M1508" s="98">
        <f ca="1"/>
        <v>5.9537471891158798E-3</v>
      </c>
      <c r="N1508" s="5" t="s">
        <v>4</v>
      </c>
      <c r="O1508" s="100">
        <f ca="1">_xll.meDateFromTenor(O1507,"1D","FOLLOWING",P$12)</f>
        <v>44641</v>
      </c>
      <c r="P1508" s="13">
        <f ca="1">_xll.meDateFromTenor(O1508,P$14,P$11,P$12)</f>
        <v>44825</v>
      </c>
      <c r="Q1508" s="98">
        <f ca="1"/>
        <v>7.6642161337419643E-3</v>
      </c>
      <c r="R1508" s="5" t="s">
        <v>4</v>
      </c>
      <c r="S1508" s="100">
        <f ca="1">_xll.meDateFromTenor(S1507,"1D","FOLLOWING",T$12)</f>
        <v>44641</v>
      </c>
      <c r="T1508" s="13">
        <f ca="1">_xll.meDateFromTenor(S1508,T$14,T$11,T$12)</f>
        <v>45006</v>
      </c>
      <c r="U1508" s="98">
        <f ca="1"/>
        <v>9.5182462134496652E-3</v>
      </c>
      <c r="V1508" s="5" t="s">
        <v>4</v>
      </c>
      <c r="W1508" s="84" t="s">
        <v>4</v>
      </c>
    </row>
    <row r="1509" spans="1:23" x14ac:dyDescent="0.25">
      <c r="A1509" s="90">
        <v>1490</v>
      </c>
      <c r="B1509" s="83"/>
      <c r="C1509" s="100">
        <f ca="1">_xll.meDateFromTenor(C1508,"1D","FOLLOWING",D$12)</f>
        <v>44642</v>
      </c>
      <c r="D1509" s="13">
        <f ca="1">_xll.meDateFromTenor(C1509,D$14,D$11,D$12)</f>
        <v>44643</v>
      </c>
      <c r="E1509" s="98">
        <f ca="1"/>
        <v>3.8853276355415613E-3</v>
      </c>
      <c r="F1509" s="94"/>
      <c r="G1509" s="100">
        <f ca="1">_xll.meDateFromTenor(G1508,"1D","FOLLOWING",H$12)</f>
        <v>44642</v>
      </c>
      <c r="H1509" s="13">
        <f ca="1">_xll.meDateFromTenor(G1509,H$14,H$11,H$12)</f>
        <v>44673</v>
      </c>
      <c r="I1509" s="98">
        <f ca="1"/>
        <v>4.6282849778157857E-3</v>
      </c>
      <c r="J1509" s="94" t="s">
        <v>4</v>
      </c>
      <c r="K1509" s="100">
        <f ca="1">_xll.meDateFromTenor(K1508,"1D","FOLLOWING",L$12)</f>
        <v>44642</v>
      </c>
      <c r="L1509" s="13">
        <f ca="1">_xll.meDateFromTenor(K1509,L$14,L$11,L$12)</f>
        <v>44734</v>
      </c>
      <c r="M1509" s="98">
        <f ca="1"/>
        <v>5.9622603570838872E-3</v>
      </c>
      <c r="N1509" s="5" t="s">
        <v>4</v>
      </c>
      <c r="O1509" s="100">
        <f ca="1">_xll.meDateFromTenor(O1508,"1D","FOLLOWING",P$12)</f>
        <v>44642</v>
      </c>
      <c r="P1509" s="13">
        <f ca="1">_xll.meDateFromTenor(O1509,P$14,P$11,P$12)</f>
        <v>44826</v>
      </c>
      <c r="Q1509" s="98">
        <f ca="1"/>
        <v>7.6724095583464262E-3</v>
      </c>
      <c r="R1509" s="5" t="s">
        <v>4</v>
      </c>
      <c r="S1509" s="100">
        <f ca="1">_xll.meDateFromTenor(S1508,"1D","FOLLOWING",T$12)</f>
        <v>44642</v>
      </c>
      <c r="T1509" s="13">
        <f ca="1">_xll.meDateFromTenor(S1509,T$14,T$11,T$12)</f>
        <v>45007</v>
      </c>
      <c r="U1509" s="98">
        <f ca="1"/>
        <v>9.5253977891277888E-3</v>
      </c>
      <c r="V1509" s="5" t="s">
        <v>4</v>
      </c>
      <c r="W1509" s="84" t="s">
        <v>4</v>
      </c>
    </row>
    <row r="1510" spans="1:23" x14ac:dyDescent="0.25">
      <c r="A1510" s="90">
        <v>1491</v>
      </c>
      <c r="B1510" s="83"/>
      <c r="C1510" s="100">
        <f ca="1">_xll.meDateFromTenor(C1509,"1D","FOLLOWING",D$12)</f>
        <v>44643</v>
      </c>
      <c r="D1510" s="13">
        <f ca="1">_xll.meDateFromTenor(C1510,D$14,D$11,D$12)</f>
        <v>44644</v>
      </c>
      <c r="E1510" s="98">
        <f ca="1"/>
        <v>3.8921786460217301E-3</v>
      </c>
      <c r="F1510" s="94"/>
      <c r="G1510" s="100">
        <f ca="1">_xll.meDateFromTenor(G1509,"1D","FOLLOWING",H$12)</f>
        <v>44643</v>
      </c>
      <c r="H1510" s="13">
        <f ca="1">_xll.meDateFromTenor(G1510,H$14,H$11,H$12)</f>
        <v>44676</v>
      </c>
      <c r="I1510" s="98">
        <f ca="1"/>
        <v>4.6352345280149462E-3</v>
      </c>
      <c r="J1510" s="94" t="s">
        <v>4</v>
      </c>
      <c r="K1510" s="100">
        <f ca="1">_xll.meDateFromTenor(K1509,"1D","FOLLOWING",L$12)</f>
        <v>44643</v>
      </c>
      <c r="L1510" s="13">
        <f ca="1">_xll.meDateFromTenor(K1510,L$14,L$11,L$12)</f>
        <v>44735</v>
      </c>
      <c r="M1510" s="98">
        <f ca="1"/>
        <v>5.970773577756907E-3</v>
      </c>
      <c r="N1510" s="5" t="s">
        <v>4</v>
      </c>
      <c r="O1510" s="100">
        <f ca="1">_xll.meDateFromTenor(O1509,"1D","FOLLOWING",P$12)</f>
        <v>44643</v>
      </c>
      <c r="P1510" s="13">
        <f ca="1">_xll.meDateFromTenor(O1510,P$14,P$11,P$12)</f>
        <v>44827</v>
      </c>
      <c r="Q1510" s="98">
        <f ca="1"/>
        <v>7.6806025116303656E-3</v>
      </c>
      <c r="R1510" s="5" t="s">
        <v>4</v>
      </c>
      <c r="S1510" s="100">
        <f ca="1">_xll.meDateFromTenor(S1509,"1D","FOLLOWING",T$12)</f>
        <v>44643</v>
      </c>
      <c r="T1510" s="13">
        <f ca="1">_xll.meDateFromTenor(S1510,T$14,T$11,T$12)</f>
        <v>45008</v>
      </c>
      <c r="U1510" s="98">
        <f ca="1"/>
        <v>9.53254836167532E-3</v>
      </c>
      <c r="V1510" s="5" t="s">
        <v>4</v>
      </c>
      <c r="W1510" s="84" t="s">
        <v>4</v>
      </c>
    </row>
    <row r="1511" spans="1:23" x14ac:dyDescent="0.25">
      <c r="A1511" s="90">
        <v>1492</v>
      </c>
      <c r="B1511" s="83"/>
      <c r="C1511" s="100">
        <f ca="1">_xll.meDateFromTenor(C1510,"1D","FOLLOWING",D$12)</f>
        <v>44644</v>
      </c>
      <c r="D1511" s="13">
        <f ca="1">_xll.meDateFromTenor(C1511,D$14,D$11,D$12)</f>
        <v>44645</v>
      </c>
      <c r="E1511" s="98">
        <f ca="1"/>
        <v>3.8990620812822687E-3</v>
      </c>
      <c r="F1511" s="94"/>
      <c r="G1511" s="100">
        <f ca="1">_xll.meDateFromTenor(G1510,"1D","FOLLOWING",H$12)</f>
        <v>44644</v>
      </c>
      <c r="H1511" s="13">
        <f ca="1">_xll.meDateFromTenor(G1511,H$14,H$11,H$12)</f>
        <v>44676</v>
      </c>
      <c r="I1511" s="98">
        <f ca="1"/>
        <v>4.6422008763233697E-3</v>
      </c>
      <c r="J1511" s="94" t="s">
        <v>4</v>
      </c>
      <c r="K1511" s="100">
        <f ca="1">_xll.meDateFromTenor(K1510,"1D","FOLLOWING",L$12)</f>
        <v>44644</v>
      </c>
      <c r="L1511" s="13">
        <f ca="1">_xll.meDateFromTenor(K1511,L$14,L$11,L$12)</f>
        <v>44736</v>
      </c>
      <c r="M1511" s="98">
        <f ca="1"/>
        <v>5.9792868323066371E-3</v>
      </c>
      <c r="N1511" s="5" t="s">
        <v>4</v>
      </c>
      <c r="O1511" s="100">
        <f ca="1">_xll.meDateFromTenor(O1510,"1D","FOLLOWING",P$12)</f>
        <v>44644</v>
      </c>
      <c r="P1511" s="13">
        <f ca="1">_xll.meDateFromTenor(O1511,P$14,P$11,P$12)</f>
        <v>44830</v>
      </c>
      <c r="Q1511" s="98">
        <f ca="1"/>
        <v>7.6887949535540331E-3</v>
      </c>
      <c r="R1511" s="5" t="s">
        <v>4</v>
      </c>
      <c r="S1511" s="100">
        <f ca="1">_xll.meDateFromTenor(S1510,"1D","FOLLOWING",T$12)</f>
        <v>44644</v>
      </c>
      <c r="T1511" s="13">
        <f ca="1">_xll.meDateFromTenor(S1511,T$14,T$11,T$12)</f>
        <v>45009</v>
      </c>
      <c r="U1511" s="98">
        <f ca="1"/>
        <v>9.53969792835937E-3</v>
      </c>
      <c r="V1511" s="5" t="s">
        <v>4</v>
      </c>
      <c r="W1511" s="84" t="s">
        <v>4</v>
      </c>
    </row>
    <row r="1512" spans="1:23" x14ac:dyDescent="0.25">
      <c r="A1512" s="90">
        <v>1493</v>
      </c>
      <c r="B1512" s="83"/>
      <c r="C1512" s="100">
        <f ca="1">_xll.meDateFromTenor(C1511,"1D","FOLLOWING",D$12)</f>
        <v>44645</v>
      </c>
      <c r="D1512" s="13">
        <f ca="1">_xll.meDateFromTenor(C1512,D$14,D$11,D$12)</f>
        <v>44648</v>
      </c>
      <c r="E1512" s="98">
        <f ca="1"/>
        <v>3.9129795743610973E-3</v>
      </c>
      <c r="F1512" s="94"/>
      <c r="G1512" s="100">
        <f ca="1">_xll.meDateFromTenor(G1511,"1D","FOLLOWING",H$12)</f>
        <v>44645</v>
      </c>
      <c r="H1512" s="13">
        <f ca="1">_xll.meDateFromTenor(G1512,H$14,H$11,H$12)</f>
        <v>44676</v>
      </c>
      <c r="I1512" s="98">
        <f ca="1"/>
        <v>4.6491897495439354E-3</v>
      </c>
      <c r="J1512" s="94" t="s">
        <v>4</v>
      </c>
      <c r="K1512" s="100">
        <f ca="1">_xll.meDateFromTenor(K1511,"1D","FOLLOWING",L$12)</f>
        <v>44645</v>
      </c>
      <c r="L1512" s="13">
        <f ca="1">_xll.meDateFromTenor(K1512,L$14,L$11,L$12)</f>
        <v>44739</v>
      </c>
      <c r="M1512" s="98">
        <f ca="1"/>
        <v>5.9878001019047803E-3</v>
      </c>
      <c r="N1512" s="5" t="s">
        <v>4</v>
      </c>
      <c r="O1512" s="100">
        <f ca="1">_xll.meDateFromTenor(O1511,"1D","FOLLOWING",P$12)</f>
        <v>44645</v>
      </c>
      <c r="P1512" s="13">
        <f ca="1">_xll.meDateFromTenor(O1512,P$14,P$11,P$12)</f>
        <v>44830</v>
      </c>
      <c r="Q1512" s="98">
        <f ca="1"/>
        <v>7.6969868440776796E-3</v>
      </c>
      <c r="R1512" s="5" t="s">
        <v>4</v>
      </c>
      <c r="S1512" s="100">
        <f ca="1">_xll.meDateFromTenor(S1511,"1D","FOLLOWING",T$12)</f>
        <v>44645</v>
      </c>
      <c r="T1512" s="13">
        <f ca="1">_xll.meDateFromTenor(S1512,T$14,T$11,T$12)</f>
        <v>45012</v>
      </c>
      <c r="U1512" s="98">
        <f ca="1"/>
        <v>9.5468464864470574E-3</v>
      </c>
      <c r="V1512" s="5" t="s">
        <v>4</v>
      </c>
      <c r="W1512" s="84" t="s">
        <v>4</v>
      </c>
    </row>
    <row r="1513" spans="1:23" x14ac:dyDescent="0.25">
      <c r="A1513" s="90">
        <v>1494</v>
      </c>
      <c r="B1513" s="83"/>
      <c r="C1513" s="100">
        <f ca="1">_xll.meDateFromTenor(C1512,"1D","FOLLOWING",D$12)</f>
        <v>44648</v>
      </c>
      <c r="D1513" s="13">
        <f ca="1">_xll.meDateFromTenor(C1513,D$14,D$11,D$12)</f>
        <v>44649</v>
      </c>
      <c r="E1513" s="98">
        <f ca="1"/>
        <v>3.9269201063690216E-3</v>
      </c>
      <c r="F1513" s="94"/>
      <c r="G1513" s="100">
        <f ca="1">_xll.meDateFromTenor(G1512,"1D","FOLLOWING",H$12)</f>
        <v>44648</v>
      </c>
      <c r="H1513" s="13">
        <f ca="1">_xll.meDateFromTenor(G1513,H$14,H$11,H$12)</f>
        <v>44679</v>
      </c>
      <c r="I1513" s="98">
        <f ca="1"/>
        <v>4.6703487867073099E-3</v>
      </c>
      <c r="J1513" s="94" t="s">
        <v>4</v>
      </c>
      <c r="K1513" s="100">
        <f ca="1">_xll.meDateFromTenor(K1512,"1D","FOLLOWING",L$12)</f>
        <v>44648</v>
      </c>
      <c r="L1513" s="13">
        <f ca="1">_xll.meDateFromTenor(K1513,L$14,L$11,L$12)</f>
        <v>44740</v>
      </c>
      <c r="M1513" s="98">
        <f ca="1"/>
        <v>6.0133398127066792E-3</v>
      </c>
      <c r="N1513" s="5" t="s">
        <v>4</v>
      </c>
      <c r="O1513" s="100">
        <f ca="1">_xll.meDateFromTenor(O1512,"1D","FOLLOWING",P$12)</f>
        <v>44648</v>
      </c>
      <c r="P1513" s="13">
        <f ca="1">_xll.meDateFromTenor(O1513,P$14,P$11,P$12)</f>
        <v>44832</v>
      </c>
      <c r="Q1513" s="98">
        <f ca="1"/>
        <v>7.7215588068509948E-3</v>
      </c>
      <c r="R1513" s="5" t="s">
        <v>4</v>
      </c>
      <c r="S1513" s="100">
        <f ca="1">_xll.meDateFromTenor(S1512,"1D","FOLLOWING",T$12)</f>
        <v>44648</v>
      </c>
      <c r="T1513" s="13">
        <f ca="1">_xll.meDateFromTenor(S1513,T$14,T$11,T$12)</f>
        <v>45013</v>
      </c>
      <c r="U1513" s="98">
        <f ca="1"/>
        <v>9.5682860818031255E-3</v>
      </c>
      <c r="V1513" s="5" t="s">
        <v>4</v>
      </c>
      <c r="W1513" s="84" t="s">
        <v>4</v>
      </c>
    </row>
    <row r="1514" spans="1:23" x14ac:dyDescent="0.25">
      <c r="A1514" s="90">
        <v>1495</v>
      </c>
      <c r="B1514" s="83"/>
      <c r="C1514" s="100">
        <f ca="1">_xll.meDateFromTenor(C1513,"1D","FOLLOWING",D$12)</f>
        <v>44649</v>
      </c>
      <c r="D1514" s="13">
        <f ca="1">_xll.meDateFromTenor(C1514,D$14,D$11,D$12)</f>
        <v>44650</v>
      </c>
      <c r="E1514" s="98">
        <f ca="1"/>
        <v>3.9339656927246157E-3</v>
      </c>
      <c r="F1514" s="94"/>
      <c r="G1514" s="100">
        <f ca="1">_xll.meDateFromTenor(G1513,"1D","FOLLOWING",H$12)</f>
        <v>44649</v>
      </c>
      <c r="H1514" s="13">
        <f ca="1">_xll.meDateFromTenor(G1514,H$14,H$11,H$12)</f>
        <v>44680</v>
      </c>
      <c r="I1514" s="98">
        <f ca="1"/>
        <v>4.6774850276052674E-3</v>
      </c>
      <c r="J1514" s="94" t="s">
        <v>4</v>
      </c>
      <c r="K1514" s="100">
        <f ca="1">_xll.meDateFromTenor(K1513,"1D","FOLLOWING",L$12)</f>
        <v>44649</v>
      </c>
      <c r="L1514" s="13">
        <f ca="1">_xll.meDateFromTenor(K1514,L$14,L$11,L$12)</f>
        <v>44741</v>
      </c>
      <c r="M1514" s="98">
        <f ca="1"/>
        <v>6.0218529542154708E-3</v>
      </c>
      <c r="N1514" s="5" t="s">
        <v>4</v>
      </c>
      <c r="O1514" s="100">
        <f ca="1">_xll.meDateFromTenor(O1513,"1D","FOLLOWING",P$12)</f>
        <v>44649</v>
      </c>
      <c r="P1514" s="13">
        <f ca="1">_xll.meDateFromTenor(O1514,P$14,P$11,P$12)</f>
        <v>44833</v>
      </c>
      <c r="Q1514" s="98">
        <f ca="1"/>
        <v>7.7297480913770629E-3</v>
      </c>
      <c r="R1514" s="5" t="s">
        <v>4</v>
      </c>
      <c r="S1514" s="100">
        <f ca="1">_xll.meDateFromTenor(S1513,"1D","FOLLOWING",T$12)</f>
        <v>44649</v>
      </c>
      <c r="T1514" s="13">
        <f ca="1">_xll.meDateFromTenor(S1514,T$14,T$11,T$12)</f>
        <v>45014</v>
      </c>
      <c r="U1514" s="98">
        <f ca="1"/>
        <v>9.5754305781765425E-3</v>
      </c>
      <c r="V1514" s="5" t="s">
        <v>4</v>
      </c>
      <c r="W1514" s="84" t="s">
        <v>4</v>
      </c>
    </row>
    <row r="1515" spans="1:23" x14ac:dyDescent="0.25">
      <c r="A1515" s="90">
        <v>1496</v>
      </c>
      <c r="B1515" s="83"/>
      <c r="C1515" s="100">
        <f ca="1">_xll.meDateFromTenor(C1514,"1D","FOLLOWING",D$12)</f>
        <v>44650</v>
      </c>
      <c r="D1515" s="13">
        <f ca="1">_xll.meDateFromTenor(C1515,D$14,D$11,D$12)</f>
        <v>44651</v>
      </c>
      <c r="E1515" s="98">
        <f ca="1"/>
        <v>3.9410437148917291E-3</v>
      </c>
      <c r="F1515" s="94"/>
      <c r="G1515" s="100">
        <f ca="1">_xll.meDateFromTenor(G1514,"1D","FOLLOWING",H$12)</f>
        <v>44650</v>
      </c>
      <c r="H1515" s="13">
        <f ca="1">_xll.meDateFromTenor(G1515,H$14,H$11,H$12)</f>
        <v>44680</v>
      </c>
      <c r="I1515" s="98">
        <f ca="1"/>
        <v>4.6846724274297721E-3</v>
      </c>
      <c r="J1515" s="94" t="s">
        <v>4</v>
      </c>
      <c r="K1515" s="100">
        <f ca="1">_xll.meDateFromTenor(K1514,"1D","FOLLOWING",L$12)</f>
        <v>44650</v>
      </c>
      <c r="L1515" s="13">
        <f ca="1">_xll.meDateFromTenor(K1515,L$14,L$11,L$12)</f>
        <v>44742</v>
      </c>
      <c r="M1515" s="98">
        <f ca="1"/>
        <v>6.0303660166311709E-3</v>
      </c>
      <c r="N1515" s="5" t="s">
        <v>4</v>
      </c>
      <c r="O1515" s="100">
        <f ca="1">_xll.meDateFromTenor(O1514,"1D","FOLLOWING",P$12)</f>
        <v>44650</v>
      </c>
      <c r="P1515" s="13">
        <f ca="1">_xll.meDateFromTenor(O1515,P$14,P$11,P$12)</f>
        <v>44834</v>
      </c>
      <c r="Q1515" s="98">
        <f ca="1"/>
        <v>7.7379366243043573E-3</v>
      </c>
      <c r="R1515" s="5" t="s">
        <v>4</v>
      </c>
      <c r="S1515" s="100">
        <f ca="1">_xll.meDateFromTenor(S1514,"1D","FOLLOWING",T$12)</f>
        <v>44650</v>
      </c>
      <c r="T1515" s="13">
        <f ca="1">_xll.meDateFromTenor(S1515,T$14,T$11,T$12)</f>
        <v>45015</v>
      </c>
      <c r="U1515" s="98">
        <f ca="1"/>
        <v>9.5825740522891834E-3</v>
      </c>
      <c r="V1515" s="5" t="s">
        <v>4</v>
      </c>
      <c r="W1515" s="84" t="s">
        <v>4</v>
      </c>
    </row>
    <row r="1516" spans="1:23" x14ac:dyDescent="0.25">
      <c r="A1516" s="90">
        <v>1497</v>
      </c>
      <c r="B1516" s="83"/>
      <c r="C1516" s="100">
        <f ca="1">_xll.meDateFromTenor(C1515,"1D","FOLLOWING",D$12)</f>
        <v>44651</v>
      </c>
      <c r="D1516" s="13">
        <f ca="1">_xll.meDateFromTenor(C1516,D$14,D$11,D$12)</f>
        <v>44652</v>
      </c>
      <c r="E1516" s="98">
        <f ca="1"/>
        <v>3.9481541743142459E-3</v>
      </c>
      <c r="F1516" s="94"/>
      <c r="G1516" s="100">
        <f ca="1">_xll.meDateFromTenor(G1515,"1D","FOLLOWING",H$12)</f>
        <v>44651</v>
      </c>
      <c r="H1516" s="13">
        <f ca="1">_xll.meDateFromTenor(G1516,H$14,H$11,H$12)</f>
        <v>44680</v>
      </c>
      <c r="I1516" s="98">
        <f ca="1"/>
        <v>4.6919167129837146E-3</v>
      </c>
      <c r="J1516" s="94" t="s">
        <v>4</v>
      </c>
      <c r="K1516" s="100">
        <f ca="1">_xll.meDateFromTenor(K1515,"1D","FOLLOWING",L$12)</f>
        <v>44651</v>
      </c>
      <c r="L1516" s="13">
        <f ca="1">_xll.meDateFromTenor(K1516,L$14,L$11,L$12)</f>
        <v>44742</v>
      </c>
      <c r="M1516" s="98">
        <f ca="1"/>
        <v>6.0388789811254865E-3</v>
      </c>
      <c r="N1516" s="5" t="s">
        <v>4</v>
      </c>
      <c r="O1516" s="100">
        <f ca="1">_xll.meDateFromTenor(O1515,"1D","FOLLOWING",P$12)</f>
        <v>44651</v>
      </c>
      <c r="P1516" s="13">
        <f ca="1">_xll.meDateFromTenor(O1516,P$14,P$11,P$12)</f>
        <v>44834</v>
      </c>
      <c r="Q1516" s="98">
        <f ca="1"/>
        <v>7.7461243655931366E-3</v>
      </c>
      <c r="R1516" s="5" t="s">
        <v>4</v>
      </c>
      <c r="S1516" s="100">
        <f ca="1">_xll.meDateFromTenor(S1515,"1D","FOLLOWING",T$12)</f>
        <v>44651</v>
      </c>
      <c r="T1516" s="13">
        <f ca="1">_xll.meDateFromTenor(S1516,T$14,T$11,T$12)</f>
        <v>45016</v>
      </c>
      <c r="U1516" s="98">
        <f ca="1"/>
        <v>9.5897165014081701E-3</v>
      </c>
      <c r="V1516" s="5" t="s">
        <v>4</v>
      </c>
      <c r="W1516" s="84" t="s">
        <v>4</v>
      </c>
    </row>
    <row r="1517" spans="1:23" x14ac:dyDescent="0.25">
      <c r="A1517" s="90">
        <v>1498</v>
      </c>
      <c r="B1517" s="83"/>
      <c r="C1517" s="100">
        <f ca="1">_xll.meDateFromTenor(C1516,"1D","FOLLOWING",D$12)</f>
        <v>44652</v>
      </c>
      <c r="D1517" s="13">
        <f ca="1">_xll.meDateFromTenor(C1517,D$14,D$11,D$12)</f>
        <v>44655</v>
      </c>
      <c r="E1517" s="98">
        <f ca="1"/>
        <v>3.9625268425955958E-3</v>
      </c>
      <c r="F1517" s="94"/>
      <c r="G1517" s="100">
        <f ca="1">_xll.meDateFromTenor(G1516,"1D","FOLLOWING",H$12)</f>
        <v>44652</v>
      </c>
      <c r="H1517" s="13">
        <f ca="1">_xll.meDateFromTenor(G1517,H$14,H$11,H$12)</f>
        <v>44683</v>
      </c>
      <c r="I1517" s="98">
        <f ca="1"/>
        <v>4.699223611069973E-3</v>
      </c>
      <c r="J1517" s="94" t="s">
        <v>4</v>
      </c>
      <c r="K1517" s="100">
        <f ca="1">_xll.meDateFromTenor(K1516,"1D","FOLLOWING",L$12)</f>
        <v>44652</v>
      </c>
      <c r="L1517" s="13">
        <f ca="1">_xll.meDateFromTenor(K1517,L$14,L$11,L$12)</f>
        <v>44743</v>
      </c>
      <c r="M1517" s="98">
        <f ca="1"/>
        <v>6.0473918288701141E-3</v>
      </c>
      <c r="N1517" s="5" t="s">
        <v>4</v>
      </c>
      <c r="O1517" s="100">
        <f ca="1">_xll.meDateFromTenor(O1516,"1D","FOLLOWING",P$12)</f>
        <v>44652</v>
      </c>
      <c r="P1517" s="13">
        <f ca="1">_xll.meDateFromTenor(O1517,P$14,P$11,P$12)</f>
        <v>44837</v>
      </c>
      <c r="Q1517" s="98">
        <f ca="1"/>
        <v>7.7543112752036479E-3</v>
      </c>
      <c r="R1517" s="5" t="s">
        <v>4</v>
      </c>
      <c r="S1517" s="100">
        <f ca="1">_xll.meDateFromTenor(S1516,"1D","FOLLOWING",T$12)</f>
        <v>44652</v>
      </c>
      <c r="T1517" s="13">
        <f ca="1">_xll.meDateFromTenor(S1517,T$14,T$11,T$12)</f>
        <v>45019</v>
      </c>
      <c r="U1517" s="98">
        <f ca="1"/>
        <v>9.5968579228006192E-3</v>
      </c>
      <c r="V1517" s="5" t="s">
        <v>4</v>
      </c>
      <c r="W1517" s="84" t="s">
        <v>4</v>
      </c>
    </row>
    <row r="1518" spans="1:23" x14ac:dyDescent="0.25">
      <c r="A1518" s="90">
        <v>1499</v>
      </c>
      <c r="B1518" s="83"/>
      <c r="C1518" s="100">
        <f ca="1">_xll.meDateFromTenor(C1517,"1D","FOLLOWING",D$12)</f>
        <v>44655</v>
      </c>
      <c r="D1518" s="13">
        <f ca="1">_xll.meDateFromTenor(C1518,D$14,D$11,D$12)</f>
        <v>44656</v>
      </c>
      <c r="E1518" s="98">
        <f ca="1"/>
        <v>3.9769204248158831E-3</v>
      </c>
      <c r="F1518" s="94"/>
      <c r="G1518" s="100">
        <f ca="1">_xll.meDateFromTenor(G1517,"1D","FOLLOWING",H$12)</f>
        <v>44655</v>
      </c>
      <c r="H1518" s="13">
        <f ca="1">_xll.meDateFromTenor(G1518,H$14,H$11,H$12)</f>
        <v>44685</v>
      </c>
      <c r="I1518" s="98">
        <f ca="1"/>
        <v>4.7215772485514548E-3</v>
      </c>
      <c r="J1518" s="94" t="s">
        <v>4</v>
      </c>
      <c r="K1518" s="100">
        <f ca="1">_xll.meDateFromTenor(K1517,"1D","FOLLOWING",L$12)</f>
        <v>44655</v>
      </c>
      <c r="L1518" s="13">
        <f ca="1">_xll.meDateFromTenor(K1518,L$14,L$11,L$12)</f>
        <v>44746</v>
      </c>
      <c r="M1518" s="98">
        <f ca="1"/>
        <v>6.0729294833228708E-3</v>
      </c>
      <c r="N1518" s="5" t="s">
        <v>4</v>
      </c>
      <c r="O1518" s="100">
        <f ca="1">_xll.meDateFromTenor(O1517,"1D","FOLLOWING",P$12)</f>
        <v>44655</v>
      </c>
      <c r="P1518" s="13">
        <f ca="1">_xll.meDateFromTenor(O1518,P$14,P$11,P$12)</f>
        <v>44838</v>
      </c>
      <c r="Q1518" s="98">
        <f ca="1"/>
        <v>7.7788666135680824E-3</v>
      </c>
      <c r="R1518" s="5" t="s">
        <v>4</v>
      </c>
      <c r="S1518" s="100">
        <f ca="1">_xll.meDateFromTenor(S1517,"1D","FOLLOWING",T$12)</f>
        <v>44655</v>
      </c>
      <c r="T1518" s="13">
        <f ca="1">_xll.meDateFromTenor(S1518,T$14,T$11,T$12)</f>
        <v>45020</v>
      </c>
      <c r="U1518" s="98">
        <f ca="1"/>
        <v>9.6182759932899112E-3</v>
      </c>
      <c r="V1518" s="5" t="s">
        <v>4</v>
      </c>
      <c r="W1518" s="84" t="s">
        <v>4</v>
      </c>
    </row>
    <row r="1519" spans="1:23" x14ac:dyDescent="0.25">
      <c r="A1519" s="90">
        <v>1500</v>
      </c>
      <c r="B1519" s="83"/>
      <c r="C1519" s="101">
        <f ca="1">_xll.meDateFromTenor(C1518,"1D","FOLLOWING",D$12)</f>
        <v>44656</v>
      </c>
      <c r="D1519" s="102">
        <f ca="1">_xll.meDateFromTenor(C1519,D$14,D$11,D$12)</f>
        <v>44657</v>
      </c>
      <c r="E1519" s="99">
        <f ca="1"/>
        <v>3.9841930995970099E-3</v>
      </c>
      <c r="F1519" s="94"/>
      <c r="G1519" s="101">
        <f ca="1">_xll.meDateFromTenor(G1518,"1D","FOLLOWING",H$12)</f>
        <v>44656</v>
      </c>
      <c r="H1519" s="102">
        <f ca="1">_xll.meDateFromTenor(G1519,H$14,H$11,H$12)</f>
        <v>44686</v>
      </c>
      <c r="I1519" s="99">
        <f ca="1"/>
        <v>4.7291902475161416E-3</v>
      </c>
      <c r="J1519" s="94" t="s">
        <v>4</v>
      </c>
      <c r="K1519" s="101">
        <f ca="1">_xll.meDateFromTenor(K1518,"1D","FOLLOWING",L$12)</f>
        <v>44656</v>
      </c>
      <c r="L1519" s="102">
        <f ca="1">_xll.meDateFromTenor(K1519,L$14,L$11,L$12)</f>
        <v>44747</v>
      </c>
      <c r="M1519" s="99">
        <f ca="1"/>
        <v>6.0814416757857476E-3</v>
      </c>
      <c r="N1519" s="5" t="s">
        <v>4</v>
      </c>
      <c r="O1519" s="101">
        <f ca="1">_xll.meDateFromTenor(O1518,"1D","FOLLOWING",P$12)</f>
        <v>44656</v>
      </c>
      <c r="P1519" s="102">
        <f ca="1">_xll.meDateFromTenor(O1519,P$14,P$11,P$12)</f>
        <v>44839</v>
      </c>
      <c r="Q1519" s="99">
        <f ca="1"/>
        <v>7.7870497960680274E-3</v>
      </c>
      <c r="R1519" s="5" t="s">
        <v>4</v>
      </c>
      <c r="S1519" s="101">
        <f ca="1">_xll.meDateFromTenor(S1518,"1D","FOLLOWING",T$12)</f>
        <v>44656</v>
      </c>
      <c r="T1519" s="102">
        <f ca="1">_xll.meDateFromTenor(S1519,T$14,T$11,T$12)</f>
        <v>45021</v>
      </c>
      <c r="U1519" s="99">
        <f ca="1"/>
        <v>9.6254132764473869E-3</v>
      </c>
      <c r="V1519" s="5" t="s">
        <v>4</v>
      </c>
      <c r="W1519" s="84" t="s">
        <v>4</v>
      </c>
    </row>
    <row r="1520" spans="1:23" x14ac:dyDescent="0.25">
      <c r="B1520" s="103" t="s">
        <v>4</v>
      </c>
      <c r="C1520" s="104" t="s">
        <v>4</v>
      </c>
      <c r="D1520" s="104" t="s">
        <v>4</v>
      </c>
      <c r="E1520" s="104" t="s">
        <v>4</v>
      </c>
      <c r="F1520" s="104" t="s">
        <v>4</v>
      </c>
      <c r="G1520" s="104" t="s">
        <v>4</v>
      </c>
      <c r="H1520" s="104" t="s">
        <v>4</v>
      </c>
      <c r="I1520" s="104" t="s">
        <v>4</v>
      </c>
      <c r="J1520" s="104" t="s">
        <v>4</v>
      </c>
      <c r="K1520" s="104" t="s">
        <v>4</v>
      </c>
      <c r="L1520" s="104" t="s">
        <v>4</v>
      </c>
      <c r="M1520" s="104" t="s">
        <v>4</v>
      </c>
      <c r="N1520" s="104" t="s">
        <v>4</v>
      </c>
      <c r="O1520" s="104" t="s">
        <v>4</v>
      </c>
      <c r="P1520" s="104" t="s">
        <v>4</v>
      </c>
      <c r="Q1520" s="104" t="s">
        <v>4</v>
      </c>
      <c r="R1520" s="104" t="s">
        <v>4</v>
      </c>
      <c r="S1520" s="104" t="s">
        <v>4</v>
      </c>
      <c r="T1520" s="104" t="s">
        <v>4</v>
      </c>
      <c r="U1520" s="104" t="s">
        <v>4</v>
      </c>
      <c r="V1520" s="104" t="s">
        <v>4</v>
      </c>
      <c r="W1520" s="105" t="s">
        <v>4</v>
      </c>
    </row>
    <row r="1521" spans="1:23" x14ac:dyDescent="0.25">
      <c r="A1521" s="90" t="s">
        <v>4</v>
      </c>
      <c r="B1521" s="90" t="s">
        <v>4</v>
      </c>
      <c r="C1521" s="90" t="s">
        <v>4</v>
      </c>
      <c r="D1521" s="90" t="s">
        <v>4</v>
      </c>
      <c r="E1521" s="90" t="s">
        <v>4</v>
      </c>
      <c r="F1521" s="90"/>
      <c r="G1521" s="90" t="s">
        <v>4</v>
      </c>
      <c r="H1521" s="90" t="s">
        <v>4</v>
      </c>
      <c r="I1521" s="90" t="s">
        <v>4</v>
      </c>
      <c r="J1521" s="90"/>
      <c r="K1521" s="90" t="s">
        <v>4</v>
      </c>
      <c r="L1521" s="90" t="s">
        <v>4</v>
      </c>
      <c r="M1521" s="90" t="s">
        <v>4</v>
      </c>
      <c r="N1521" s="90" t="s">
        <v>4</v>
      </c>
      <c r="O1521" s="90" t="s">
        <v>4</v>
      </c>
      <c r="P1521" s="90" t="s">
        <v>4</v>
      </c>
      <c r="Q1521" s="90" t="s">
        <v>4</v>
      </c>
      <c r="R1521" s="90" t="s">
        <v>4</v>
      </c>
      <c r="S1521" s="90" t="s">
        <v>4</v>
      </c>
      <c r="T1521" s="90" t="s">
        <v>4</v>
      </c>
      <c r="U1521" s="90" t="s">
        <v>4</v>
      </c>
      <c r="V1521" s="90"/>
      <c r="W1521" s="90" t="s">
        <v>4</v>
      </c>
    </row>
  </sheetData>
  <dataValidations count="2">
    <dataValidation type="list" allowBlank="1" showInputMessage="1" showErrorMessage="1" sqref="D15 P15 L15 H15 T15">
      <formula1>"TRUE,FALSE"</formula1>
    </dataValidation>
    <dataValidation type="list" allowBlank="1" showInputMessage="1" showErrorMessage="1" sqref="D11 P11 L11 H11 T11">
      <formula1>"FOLLOWING,MOD_FOLLOWING,PRECEDING,MOD_PRECEEDING,NO_CHANGE"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3"/>
  </sheetPr>
  <dimension ref="A1:BC126"/>
  <sheetViews>
    <sheetView showGridLines="0" workbookViewId="0"/>
  </sheetViews>
  <sheetFormatPr defaultRowHeight="15" outlineLevelRow="1" outlineLevelCol="1" x14ac:dyDescent="0.25"/>
  <cols>
    <col min="1" max="1" width="4.7109375" customWidth="1"/>
    <col min="2" max="2" width="16" bestFit="1" customWidth="1"/>
    <col min="3" max="3" width="11.140625" customWidth="1"/>
    <col min="4" max="4" width="12.7109375" customWidth="1"/>
    <col min="6" max="6" width="12.7109375" customWidth="1"/>
    <col min="8" max="8" width="10.5703125" customWidth="1"/>
    <col min="9" max="9" width="10" customWidth="1"/>
    <col min="11" max="11" width="11.140625" customWidth="1"/>
    <col min="12" max="12" width="11.42578125" customWidth="1"/>
    <col min="13" max="13" width="4.7109375" customWidth="1"/>
    <col min="14" max="15" width="15.7109375" style="203" hidden="1" customWidth="1" outlineLevel="1"/>
    <col min="16" max="19" width="15.7109375" style="268" hidden="1" customWidth="1" outlineLevel="1"/>
    <col min="20" max="20" width="28.5703125" style="268" hidden="1" customWidth="1" outlineLevel="1"/>
    <col min="21" max="21" width="15.7109375" style="268" hidden="1" customWidth="1" outlineLevel="1"/>
    <col min="22" max="22" width="18.42578125" style="268" hidden="1" customWidth="1" outlineLevel="1"/>
    <col min="23" max="23" width="19" style="268" hidden="1" customWidth="1" outlineLevel="1"/>
    <col min="24" max="24" width="15.7109375" style="268" hidden="1" customWidth="1" outlineLevel="1"/>
    <col min="25" max="25" width="17.42578125" style="268" hidden="1" customWidth="1" outlineLevel="1"/>
    <col min="26" max="29" width="15.7109375" style="268" hidden="1" customWidth="1" outlineLevel="1"/>
    <col min="30" max="30" width="28.140625" style="268" hidden="1" customWidth="1" outlineLevel="1"/>
    <col min="31" max="31" width="15.7109375" style="268" hidden="1" customWidth="1" outlineLevel="1"/>
    <col min="32" max="32" width="18.5703125" style="268" hidden="1" customWidth="1" outlineLevel="1"/>
    <col min="33" max="33" width="16.85546875" style="268" hidden="1" customWidth="1" outlineLevel="1"/>
    <col min="34" max="37" width="15.7109375" style="268" hidden="1" customWidth="1" outlineLevel="1"/>
    <col min="38" max="38" width="18.42578125" style="268" hidden="1" customWidth="1" outlineLevel="1"/>
    <col min="39" max="43" width="15.7109375" style="268" hidden="1" customWidth="1" outlineLevel="1"/>
    <col min="44" max="44" width="4.7109375" hidden="1" customWidth="1" outlineLevel="1"/>
    <col min="45" max="45" width="12.7109375" customWidth="1" collapsed="1"/>
    <col min="46" max="46" width="15.7109375" customWidth="1"/>
    <col min="47" max="48" width="12.7109375" customWidth="1"/>
    <col min="49" max="49" width="4.7109375" customWidth="1"/>
    <col min="50" max="53" width="15.7109375" customWidth="1"/>
    <col min="54" max="54" width="4.7109375" customWidth="1"/>
    <col min="55" max="55" width="9.85546875" bestFit="1" customWidth="1"/>
  </cols>
  <sheetData>
    <row r="1" spans="1:52" x14ac:dyDescent="0.25">
      <c r="A1" s="107"/>
      <c r="AS1" s="194" t="s">
        <v>274</v>
      </c>
    </row>
    <row r="2" spans="1:52" ht="23.25" x14ac:dyDescent="0.35">
      <c r="B2" s="108" t="s">
        <v>245</v>
      </c>
      <c r="AS2" s="109"/>
      <c r="AT2" s="447"/>
      <c r="AU2" s="448"/>
      <c r="AV2" s="173"/>
      <c r="AX2" s="108" t="s">
        <v>244</v>
      </c>
    </row>
    <row r="3" spans="1:52" x14ac:dyDescent="0.25">
      <c r="AS3" s="106"/>
      <c r="AT3" s="449"/>
      <c r="AU3" s="448"/>
      <c r="AV3" s="173"/>
    </row>
    <row r="4" spans="1:52" s="40" customFormat="1" x14ac:dyDescent="0.25">
      <c r="B4" s="40" t="s">
        <v>174</v>
      </c>
      <c r="N4" s="224" t="s">
        <v>282</v>
      </c>
      <c r="O4" s="224"/>
      <c r="P4" s="224"/>
      <c r="Q4" s="269"/>
      <c r="R4" s="269"/>
      <c r="S4" s="269"/>
      <c r="T4" s="269"/>
      <c r="U4" s="269"/>
      <c r="V4" s="269"/>
      <c r="W4" s="269"/>
      <c r="X4" s="269"/>
      <c r="Y4" s="269"/>
      <c r="Z4" s="269"/>
      <c r="AA4" s="269"/>
      <c r="AB4" s="269"/>
      <c r="AC4" s="269"/>
      <c r="AD4" s="269"/>
      <c r="AE4" s="269"/>
      <c r="AF4" s="269"/>
      <c r="AG4" s="269"/>
      <c r="AH4" s="269"/>
      <c r="AI4" s="269"/>
      <c r="AJ4" s="269"/>
      <c r="AK4" s="269"/>
      <c r="AL4" s="269"/>
      <c r="AM4" s="269"/>
      <c r="AN4" s="269"/>
      <c r="AO4" s="269"/>
      <c r="AP4" s="269"/>
      <c r="AQ4" s="269"/>
      <c r="AR4" s="40" t="s">
        <v>4</v>
      </c>
      <c r="AS4" s="201"/>
      <c r="AT4" s="285"/>
      <c r="AU4" s="178"/>
      <c r="AV4" s="178"/>
    </row>
    <row r="5" spans="1:52" ht="33" customHeight="1" x14ac:dyDescent="0.25">
      <c r="B5" s="110" t="s">
        <v>179</v>
      </c>
      <c r="C5" s="111" t="s">
        <v>180</v>
      </c>
      <c r="D5" s="111" t="s">
        <v>175</v>
      </c>
      <c r="E5" s="111" t="s">
        <v>16</v>
      </c>
      <c r="F5" s="111" t="s">
        <v>181</v>
      </c>
      <c r="G5" s="111" t="s">
        <v>182</v>
      </c>
      <c r="H5" s="111" t="s">
        <v>183</v>
      </c>
      <c r="I5" s="111" t="s">
        <v>184</v>
      </c>
      <c r="J5" s="111" t="s">
        <v>185</v>
      </c>
      <c r="K5" s="111" t="s">
        <v>186</v>
      </c>
      <c r="L5" s="111" t="s">
        <v>187</v>
      </c>
      <c r="M5" s="200"/>
      <c r="N5" s="264" t="s">
        <v>175</v>
      </c>
      <c r="O5" s="251" t="s">
        <v>249</v>
      </c>
      <c r="P5" s="251" t="s">
        <v>250</v>
      </c>
      <c r="Q5" s="251" t="s">
        <v>251</v>
      </c>
      <c r="R5" s="251" t="s">
        <v>253</v>
      </c>
      <c r="S5" s="251" t="s">
        <v>254</v>
      </c>
      <c r="T5" s="251" t="s">
        <v>255</v>
      </c>
      <c r="U5" s="251" t="s">
        <v>256</v>
      </c>
      <c r="V5" s="251" t="s">
        <v>283</v>
      </c>
      <c r="W5" s="251" t="s">
        <v>284</v>
      </c>
      <c r="X5" s="251" t="s">
        <v>257</v>
      </c>
      <c r="Y5" s="251" t="s">
        <v>258</v>
      </c>
      <c r="Z5" s="251" t="s">
        <v>259</v>
      </c>
      <c r="AA5" s="251" t="s">
        <v>271</v>
      </c>
      <c r="AB5" s="251" t="s">
        <v>260</v>
      </c>
      <c r="AC5" s="251" t="s">
        <v>261</v>
      </c>
      <c r="AD5" s="251" t="s">
        <v>262</v>
      </c>
      <c r="AE5" s="251" t="s">
        <v>263</v>
      </c>
      <c r="AF5" s="251" t="s">
        <v>285</v>
      </c>
      <c r="AG5" s="251" t="s">
        <v>286</v>
      </c>
      <c r="AH5" s="251" t="s">
        <v>264</v>
      </c>
      <c r="AI5" s="251" t="s">
        <v>265</v>
      </c>
      <c r="AJ5" s="251" t="s">
        <v>266</v>
      </c>
      <c r="AK5" s="251" t="s">
        <v>267</v>
      </c>
      <c r="AL5" s="251" t="s">
        <v>268</v>
      </c>
      <c r="AM5" s="251" t="s">
        <v>270</v>
      </c>
      <c r="AN5" s="251" t="s">
        <v>80</v>
      </c>
      <c r="AO5" s="251" t="s">
        <v>272</v>
      </c>
      <c r="AP5" s="251" t="s">
        <v>269</v>
      </c>
      <c r="AQ5" s="251" t="s">
        <v>252</v>
      </c>
      <c r="AR5" s="284" t="s">
        <v>4</v>
      </c>
      <c r="AS5" s="179" t="s">
        <v>188</v>
      </c>
      <c r="AT5" s="251" t="s">
        <v>189</v>
      </c>
      <c r="AU5" s="251" t="s">
        <v>190</v>
      </c>
      <c r="AV5" s="252" t="s">
        <v>273</v>
      </c>
      <c r="AW5" s="77"/>
      <c r="AX5" s="154" t="str">
        <f t="array" ref="AX5:AY19">'EUR SWAP 3ML'!$H$93:$I$107</f>
        <v>Term</v>
      </c>
      <c r="AY5" s="156" t="str">
        <v>Rate</v>
      </c>
      <c r="AZ5" s="155" t="s">
        <v>194</v>
      </c>
    </row>
    <row r="6" spans="1:52" x14ac:dyDescent="0.25">
      <c r="A6" s="114">
        <v>1</v>
      </c>
      <c r="B6" s="115">
        <f ca="1">IF(OR(D6="",D6=0),"",_xll.meDateFromTenor(COB,C6,$T6,$U6))</f>
        <v>42523</v>
      </c>
      <c r="C6" s="116" t="s">
        <v>191</v>
      </c>
      <c r="D6" s="117">
        <v>1000000</v>
      </c>
      <c r="E6" s="117" t="s">
        <v>17</v>
      </c>
      <c r="F6" s="118" t="s">
        <v>176</v>
      </c>
      <c r="G6" s="119" t="s">
        <v>43</v>
      </c>
      <c r="H6" s="120">
        <v>0.01</v>
      </c>
      <c r="I6" s="166" t="s">
        <v>205</v>
      </c>
      <c r="J6" s="121">
        <v>0</v>
      </c>
      <c r="K6" s="120">
        <v>-2.6099999999999999E-3</v>
      </c>
      <c r="L6" s="119" t="s">
        <v>193</v>
      </c>
      <c r="M6" s="200"/>
      <c r="N6" s="279">
        <f t="shared" ref="N6:N19" si="0">D6</f>
        <v>1000000</v>
      </c>
      <c r="O6" s="127" t="str">
        <f t="shared" ref="O6:O19" si="1">F6</f>
        <v>PAYER</v>
      </c>
      <c r="P6" s="124">
        <f ca="1">B6</f>
        <v>42523</v>
      </c>
      <c r="Q6" s="124" t="str">
        <f>G6</f>
        <v>3Y</v>
      </c>
      <c r="R6" s="122" t="s">
        <v>26</v>
      </c>
      <c r="S6" s="123" t="s">
        <v>20</v>
      </c>
      <c r="T6" s="122" t="s">
        <v>22</v>
      </c>
      <c r="U6" s="122" t="s">
        <v>2</v>
      </c>
      <c r="V6" s="124"/>
      <c r="W6" s="124"/>
      <c r="X6" s="125">
        <f ca="1">IF($B6="","",DAY($B6))</f>
        <v>2</v>
      </c>
      <c r="Y6" s="126" t="s">
        <v>177</v>
      </c>
      <c r="Z6" s="123" t="s">
        <v>178</v>
      </c>
      <c r="AA6" s="127" t="str">
        <f t="shared" ref="AA6:AA19" si="2">$E6&amp;$I6</f>
        <v>EUR3ML</v>
      </c>
      <c r="AB6" s="125" t="str">
        <f>IF($I6="1ML","Monthly",IF($I6="3ML","Quarterly",IF($I6="6ML","Semi-Annual","Annual")))</f>
        <v>Quarterly</v>
      </c>
      <c r="AC6" s="123" t="s">
        <v>6</v>
      </c>
      <c r="AD6" s="122" t="s">
        <v>22</v>
      </c>
      <c r="AE6" s="122" t="s">
        <v>2</v>
      </c>
      <c r="AF6" s="124"/>
      <c r="AG6" s="124"/>
      <c r="AH6" s="125">
        <f ca="1">IF($B6="","",DAY($B6))</f>
        <v>2</v>
      </c>
      <c r="AI6" s="126" t="s">
        <v>177</v>
      </c>
      <c r="AJ6" s="129">
        <f>K6</f>
        <v>-2.6099999999999999E-3</v>
      </c>
      <c r="AK6" s="130"/>
      <c r="AL6" s="126" t="s">
        <v>177</v>
      </c>
      <c r="AM6" s="123" t="s">
        <v>178</v>
      </c>
      <c r="AN6" s="124" t="str">
        <f>E6&amp;"YC"</f>
        <v>EURYC</v>
      </c>
      <c r="AO6" s="127" t="str">
        <f t="shared" ref="AO6:AO19" si="3">LEFT(AN6,3)&amp;"DF_"&amp;L6</f>
        <v>EURDF_NOCSA</v>
      </c>
      <c r="AP6" s="128">
        <f t="shared" ref="AP6:AP19" si="4">J6</f>
        <v>0</v>
      </c>
      <c r="AQ6" s="270">
        <f t="shared" ref="AQ6:AQ19" si="5">H6</f>
        <v>0.01</v>
      </c>
      <c r="AR6" s="284" t="s">
        <v>4</v>
      </c>
      <c r="AS6" s="180">
        <f ca="1">IF(AND(NOW(),isEUR3MLLoaded),IF(OR($D6="",$D6=0),"",_xll.meProductSwapParRate(_xll.meUtilityLVBFromKeysValues($P$5:$AP$5,$P6:$AP6))),"Please Load Yield Curves")</f>
        <v>-2.6499999251703883E-3</v>
      </c>
      <c r="AT6" s="131">
        <f ca="1">IF(AND(NOW(),isEUR3MLLoaded),IF(OR($D6="",$D6=0),"",_xll.meProductSwapPV(_xll.meUtilityLVBFromKeysValues($N$5:$AQ$5,$N6:$AQ6))),"Please Load Yield Curves")</f>
        <v>-38288.48562634868</v>
      </c>
      <c r="AU6" s="131">
        <f ca="1">IF(AND(NOW(),isEUR3MLLoaded),IF(OR($D6="",$D6=0),"",_xll.meProductSwapPV01(_xll.meUtilityLVBFromKeysValues($N$5:$AQ$5,$N6:$AQ6),FALSE)),"Please Load Yield Curves")</f>
        <v>302.67577749280463</v>
      </c>
      <c r="AV6" s="195">
        <f ca="1">IF(AND(NOW(),isEUR3MLLoaded),IF(OR($D6="",$D6=0),"",_xll.meProductSwapDV01(_xll.meUtilityLVBFromKeysValues($N$5:$AQ$5,$N6:$AQ6))),"Please Load Yield Curves")</f>
        <v>294.26635444413353</v>
      </c>
      <c r="AW6" s="77"/>
      <c r="AX6" s="150" t="str">
        <v>3Y</v>
      </c>
      <c r="AY6" s="152">
        <v>-2.65E-3</v>
      </c>
      <c r="AZ6" s="157">
        <f t="shared" ref="AZ6:AZ19" ca="1" si="6">IF(ISNA(VLOOKUP($AX6,$G$6:$AS$19,39,0)),"-",(VLOOKUP($AX6,$G$6:$AS$19,39,0)-AY6)*10000)</f>
        <v>7.4829611691057396E-7</v>
      </c>
    </row>
    <row r="7" spans="1:52" x14ac:dyDescent="0.25">
      <c r="A7" s="114">
        <v>2</v>
      </c>
      <c r="B7" s="132">
        <f ca="1">IF(OR(D7="",D7=0),"",_xll.meDateFromTenor(COB,C7,$T7,$U7))</f>
        <v>42523</v>
      </c>
      <c r="C7" s="133" t="s">
        <v>191</v>
      </c>
      <c r="D7" s="134">
        <v>1000000</v>
      </c>
      <c r="E7" s="134" t="s">
        <v>17</v>
      </c>
      <c r="F7" s="135" t="s">
        <v>176</v>
      </c>
      <c r="G7" s="136" t="s">
        <v>50</v>
      </c>
      <c r="H7" s="137">
        <v>0.01</v>
      </c>
      <c r="I7" s="167" t="s">
        <v>205</v>
      </c>
      <c r="J7" s="138">
        <v>0</v>
      </c>
      <c r="K7" s="137">
        <v>-2.6099999999999999E-3</v>
      </c>
      <c r="L7" s="136" t="s">
        <v>193</v>
      </c>
      <c r="M7" s="200"/>
      <c r="N7" s="280">
        <f t="shared" si="0"/>
        <v>1000000</v>
      </c>
      <c r="O7" s="253" t="str">
        <f t="shared" si="1"/>
        <v>PAYER</v>
      </c>
      <c r="P7" s="256">
        <f t="shared" ref="P7:P19" ca="1" si="7">B7</f>
        <v>42523</v>
      </c>
      <c r="Q7" s="256" t="str">
        <f t="shared" ref="Q7:Q19" si="8">G7</f>
        <v>4Y</v>
      </c>
      <c r="R7" s="250" t="s">
        <v>26</v>
      </c>
      <c r="S7" s="255" t="s">
        <v>20</v>
      </c>
      <c r="T7" s="250" t="s">
        <v>22</v>
      </c>
      <c r="U7" s="250" t="s">
        <v>2</v>
      </c>
      <c r="V7" s="256"/>
      <c r="W7" s="256"/>
      <c r="X7" s="257">
        <f t="shared" ref="X7:X19" ca="1" si="9">IF($B7="","",DAY($B7))</f>
        <v>2</v>
      </c>
      <c r="Y7" s="258" t="s">
        <v>177</v>
      </c>
      <c r="Z7" s="255" t="s">
        <v>178</v>
      </c>
      <c r="AA7" s="253" t="str">
        <f t="shared" si="2"/>
        <v>EUR3ML</v>
      </c>
      <c r="AB7" s="257" t="str">
        <f t="shared" ref="AB7:AB19" si="10">IF($I7="1ML","Monthly",IF($I7="3ML","Quarterly",IF($I7="6ML","Semi-Annual","Annual")))</f>
        <v>Quarterly</v>
      </c>
      <c r="AC7" s="255" t="s">
        <v>6</v>
      </c>
      <c r="AD7" s="250" t="s">
        <v>22</v>
      </c>
      <c r="AE7" s="250" t="s">
        <v>2</v>
      </c>
      <c r="AF7" s="256"/>
      <c r="AG7" s="256"/>
      <c r="AH7" s="257">
        <f t="shared" ref="AH7:AH19" ca="1" si="11">IF($B7="","",DAY($B7))</f>
        <v>2</v>
      </c>
      <c r="AI7" s="258" t="s">
        <v>177</v>
      </c>
      <c r="AJ7" s="259">
        <f t="shared" ref="AJ7:AJ19" si="12">K7</f>
        <v>-2.6099999999999999E-3</v>
      </c>
      <c r="AK7" s="260"/>
      <c r="AL7" s="258" t="s">
        <v>177</v>
      </c>
      <c r="AM7" s="255" t="s">
        <v>178</v>
      </c>
      <c r="AN7" s="256" t="str">
        <f t="shared" ref="AN7:AN19" si="13">E7&amp;"YC"</f>
        <v>EURYC</v>
      </c>
      <c r="AO7" s="253" t="str">
        <f t="shared" si="3"/>
        <v>EURDF_NOCSA</v>
      </c>
      <c r="AP7" s="261">
        <f t="shared" si="4"/>
        <v>0</v>
      </c>
      <c r="AQ7" s="282">
        <f t="shared" si="5"/>
        <v>0.01</v>
      </c>
      <c r="AR7" s="284" t="s">
        <v>4</v>
      </c>
      <c r="AS7" s="181">
        <f ca="1">IF(AND(NOW(),isEUR3MLLoaded),IF(OR($D7="",$D7=0),"",_xll.meProductSwapParRate(_xll.meUtilityLVBFromKeysValues($P$5:$AP$5,$P7:$AP7))),"Please Load Yield Curves")</f>
        <v>-2.0499998907206308E-3</v>
      </c>
      <c r="AT7" s="262">
        <f ca="1">IF(AND(NOW(),isEUR3MLLoaded),IF(OR($D7="",$D7=0),"",_xll.meProductSwapPV(_xll.meUtilityLVBFromKeysValues($N$5:$AQ$5,$N7:$AQ7))),"Please Load Yield Curves")</f>
        <v>-48657.877474850255</v>
      </c>
      <c r="AU7" s="262">
        <f ca="1">IF(AND(NOW(),isEUR3MLLoaded),IF(OR($D7="",$D7=0),"",_xll.meProductSwapPV01(_xll.meUtilityLVBFromKeysValues($N$5:$AQ$5,$N7:$AQ7),FALSE)),"Please Load Yield Curves")</f>
        <v>403.79981673128748</v>
      </c>
      <c r="AV7" s="196">
        <f ca="1">IF(AND(NOW(),isEUR3MLLoaded),IF(OR($D7="",$D7=0),"",_xll.meProductSwapDV01(_xll.meUtilityLVBFromKeysValues($N$5:$AQ$5,$N7:$AQ7))),"Please Load Yield Curves")</f>
        <v>390.36830489935255</v>
      </c>
      <c r="AW7" s="77"/>
      <c r="AX7" s="150" t="str">
        <v>4Y</v>
      </c>
      <c r="AY7" s="152">
        <v>-2.0500000000000002E-3</v>
      </c>
      <c r="AZ7" s="157">
        <f t="shared" ca="1" si="6"/>
        <v>1.0927936940768879E-6</v>
      </c>
    </row>
    <row r="8" spans="1:52" x14ac:dyDescent="0.25">
      <c r="A8" s="114">
        <v>3</v>
      </c>
      <c r="B8" s="132">
        <f ca="1">IF(OR(D8="",D8=0),"",_xll.meDateFromTenor(COB,C8,$T8,$U8))</f>
        <v>42523</v>
      </c>
      <c r="C8" s="140" t="s">
        <v>191</v>
      </c>
      <c r="D8" s="134">
        <v>1000000</v>
      </c>
      <c r="E8" s="134" t="s">
        <v>17</v>
      </c>
      <c r="F8" s="135" t="s">
        <v>176</v>
      </c>
      <c r="G8" s="136" t="s">
        <v>52</v>
      </c>
      <c r="H8" s="137">
        <v>0.01</v>
      </c>
      <c r="I8" s="167" t="s">
        <v>205</v>
      </c>
      <c r="J8" s="138">
        <v>0</v>
      </c>
      <c r="K8" s="137">
        <v>-2.6099999999999999E-3</v>
      </c>
      <c r="L8" s="136" t="s">
        <v>193</v>
      </c>
      <c r="M8" s="200"/>
      <c r="N8" s="280">
        <f t="shared" si="0"/>
        <v>1000000</v>
      </c>
      <c r="O8" s="253" t="str">
        <f t="shared" si="1"/>
        <v>PAYER</v>
      </c>
      <c r="P8" s="256">
        <f t="shared" ca="1" si="7"/>
        <v>42523</v>
      </c>
      <c r="Q8" s="256" t="str">
        <f t="shared" si="8"/>
        <v>5Y</v>
      </c>
      <c r="R8" s="250" t="s">
        <v>26</v>
      </c>
      <c r="S8" s="255" t="s">
        <v>20</v>
      </c>
      <c r="T8" s="250" t="s">
        <v>22</v>
      </c>
      <c r="U8" s="250" t="s">
        <v>2</v>
      </c>
      <c r="V8" s="256"/>
      <c r="W8" s="256"/>
      <c r="X8" s="257">
        <f t="shared" ca="1" si="9"/>
        <v>2</v>
      </c>
      <c r="Y8" s="258" t="s">
        <v>177</v>
      </c>
      <c r="Z8" s="255" t="s">
        <v>178</v>
      </c>
      <c r="AA8" s="253" t="str">
        <f t="shared" si="2"/>
        <v>EUR3ML</v>
      </c>
      <c r="AB8" s="257" t="str">
        <f t="shared" si="10"/>
        <v>Quarterly</v>
      </c>
      <c r="AC8" s="255" t="s">
        <v>6</v>
      </c>
      <c r="AD8" s="250" t="s">
        <v>22</v>
      </c>
      <c r="AE8" s="250" t="s">
        <v>2</v>
      </c>
      <c r="AF8" s="256"/>
      <c r="AG8" s="256"/>
      <c r="AH8" s="257">
        <f t="shared" ca="1" si="11"/>
        <v>2</v>
      </c>
      <c r="AI8" s="258" t="s">
        <v>177</v>
      </c>
      <c r="AJ8" s="259">
        <f t="shared" si="12"/>
        <v>-2.6099999999999999E-3</v>
      </c>
      <c r="AK8" s="260"/>
      <c r="AL8" s="258" t="s">
        <v>177</v>
      </c>
      <c r="AM8" s="255" t="s">
        <v>178</v>
      </c>
      <c r="AN8" s="256" t="str">
        <f t="shared" si="13"/>
        <v>EURYC</v>
      </c>
      <c r="AO8" s="253" t="str">
        <f t="shared" si="3"/>
        <v>EURDF_NOCSA</v>
      </c>
      <c r="AP8" s="261">
        <f t="shared" si="4"/>
        <v>0</v>
      </c>
      <c r="AQ8" s="282">
        <f t="shared" si="5"/>
        <v>0.01</v>
      </c>
      <c r="AR8" s="284" t="s">
        <v>4</v>
      </c>
      <c r="AS8" s="181">
        <f ca="1">IF(AND(NOW(),isEUR3MLLoaded),IF(OR($D8="",$D8=0),"",_xll.meProductSwapParRate(_xll.meUtilityLVBFromKeysValues($P$5:$AP$5,$P8:$AP8))),"Please Load Yield Curves")</f>
        <v>-1.2474998946985522E-3</v>
      </c>
      <c r="AT8" s="262">
        <f ca="1">IF(AND(NOW(),isEUR3MLLoaded),IF(OR($D8="",$D8=0),"",_xll.meProductSwapPV(_xll.meUtilityLVBFromKeysValues($N$5:$AQ$5,$N8:$AQ8))),"Please Load Yield Curves")</f>
        <v>-56821.754712234157</v>
      </c>
      <c r="AU8" s="262">
        <f ca="1">IF(AND(NOW(),isEUR3MLLoaded),IF(OR($D8="",$D8=0),"",_xll.meProductSwapPV01(_xll.meUtilityLVBFromKeysValues($N$5:$AQ$5,$N8:$AQ8),FALSE)),"Please Load Yield Curves")</f>
        <v>505.19453788538783</v>
      </c>
      <c r="AV8" s="196">
        <f ca="1">IF(AND(NOW(),isEUR3MLLoaded),IF(OR($D8="",$D8=0),"",_xll.meProductSwapDV01(_xll.meUtilityLVBFromKeysValues($N$5:$AQ$5,$N8:$AQ8))),"Please Load Yield Curves")</f>
        <v>486.08493155875954</v>
      </c>
      <c r="AW8" s="77"/>
      <c r="AX8" s="150" t="str">
        <v>5Y</v>
      </c>
      <c r="AY8" s="152">
        <v>-1.2475000000000001E-3</v>
      </c>
      <c r="AZ8" s="157">
        <f t="shared" ca="1" si="6"/>
        <v>1.0530144789987206E-6</v>
      </c>
    </row>
    <row r="9" spans="1:52" x14ac:dyDescent="0.25">
      <c r="A9" s="114">
        <v>4</v>
      </c>
      <c r="B9" s="132">
        <f ca="1">IF(OR(D9="",D9=0),"",_xll.meDateFromTenor(COB,C9,$T9,$U9))</f>
        <v>42523</v>
      </c>
      <c r="C9" s="140" t="s">
        <v>191</v>
      </c>
      <c r="D9" s="134">
        <v>1000000</v>
      </c>
      <c r="E9" s="134" t="s">
        <v>17</v>
      </c>
      <c r="F9" s="135" t="s">
        <v>176</v>
      </c>
      <c r="G9" s="136" t="s">
        <v>54</v>
      </c>
      <c r="H9" s="137">
        <v>0.01</v>
      </c>
      <c r="I9" s="167" t="s">
        <v>205</v>
      </c>
      <c r="J9" s="138">
        <v>0</v>
      </c>
      <c r="K9" s="137">
        <v>-2.6099999999999999E-3</v>
      </c>
      <c r="L9" s="136" t="s">
        <v>193</v>
      </c>
      <c r="M9" s="200"/>
      <c r="N9" s="280">
        <f t="shared" si="0"/>
        <v>1000000</v>
      </c>
      <c r="O9" s="253" t="str">
        <f t="shared" si="1"/>
        <v>PAYER</v>
      </c>
      <c r="P9" s="256">
        <f t="shared" ca="1" si="7"/>
        <v>42523</v>
      </c>
      <c r="Q9" s="256" t="str">
        <f t="shared" si="8"/>
        <v>6Y</v>
      </c>
      <c r="R9" s="250" t="s">
        <v>26</v>
      </c>
      <c r="S9" s="255" t="s">
        <v>20</v>
      </c>
      <c r="T9" s="250" t="s">
        <v>22</v>
      </c>
      <c r="U9" s="250" t="s">
        <v>2</v>
      </c>
      <c r="V9" s="256"/>
      <c r="W9" s="256"/>
      <c r="X9" s="257">
        <f t="shared" ca="1" si="9"/>
        <v>2</v>
      </c>
      <c r="Y9" s="258" t="s">
        <v>177</v>
      </c>
      <c r="Z9" s="255" t="s">
        <v>178</v>
      </c>
      <c r="AA9" s="253" t="str">
        <f t="shared" si="2"/>
        <v>EUR3ML</v>
      </c>
      <c r="AB9" s="257" t="str">
        <f t="shared" si="10"/>
        <v>Quarterly</v>
      </c>
      <c r="AC9" s="255" t="s">
        <v>6</v>
      </c>
      <c r="AD9" s="250" t="s">
        <v>22</v>
      </c>
      <c r="AE9" s="250" t="s">
        <v>2</v>
      </c>
      <c r="AF9" s="256"/>
      <c r="AG9" s="256"/>
      <c r="AH9" s="257">
        <f t="shared" ca="1" si="11"/>
        <v>2</v>
      </c>
      <c r="AI9" s="258" t="s">
        <v>177</v>
      </c>
      <c r="AJ9" s="259">
        <f t="shared" si="12"/>
        <v>-2.6099999999999999E-3</v>
      </c>
      <c r="AK9" s="260"/>
      <c r="AL9" s="258" t="s">
        <v>177</v>
      </c>
      <c r="AM9" s="255" t="s">
        <v>178</v>
      </c>
      <c r="AN9" s="256" t="str">
        <f t="shared" si="13"/>
        <v>EURYC</v>
      </c>
      <c r="AO9" s="253" t="str">
        <f t="shared" si="3"/>
        <v>EURDF_NOCSA</v>
      </c>
      <c r="AP9" s="261">
        <f t="shared" si="4"/>
        <v>0</v>
      </c>
      <c r="AQ9" s="282">
        <f t="shared" si="5"/>
        <v>0.01</v>
      </c>
      <c r="AR9" s="284" t="s">
        <v>4</v>
      </c>
      <c r="AS9" s="181">
        <f ca="1">IF(AND(NOW(),isEUR3MLLoaded),IF(OR($D9="",$D9=0),"",_xll.meProductSwapParRate(_xll.meUtilityLVBFromKeysValues($P$5:$AP$5,$P9:$AP9))),"Please Load Yield Curves")</f>
        <v>-2.4749986798595431E-4</v>
      </c>
      <c r="AT9" s="262">
        <f ca="1">IF(AND(NOW(),isEUR3MLLoaded),IF(OR($D9="",$D9=0),"",_xll.meProductSwapPV(_xll.meUtilityLVBFromKeysValues($N$5:$AQ$5,$N9:$AQ9))),"Please Load Yield Curves")</f>
        <v>-62128.551368103123</v>
      </c>
      <c r="AU9" s="262">
        <f ca="1">IF(AND(NOW(),isEUR3MLLoaded),IF(OR($D9="",$D9=0),"",_xll.meProductSwapPV01(_xll.meUtilityLVBFromKeysValues($N$5:$AQ$5,$N9:$AQ9),FALSE)),"Please Load Yield Curves")</f>
        <v>606.28008947038791</v>
      </c>
      <c r="AV9" s="196">
        <f ca="1">IF(AND(NOW(),isEUR3MLLoaded),IF(OR($D9="",$D9=0),"",_xll.meProductSwapDV01(_xll.meUtilityLVBFromKeysValues($N$5:$AQ$5,$N9:$AQ9))),"Please Load Yield Curves")</f>
        <v>581.42629548651098</v>
      </c>
      <c r="AW9" s="77"/>
      <c r="AX9" s="150" t="str">
        <v>6Y</v>
      </c>
      <c r="AY9" s="152">
        <v>-2.4750000000000011E-4</v>
      </c>
      <c r="AZ9" s="157">
        <f t="shared" ca="1" si="6"/>
        <v>1.3201404579958956E-6</v>
      </c>
    </row>
    <row r="10" spans="1:52" x14ac:dyDescent="0.25">
      <c r="A10" s="114">
        <v>5</v>
      </c>
      <c r="B10" s="132">
        <f ca="1">IF(OR(D10="",D10=0),"",_xll.meDateFromTenor(COB,C10,$T10,$U10))</f>
        <v>42523</v>
      </c>
      <c r="C10" s="140" t="s">
        <v>191</v>
      </c>
      <c r="D10" s="134">
        <v>1000000</v>
      </c>
      <c r="E10" s="134" t="s">
        <v>17</v>
      </c>
      <c r="F10" s="135" t="s">
        <v>176</v>
      </c>
      <c r="G10" s="136" t="s">
        <v>55</v>
      </c>
      <c r="H10" s="137">
        <v>0.01</v>
      </c>
      <c r="I10" s="167" t="s">
        <v>205</v>
      </c>
      <c r="J10" s="138">
        <v>0</v>
      </c>
      <c r="K10" s="137">
        <v>-2.6099999999999999E-3</v>
      </c>
      <c r="L10" s="136" t="s">
        <v>193</v>
      </c>
      <c r="M10" s="200"/>
      <c r="N10" s="280">
        <f t="shared" si="0"/>
        <v>1000000</v>
      </c>
      <c r="O10" s="253" t="str">
        <f t="shared" si="1"/>
        <v>PAYER</v>
      </c>
      <c r="P10" s="256">
        <f t="shared" ca="1" si="7"/>
        <v>42523</v>
      </c>
      <c r="Q10" s="256" t="str">
        <f t="shared" si="8"/>
        <v>7Y</v>
      </c>
      <c r="R10" s="250" t="s">
        <v>26</v>
      </c>
      <c r="S10" s="255" t="s">
        <v>20</v>
      </c>
      <c r="T10" s="250" t="s">
        <v>22</v>
      </c>
      <c r="U10" s="250" t="s">
        <v>2</v>
      </c>
      <c r="V10" s="256"/>
      <c r="W10" s="256"/>
      <c r="X10" s="257">
        <f t="shared" ca="1" si="9"/>
        <v>2</v>
      </c>
      <c r="Y10" s="258" t="s">
        <v>177</v>
      </c>
      <c r="Z10" s="255" t="s">
        <v>178</v>
      </c>
      <c r="AA10" s="253" t="str">
        <f t="shared" si="2"/>
        <v>EUR3ML</v>
      </c>
      <c r="AB10" s="257" t="str">
        <f t="shared" si="10"/>
        <v>Quarterly</v>
      </c>
      <c r="AC10" s="255" t="s">
        <v>6</v>
      </c>
      <c r="AD10" s="250" t="s">
        <v>22</v>
      </c>
      <c r="AE10" s="250" t="s">
        <v>2</v>
      </c>
      <c r="AF10" s="256"/>
      <c r="AG10" s="256"/>
      <c r="AH10" s="257">
        <f t="shared" ca="1" si="11"/>
        <v>2</v>
      </c>
      <c r="AI10" s="258" t="s">
        <v>177</v>
      </c>
      <c r="AJ10" s="259">
        <f t="shared" si="12"/>
        <v>-2.6099999999999999E-3</v>
      </c>
      <c r="AK10" s="260"/>
      <c r="AL10" s="258" t="s">
        <v>177</v>
      </c>
      <c r="AM10" s="255" t="s">
        <v>178</v>
      </c>
      <c r="AN10" s="256" t="str">
        <f t="shared" si="13"/>
        <v>EURYC</v>
      </c>
      <c r="AO10" s="253" t="str">
        <f t="shared" si="3"/>
        <v>EURDF_NOCSA</v>
      </c>
      <c r="AP10" s="261">
        <f t="shared" si="4"/>
        <v>0</v>
      </c>
      <c r="AQ10" s="282">
        <f t="shared" si="5"/>
        <v>0.01</v>
      </c>
      <c r="AR10" s="284" t="s">
        <v>4</v>
      </c>
      <c r="AS10" s="181">
        <f ca="1">IF(AND(NOW(),isEUR3MLLoaded),IF(OR($D10="",$D10=0),"",_xll.meProductSwapParRate(_xll.meUtilityLVBFromKeysValues($P$5:$AP$5,$P10:$AP10))),"Please Load Yield Curves")</f>
        <v>9.0249947199434299E-4</v>
      </c>
      <c r="AT10" s="262">
        <f ca="1">IF(AND(NOW(),isEUR3MLLoaded),IF(OR($D10="",$D10=0),"",_xll.meProductSwapPV(_xll.meUtilityLVBFromKeysValues($N$5:$AQ$5,$N10:$AQ10))),"Please Load Yield Curves")</f>
        <v>-64296.939413531429</v>
      </c>
      <c r="AU10" s="262">
        <f ca="1">IF(AND(NOW(),isEUR3MLLoaded),IF(OR($D10="",$D10=0),"",_xll.meProductSwapPV01(_xll.meUtilityLVBFromKeysValues($N$5:$AQ$5,$N10:$AQ10),FALSE)),"Please Load Yield Curves")</f>
        <v>706.75389592559361</v>
      </c>
      <c r="AV10" s="196">
        <f ca="1">IF(AND(NOW(),isEUR3MLLoaded),IF(OR($D10="",$D10=0),"",_xll.meProductSwapDV01(_xll.meUtilityLVBFromKeysValues($N$5:$AQ$5,$N10:$AQ10))),"Please Load Yield Curves")</f>
        <v>676.79842471248412</v>
      </c>
      <c r="AW10" s="77"/>
      <c r="AX10" s="150" t="str">
        <v>7Y</v>
      </c>
      <c r="AY10" s="152">
        <v>9.0249999999999966E-4</v>
      </c>
      <c r="AZ10" s="157">
        <f t="shared" ca="1" si="6"/>
        <v>-5.2800565666661498E-6</v>
      </c>
    </row>
    <row r="11" spans="1:52" x14ac:dyDescent="0.25">
      <c r="A11" s="114">
        <v>6</v>
      </c>
      <c r="B11" s="132">
        <f ca="1">IF(OR(D11="",D11=0),"",_xll.meDateFromTenor(COB,C11,$T11,$U11))</f>
        <v>42523</v>
      </c>
      <c r="C11" s="140" t="s">
        <v>191</v>
      </c>
      <c r="D11" s="134">
        <v>1000000</v>
      </c>
      <c r="E11" s="134" t="s">
        <v>17</v>
      </c>
      <c r="F11" s="135" t="s">
        <v>176</v>
      </c>
      <c r="G11" s="136" t="s">
        <v>57</v>
      </c>
      <c r="H11" s="137">
        <v>0.01</v>
      </c>
      <c r="I11" s="167" t="s">
        <v>205</v>
      </c>
      <c r="J11" s="138">
        <v>0</v>
      </c>
      <c r="K11" s="137">
        <v>-2.6099999999999999E-3</v>
      </c>
      <c r="L11" s="136" t="s">
        <v>193</v>
      </c>
      <c r="M11" s="200"/>
      <c r="N11" s="280">
        <f t="shared" si="0"/>
        <v>1000000</v>
      </c>
      <c r="O11" s="253" t="str">
        <f t="shared" si="1"/>
        <v>PAYER</v>
      </c>
      <c r="P11" s="256">
        <f t="shared" ca="1" si="7"/>
        <v>42523</v>
      </c>
      <c r="Q11" s="256" t="str">
        <f t="shared" si="8"/>
        <v>8Y</v>
      </c>
      <c r="R11" s="250" t="s">
        <v>26</v>
      </c>
      <c r="S11" s="255" t="s">
        <v>20</v>
      </c>
      <c r="T11" s="250" t="s">
        <v>22</v>
      </c>
      <c r="U11" s="250" t="s">
        <v>2</v>
      </c>
      <c r="V11" s="256"/>
      <c r="W11" s="256"/>
      <c r="X11" s="257">
        <f t="shared" ca="1" si="9"/>
        <v>2</v>
      </c>
      <c r="Y11" s="258" t="s">
        <v>177</v>
      </c>
      <c r="Z11" s="255" t="s">
        <v>178</v>
      </c>
      <c r="AA11" s="253" t="str">
        <f t="shared" si="2"/>
        <v>EUR3ML</v>
      </c>
      <c r="AB11" s="257" t="str">
        <f t="shared" si="10"/>
        <v>Quarterly</v>
      </c>
      <c r="AC11" s="255" t="s">
        <v>6</v>
      </c>
      <c r="AD11" s="250" t="s">
        <v>22</v>
      </c>
      <c r="AE11" s="250" t="s">
        <v>2</v>
      </c>
      <c r="AF11" s="256"/>
      <c r="AG11" s="256"/>
      <c r="AH11" s="257">
        <f t="shared" ca="1" si="11"/>
        <v>2</v>
      </c>
      <c r="AI11" s="258" t="s">
        <v>177</v>
      </c>
      <c r="AJ11" s="259">
        <f t="shared" si="12"/>
        <v>-2.6099999999999999E-3</v>
      </c>
      <c r="AK11" s="260"/>
      <c r="AL11" s="258" t="s">
        <v>177</v>
      </c>
      <c r="AM11" s="255" t="s">
        <v>178</v>
      </c>
      <c r="AN11" s="256" t="str">
        <f t="shared" si="13"/>
        <v>EURYC</v>
      </c>
      <c r="AO11" s="253" t="str">
        <f t="shared" si="3"/>
        <v>EURDF_NOCSA</v>
      </c>
      <c r="AP11" s="261">
        <f t="shared" si="4"/>
        <v>0</v>
      </c>
      <c r="AQ11" s="282">
        <f t="shared" si="5"/>
        <v>0.01</v>
      </c>
      <c r="AR11" s="284" t="s">
        <v>4</v>
      </c>
      <c r="AS11" s="181">
        <f ca="1">IF(AND(NOW(),isEUR3MLLoaded),IF(OR($D11="",$D11=0),"",_xll.meProductSwapParRate(_xll.meUtilityLVBFromKeysValues($P$5:$AP$5,$P11:$AP11))),"Please Load Yield Curves")</f>
        <v>2.1274998002625083E-3</v>
      </c>
      <c r="AT11" s="262">
        <f ca="1">IF(AND(NOW(),isEUR3MLLoaded),IF(OR($D11="",$D11=0),"",_xll.meProductSwapPV(_xll.meUtilityLVBFromKeysValues($N$5:$AQ$5,$N11:$AQ11))),"Please Load Yield Curves")</f>
        <v>-63497.949625786394</v>
      </c>
      <c r="AU11" s="262">
        <f ca="1">IF(AND(NOW(),isEUR3MLLoaded),IF(OR($D11="",$D11=0),"",_xll.meProductSwapPV01(_xll.meUtilityLVBFromKeysValues($N$5:$AQ$5,$N11:$AQ11),FALSE)),"Please Load Yield Curves")</f>
        <v>806.57920628447516</v>
      </c>
      <c r="AV11" s="196">
        <f ca="1">IF(AND(NOW(),isEUR3MLLoaded),IF(OR($D11="",$D11=0),"",_xll.meProductSwapDV01(_xll.meUtilityLVBFromKeysValues($N$5:$AQ$5,$N11:$AQ11))),"Please Load Yield Curves")</f>
        <v>772.78290494805844</v>
      </c>
      <c r="AW11" s="77"/>
      <c r="AX11" s="150" t="str">
        <v>8Y</v>
      </c>
      <c r="AY11" s="152">
        <v>2.1275000000000001E-3</v>
      </c>
      <c r="AZ11" s="157">
        <f t="shared" ca="1" si="6"/>
        <v>-1.9973749173715638E-6</v>
      </c>
    </row>
    <row r="12" spans="1:52" x14ac:dyDescent="0.25">
      <c r="A12" s="114">
        <v>7</v>
      </c>
      <c r="B12" s="132">
        <f ca="1">IF(OR(D12="",D12=0),"",_xll.meDateFromTenor(COB,C12,$T12,$U12))</f>
        <v>42523</v>
      </c>
      <c r="C12" s="140" t="s">
        <v>191</v>
      </c>
      <c r="D12" s="134">
        <v>1000000</v>
      </c>
      <c r="E12" s="134" t="s">
        <v>17</v>
      </c>
      <c r="F12" s="135" t="s">
        <v>176</v>
      </c>
      <c r="G12" s="136" t="s">
        <v>59</v>
      </c>
      <c r="H12" s="137">
        <v>0.01</v>
      </c>
      <c r="I12" s="167" t="s">
        <v>205</v>
      </c>
      <c r="J12" s="138">
        <v>0</v>
      </c>
      <c r="K12" s="137">
        <v>-2.6099999999999999E-3</v>
      </c>
      <c r="L12" s="136" t="s">
        <v>193</v>
      </c>
      <c r="M12" s="200"/>
      <c r="N12" s="280">
        <f t="shared" si="0"/>
        <v>1000000</v>
      </c>
      <c r="O12" s="253" t="str">
        <f t="shared" si="1"/>
        <v>PAYER</v>
      </c>
      <c r="P12" s="256">
        <f t="shared" ca="1" si="7"/>
        <v>42523</v>
      </c>
      <c r="Q12" s="256" t="str">
        <f t="shared" si="8"/>
        <v>9Y</v>
      </c>
      <c r="R12" s="250" t="s">
        <v>26</v>
      </c>
      <c r="S12" s="255" t="s">
        <v>20</v>
      </c>
      <c r="T12" s="250" t="s">
        <v>22</v>
      </c>
      <c r="U12" s="250" t="s">
        <v>2</v>
      </c>
      <c r="V12" s="256"/>
      <c r="W12" s="256"/>
      <c r="X12" s="257">
        <f t="shared" ca="1" si="9"/>
        <v>2</v>
      </c>
      <c r="Y12" s="258" t="s">
        <v>177</v>
      </c>
      <c r="Z12" s="255" t="s">
        <v>178</v>
      </c>
      <c r="AA12" s="253" t="str">
        <f t="shared" si="2"/>
        <v>EUR3ML</v>
      </c>
      <c r="AB12" s="257" t="str">
        <f t="shared" si="10"/>
        <v>Quarterly</v>
      </c>
      <c r="AC12" s="255" t="s">
        <v>6</v>
      </c>
      <c r="AD12" s="250" t="s">
        <v>22</v>
      </c>
      <c r="AE12" s="250" t="s">
        <v>2</v>
      </c>
      <c r="AF12" s="256"/>
      <c r="AG12" s="256"/>
      <c r="AH12" s="257">
        <f t="shared" ca="1" si="11"/>
        <v>2</v>
      </c>
      <c r="AI12" s="258" t="s">
        <v>177</v>
      </c>
      <c r="AJ12" s="259">
        <f t="shared" si="12"/>
        <v>-2.6099999999999999E-3</v>
      </c>
      <c r="AK12" s="260"/>
      <c r="AL12" s="258" t="s">
        <v>177</v>
      </c>
      <c r="AM12" s="255" t="s">
        <v>178</v>
      </c>
      <c r="AN12" s="256" t="str">
        <f t="shared" si="13"/>
        <v>EURYC</v>
      </c>
      <c r="AO12" s="253" t="str">
        <f t="shared" si="3"/>
        <v>EURDF_NOCSA</v>
      </c>
      <c r="AP12" s="261">
        <f t="shared" si="4"/>
        <v>0</v>
      </c>
      <c r="AQ12" s="282">
        <f t="shared" si="5"/>
        <v>0.01</v>
      </c>
      <c r="AR12" s="284" t="s">
        <v>4</v>
      </c>
      <c r="AS12" s="181">
        <f ca="1">IF(AND(NOW(),isEUR3MLLoaded),IF(OR($D12="",$D12=0),"",_xll.meProductSwapParRate(_xll.meUtilityLVBFromKeysValues($P$5:$AP$5,$P12:$AP12))),"Please Load Yield Curves")</f>
        <v>3.3225006881147062E-3</v>
      </c>
      <c r="AT12" s="262">
        <f ca="1">IF(AND(NOW(),isEUR3MLLoaded),IF(OR($D12="",$D12=0),"",_xll.meProductSwapPV(_xll.meUtilityLVBFromKeysValues($N$5:$AQ$5,$N12:$AQ12))),"Please Load Yield Curves")</f>
        <v>-60411.661270002529</v>
      </c>
      <c r="AU12" s="262">
        <f ca="1">IF(AND(NOW(),isEUR3MLLoaded),IF(OR($D12="",$D12=0),"",_xll.meProductSwapPV01(_xll.meUtilityLVBFromKeysValues($N$5:$AQ$5,$N12:$AQ12),FALSE)),"Please Load Yield Curves")</f>
        <v>904.70485880914498</v>
      </c>
      <c r="AV12" s="196">
        <f ca="1">IF(AND(NOW(),isEUR3MLLoaded),IF(OR($D12="",$D12=0),"",_xll.meProductSwapDV01(_xll.meUtilityLVBFromKeysValues($N$5:$AQ$5,$N12:$AQ12))),"Please Load Yield Curves")</f>
        <v>868.65873727088342</v>
      </c>
      <c r="AW12" s="77"/>
      <c r="AX12" s="150" t="str">
        <v>9Y</v>
      </c>
      <c r="AY12" s="152">
        <v>3.3224999999999999E-3</v>
      </c>
      <c r="AZ12" s="157">
        <f t="shared" ca="1" si="6"/>
        <v>6.8811470627441751E-6</v>
      </c>
    </row>
    <row r="13" spans="1:52" x14ac:dyDescent="0.25">
      <c r="A13" s="114">
        <v>8</v>
      </c>
      <c r="B13" s="132">
        <f ca="1">IF(OR(D13="",D13=0),"",_xll.meDateFromTenor(COB,C13,$T13,$U13))</f>
        <v>42523</v>
      </c>
      <c r="C13" s="140" t="s">
        <v>191</v>
      </c>
      <c r="D13" s="134">
        <v>1000000</v>
      </c>
      <c r="E13" s="134" t="s">
        <v>17</v>
      </c>
      <c r="F13" s="135" t="s">
        <v>176</v>
      </c>
      <c r="G13" s="136" t="s">
        <v>60</v>
      </c>
      <c r="H13" s="137">
        <v>0.01</v>
      </c>
      <c r="I13" s="167" t="s">
        <v>205</v>
      </c>
      <c r="J13" s="138">
        <v>0</v>
      </c>
      <c r="K13" s="137">
        <v>-2.6099999999999999E-3</v>
      </c>
      <c r="L13" s="136" t="s">
        <v>193</v>
      </c>
      <c r="M13" s="200"/>
      <c r="N13" s="280">
        <f t="shared" si="0"/>
        <v>1000000</v>
      </c>
      <c r="O13" s="253" t="str">
        <f t="shared" si="1"/>
        <v>PAYER</v>
      </c>
      <c r="P13" s="256">
        <f t="shared" ca="1" si="7"/>
        <v>42523</v>
      </c>
      <c r="Q13" s="256" t="str">
        <f t="shared" si="8"/>
        <v>10Y</v>
      </c>
      <c r="R13" s="250" t="s">
        <v>26</v>
      </c>
      <c r="S13" s="255" t="s">
        <v>20</v>
      </c>
      <c r="T13" s="250" t="s">
        <v>22</v>
      </c>
      <c r="U13" s="250" t="s">
        <v>2</v>
      </c>
      <c r="V13" s="256"/>
      <c r="W13" s="256"/>
      <c r="X13" s="257">
        <f t="shared" ca="1" si="9"/>
        <v>2</v>
      </c>
      <c r="Y13" s="258" t="s">
        <v>177</v>
      </c>
      <c r="Z13" s="255" t="s">
        <v>178</v>
      </c>
      <c r="AA13" s="253" t="str">
        <f t="shared" si="2"/>
        <v>EUR3ML</v>
      </c>
      <c r="AB13" s="257" t="str">
        <f t="shared" si="10"/>
        <v>Quarterly</v>
      </c>
      <c r="AC13" s="255" t="s">
        <v>6</v>
      </c>
      <c r="AD13" s="250" t="s">
        <v>22</v>
      </c>
      <c r="AE13" s="250" t="s">
        <v>2</v>
      </c>
      <c r="AF13" s="256"/>
      <c r="AG13" s="256"/>
      <c r="AH13" s="257">
        <f t="shared" ca="1" si="11"/>
        <v>2</v>
      </c>
      <c r="AI13" s="258" t="s">
        <v>177</v>
      </c>
      <c r="AJ13" s="259">
        <f t="shared" si="12"/>
        <v>-2.6099999999999999E-3</v>
      </c>
      <c r="AK13" s="260"/>
      <c r="AL13" s="258" t="s">
        <v>177</v>
      </c>
      <c r="AM13" s="255" t="s">
        <v>178</v>
      </c>
      <c r="AN13" s="256" t="str">
        <f t="shared" si="13"/>
        <v>EURYC</v>
      </c>
      <c r="AO13" s="253" t="str">
        <f t="shared" si="3"/>
        <v>EURDF_NOCSA</v>
      </c>
      <c r="AP13" s="261">
        <f t="shared" si="4"/>
        <v>0</v>
      </c>
      <c r="AQ13" s="282">
        <f t="shared" si="5"/>
        <v>0.01</v>
      </c>
      <c r="AR13" s="284" t="s">
        <v>4</v>
      </c>
      <c r="AS13" s="181">
        <f ca="1">IF(AND(NOW(),isEUR3MLLoaded),IF(OR($D13="",$D13=0),"",_xll.meProductSwapParRate(_xll.meUtilityLVBFromKeysValues($P$5:$AP$5,$P13:$AP13))),"Please Load Yield Curves")</f>
        <v>4.4425001857765264E-3</v>
      </c>
      <c r="AT13" s="262">
        <f ca="1">IF(AND(NOW(),isEUR3MLLoaded),IF(OR($D13="",$D13=0),"",_xll.meProductSwapPV(_xll.meUtilityLVBFromKeysValues($N$5:$AQ$5,$N13:$AQ13))),"Please Load Yield Curves")</f>
        <v>-55676.141883974298</v>
      </c>
      <c r="AU13" s="262">
        <f ca="1">IF(AND(NOW(),isEUR3MLLoaded),IF(OR($D13="",$D13=0),"",_xll.meProductSwapPV01(_xll.meUtilityLVBFromKeysValues($N$5:$AQ$5,$N13:$AQ13),FALSE)),"Please Load Yield Curves")</f>
        <v>1001.8200243953131</v>
      </c>
      <c r="AV13" s="196">
        <f ca="1">IF(AND(NOW(),isEUR3MLLoaded),IF(OR($D13="",$D13=0),"",_xll.meProductSwapDV01(_xll.meUtilityLVBFromKeysValues($N$5:$AQ$5,$N13:$AQ13))),"Please Load Yield Curves")</f>
        <v>965.12308798324182</v>
      </c>
      <c r="AW13" s="77"/>
      <c r="AX13" s="150" t="str">
        <v>10Y</v>
      </c>
      <c r="AY13" s="152">
        <v>4.4425000000000003E-3</v>
      </c>
      <c r="AZ13" s="157">
        <f t="shared" ca="1" si="6"/>
        <v>1.8577652610707318E-6</v>
      </c>
    </row>
    <row r="14" spans="1:52" x14ac:dyDescent="0.25">
      <c r="A14" s="114">
        <v>9</v>
      </c>
      <c r="B14" s="132">
        <f ca="1">IF(OR(D14="",D14=0),"",_xll.meDateFromTenor(COB,C14,$T14,$U14))</f>
        <v>42523</v>
      </c>
      <c r="C14" s="140" t="s">
        <v>191</v>
      </c>
      <c r="D14" s="134">
        <v>1000000</v>
      </c>
      <c r="E14" s="134" t="s">
        <v>17</v>
      </c>
      <c r="F14" s="135" t="s">
        <v>176</v>
      </c>
      <c r="G14" s="136" t="s">
        <v>61</v>
      </c>
      <c r="H14" s="137">
        <v>0.01</v>
      </c>
      <c r="I14" s="167" t="s">
        <v>205</v>
      </c>
      <c r="J14" s="138">
        <v>0</v>
      </c>
      <c r="K14" s="137">
        <v>-2.6099999999999999E-3</v>
      </c>
      <c r="L14" s="136" t="s">
        <v>193</v>
      </c>
      <c r="M14" s="200"/>
      <c r="N14" s="280">
        <f t="shared" si="0"/>
        <v>1000000</v>
      </c>
      <c r="O14" s="253" t="str">
        <f t="shared" si="1"/>
        <v>PAYER</v>
      </c>
      <c r="P14" s="256">
        <f t="shared" ca="1" si="7"/>
        <v>42523</v>
      </c>
      <c r="Q14" s="256" t="str">
        <f t="shared" si="8"/>
        <v>11Y</v>
      </c>
      <c r="R14" s="250" t="s">
        <v>26</v>
      </c>
      <c r="S14" s="255" t="s">
        <v>20</v>
      </c>
      <c r="T14" s="250" t="s">
        <v>22</v>
      </c>
      <c r="U14" s="250" t="s">
        <v>2</v>
      </c>
      <c r="V14" s="256"/>
      <c r="W14" s="256"/>
      <c r="X14" s="257">
        <f t="shared" ca="1" si="9"/>
        <v>2</v>
      </c>
      <c r="Y14" s="258" t="s">
        <v>177</v>
      </c>
      <c r="Z14" s="255" t="s">
        <v>178</v>
      </c>
      <c r="AA14" s="253" t="str">
        <f t="shared" si="2"/>
        <v>EUR3ML</v>
      </c>
      <c r="AB14" s="257" t="str">
        <f t="shared" si="10"/>
        <v>Quarterly</v>
      </c>
      <c r="AC14" s="255" t="s">
        <v>6</v>
      </c>
      <c r="AD14" s="250" t="s">
        <v>22</v>
      </c>
      <c r="AE14" s="250" t="s">
        <v>2</v>
      </c>
      <c r="AF14" s="256"/>
      <c r="AG14" s="256"/>
      <c r="AH14" s="257">
        <f t="shared" ca="1" si="11"/>
        <v>2</v>
      </c>
      <c r="AI14" s="258" t="s">
        <v>177</v>
      </c>
      <c r="AJ14" s="259">
        <f t="shared" si="12"/>
        <v>-2.6099999999999999E-3</v>
      </c>
      <c r="AK14" s="260"/>
      <c r="AL14" s="258" t="s">
        <v>177</v>
      </c>
      <c r="AM14" s="255" t="s">
        <v>178</v>
      </c>
      <c r="AN14" s="256" t="str">
        <f t="shared" si="13"/>
        <v>EURYC</v>
      </c>
      <c r="AO14" s="253" t="str">
        <f t="shared" si="3"/>
        <v>EURDF_NOCSA</v>
      </c>
      <c r="AP14" s="261">
        <f t="shared" si="4"/>
        <v>0</v>
      </c>
      <c r="AQ14" s="282">
        <f t="shared" si="5"/>
        <v>0.01</v>
      </c>
      <c r="AR14" s="284" t="s">
        <v>4</v>
      </c>
      <c r="AS14" s="181">
        <f ca="1">IF(AND(NOW(),isEUR3MLLoaded),IF(OR($D14="",$D14=0),"",_xll.meProductSwapParRate(_xll.meUtilityLVBFromKeysValues($P$5:$AP$5,$P14:$AP14))),"Please Load Yield Curves")</f>
        <v>5.4333403380909017E-3</v>
      </c>
      <c r="AT14" s="262">
        <f ca="1">IF(AND(NOW(),isEUR3MLLoaded),IF(OR($D14="",$D14=0),"",_xll.meProductSwapPV(_xll.meUtilityLVBFromKeysValues($N$5:$AQ$5,$N14:$AQ14))),"Please Load Yield Curves")</f>
        <v>-50119.916961791343</v>
      </c>
      <c r="AU14" s="262">
        <f ca="1">IF(AND(NOW(),isEUR3MLLoaded),IF(OR($D14="",$D14=0),"",_xll.meProductSwapPV01(_xll.meUtilityLVBFromKeysValues($N$5:$AQ$5,$N14:$AQ14),FALSE)),"Please Load Yield Curves")</f>
        <v>1097.5181132906814</v>
      </c>
      <c r="AV14" s="196">
        <f ca="1">IF(AND(NOW(),isEUR3MLLoaded),IF(OR($D14="",$D14=0),"",_xll.meProductSwapDV01(_xll.meUtilityLVBFromKeysValues($N$5:$AQ$5,$N14:$AQ14))),"Please Load Yield Curves")</f>
        <v>1061.4952877031151</v>
      </c>
      <c r="AW14" s="77"/>
      <c r="AX14" s="150" t="str">
        <v>11Y</v>
      </c>
      <c r="AY14" s="152">
        <v>5.43334E-3</v>
      </c>
      <c r="AZ14" s="157">
        <f t="shared" ca="1" si="6"/>
        <v>3.3809090162900679E-6</v>
      </c>
    </row>
    <row r="15" spans="1:52" x14ac:dyDescent="0.25">
      <c r="A15" s="114">
        <v>10</v>
      </c>
      <c r="B15" s="132">
        <f ca="1">IF(OR(D15="",D15=0),"",_xll.meDateFromTenor(COB,C15,$T15,$U15))</f>
        <v>42523</v>
      </c>
      <c r="C15" s="140" t="s">
        <v>191</v>
      </c>
      <c r="D15" s="134">
        <v>1000000</v>
      </c>
      <c r="E15" s="134" t="s">
        <v>17</v>
      </c>
      <c r="F15" s="135" t="s">
        <v>176</v>
      </c>
      <c r="G15" s="136" t="s">
        <v>62</v>
      </c>
      <c r="H15" s="137">
        <v>0.01</v>
      </c>
      <c r="I15" s="167" t="s">
        <v>205</v>
      </c>
      <c r="J15" s="138">
        <v>0</v>
      </c>
      <c r="K15" s="137">
        <v>-2.6099999999999999E-3</v>
      </c>
      <c r="L15" s="136" t="s">
        <v>193</v>
      </c>
      <c r="M15" s="200"/>
      <c r="N15" s="280">
        <f t="shared" si="0"/>
        <v>1000000</v>
      </c>
      <c r="O15" s="253" t="str">
        <f t="shared" si="1"/>
        <v>PAYER</v>
      </c>
      <c r="P15" s="256">
        <f t="shared" ca="1" si="7"/>
        <v>42523</v>
      </c>
      <c r="Q15" s="256" t="str">
        <f t="shared" si="8"/>
        <v>12Y</v>
      </c>
      <c r="R15" s="250" t="s">
        <v>26</v>
      </c>
      <c r="S15" s="255" t="s">
        <v>20</v>
      </c>
      <c r="T15" s="250" t="s">
        <v>22</v>
      </c>
      <c r="U15" s="250" t="s">
        <v>2</v>
      </c>
      <c r="V15" s="256"/>
      <c r="W15" s="256"/>
      <c r="X15" s="257">
        <f t="shared" ca="1" si="9"/>
        <v>2</v>
      </c>
      <c r="Y15" s="258" t="s">
        <v>177</v>
      </c>
      <c r="Z15" s="255" t="s">
        <v>178</v>
      </c>
      <c r="AA15" s="253" t="str">
        <f t="shared" si="2"/>
        <v>EUR3ML</v>
      </c>
      <c r="AB15" s="257" t="str">
        <f t="shared" si="10"/>
        <v>Quarterly</v>
      </c>
      <c r="AC15" s="255" t="s">
        <v>6</v>
      </c>
      <c r="AD15" s="250" t="s">
        <v>22</v>
      </c>
      <c r="AE15" s="250" t="s">
        <v>2</v>
      </c>
      <c r="AF15" s="256"/>
      <c r="AG15" s="256"/>
      <c r="AH15" s="257">
        <f t="shared" ca="1" si="11"/>
        <v>2</v>
      </c>
      <c r="AI15" s="258" t="s">
        <v>177</v>
      </c>
      <c r="AJ15" s="259">
        <f t="shared" si="12"/>
        <v>-2.6099999999999999E-3</v>
      </c>
      <c r="AK15" s="260"/>
      <c r="AL15" s="258" t="s">
        <v>177</v>
      </c>
      <c r="AM15" s="255" t="s">
        <v>178</v>
      </c>
      <c r="AN15" s="256" t="str">
        <f t="shared" si="13"/>
        <v>EURYC</v>
      </c>
      <c r="AO15" s="253" t="str">
        <f t="shared" si="3"/>
        <v>EURDF_NOCSA</v>
      </c>
      <c r="AP15" s="261">
        <f t="shared" si="4"/>
        <v>0</v>
      </c>
      <c r="AQ15" s="282">
        <f t="shared" si="5"/>
        <v>0.01</v>
      </c>
      <c r="AR15" s="284" t="s">
        <v>4</v>
      </c>
      <c r="AS15" s="181">
        <f ca="1">IF(AND(NOW(),isEUR3MLLoaded),IF(OR($D15="",$D15=0),"",_xll.meProductSwapParRate(_xll.meUtilityLVBFromKeysValues($P$5:$AP$5,$P15:$AP15))),"Please Load Yield Curves")</f>
        <v>6.3458399484288708E-3</v>
      </c>
      <c r="AT15" s="262">
        <f ca="1">IF(AND(NOW(),isEUR3MLLoaded),IF(OR($D15="",$D15=0),"",_xll.meProductSwapPV(_xll.meUtilityLVBFromKeysValues($N$5:$AQ$5,$N15:$AQ15))),"Please Load Yield Curves")</f>
        <v>-43548.477854124438</v>
      </c>
      <c r="AU15" s="262">
        <f ca="1">IF(AND(NOW(),isEUR3MLLoaded),IF(OR($D15="",$D15=0),"",_xll.meProductSwapPV01(_xll.meUtilityLVBFromKeysValues($N$5:$AQ$5,$N15:$AQ15),FALSE)),"Please Load Yield Curves")</f>
        <v>1191.750788280526</v>
      </c>
      <c r="AV15" s="196">
        <f ca="1">IF(AND(NOW(),isEUR3MLLoaded),IF(OR($D15="",$D15=0),"",_xll.meProductSwapDV01(_xll.meUtilityLVBFromKeysValues($N$5:$AQ$5,$N15:$AQ15))),"Please Load Yield Curves")</f>
        <v>1157.9133254078963</v>
      </c>
      <c r="AW15" s="77"/>
      <c r="AX15" s="150" t="str">
        <v>12Y</v>
      </c>
      <c r="AY15" s="152">
        <v>6.3458400000000002E-3</v>
      </c>
      <c r="AZ15" s="157">
        <f t="shared" ca="1" si="6"/>
        <v>-5.1571129311422936E-7</v>
      </c>
    </row>
    <row r="16" spans="1:52" x14ac:dyDescent="0.25">
      <c r="A16" s="114">
        <v>11</v>
      </c>
      <c r="B16" s="132">
        <f ca="1">IF(OR(D16="",D16=0),"",_xll.meDateFromTenor(COB,C16,$T16,$U16))</f>
        <v>42523</v>
      </c>
      <c r="C16" s="140" t="s">
        <v>191</v>
      </c>
      <c r="D16" s="134">
        <v>1000000</v>
      </c>
      <c r="E16" s="134" t="s">
        <v>17</v>
      </c>
      <c r="F16" s="135" t="s">
        <v>176</v>
      </c>
      <c r="G16" s="136" t="s">
        <v>63</v>
      </c>
      <c r="H16" s="137">
        <v>0.01</v>
      </c>
      <c r="I16" s="167" t="s">
        <v>205</v>
      </c>
      <c r="J16" s="138">
        <v>0</v>
      </c>
      <c r="K16" s="137">
        <v>-2.6099999999999999E-3</v>
      </c>
      <c r="L16" s="136" t="s">
        <v>193</v>
      </c>
      <c r="M16" s="200"/>
      <c r="N16" s="280">
        <f t="shared" si="0"/>
        <v>1000000</v>
      </c>
      <c r="O16" s="253" t="str">
        <f t="shared" si="1"/>
        <v>PAYER</v>
      </c>
      <c r="P16" s="256">
        <f t="shared" ca="1" si="7"/>
        <v>42523</v>
      </c>
      <c r="Q16" s="256" t="str">
        <f t="shared" si="8"/>
        <v>15Y</v>
      </c>
      <c r="R16" s="250" t="s">
        <v>26</v>
      </c>
      <c r="S16" s="255" t="s">
        <v>20</v>
      </c>
      <c r="T16" s="250" t="s">
        <v>22</v>
      </c>
      <c r="U16" s="250" t="s">
        <v>2</v>
      </c>
      <c r="V16" s="256"/>
      <c r="W16" s="256"/>
      <c r="X16" s="257">
        <f t="shared" ca="1" si="9"/>
        <v>2</v>
      </c>
      <c r="Y16" s="258" t="s">
        <v>177</v>
      </c>
      <c r="Z16" s="255" t="s">
        <v>178</v>
      </c>
      <c r="AA16" s="253" t="str">
        <f t="shared" si="2"/>
        <v>EUR3ML</v>
      </c>
      <c r="AB16" s="257" t="str">
        <f t="shared" si="10"/>
        <v>Quarterly</v>
      </c>
      <c r="AC16" s="255" t="s">
        <v>6</v>
      </c>
      <c r="AD16" s="250" t="s">
        <v>22</v>
      </c>
      <c r="AE16" s="250" t="s">
        <v>2</v>
      </c>
      <c r="AF16" s="256"/>
      <c r="AG16" s="256"/>
      <c r="AH16" s="257">
        <f t="shared" ca="1" si="11"/>
        <v>2</v>
      </c>
      <c r="AI16" s="258" t="s">
        <v>177</v>
      </c>
      <c r="AJ16" s="259">
        <f t="shared" si="12"/>
        <v>-2.6099999999999999E-3</v>
      </c>
      <c r="AK16" s="260"/>
      <c r="AL16" s="258" t="s">
        <v>177</v>
      </c>
      <c r="AM16" s="255" t="s">
        <v>178</v>
      </c>
      <c r="AN16" s="256" t="str">
        <f t="shared" si="13"/>
        <v>EURYC</v>
      </c>
      <c r="AO16" s="253" t="str">
        <f t="shared" si="3"/>
        <v>EURDF_NOCSA</v>
      </c>
      <c r="AP16" s="261">
        <f t="shared" si="4"/>
        <v>0</v>
      </c>
      <c r="AQ16" s="282">
        <f t="shared" si="5"/>
        <v>0.01</v>
      </c>
      <c r="AR16" s="284" t="s">
        <v>4</v>
      </c>
      <c r="AS16" s="181">
        <f ca="1">IF(AND(NOW(),isEUR3MLLoaded),IF(OR($D16="",$D16=0),"",_xll.meProductSwapParRate(_xll.meUtilityLVBFromKeysValues($P$5:$AP$5,$P16:$AP16))),"Please Load Yield Curves")</f>
        <v>8.4325000370870599E-3</v>
      </c>
      <c r="AT16" s="262">
        <f ca="1">IF(AND(NOW(),isEUR3MLLoaded),IF(OR($D16="",$D16=0),"",_xll.meProductSwapPV(_xll.meUtilityLVBFromKeysValues($N$5:$AQ$5,$N16:$AQ16))),"Please Load Yield Curves")</f>
        <v>-22973.208327523975</v>
      </c>
      <c r="AU16" s="262">
        <f ca="1">IF(AND(NOW(),isEUR3MLLoaded),IF(OR($D16="",$D16=0),"",_xll.meProductSwapPV01(_xll.meUtilityLVBFromKeysValues($N$5:$AQ$5,$N16:$AQ16),FALSE)),"Please Load Yield Curves")</f>
        <v>1465.5954622692336</v>
      </c>
      <c r="AV16" s="196">
        <f ca="1">IF(AND(NOW(),isEUR3MLLoaded),IF(OR($D16="",$D16=0),"",_xll.meProductSwapDV01(_xll.meUtilityLVBFromKeysValues($N$5:$AQ$5,$N16:$AQ16))),"Please Load Yield Curves")</f>
        <v>1444.0113048286723</v>
      </c>
      <c r="AW16" s="77"/>
      <c r="AX16" s="150" t="str">
        <v>15Y</v>
      </c>
      <c r="AY16" s="152">
        <v>8.432499999999999E-3</v>
      </c>
      <c r="AZ16" s="157">
        <f t="shared" ca="1" si="6"/>
        <v>3.7087060852925013E-7</v>
      </c>
    </row>
    <row r="17" spans="1:53" x14ac:dyDescent="0.25">
      <c r="A17" s="114">
        <v>12</v>
      </c>
      <c r="B17" s="132">
        <f ca="1">IF(OR(D17="",D17=0),"",_xll.meDateFromTenor(COB,C17,$T17,$U17))</f>
        <v>42523</v>
      </c>
      <c r="C17" s="140" t="s">
        <v>191</v>
      </c>
      <c r="D17" s="134">
        <v>1000000</v>
      </c>
      <c r="E17" s="134" t="s">
        <v>17</v>
      </c>
      <c r="F17" s="135" t="s">
        <v>176</v>
      </c>
      <c r="G17" s="136" t="s">
        <v>64</v>
      </c>
      <c r="H17" s="137">
        <v>0.01</v>
      </c>
      <c r="I17" s="167" t="s">
        <v>205</v>
      </c>
      <c r="J17" s="138">
        <v>0</v>
      </c>
      <c r="K17" s="137">
        <v>-2.6099999999999999E-3</v>
      </c>
      <c r="L17" s="136" t="s">
        <v>193</v>
      </c>
      <c r="M17" s="200"/>
      <c r="N17" s="280">
        <f t="shared" si="0"/>
        <v>1000000</v>
      </c>
      <c r="O17" s="253" t="str">
        <f t="shared" si="1"/>
        <v>PAYER</v>
      </c>
      <c r="P17" s="256">
        <f t="shared" ca="1" si="7"/>
        <v>42523</v>
      </c>
      <c r="Q17" s="256" t="str">
        <f t="shared" si="8"/>
        <v>20Y</v>
      </c>
      <c r="R17" s="250" t="s">
        <v>26</v>
      </c>
      <c r="S17" s="255" t="s">
        <v>20</v>
      </c>
      <c r="T17" s="250" t="s">
        <v>22</v>
      </c>
      <c r="U17" s="250" t="s">
        <v>2</v>
      </c>
      <c r="V17" s="256"/>
      <c r="W17" s="256"/>
      <c r="X17" s="257">
        <f t="shared" ca="1" si="9"/>
        <v>2</v>
      </c>
      <c r="Y17" s="258" t="s">
        <v>177</v>
      </c>
      <c r="Z17" s="255" t="s">
        <v>178</v>
      </c>
      <c r="AA17" s="253" t="str">
        <f t="shared" si="2"/>
        <v>EUR3ML</v>
      </c>
      <c r="AB17" s="257" t="str">
        <f t="shared" si="10"/>
        <v>Quarterly</v>
      </c>
      <c r="AC17" s="255" t="s">
        <v>6</v>
      </c>
      <c r="AD17" s="250" t="s">
        <v>22</v>
      </c>
      <c r="AE17" s="250" t="s">
        <v>2</v>
      </c>
      <c r="AF17" s="256"/>
      <c r="AG17" s="256"/>
      <c r="AH17" s="257">
        <f t="shared" ca="1" si="11"/>
        <v>2</v>
      </c>
      <c r="AI17" s="258" t="s">
        <v>177</v>
      </c>
      <c r="AJ17" s="259">
        <f t="shared" si="12"/>
        <v>-2.6099999999999999E-3</v>
      </c>
      <c r="AK17" s="260"/>
      <c r="AL17" s="258" t="s">
        <v>177</v>
      </c>
      <c r="AM17" s="255" t="s">
        <v>178</v>
      </c>
      <c r="AN17" s="256" t="str">
        <f t="shared" si="13"/>
        <v>EURYC</v>
      </c>
      <c r="AO17" s="253" t="str">
        <f t="shared" si="3"/>
        <v>EURDF_NOCSA</v>
      </c>
      <c r="AP17" s="261">
        <f t="shared" si="4"/>
        <v>0</v>
      </c>
      <c r="AQ17" s="282">
        <f t="shared" si="5"/>
        <v>0.01</v>
      </c>
      <c r="AR17" s="284" t="s">
        <v>4</v>
      </c>
      <c r="AS17" s="181">
        <f ca="1">IF(AND(NOW(),isEUR3MLLoaded),IF(OR($D17="",$D17=0),"",_xll.meProductSwapParRate(_xll.meUtilityLVBFromKeysValues($P$5:$AP$5,$P17:$AP17))),"Please Load Yield Curves")</f>
        <v>1.0167499929526433E-2</v>
      </c>
      <c r="AT17" s="262">
        <f ca="1">IF(AND(NOW(),isEUR3MLLoaded),IF(OR($D17="",$D17=0),"",_xll.meProductSwapPV(_xll.meUtilityLVBFromKeysValues($N$5:$AQ$5,$N17:$AQ17))),"Please Load Yield Curves")</f>
        <v>3172.8957161681892</v>
      </c>
      <c r="AU17" s="262">
        <f ca="1">IF(AND(NOW(),isEUR3MLLoaded),IF(OR($D17="",$D17=0),"",_xll.meProductSwapPV01(_xll.meUtilityLVBFromKeysValues($N$5:$AQ$5,$N17:$AQ17),FALSE)),"Please Load Yield Curves")</f>
        <v>1894.2689032815456</v>
      </c>
      <c r="AV17" s="196">
        <f ca="1">IF(AND(NOW(),isEUR3MLLoaded),IF(OR($D17="",$D17=0),"",_xll.meProductSwapDV01(_xll.meUtilityLVBFromKeysValues($N$5:$AQ$5,$N17:$AQ17))),"Please Load Yield Curves")</f>
        <v>1898.0013837270258</v>
      </c>
      <c r="AW17" s="77"/>
      <c r="AX17" s="150" t="str">
        <v>20Y</v>
      </c>
      <c r="AY17" s="152">
        <v>1.0167500000000001E-2</v>
      </c>
      <c r="AZ17" s="157">
        <f t="shared" ca="1" si="6"/>
        <v>-7.0473567953532879E-7</v>
      </c>
    </row>
    <row r="18" spans="1:53" x14ac:dyDescent="0.25">
      <c r="A18" s="114">
        <v>13</v>
      </c>
      <c r="B18" s="132">
        <f ca="1">IF(OR(D18="",D18=0),"",_xll.meDateFromTenor(COB,C18,$T18,$U18))</f>
        <v>42523</v>
      </c>
      <c r="C18" s="140" t="s">
        <v>191</v>
      </c>
      <c r="D18" s="134">
        <v>1000000</v>
      </c>
      <c r="E18" s="134" t="s">
        <v>17</v>
      </c>
      <c r="F18" s="135" t="s">
        <v>176</v>
      </c>
      <c r="G18" s="136" t="s">
        <v>65</v>
      </c>
      <c r="H18" s="137">
        <v>0.01</v>
      </c>
      <c r="I18" s="167" t="s">
        <v>205</v>
      </c>
      <c r="J18" s="138">
        <v>0</v>
      </c>
      <c r="K18" s="137">
        <v>-2.6099999999999999E-3</v>
      </c>
      <c r="L18" s="136" t="s">
        <v>193</v>
      </c>
      <c r="M18" s="200"/>
      <c r="N18" s="280">
        <f t="shared" si="0"/>
        <v>1000000</v>
      </c>
      <c r="O18" s="253" t="str">
        <f t="shared" si="1"/>
        <v>PAYER</v>
      </c>
      <c r="P18" s="256">
        <f t="shared" ca="1" si="7"/>
        <v>42523</v>
      </c>
      <c r="Q18" s="256" t="str">
        <f t="shared" si="8"/>
        <v>25Y</v>
      </c>
      <c r="R18" s="250" t="s">
        <v>26</v>
      </c>
      <c r="S18" s="255" t="s">
        <v>20</v>
      </c>
      <c r="T18" s="250" t="s">
        <v>22</v>
      </c>
      <c r="U18" s="250" t="s">
        <v>2</v>
      </c>
      <c r="V18" s="256"/>
      <c r="W18" s="256"/>
      <c r="X18" s="257">
        <f t="shared" ca="1" si="9"/>
        <v>2</v>
      </c>
      <c r="Y18" s="258" t="s">
        <v>177</v>
      </c>
      <c r="Z18" s="255" t="s">
        <v>178</v>
      </c>
      <c r="AA18" s="253" t="str">
        <f t="shared" si="2"/>
        <v>EUR3ML</v>
      </c>
      <c r="AB18" s="257" t="str">
        <f t="shared" si="10"/>
        <v>Quarterly</v>
      </c>
      <c r="AC18" s="255" t="s">
        <v>6</v>
      </c>
      <c r="AD18" s="250" t="s">
        <v>22</v>
      </c>
      <c r="AE18" s="250" t="s">
        <v>2</v>
      </c>
      <c r="AF18" s="256"/>
      <c r="AG18" s="256"/>
      <c r="AH18" s="257">
        <f t="shared" ca="1" si="11"/>
        <v>2</v>
      </c>
      <c r="AI18" s="258" t="s">
        <v>177</v>
      </c>
      <c r="AJ18" s="259">
        <f t="shared" si="12"/>
        <v>-2.6099999999999999E-3</v>
      </c>
      <c r="AK18" s="260"/>
      <c r="AL18" s="258" t="s">
        <v>177</v>
      </c>
      <c r="AM18" s="255" t="s">
        <v>178</v>
      </c>
      <c r="AN18" s="256" t="str">
        <f t="shared" si="13"/>
        <v>EURYC</v>
      </c>
      <c r="AO18" s="253" t="str">
        <f t="shared" si="3"/>
        <v>EURDF_NOCSA</v>
      </c>
      <c r="AP18" s="261">
        <f t="shared" si="4"/>
        <v>0</v>
      </c>
      <c r="AQ18" s="282">
        <f t="shared" si="5"/>
        <v>0.01</v>
      </c>
      <c r="AR18" s="284" t="s">
        <v>4</v>
      </c>
      <c r="AS18" s="181">
        <f ca="1">IF(AND(NOW(),isEUR3MLLoaded),IF(OR($D18="",$D18=0),"",_xll.meProductSwapParRate(_xll.meUtilityLVBFromKeysValues($P$5:$AP$5,$P18:$AP18))),"Please Load Yield Curves")</f>
        <v>1.0696670082313314E-2</v>
      </c>
      <c r="AT18" s="262">
        <f ca="1">IF(AND(NOW(),isEUR3MLLoaded),IF(OR($D18="",$D18=0),"",_xll.meProductSwapPV(_xll.meUtilityLVBFromKeysValues($N$5:$AQ$5,$N18:$AQ18))),"Please Load Yield Curves")</f>
        <v>15989.302885121431</v>
      </c>
      <c r="AU18" s="262">
        <f ca="1">IF(AND(NOW(),isEUR3MLLoaded),IF(OR($D18="",$D18=0),"",_xll.meProductSwapPV01(_xll.meUtilityLVBFromKeysValues($N$5:$AQ$5,$N18:$AQ18),FALSE)),"Please Load Yield Curves")</f>
        <v>2295.1039941357158</v>
      </c>
      <c r="AV18" s="196">
        <f ca="1">IF(AND(NOW(),isEUR3MLLoaded),IF(OR($D18="",$D18=0),"",_xll.meProductSwapDV01(_xll.meUtilityLVBFromKeysValues($N$5:$AQ$5,$N18:$AQ18))),"Please Load Yield Curves")</f>
        <v>2317.2612123309773</v>
      </c>
      <c r="AW18" s="77"/>
      <c r="AX18" s="150" t="str">
        <v>25Y</v>
      </c>
      <c r="AY18" s="152">
        <v>1.069667E-2</v>
      </c>
      <c r="AZ18" s="157">
        <f t="shared" ca="1" si="6"/>
        <v>8.2313314150872507E-7</v>
      </c>
    </row>
    <row r="19" spans="1:53" x14ac:dyDescent="0.25">
      <c r="A19" s="114">
        <v>14</v>
      </c>
      <c r="B19" s="141">
        <f ca="1">IF(OR(D19="",D19=0),"",_xll.meDateFromTenor(COB,C19,$T19,$U19))</f>
        <v>42523</v>
      </c>
      <c r="C19" s="142" t="s">
        <v>191</v>
      </c>
      <c r="D19" s="143">
        <v>1000000</v>
      </c>
      <c r="E19" s="143" t="s">
        <v>17</v>
      </c>
      <c r="F19" s="144" t="s">
        <v>176</v>
      </c>
      <c r="G19" s="145" t="s">
        <v>66</v>
      </c>
      <c r="H19" s="146">
        <v>0.01</v>
      </c>
      <c r="I19" s="168" t="s">
        <v>205</v>
      </c>
      <c r="J19" s="147">
        <v>0</v>
      </c>
      <c r="K19" s="146">
        <v>-2.6099999999999999E-3</v>
      </c>
      <c r="L19" s="145" t="s">
        <v>193</v>
      </c>
      <c r="M19" s="200"/>
      <c r="N19" s="281">
        <f t="shared" si="0"/>
        <v>1000000</v>
      </c>
      <c r="O19" s="254" t="str">
        <f t="shared" si="1"/>
        <v>PAYER</v>
      </c>
      <c r="P19" s="148">
        <f t="shared" ca="1" si="7"/>
        <v>42523</v>
      </c>
      <c r="Q19" s="148" t="str">
        <f t="shared" si="8"/>
        <v>30Y</v>
      </c>
      <c r="R19" s="273" t="s">
        <v>26</v>
      </c>
      <c r="S19" s="274" t="s">
        <v>20</v>
      </c>
      <c r="T19" s="273" t="s">
        <v>22</v>
      </c>
      <c r="U19" s="273" t="s">
        <v>2</v>
      </c>
      <c r="V19" s="148"/>
      <c r="W19" s="148"/>
      <c r="X19" s="265">
        <f t="shared" ca="1" si="9"/>
        <v>2</v>
      </c>
      <c r="Y19" s="275" t="s">
        <v>177</v>
      </c>
      <c r="Z19" s="274" t="s">
        <v>178</v>
      </c>
      <c r="AA19" s="254" t="str">
        <f t="shared" si="2"/>
        <v>EUR3ML</v>
      </c>
      <c r="AB19" s="265" t="str">
        <f t="shared" si="10"/>
        <v>Quarterly</v>
      </c>
      <c r="AC19" s="274" t="s">
        <v>6</v>
      </c>
      <c r="AD19" s="273" t="s">
        <v>22</v>
      </c>
      <c r="AE19" s="273" t="s">
        <v>2</v>
      </c>
      <c r="AF19" s="148"/>
      <c r="AG19" s="148"/>
      <c r="AH19" s="265">
        <f t="shared" ca="1" si="11"/>
        <v>2</v>
      </c>
      <c r="AI19" s="275" t="s">
        <v>177</v>
      </c>
      <c r="AJ19" s="276">
        <f t="shared" si="12"/>
        <v>-2.6099999999999999E-3</v>
      </c>
      <c r="AK19" s="277"/>
      <c r="AL19" s="275" t="s">
        <v>177</v>
      </c>
      <c r="AM19" s="274" t="s">
        <v>178</v>
      </c>
      <c r="AN19" s="148" t="str">
        <f t="shared" si="13"/>
        <v>EURYC</v>
      </c>
      <c r="AO19" s="254" t="str">
        <f t="shared" si="3"/>
        <v>EURDF_NOCSA</v>
      </c>
      <c r="AP19" s="263">
        <f t="shared" si="4"/>
        <v>0</v>
      </c>
      <c r="AQ19" s="283">
        <f t="shared" si="5"/>
        <v>0.01</v>
      </c>
      <c r="AR19" s="284" t="s">
        <v>4</v>
      </c>
      <c r="AS19" s="182">
        <f ca="1">IF(AND(NOW(),isEUR3MLLoaded),IF(OR($D19="",$D19=0),"",_xll.meProductSwapParRate(_xll.meUtilityLVBFromKeysValues($P$5:$AP$5,$P19:$AP19))),"Please Load Yield Curves")</f>
        <v>1.0867500133685502E-2</v>
      </c>
      <c r="AT19" s="149">
        <f ca="1">IF(AND(NOW(),isEUR3MLLoaded),IF(OR($D19="",$D19=0),"",_xll.meProductSwapPV(_xll.meUtilityLVBFromKeysValues($N$5:$AQ$5,$N19:$AQ19))),"Please Load Yield Curves")</f>
        <v>23191.56950636908</v>
      </c>
      <c r="AU19" s="149">
        <f ca="1">IF(AND(NOW(),isEUR3MLLoaded),IF(OR($D19="",$D19=0),"",_xll.meProductSwapPV01(_xll.meUtilityLVBFromKeysValues($N$5:$AQ$5,$N19:$AQ19),FALSE)),"Please Load Yield Curves")</f>
        <v>2673.3793582073149</v>
      </c>
      <c r="AV19" s="197">
        <f ca="1">IF(AND(NOW(),isEUR3MLLoaded),IF(OR($D19="",$D19=0),"",_xll.meProductSwapDV01(_xll.meUtilityLVBFromKeysValues($N$5:$AQ$5,$N19:$AQ19))),"Please Load Yield Curves")</f>
        <v>2710.2025196034051</v>
      </c>
      <c r="AW19" s="77"/>
      <c r="AX19" s="151" t="str">
        <v>30Y</v>
      </c>
      <c r="AY19" s="153">
        <v>1.08675E-2</v>
      </c>
      <c r="AZ19" s="158">
        <f t="shared" ca="1" si="6"/>
        <v>1.3368550190462347E-6</v>
      </c>
    </row>
    <row r="20" spans="1:53" x14ac:dyDescent="0.25">
      <c r="AR20" s="224" t="s">
        <v>4</v>
      </c>
    </row>
    <row r="21" spans="1:53" ht="23.25" x14ac:dyDescent="0.35">
      <c r="B21" s="108" t="s">
        <v>242</v>
      </c>
      <c r="AR21" s="224" t="s">
        <v>4</v>
      </c>
      <c r="AS21" s="109"/>
      <c r="AT21" s="447"/>
      <c r="AU21" s="447"/>
      <c r="AV21" s="172"/>
      <c r="AX21" s="108" t="s">
        <v>243</v>
      </c>
    </row>
    <row r="22" spans="1:53" x14ac:dyDescent="0.25">
      <c r="AR22" s="224" t="s">
        <v>4</v>
      </c>
    </row>
    <row r="23" spans="1:53" x14ac:dyDescent="0.25">
      <c r="A23" s="40"/>
      <c r="B23" s="40" t="s">
        <v>230</v>
      </c>
      <c r="C23" s="40"/>
      <c r="D23" s="40"/>
      <c r="E23" s="40"/>
      <c r="F23" s="40"/>
      <c r="G23" s="40"/>
      <c r="H23" s="40"/>
      <c r="I23" s="40"/>
      <c r="J23" s="40"/>
      <c r="K23" s="40"/>
      <c r="L23" s="40"/>
      <c r="M23" s="40"/>
      <c r="N23" s="224" t="s">
        <v>282</v>
      </c>
      <c r="O23" s="224"/>
      <c r="P23" s="224"/>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24" t="s">
        <v>4</v>
      </c>
      <c r="AS23" s="40"/>
      <c r="AT23" s="40"/>
      <c r="AU23" s="178"/>
      <c r="AV23" s="178"/>
      <c r="AW23" s="40"/>
      <c r="AX23" s="40"/>
      <c r="AY23" s="40"/>
      <c r="AZ23" s="40"/>
      <c r="BA23" s="40"/>
    </row>
    <row r="24" spans="1:53" ht="30.75" customHeight="1" x14ac:dyDescent="0.25">
      <c r="B24" s="110" t="s">
        <v>179</v>
      </c>
      <c r="C24" s="111" t="s">
        <v>180</v>
      </c>
      <c r="D24" s="111" t="s">
        <v>175</v>
      </c>
      <c r="E24" s="111" t="s">
        <v>16</v>
      </c>
      <c r="F24" s="111" t="s">
        <v>181</v>
      </c>
      <c r="G24" s="111" t="s">
        <v>182</v>
      </c>
      <c r="H24" s="111" t="s">
        <v>183</v>
      </c>
      <c r="I24" s="111" t="s">
        <v>184</v>
      </c>
      <c r="J24" s="111" t="s">
        <v>185</v>
      </c>
      <c r="K24" s="111" t="s">
        <v>186</v>
      </c>
      <c r="L24" s="111" t="s">
        <v>187</v>
      </c>
      <c r="M24" s="200"/>
      <c r="N24" s="264" t="s">
        <v>175</v>
      </c>
      <c r="O24" s="251" t="s">
        <v>249</v>
      </c>
      <c r="P24" s="251" t="s">
        <v>250</v>
      </c>
      <c r="Q24" s="251" t="s">
        <v>251</v>
      </c>
      <c r="R24" s="251" t="s">
        <v>253</v>
      </c>
      <c r="S24" s="251" t="s">
        <v>254</v>
      </c>
      <c r="T24" s="251" t="s">
        <v>255</v>
      </c>
      <c r="U24" s="251" t="s">
        <v>256</v>
      </c>
      <c r="V24" s="251" t="s">
        <v>283</v>
      </c>
      <c r="W24" s="251" t="s">
        <v>284</v>
      </c>
      <c r="X24" s="251" t="s">
        <v>257</v>
      </c>
      <c r="Y24" s="251" t="s">
        <v>258</v>
      </c>
      <c r="Z24" s="251" t="s">
        <v>259</v>
      </c>
      <c r="AA24" s="251" t="s">
        <v>271</v>
      </c>
      <c r="AB24" s="251" t="s">
        <v>260</v>
      </c>
      <c r="AC24" s="251" t="s">
        <v>261</v>
      </c>
      <c r="AD24" s="251" t="s">
        <v>262</v>
      </c>
      <c r="AE24" s="251" t="s">
        <v>263</v>
      </c>
      <c r="AF24" s="251" t="s">
        <v>285</v>
      </c>
      <c r="AG24" s="251" t="s">
        <v>286</v>
      </c>
      <c r="AH24" s="251" t="s">
        <v>264</v>
      </c>
      <c r="AI24" s="251" t="s">
        <v>265</v>
      </c>
      <c r="AJ24" s="251" t="s">
        <v>266</v>
      </c>
      <c r="AK24" s="251" t="s">
        <v>267</v>
      </c>
      <c r="AL24" s="251" t="s">
        <v>268</v>
      </c>
      <c r="AM24" s="251" t="s">
        <v>270</v>
      </c>
      <c r="AN24" s="251" t="s">
        <v>80</v>
      </c>
      <c r="AO24" s="251" t="s">
        <v>272</v>
      </c>
      <c r="AP24" s="251" t="s">
        <v>269</v>
      </c>
      <c r="AQ24" s="252" t="s">
        <v>252</v>
      </c>
      <c r="AR24" s="224" t="s">
        <v>4</v>
      </c>
      <c r="AS24" s="179" t="s">
        <v>188</v>
      </c>
      <c r="AT24" s="251" t="s">
        <v>189</v>
      </c>
      <c r="AU24" s="251" t="s">
        <v>190</v>
      </c>
      <c r="AV24" s="252" t="s">
        <v>273</v>
      </c>
      <c r="AW24" s="177"/>
      <c r="AX24" s="154" t="s">
        <v>11</v>
      </c>
      <c r="AY24" s="156" t="s">
        <v>231</v>
      </c>
      <c r="AZ24" s="183" t="s">
        <v>232</v>
      </c>
      <c r="BA24" s="192" t="s">
        <v>233</v>
      </c>
    </row>
    <row r="25" spans="1:53" x14ac:dyDescent="0.25">
      <c r="A25" s="114">
        <v>1</v>
      </c>
      <c r="B25" s="115">
        <f ca="1">IF(OR(D25="",D25=0),"",_xll.meDateFromTenor(COB,C25,$T25,$U25))</f>
        <v>42523</v>
      </c>
      <c r="C25" s="116" t="s">
        <v>191</v>
      </c>
      <c r="D25" s="117">
        <v>1000000</v>
      </c>
      <c r="E25" s="117" t="s">
        <v>17</v>
      </c>
      <c r="F25" s="118" t="s">
        <v>176</v>
      </c>
      <c r="G25" s="119" t="s">
        <v>43</v>
      </c>
      <c r="H25" s="120">
        <v>0</v>
      </c>
      <c r="I25" s="166" t="s">
        <v>205</v>
      </c>
      <c r="J25" s="370">
        <v>13</v>
      </c>
      <c r="K25" s="120">
        <v>-2.6099999999999999E-3</v>
      </c>
      <c r="L25" s="119" t="s">
        <v>193</v>
      </c>
      <c r="M25" s="200"/>
      <c r="N25" s="279">
        <f>D25</f>
        <v>1000000</v>
      </c>
      <c r="O25" s="127" t="str">
        <f>F25</f>
        <v>PAYER</v>
      </c>
      <c r="P25" s="124">
        <f ca="1">B25</f>
        <v>42523</v>
      </c>
      <c r="Q25" s="124" t="str">
        <f>G25</f>
        <v>3Y</v>
      </c>
      <c r="R25" s="122" t="s">
        <v>26</v>
      </c>
      <c r="S25" s="123" t="s">
        <v>20</v>
      </c>
      <c r="T25" s="122" t="s">
        <v>22</v>
      </c>
      <c r="U25" s="122" t="s">
        <v>2</v>
      </c>
      <c r="V25" s="124"/>
      <c r="W25" s="124"/>
      <c r="X25" s="125">
        <f ca="1">IF($B25="","",DAY($B25))</f>
        <v>2</v>
      </c>
      <c r="Y25" s="126" t="s">
        <v>177</v>
      </c>
      <c r="Z25" s="123" t="s">
        <v>178</v>
      </c>
      <c r="AA25" s="127" t="str">
        <f t="shared" ref="AA25:AA38" si="14">$E25&amp;$I25</f>
        <v>EUR3ML</v>
      </c>
      <c r="AB25" s="125" t="str">
        <f>IF($I25="1ML","Monthly",IF($I25="3ML","Quarterly",IF($I25="6ML","Semi-Annual","Annual")))</f>
        <v>Quarterly</v>
      </c>
      <c r="AC25" s="123" t="s">
        <v>6</v>
      </c>
      <c r="AD25" s="122" t="s">
        <v>22</v>
      </c>
      <c r="AE25" s="122" t="s">
        <v>2</v>
      </c>
      <c r="AF25" s="124"/>
      <c r="AG25" s="124"/>
      <c r="AH25" s="125">
        <f ca="1">IF($B25="","",DAY($B25))</f>
        <v>2</v>
      </c>
      <c r="AI25" s="126" t="s">
        <v>177</v>
      </c>
      <c r="AJ25" s="129">
        <f>K25</f>
        <v>-2.6099999999999999E-3</v>
      </c>
      <c r="AK25" s="130"/>
      <c r="AL25" s="126" t="s">
        <v>177</v>
      </c>
      <c r="AM25" s="123" t="s">
        <v>178</v>
      </c>
      <c r="AN25" s="124" t="str">
        <f>E25&amp;"YC"</f>
        <v>EURYC</v>
      </c>
      <c r="AO25" s="127" t="str">
        <f>LEFT(AN25,3)&amp;"DF_"&amp;L25</f>
        <v>EURDF_NOCSA</v>
      </c>
      <c r="AP25" s="128">
        <f t="shared" ref="AP25:AP38" ca="1" si="15">J25</f>
        <v>13</v>
      </c>
      <c r="AQ25" s="271">
        <f>H25</f>
        <v>0</v>
      </c>
      <c r="AR25" s="224" t="s">
        <v>4</v>
      </c>
      <c r="AS25" s="180">
        <f ca="1">IF(AND(NOW(),isEUR3MLLoaded),IF(OR($D25="",$D25=0),"",_xll.meProductSwapParRate(_xll.meUtilityLVBFromKeysValues($P$5:$AP$5,$P25:$AP25))),"Please Load Yield Curves")</f>
        <v>-1.3338911927038544E-3</v>
      </c>
      <c r="AT25" s="131">
        <f ca="1">IF(AND(NOW(),isEUR3MLLoaded),IF(OR($D25="",$D25=0),"",_xll.meProductSwapPV(_xll.meUtilityLVBFromKeysValues($N$5:$AQ$5,$N25:$AQ25))),"Please Load Yield Curves")</f>
        <v>-4037.3660404798666</v>
      </c>
      <c r="AU25" s="131">
        <f ca="1">IF(AND(NOW(),isEUR3MLLoaded),IF(OR($D25="",$D25=0),"",_xll.meProductSwapPV01(_xll.meUtilityLVBFromKeysValues($N$5:$AO$5,$N25:$AO25))),"Please Load Yield Curves")</f>
        <v>302.67577749280463</v>
      </c>
      <c r="AV25" s="195">
        <f ca="1">IF(AND(NOW(),isEUR3MLLoaded),IF(OR($D25="",$D25=0),"",_xll.meProductSwapDV01(_xll.meUtilityLVBFromKeysValues($N$5:$AQ$5,$N25:$AQ25))),"Please Load Yield Curves")</f>
        <v>302.11948581536961</v>
      </c>
      <c r="AW25" s="48"/>
      <c r="AX25" s="150" t="s">
        <v>43</v>
      </c>
      <c r="AY25" s="185">
        <f ca="1">'EUR BASIS 6ML'!J37*10000</f>
        <v>13</v>
      </c>
      <c r="AZ25" s="184">
        <f ca="1">AS42-AS25</f>
        <v>-1.6278279635698056E-10</v>
      </c>
      <c r="BA25" s="190">
        <f t="shared" ref="BA25:BA38" ca="1" si="16">AT42+AT25</f>
        <v>-9.3513358478958253E-6</v>
      </c>
    </row>
    <row r="26" spans="1:53" x14ac:dyDescent="0.25">
      <c r="A26" s="114">
        <v>2</v>
      </c>
      <c r="B26" s="132">
        <f ca="1">IF(OR(D26="",D26=0),"",_xll.meDateFromTenor(COB,C26,$T26,$U26))</f>
        <v>42523</v>
      </c>
      <c r="C26" s="133" t="s">
        <v>191</v>
      </c>
      <c r="D26" s="134">
        <v>1000000</v>
      </c>
      <c r="E26" s="134" t="s">
        <v>17</v>
      </c>
      <c r="F26" s="135" t="s">
        <v>176</v>
      </c>
      <c r="G26" s="136" t="s">
        <v>50</v>
      </c>
      <c r="H26" s="137">
        <v>0</v>
      </c>
      <c r="I26" s="167" t="s">
        <v>205</v>
      </c>
      <c r="J26" s="371">
        <v>13.499999999999998</v>
      </c>
      <c r="K26" s="137">
        <v>-2.6099999999999999E-3</v>
      </c>
      <c r="L26" s="136" t="s">
        <v>193</v>
      </c>
      <c r="M26" s="200"/>
      <c r="N26" s="280">
        <f t="shared" ref="N26:N38" si="17">D26</f>
        <v>1000000</v>
      </c>
      <c r="O26" s="253" t="str">
        <f t="shared" ref="O26:O38" si="18">F26</f>
        <v>PAYER</v>
      </c>
      <c r="P26" s="256">
        <f t="shared" ref="P26:P38" ca="1" si="19">B26</f>
        <v>42523</v>
      </c>
      <c r="Q26" s="256" t="str">
        <f t="shared" ref="Q26:Q38" si="20">G26</f>
        <v>4Y</v>
      </c>
      <c r="R26" s="250" t="s">
        <v>26</v>
      </c>
      <c r="S26" s="255" t="s">
        <v>20</v>
      </c>
      <c r="T26" s="250" t="s">
        <v>22</v>
      </c>
      <c r="U26" s="250" t="s">
        <v>2</v>
      </c>
      <c r="V26" s="256"/>
      <c r="W26" s="256"/>
      <c r="X26" s="257">
        <f t="shared" ref="X26:X38" ca="1" si="21">IF($B26="","",DAY($B26))</f>
        <v>2</v>
      </c>
      <c r="Y26" s="258" t="s">
        <v>177</v>
      </c>
      <c r="Z26" s="255" t="s">
        <v>178</v>
      </c>
      <c r="AA26" s="253" t="str">
        <f t="shared" si="14"/>
        <v>EUR3ML</v>
      </c>
      <c r="AB26" s="257" t="str">
        <f t="shared" ref="AB26:AB38" si="22">IF($I26="1ML","Monthly",IF($I26="3ML","Quarterly",IF($I26="6ML","Semi-Annual","Annual")))</f>
        <v>Quarterly</v>
      </c>
      <c r="AC26" s="255" t="s">
        <v>6</v>
      </c>
      <c r="AD26" s="250" t="s">
        <v>22</v>
      </c>
      <c r="AE26" s="250" t="s">
        <v>2</v>
      </c>
      <c r="AF26" s="256"/>
      <c r="AG26" s="256"/>
      <c r="AH26" s="257">
        <f t="shared" ref="AH26:AH38" ca="1" si="23">IF($B26="","",DAY($B26))</f>
        <v>2</v>
      </c>
      <c r="AI26" s="258" t="s">
        <v>177</v>
      </c>
      <c r="AJ26" s="259">
        <f t="shared" ref="AJ26:AJ38" si="24">K26</f>
        <v>-2.6099999999999999E-3</v>
      </c>
      <c r="AK26" s="260"/>
      <c r="AL26" s="258" t="s">
        <v>177</v>
      </c>
      <c r="AM26" s="255" t="s">
        <v>178</v>
      </c>
      <c r="AN26" s="256" t="str">
        <f t="shared" ref="AN26:AN38" si="25">E26&amp;"YC"</f>
        <v>EURYC</v>
      </c>
      <c r="AO26" s="253" t="str">
        <f t="shared" ref="AO26:AO38" si="26">LEFT(AN26,3)&amp;"DF_"&amp;L26</f>
        <v>EURDF_NOCSA</v>
      </c>
      <c r="AP26" s="261">
        <f t="shared" ca="1" si="15"/>
        <v>13.499999999999998</v>
      </c>
      <c r="AQ26" s="272">
        <f t="shared" ref="AQ26:AQ38" si="27">H26</f>
        <v>0</v>
      </c>
      <c r="AR26" s="224" t="s">
        <v>4</v>
      </c>
      <c r="AS26" s="181">
        <f ca="1">IF(AND(NOW(),isEUR3MLLoaded),IF(OR($D26="",$D26=0),"",_xll.meProductSwapParRate(_xll.meUtilityLVBFromKeysValues($P$5:$AP$5,$P26:$AP26))),"Please Load Yield Curves")</f>
        <v>-6.8204954859661735E-4</v>
      </c>
      <c r="AT26" s="139">
        <f ca="1">IF(AND(NOW(),isEUR3MLLoaded),IF(OR($D26="",$D26=0),"",_xll.meProductSwapPV(_xll.meUtilityLVBFromKeysValues($N$5:$AQ$5,$N26:$AQ26))),"Please Load Yield Curves")</f>
        <v>-2754.1148272497144</v>
      </c>
      <c r="AU26" s="139">
        <f ca="1">IF(AND(NOW(),isEUR3MLLoaded),IF(OR($D26="",$D26=0),"",_xll.meProductSwapPV01(_xll.meUtilityLVBFromKeysValues($N$5:$AO$5,$N26:$AO26))),"Please Load Yield Curves")</f>
        <v>403.79981673128748</v>
      </c>
      <c r="AV26" s="196">
        <f ca="1">IF(AND(NOW(),isEUR3MLLoaded),IF(OR($D26="",$D26=0),"",_xll.meProductSwapDV01(_xll.meUtilityLVBFromKeysValues($N$5:$AQ$5,$N26:$AQ26))),"Please Load Yield Curves")</f>
        <v>403.69313647135698</v>
      </c>
      <c r="AW26" s="48"/>
      <c r="AX26" s="150" t="s">
        <v>50</v>
      </c>
      <c r="AY26" s="185">
        <f ca="1">'EUR BASIS 6ML'!J38*10000</f>
        <v>13.499999999999998</v>
      </c>
      <c r="AZ26" s="184">
        <f t="shared" ref="AZ26:AZ38" ca="1" si="28">AS43-AS26</f>
        <v>-9.6931387612644859E-11</v>
      </c>
      <c r="BA26" s="190">
        <f t="shared" ca="1" si="16"/>
        <v>3.9140876560850302E-4</v>
      </c>
    </row>
    <row r="27" spans="1:53" x14ac:dyDescent="0.25">
      <c r="A27" s="114">
        <v>3</v>
      </c>
      <c r="B27" s="132">
        <f ca="1">IF(OR(D27="",D27=0),"",_xll.meDateFromTenor(COB,C27,$T27,$U27))</f>
        <v>42523</v>
      </c>
      <c r="C27" s="140" t="s">
        <v>191</v>
      </c>
      <c r="D27" s="134">
        <v>1000000</v>
      </c>
      <c r="E27" s="134" t="s">
        <v>17</v>
      </c>
      <c r="F27" s="135" t="s">
        <v>176</v>
      </c>
      <c r="G27" s="136" t="s">
        <v>52</v>
      </c>
      <c r="H27" s="137">
        <v>0</v>
      </c>
      <c r="I27" s="167" t="s">
        <v>205</v>
      </c>
      <c r="J27" s="371">
        <v>13.9</v>
      </c>
      <c r="K27" s="137">
        <v>-2.6099999999999999E-3</v>
      </c>
      <c r="L27" s="136" t="s">
        <v>193</v>
      </c>
      <c r="M27" s="200"/>
      <c r="N27" s="280">
        <f t="shared" si="17"/>
        <v>1000000</v>
      </c>
      <c r="O27" s="253" t="str">
        <f t="shared" si="18"/>
        <v>PAYER</v>
      </c>
      <c r="P27" s="256">
        <f t="shared" ca="1" si="19"/>
        <v>42523</v>
      </c>
      <c r="Q27" s="256" t="str">
        <f t="shared" si="20"/>
        <v>5Y</v>
      </c>
      <c r="R27" s="250" t="s">
        <v>26</v>
      </c>
      <c r="S27" s="255" t="s">
        <v>20</v>
      </c>
      <c r="T27" s="250" t="s">
        <v>22</v>
      </c>
      <c r="U27" s="250" t="s">
        <v>2</v>
      </c>
      <c r="V27" s="256"/>
      <c r="W27" s="256"/>
      <c r="X27" s="257">
        <f t="shared" ca="1" si="21"/>
        <v>2</v>
      </c>
      <c r="Y27" s="258" t="s">
        <v>177</v>
      </c>
      <c r="Z27" s="255" t="s">
        <v>178</v>
      </c>
      <c r="AA27" s="253" t="str">
        <f t="shared" si="14"/>
        <v>EUR3ML</v>
      </c>
      <c r="AB27" s="257" t="str">
        <f t="shared" si="22"/>
        <v>Quarterly</v>
      </c>
      <c r="AC27" s="255" t="s">
        <v>6</v>
      </c>
      <c r="AD27" s="250" t="s">
        <v>22</v>
      </c>
      <c r="AE27" s="250" t="s">
        <v>2</v>
      </c>
      <c r="AF27" s="256"/>
      <c r="AG27" s="256"/>
      <c r="AH27" s="257">
        <f t="shared" ca="1" si="23"/>
        <v>2</v>
      </c>
      <c r="AI27" s="258" t="s">
        <v>177</v>
      </c>
      <c r="AJ27" s="259">
        <f t="shared" si="24"/>
        <v>-2.6099999999999999E-3</v>
      </c>
      <c r="AK27" s="260"/>
      <c r="AL27" s="258" t="s">
        <v>177</v>
      </c>
      <c r="AM27" s="255" t="s">
        <v>178</v>
      </c>
      <c r="AN27" s="256" t="str">
        <f t="shared" si="25"/>
        <v>EURYC</v>
      </c>
      <c r="AO27" s="253" t="str">
        <f t="shared" si="26"/>
        <v>EURDF_NOCSA</v>
      </c>
      <c r="AP27" s="261">
        <f t="shared" ca="1" si="15"/>
        <v>13.9</v>
      </c>
      <c r="AQ27" s="272">
        <f t="shared" si="27"/>
        <v>0</v>
      </c>
      <c r="AR27" s="224" t="s">
        <v>4</v>
      </c>
      <c r="AS27" s="181">
        <f ca="1">IF(AND(NOW(),isEUR3MLLoaded),IF(OR($D27="",$D27=0),"",_xll.meProductSwapParRate(_xll.meUtilityLVBFromKeysValues($P$5:$AP$5,$P27:$AP27))),"Please Load Yield Curves")</f>
        <v>1.6121729139741882E-4</v>
      </c>
      <c r="AT27" s="139">
        <f ca="1">IF(AND(NOW(),isEUR3MLLoaded),IF(OR($D27="",$D27=0),"",_xll.meProductSwapPV(_xll.meUtilityLVBFromKeysValues($N$5:$AQ$5,$N27:$AQ27))),"Please Load Yield Curves")</f>
        <v>814.46095026652984</v>
      </c>
      <c r="AU27" s="139">
        <f ca="1">IF(AND(NOW(),isEUR3MLLoaded),IF(OR($D27="",$D27=0),"",_xll.meProductSwapPV01(_xll.meUtilityLVBFromKeysValues($N$5:$AO$5,$N27:$AO27))),"Please Load Yield Curves")</f>
        <v>505.19453788538783</v>
      </c>
      <c r="AV27" s="196">
        <f ca="1">IF(AND(NOW(),isEUR3MLLoaded),IF(OR($D27="",$D27=0),"",_xll.meProductSwapDV01(_xll.meUtilityLVBFromKeysValues($N$5:$AQ$5,$N27:$AQ27))),"Please Load Yield Curves")</f>
        <v>506.72164038955748</v>
      </c>
      <c r="AW27" s="48"/>
      <c r="AX27" s="150" t="s">
        <v>52</v>
      </c>
      <c r="AY27" s="185">
        <f ca="1">'EUR BASIS 6ML'!J39*10000</f>
        <v>13.9</v>
      </c>
      <c r="AZ27" s="184">
        <f t="shared" ca="1" si="28"/>
        <v>-7.8445311824017899E-11</v>
      </c>
      <c r="BA27" s="190">
        <f t="shared" ca="1" si="16"/>
        <v>3.9630143123758899E-4</v>
      </c>
    </row>
    <row r="28" spans="1:53" x14ac:dyDescent="0.25">
      <c r="A28" s="114">
        <v>4</v>
      </c>
      <c r="B28" s="132">
        <f ca="1">IF(OR(D28="",D28=0),"",_xll.meDateFromTenor(COB,C28,$T28,$U28))</f>
        <v>42523</v>
      </c>
      <c r="C28" s="140" t="s">
        <v>191</v>
      </c>
      <c r="D28" s="134">
        <v>1000000</v>
      </c>
      <c r="E28" s="134" t="s">
        <v>17</v>
      </c>
      <c r="F28" s="135" t="s">
        <v>176</v>
      </c>
      <c r="G28" s="136" t="s">
        <v>54</v>
      </c>
      <c r="H28" s="137">
        <v>0</v>
      </c>
      <c r="I28" s="167" t="s">
        <v>205</v>
      </c>
      <c r="J28" s="371">
        <v>13.9</v>
      </c>
      <c r="K28" s="137">
        <v>-2.6099999999999999E-3</v>
      </c>
      <c r="L28" s="136" t="s">
        <v>193</v>
      </c>
      <c r="M28" s="200"/>
      <c r="N28" s="280">
        <f t="shared" si="17"/>
        <v>1000000</v>
      </c>
      <c r="O28" s="253" t="str">
        <f t="shared" si="18"/>
        <v>PAYER</v>
      </c>
      <c r="P28" s="256">
        <f t="shared" ca="1" si="19"/>
        <v>42523</v>
      </c>
      <c r="Q28" s="256" t="str">
        <f t="shared" si="20"/>
        <v>6Y</v>
      </c>
      <c r="R28" s="250" t="s">
        <v>26</v>
      </c>
      <c r="S28" s="255" t="s">
        <v>20</v>
      </c>
      <c r="T28" s="250" t="s">
        <v>22</v>
      </c>
      <c r="U28" s="250" t="s">
        <v>2</v>
      </c>
      <c r="V28" s="256"/>
      <c r="W28" s="256"/>
      <c r="X28" s="257">
        <f t="shared" ca="1" si="21"/>
        <v>2</v>
      </c>
      <c r="Y28" s="258" t="s">
        <v>177</v>
      </c>
      <c r="Z28" s="255" t="s">
        <v>178</v>
      </c>
      <c r="AA28" s="253" t="str">
        <f t="shared" si="14"/>
        <v>EUR3ML</v>
      </c>
      <c r="AB28" s="257" t="str">
        <f t="shared" si="22"/>
        <v>Quarterly</v>
      </c>
      <c r="AC28" s="255" t="s">
        <v>6</v>
      </c>
      <c r="AD28" s="250" t="s">
        <v>22</v>
      </c>
      <c r="AE28" s="250" t="s">
        <v>2</v>
      </c>
      <c r="AF28" s="256"/>
      <c r="AG28" s="256"/>
      <c r="AH28" s="257">
        <f t="shared" ca="1" si="23"/>
        <v>2</v>
      </c>
      <c r="AI28" s="258" t="s">
        <v>177</v>
      </c>
      <c r="AJ28" s="259">
        <f t="shared" si="24"/>
        <v>-2.6099999999999999E-3</v>
      </c>
      <c r="AK28" s="260"/>
      <c r="AL28" s="258" t="s">
        <v>177</v>
      </c>
      <c r="AM28" s="255" t="s">
        <v>178</v>
      </c>
      <c r="AN28" s="256" t="str">
        <f t="shared" si="25"/>
        <v>EURYC</v>
      </c>
      <c r="AO28" s="253" t="str">
        <f t="shared" si="26"/>
        <v>EURDF_NOCSA</v>
      </c>
      <c r="AP28" s="261">
        <f t="shared" ca="1" si="15"/>
        <v>13.9</v>
      </c>
      <c r="AQ28" s="272">
        <f t="shared" si="27"/>
        <v>0</v>
      </c>
      <c r="AR28" s="224" t="s">
        <v>4</v>
      </c>
      <c r="AS28" s="181">
        <f ca="1">IF(AND(NOW(),isEUR3MLLoaded),IF(OR($D28="",$D28=0),"",_xll.meProductSwapParRate(_xll.meUtilityLVBFromKeysValues($P$5:$AP$5,$P28:$AP28))),"Please Load Yield Curves")</f>
        <v>1.1616405264396146E-3</v>
      </c>
      <c r="AT28" s="139">
        <f ca="1">IF(AND(NOW(),isEUR3MLLoaded),IF(OR($D28="",$D28=0),"",_xll.meProductSwapPV(_xll.meUtilityLVBFromKeysValues($N$5:$AQ$5,$N28:$AQ28))),"Please Load Yield Curves")</f>
        <v>7042.7952230223809</v>
      </c>
      <c r="AU28" s="139">
        <f ca="1">IF(AND(NOW(),isEUR3MLLoaded),IF(OR($D28="",$D28=0),"",_xll.meProductSwapPV01(_xll.meUtilityLVBFromKeysValues($N$5:$AO$5,$N28:$AO28))),"Please Load Yield Curves")</f>
        <v>606.28008947038791</v>
      </c>
      <c r="AV28" s="196">
        <f ca="1">IF(AND(NOW(),isEUR3MLLoaded),IF(OR($D28="",$D28=0),"",_xll.meProductSwapDV01(_xll.meUtilityLVBFromKeysValues($N$5:$AQ$5,$N28:$AQ28))),"Please Load Yield Curves")</f>
        <v>606.58363620426223</v>
      </c>
      <c r="AW28" s="48"/>
      <c r="AX28" s="150" t="s">
        <v>54</v>
      </c>
      <c r="AY28" s="185">
        <f ca="1">'EUR BASIS 6ML'!J40*10000</f>
        <v>13.9</v>
      </c>
      <c r="AZ28" s="184">
        <f t="shared" ca="1" si="28"/>
        <v>-4.0171988131831871E-11</v>
      </c>
      <c r="BA28" s="190">
        <f t="shared" ca="1" si="16"/>
        <v>2.4355476671189535E-4</v>
      </c>
    </row>
    <row r="29" spans="1:53" x14ac:dyDescent="0.25">
      <c r="A29" s="114">
        <v>5</v>
      </c>
      <c r="B29" s="132">
        <f ca="1">IF(OR(D29="",D29=0),"",_xll.meDateFromTenor(COB,C29,$T29,$U29))</f>
        <v>42523</v>
      </c>
      <c r="C29" s="140" t="s">
        <v>191</v>
      </c>
      <c r="D29" s="134">
        <v>1000000</v>
      </c>
      <c r="E29" s="134" t="s">
        <v>17</v>
      </c>
      <c r="F29" s="135" t="s">
        <v>176</v>
      </c>
      <c r="G29" s="136" t="s">
        <v>55</v>
      </c>
      <c r="H29" s="137">
        <v>0</v>
      </c>
      <c r="I29" s="167" t="s">
        <v>205</v>
      </c>
      <c r="J29" s="371">
        <v>13.7</v>
      </c>
      <c r="K29" s="137">
        <v>-2.6099999999999999E-3</v>
      </c>
      <c r="L29" s="136" t="s">
        <v>193</v>
      </c>
      <c r="M29" s="200"/>
      <c r="N29" s="280">
        <f t="shared" si="17"/>
        <v>1000000</v>
      </c>
      <c r="O29" s="253" t="str">
        <f t="shared" si="18"/>
        <v>PAYER</v>
      </c>
      <c r="P29" s="256">
        <f t="shared" ca="1" si="19"/>
        <v>42523</v>
      </c>
      <c r="Q29" s="256" t="str">
        <f t="shared" si="20"/>
        <v>7Y</v>
      </c>
      <c r="R29" s="250" t="s">
        <v>26</v>
      </c>
      <c r="S29" s="255" t="s">
        <v>20</v>
      </c>
      <c r="T29" s="250" t="s">
        <v>22</v>
      </c>
      <c r="U29" s="250" t="s">
        <v>2</v>
      </c>
      <c r="V29" s="256"/>
      <c r="W29" s="256"/>
      <c r="X29" s="257">
        <f t="shared" ca="1" si="21"/>
        <v>2</v>
      </c>
      <c r="Y29" s="258" t="s">
        <v>177</v>
      </c>
      <c r="Z29" s="255" t="s">
        <v>178</v>
      </c>
      <c r="AA29" s="253" t="str">
        <f t="shared" si="14"/>
        <v>EUR3ML</v>
      </c>
      <c r="AB29" s="257" t="str">
        <f t="shared" si="22"/>
        <v>Quarterly</v>
      </c>
      <c r="AC29" s="255" t="s">
        <v>6</v>
      </c>
      <c r="AD29" s="250" t="s">
        <v>22</v>
      </c>
      <c r="AE29" s="250" t="s">
        <v>2</v>
      </c>
      <c r="AF29" s="256"/>
      <c r="AG29" s="256"/>
      <c r="AH29" s="257">
        <f t="shared" ca="1" si="23"/>
        <v>2</v>
      </c>
      <c r="AI29" s="258" t="s">
        <v>177</v>
      </c>
      <c r="AJ29" s="259">
        <f t="shared" si="24"/>
        <v>-2.6099999999999999E-3</v>
      </c>
      <c r="AK29" s="260"/>
      <c r="AL29" s="258" t="s">
        <v>177</v>
      </c>
      <c r="AM29" s="255" t="s">
        <v>178</v>
      </c>
      <c r="AN29" s="256" t="str">
        <f t="shared" si="25"/>
        <v>EURYC</v>
      </c>
      <c r="AO29" s="253" t="str">
        <f t="shared" si="26"/>
        <v>EURDF_NOCSA</v>
      </c>
      <c r="AP29" s="261">
        <f t="shared" ca="1" si="15"/>
        <v>13.7</v>
      </c>
      <c r="AQ29" s="272">
        <f t="shared" si="27"/>
        <v>0</v>
      </c>
      <c r="AR29" s="224" t="s">
        <v>4</v>
      </c>
      <c r="AS29" s="181">
        <f ca="1">IF(AND(NOW(),isEUR3MLLoaded),IF(OR($D29="",$D29=0),"",_xll.meProductSwapParRate(_xll.meUtilityLVBFromKeysValues($P$5:$AP$5,$P29:$AP29))),"Please Load Yield Curves")</f>
        <v>2.2918834513089592E-3</v>
      </c>
      <c r="AT29" s="139">
        <f ca="1">IF(AND(NOW(),isEUR3MLLoaded),IF(OR($D29="",$D29=0),"",_xll.meProductSwapPV(_xll.meUtilityLVBFromKeysValues($N$5:$AQ$5,$N29:$AQ29))),"Please Load Yield Curves")</f>
        <v>16197.975582200024</v>
      </c>
      <c r="AU29" s="139">
        <f ca="1">IF(AND(NOW(),isEUR3MLLoaded),IF(OR($D29="",$D29=0),"",_xll.meProductSwapPV01(_xll.meUtilityLVBFromKeysValues($N$5:$AO$5,$N29:$AO29))),"Please Load Yield Curves")</f>
        <v>706.75389592559361</v>
      </c>
      <c r="AV29" s="196">
        <f ca="1">IF(AND(NOW(),isEUR3MLLoaded),IF(OR($D29="",$D29=0),"",_xll.meProductSwapDV01(_xll.meUtilityLVBFromKeysValues($N$5:$AQ$5,$N29:$AQ29))),"Please Load Yield Curves")</f>
        <v>717.93388117282495</v>
      </c>
      <c r="AW29" s="48"/>
      <c r="AX29" s="150" t="s">
        <v>55</v>
      </c>
      <c r="AY29" s="185">
        <f ca="1">'EUR BASIS 6ML'!J41*10000</f>
        <v>13.7</v>
      </c>
      <c r="AZ29" s="184">
        <f t="shared" ca="1" si="28"/>
        <v>1.1568803640754632E-11</v>
      </c>
      <c r="BA29" s="190">
        <f t="shared" ca="1" si="16"/>
        <v>-8.1762971603893675E-5</v>
      </c>
    </row>
    <row r="30" spans="1:53" x14ac:dyDescent="0.25">
      <c r="A30" s="114">
        <v>6</v>
      </c>
      <c r="B30" s="132">
        <f ca="1">IF(OR(D30="",D30=0),"",_xll.meDateFromTenor(COB,C30,$T30,$U30))</f>
        <v>42523</v>
      </c>
      <c r="C30" s="140" t="s">
        <v>191</v>
      </c>
      <c r="D30" s="134">
        <v>1000000</v>
      </c>
      <c r="E30" s="134" t="s">
        <v>17</v>
      </c>
      <c r="F30" s="135" t="s">
        <v>176</v>
      </c>
      <c r="G30" s="136" t="s">
        <v>57</v>
      </c>
      <c r="H30" s="137">
        <v>0</v>
      </c>
      <c r="I30" s="167" t="s">
        <v>205</v>
      </c>
      <c r="J30" s="371">
        <v>13.249999999999998</v>
      </c>
      <c r="K30" s="137">
        <v>-2.6099999999999999E-3</v>
      </c>
      <c r="L30" s="136" t="s">
        <v>193</v>
      </c>
      <c r="M30" s="200"/>
      <c r="N30" s="280">
        <f t="shared" si="17"/>
        <v>1000000</v>
      </c>
      <c r="O30" s="253" t="str">
        <f t="shared" si="18"/>
        <v>PAYER</v>
      </c>
      <c r="P30" s="256">
        <f t="shared" ca="1" si="19"/>
        <v>42523</v>
      </c>
      <c r="Q30" s="256" t="str">
        <f t="shared" si="20"/>
        <v>8Y</v>
      </c>
      <c r="R30" s="250" t="s">
        <v>26</v>
      </c>
      <c r="S30" s="255" t="s">
        <v>20</v>
      </c>
      <c r="T30" s="250" t="s">
        <v>22</v>
      </c>
      <c r="U30" s="250" t="s">
        <v>2</v>
      </c>
      <c r="V30" s="256"/>
      <c r="W30" s="256"/>
      <c r="X30" s="257">
        <f t="shared" ca="1" si="21"/>
        <v>2</v>
      </c>
      <c r="Y30" s="258" t="s">
        <v>177</v>
      </c>
      <c r="Z30" s="255" t="s">
        <v>178</v>
      </c>
      <c r="AA30" s="253" t="str">
        <f t="shared" si="14"/>
        <v>EUR3ML</v>
      </c>
      <c r="AB30" s="257" t="str">
        <f t="shared" si="22"/>
        <v>Quarterly</v>
      </c>
      <c r="AC30" s="255" t="s">
        <v>6</v>
      </c>
      <c r="AD30" s="250" t="s">
        <v>22</v>
      </c>
      <c r="AE30" s="250" t="s">
        <v>2</v>
      </c>
      <c r="AF30" s="256"/>
      <c r="AG30" s="256"/>
      <c r="AH30" s="257">
        <f t="shared" ca="1" si="23"/>
        <v>2</v>
      </c>
      <c r="AI30" s="258" t="s">
        <v>177</v>
      </c>
      <c r="AJ30" s="259">
        <f t="shared" si="24"/>
        <v>-2.6099999999999999E-3</v>
      </c>
      <c r="AK30" s="260"/>
      <c r="AL30" s="258" t="s">
        <v>177</v>
      </c>
      <c r="AM30" s="255" t="s">
        <v>178</v>
      </c>
      <c r="AN30" s="256" t="str">
        <f t="shared" si="25"/>
        <v>EURYC</v>
      </c>
      <c r="AO30" s="253" t="str">
        <f t="shared" si="26"/>
        <v>EURDF_NOCSA</v>
      </c>
      <c r="AP30" s="261">
        <f t="shared" ca="1" si="15"/>
        <v>13.249999999999998</v>
      </c>
      <c r="AQ30" s="272">
        <f t="shared" si="27"/>
        <v>0</v>
      </c>
      <c r="AR30" s="224" t="s">
        <v>4</v>
      </c>
      <c r="AS30" s="181">
        <f ca="1">IF(AND(NOW(),isEUR3MLLoaded),IF(OR($D30="",$D30=0),"",_xll.meProductSwapParRate(_xll.meUtilityLVBFromKeysValues($P$5:$AP$5,$P30:$AP30))),"Please Load Yield Curves")</f>
        <v>3.4722735421401306E-3</v>
      </c>
      <c r="AT30" s="139">
        <f ca="1">IF(AND(NOW(),isEUR3MLLoaded),IF(OR($D30="",$D30=0),"",_xll.meProductSwapPV(_xll.meUtilityLVBFromKeysValues($N$5:$AQ$5,$N30:$AQ30))),"Please Load Yield Curves")</f>
        <v>28006.636376219696</v>
      </c>
      <c r="AU30" s="139">
        <f ca="1">IF(AND(NOW(),isEUR3MLLoaded),IF(OR($D30="",$D30=0),"",_xll.meProductSwapPV01(_xll.meUtilityLVBFromKeysValues($N$5:$AO$5,$N30:$AO30))),"Please Load Yield Curves")</f>
        <v>806.57920628447516</v>
      </c>
      <c r="AV30" s="196">
        <f ca="1">IF(AND(NOW(),isEUR3MLLoaded),IF(OR($D30="",$D30=0),"",_xll.meProductSwapDV01(_xll.meUtilityLVBFromKeysValues($N$5:$AQ$5,$N30:$AQ30))),"Please Load Yield Curves")</f>
        <v>826.88703424678374</v>
      </c>
      <c r="AW30" s="48"/>
      <c r="AX30" s="150" t="s">
        <v>57</v>
      </c>
      <c r="AY30" s="185">
        <f ca="1">'EUR BASIS 6ML'!J42*10000</f>
        <v>13.249999999999998</v>
      </c>
      <c r="AZ30" s="184">
        <f t="shared" ca="1" si="28"/>
        <v>-6.6725218666324748E-11</v>
      </c>
      <c r="BA30" s="190">
        <f t="shared" ca="1" si="16"/>
        <v>5.3819173990632407E-4</v>
      </c>
    </row>
    <row r="31" spans="1:53" x14ac:dyDescent="0.25">
      <c r="A31" s="114">
        <v>7</v>
      </c>
      <c r="B31" s="132">
        <f ca="1">IF(OR(D31="",D31=0),"",_xll.meDateFromTenor(COB,C31,$T31,$U31))</f>
        <v>42523</v>
      </c>
      <c r="C31" s="140" t="s">
        <v>191</v>
      </c>
      <c r="D31" s="134">
        <v>1000000</v>
      </c>
      <c r="E31" s="134" t="s">
        <v>17</v>
      </c>
      <c r="F31" s="135" t="s">
        <v>176</v>
      </c>
      <c r="G31" s="136" t="s">
        <v>59</v>
      </c>
      <c r="H31" s="137">
        <v>0</v>
      </c>
      <c r="I31" s="167" t="s">
        <v>205</v>
      </c>
      <c r="J31" s="371">
        <v>12.599999999999998</v>
      </c>
      <c r="K31" s="137">
        <v>-2.6099999999999999E-3</v>
      </c>
      <c r="L31" s="136" t="s">
        <v>193</v>
      </c>
      <c r="M31" s="200"/>
      <c r="N31" s="280">
        <f t="shared" si="17"/>
        <v>1000000</v>
      </c>
      <c r="O31" s="253" t="str">
        <f t="shared" si="18"/>
        <v>PAYER</v>
      </c>
      <c r="P31" s="256">
        <f t="shared" ca="1" si="19"/>
        <v>42523</v>
      </c>
      <c r="Q31" s="256" t="str">
        <f t="shared" si="20"/>
        <v>9Y</v>
      </c>
      <c r="R31" s="250" t="s">
        <v>26</v>
      </c>
      <c r="S31" s="255" t="s">
        <v>20</v>
      </c>
      <c r="T31" s="250" t="s">
        <v>22</v>
      </c>
      <c r="U31" s="250" t="s">
        <v>2</v>
      </c>
      <c r="V31" s="256"/>
      <c r="W31" s="256"/>
      <c r="X31" s="257">
        <f t="shared" ca="1" si="21"/>
        <v>2</v>
      </c>
      <c r="Y31" s="258" t="s">
        <v>177</v>
      </c>
      <c r="Z31" s="255" t="s">
        <v>178</v>
      </c>
      <c r="AA31" s="253" t="str">
        <f t="shared" si="14"/>
        <v>EUR3ML</v>
      </c>
      <c r="AB31" s="257" t="str">
        <f t="shared" si="22"/>
        <v>Quarterly</v>
      </c>
      <c r="AC31" s="255" t="s">
        <v>6</v>
      </c>
      <c r="AD31" s="250" t="s">
        <v>22</v>
      </c>
      <c r="AE31" s="250" t="s">
        <v>2</v>
      </c>
      <c r="AF31" s="256"/>
      <c r="AG31" s="256"/>
      <c r="AH31" s="257">
        <f t="shared" ca="1" si="23"/>
        <v>2</v>
      </c>
      <c r="AI31" s="258" t="s">
        <v>177</v>
      </c>
      <c r="AJ31" s="259">
        <f t="shared" si="24"/>
        <v>-2.6099999999999999E-3</v>
      </c>
      <c r="AK31" s="260"/>
      <c r="AL31" s="258" t="s">
        <v>177</v>
      </c>
      <c r="AM31" s="255" t="s">
        <v>178</v>
      </c>
      <c r="AN31" s="256" t="str">
        <f t="shared" si="25"/>
        <v>EURYC</v>
      </c>
      <c r="AO31" s="253" t="str">
        <f t="shared" si="26"/>
        <v>EURDF_NOCSA</v>
      </c>
      <c r="AP31" s="261">
        <f t="shared" ca="1" si="15"/>
        <v>12.599999999999998</v>
      </c>
      <c r="AQ31" s="272">
        <f t="shared" si="27"/>
        <v>0</v>
      </c>
      <c r="AR31" s="224" t="s">
        <v>4</v>
      </c>
      <c r="AS31" s="181">
        <f ca="1">IF(AND(NOW(),isEUR3MLLoaded),IF(OR($D31="",$D31=0),"",_xll.meProductSwapParRate(_xll.meUtilityLVBFromKeysValues($P$5:$AP$5,$P31:$AP31))),"Please Load Yield Curves")</f>
        <v>4.6017974406403189E-3</v>
      </c>
      <c r="AT31" s="139">
        <f ca="1">IF(AND(NOW(),isEUR3MLLoaded),IF(OR($D31="",$D31=0),"",_xll.meProductSwapPV(_xll.meUtilityLVBFromKeysValues($N$5:$AQ$5,$N31:$AQ31))),"Please Load Yield Curves")</f>
        <v>41632.685038027841</v>
      </c>
      <c r="AU31" s="139">
        <f ca="1">IF(AND(NOW(),isEUR3MLLoaded),IF(OR($D31="",$D31=0),"",_xll.meProductSwapPV01(_xll.meUtilityLVBFromKeysValues($N$5:$AO$5,$N31:$AO31))),"Please Load Yield Curves")</f>
        <v>904.70485880914498</v>
      </c>
      <c r="AV31" s="196">
        <f ca="1">IF(AND(NOW(),isEUR3MLLoaded),IF(OR($D31="",$D31=0),"",_xll.meProductSwapDV01(_xll.meUtilityLVBFromKeysValues($N$5:$AQ$5,$N31:$AQ31))),"Please Load Yield Curves")</f>
        <v>936.96260130280575</v>
      </c>
      <c r="AW31" s="48"/>
      <c r="AX31" s="150" t="s">
        <v>59</v>
      </c>
      <c r="AY31" s="185">
        <f ca="1">'EUR BASIS 6ML'!J43*10000</f>
        <v>12.599999999999998</v>
      </c>
      <c r="AZ31" s="184">
        <f t="shared" ca="1" si="28"/>
        <v>6.1972866942372473E-11</v>
      </c>
      <c r="BA31" s="190">
        <f t="shared" ca="1" si="16"/>
        <v>-5.6067154218908399E-4</v>
      </c>
    </row>
    <row r="32" spans="1:53" x14ac:dyDescent="0.25">
      <c r="A32" s="114">
        <v>8</v>
      </c>
      <c r="B32" s="132">
        <f ca="1">IF(OR(D32="",D32=0),"",_xll.meDateFromTenor(COB,C32,$T32,$U32))</f>
        <v>42523</v>
      </c>
      <c r="C32" s="140" t="s">
        <v>191</v>
      </c>
      <c r="D32" s="134">
        <v>1000000</v>
      </c>
      <c r="E32" s="134" t="s">
        <v>17</v>
      </c>
      <c r="F32" s="135" t="s">
        <v>176</v>
      </c>
      <c r="G32" s="136" t="s">
        <v>60</v>
      </c>
      <c r="H32" s="137">
        <v>0</v>
      </c>
      <c r="I32" s="167" t="s">
        <v>205</v>
      </c>
      <c r="J32" s="371">
        <v>11.899999999999999</v>
      </c>
      <c r="K32" s="137">
        <v>-2.6099999999999999E-3</v>
      </c>
      <c r="L32" s="136" t="s">
        <v>193</v>
      </c>
      <c r="M32" s="200"/>
      <c r="N32" s="280">
        <f t="shared" si="17"/>
        <v>1000000</v>
      </c>
      <c r="O32" s="253" t="str">
        <f t="shared" si="18"/>
        <v>PAYER</v>
      </c>
      <c r="P32" s="256">
        <f t="shared" ca="1" si="19"/>
        <v>42523</v>
      </c>
      <c r="Q32" s="256" t="str">
        <f t="shared" si="20"/>
        <v>10Y</v>
      </c>
      <c r="R32" s="250" t="s">
        <v>26</v>
      </c>
      <c r="S32" s="255" t="s">
        <v>20</v>
      </c>
      <c r="T32" s="250" t="s">
        <v>22</v>
      </c>
      <c r="U32" s="250" t="s">
        <v>2</v>
      </c>
      <c r="V32" s="256"/>
      <c r="W32" s="256"/>
      <c r="X32" s="257">
        <f t="shared" ca="1" si="21"/>
        <v>2</v>
      </c>
      <c r="Y32" s="258" t="s">
        <v>177</v>
      </c>
      <c r="Z32" s="255" t="s">
        <v>178</v>
      </c>
      <c r="AA32" s="253" t="str">
        <f t="shared" si="14"/>
        <v>EUR3ML</v>
      </c>
      <c r="AB32" s="257" t="str">
        <f t="shared" si="22"/>
        <v>Quarterly</v>
      </c>
      <c r="AC32" s="255" t="s">
        <v>6</v>
      </c>
      <c r="AD32" s="250" t="s">
        <v>22</v>
      </c>
      <c r="AE32" s="250" t="s">
        <v>2</v>
      </c>
      <c r="AF32" s="256"/>
      <c r="AG32" s="256"/>
      <c r="AH32" s="257">
        <f t="shared" ca="1" si="23"/>
        <v>2</v>
      </c>
      <c r="AI32" s="258" t="s">
        <v>177</v>
      </c>
      <c r="AJ32" s="259">
        <f t="shared" si="24"/>
        <v>-2.6099999999999999E-3</v>
      </c>
      <c r="AK32" s="260"/>
      <c r="AL32" s="258" t="s">
        <v>177</v>
      </c>
      <c r="AM32" s="255" t="s">
        <v>178</v>
      </c>
      <c r="AN32" s="256" t="str">
        <f t="shared" si="25"/>
        <v>EURYC</v>
      </c>
      <c r="AO32" s="253" t="str">
        <f t="shared" si="26"/>
        <v>EURDF_NOCSA</v>
      </c>
      <c r="AP32" s="261">
        <f t="shared" ca="1" si="15"/>
        <v>11.899999999999999</v>
      </c>
      <c r="AQ32" s="272">
        <f t="shared" si="27"/>
        <v>0</v>
      </c>
      <c r="AR32" s="224" t="s">
        <v>4</v>
      </c>
      <c r="AS32" s="181">
        <f ca="1">IF(AND(NOW(),isEUR3MLLoaded),IF(OR($D32="",$D32=0),"",_xll.meProductSwapParRate(_xll.meUtilityLVBFromKeysValues($P$5:$AP$5,$P32:$AP32))),"Please Load Yield Curves")</f>
        <v>5.6511506214625409E-3</v>
      </c>
      <c r="AT32" s="139">
        <f ca="1">IF(AND(NOW(),isEUR3MLLoaded),IF(OR($D32="",$D32=0),"",_xll.meProductSwapPV(_xll.meUtilityLVBFromKeysValues($N$5:$AQ$5,$N32:$AQ32))),"Please Load Yield Curves")</f>
        <v>56614.35853455191</v>
      </c>
      <c r="AU32" s="139">
        <f ca="1">IF(AND(NOW(),isEUR3MLLoaded),IF(OR($D32="",$D32=0),"",_xll.meProductSwapPV01(_xll.meUtilityLVBFromKeysValues($N$5:$AO$5,$N32:$AO32))),"Please Load Yield Curves")</f>
        <v>1001.8200243953131</v>
      </c>
      <c r="AV32" s="196">
        <f ca="1">IF(AND(NOW(),isEUR3MLLoaded),IF(OR($D32="",$D32=0),"",_xll.meProductSwapDV01(_xll.meUtilityLVBFromKeysValues($N$5:$AQ$5,$N32:$AQ32))),"Please Load Yield Curves")</f>
        <v>1048.7317425098277</v>
      </c>
      <c r="AW32" s="48"/>
      <c r="AX32" s="150" t="s">
        <v>60</v>
      </c>
      <c r="AY32" s="185">
        <f ca="1">'EUR BASIS 6ML'!J44*10000</f>
        <v>11.899999999999999</v>
      </c>
      <c r="AZ32" s="184">
        <f t="shared" ca="1" si="28"/>
        <v>-4.1133545874982858E-10</v>
      </c>
      <c r="BA32" s="190">
        <f t="shared" ca="1" si="16"/>
        <v>4.1208409893442877E-3</v>
      </c>
    </row>
    <row r="33" spans="1:55" x14ac:dyDescent="0.25">
      <c r="A33" s="114">
        <v>9</v>
      </c>
      <c r="B33" s="132">
        <f ca="1">IF(OR(D33="",D33=0),"",_xll.meDateFromTenor(COB,C33,$T33,$U33))</f>
        <v>42523</v>
      </c>
      <c r="C33" s="140" t="s">
        <v>191</v>
      </c>
      <c r="D33" s="134">
        <v>1000000</v>
      </c>
      <c r="E33" s="134" t="s">
        <v>17</v>
      </c>
      <c r="F33" s="135" t="s">
        <v>176</v>
      </c>
      <c r="G33" s="136" t="s">
        <v>61</v>
      </c>
      <c r="H33" s="137">
        <v>0</v>
      </c>
      <c r="I33" s="167" t="s">
        <v>205</v>
      </c>
      <c r="J33" s="371">
        <v>11.25</v>
      </c>
      <c r="K33" s="137">
        <v>-2.6099999999999999E-3</v>
      </c>
      <c r="L33" s="136" t="s">
        <v>193</v>
      </c>
      <c r="M33" s="200"/>
      <c r="N33" s="280">
        <f t="shared" si="17"/>
        <v>1000000</v>
      </c>
      <c r="O33" s="253" t="str">
        <f t="shared" si="18"/>
        <v>PAYER</v>
      </c>
      <c r="P33" s="256">
        <f t="shared" ca="1" si="19"/>
        <v>42523</v>
      </c>
      <c r="Q33" s="256" t="str">
        <f t="shared" si="20"/>
        <v>11Y</v>
      </c>
      <c r="R33" s="250" t="s">
        <v>26</v>
      </c>
      <c r="S33" s="255" t="s">
        <v>20</v>
      </c>
      <c r="T33" s="250" t="s">
        <v>22</v>
      </c>
      <c r="U33" s="250" t="s">
        <v>2</v>
      </c>
      <c r="V33" s="256"/>
      <c r="W33" s="256"/>
      <c r="X33" s="257">
        <f t="shared" ca="1" si="21"/>
        <v>2</v>
      </c>
      <c r="Y33" s="258" t="s">
        <v>177</v>
      </c>
      <c r="Z33" s="255" t="s">
        <v>178</v>
      </c>
      <c r="AA33" s="253" t="str">
        <f t="shared" si="14"/>
        <v>EUR3ML</v>
      </c>
      <c r="AB33" s="257" t="str">
        <f t="shared" si="22"/>
        <v>Quarterly</v>
      </c>
      <c r="AC33" s="255" t="s">
        <v>6</v>
      </c>
      <c r="AD33" s="250" t="s">
        <v>22</v>
      </c>
      <c r="AE33" s="250" t="s">
        <v>2</v>
      </c>
      <c r="AF33" s="256"/>
      <c r="AG33" s="256"/>
      <c r="AH33" s="257">
        <f t="shared" ca="1" si="23"/>
        <v>2</v>
      </c>
      <c r="AI33" s="258" t="s">
        <v>177</v>
      </c>
      <c r="AJ33" s="259">
        <f t="shared" si="24"/>
        <v>-2.6099999999999999E-3</v>
      </c>
      <c r="AK33" s="260"/>
      <c r="AL33" s="258" t="s">
        <v>177</v>
      </c>
      <c r="AM33" s="255" t="s">
        <v>178</v>
      </c>
      <c r="AN33" s="256" t="str">
        <f t="shared" si="25"/>
        <v>EURYC</v>
      </c>
      <c r="AO33" s="253" t="str">
        <f t="shared" si="26"/>
        <v>EURDF_NOCSA</v>
      </c>
      <c r="AP33" s="261">
        <f t="shared" ca="1" si="15"/>
        <v>11.25</v>
      </c>
      <c r="AQ33" s="272">
        <f t="shared" si="27"/>
        <v>0</v>
      </c>
      <c r="AR33" s="224" t="s">
        <v>4</v>
      </c>
      <c r="AS33" s="181">
        <f ca="1">IF(AND(NOW(),isEUR3MLLoaded),IF(OR($D33="",$D33=0),"",_xll.meProductSwapParRate(_xll.meUtilityLVBFromKeysValues($P$5:$AP$5,$P33:$AP33))),"Please Load Yield Curves")</f>
        <v>6.5763612011114332E-3</v>
      </c>
      <c r="AT33" s="139">
        <f ca="1">IF(AND(NOW(),isEUR3MLLoaded),IF(OR($D33="",$D33=0),"",_xll.meProductSwapPV(_xll.meUtilityLVBFromKeysValues($N$5:$AQ$5,$N33:$AQ33))),"Please Load Yield Curves")</f>
        <v>72176.755377618581</v>
      </c>
      <c r="AU33" s="139">
        <f ca="1">IF(AND(NOW(),isEUR3MLLoaded),IF(OR($D33="",$D33=0),"",_xll.meProductSwapPV01(_xll.meUtilityLVBFromKeysValues($N$5:$AO$5,$N33:$AO33))),"Please Load Yield Curves")</f>
        <v>1097.5181132906814</v>
      </c>
      <c r="AV33" s="196">
        <f ca="1">IF(AND(NOW(),isEUR3MLLoaded),IF(OR($D33="",$D33=0),"",_xll.meProductSwapDV01(_xll.meUtilityLVBFromKeysValues($N$5:$AQ$5,$N33:$AQ33))),"Please Load Yield Curves")</f>
        <v>1161.2041317993694</v>
      </c>
      <c r="AW33" s="48"/>
      <c r="AX33" s="150" t="s">
        <v>61</v>
      </c>
      <c r="AY33" s="185">
        <f ca="1">'EUR BASIS 6ML'!J45*10000</f>
        <v>11.25</v>
      </c>
      <c r="AZ33" s="184">
        <f t="shared" ca="1" si="28"/>
        <v>1.7573801528586452E-10</v>
      </c>
      <c r="BA33" s="190">
        <f t="shared" ca="1" si="16"/>
        <v>-1.9287565519334748E-3</v>
      </c>
    </row>
    <row r="34" spans="1:55" x14ac:dyDescent="0.25">
      <c r="A34" s="114">
        <v>10</v>
      </c>
      <c r="B34" s="132">
        <f ca="1">IF(OR(D34="",D34=0),"",_xll.meDateFromTenor(COB,C34,$T34,$U34))</f>
        <v>42523</v>
      </c>
      <c r="C34" s="140" t="s">
        <v>191</v>
      </c>
      <c r="D34" s="134">
        <v>1000000</v>
      </c>
      <c r="E34" s="134" t="s">
        <v>17</v>
      </c>
      <c r="F34" s="135" t="s">
        <v>176</v>
      </c>
      <c r="G34" s="136" t="s">
        <v>62</v>
      </c>
      <c r="H34" s="137">
        <v>0</v>
      </c>
      <c r="I34" s="167" t="s">
        <v>205</v>
      </c>
      <c r="J34" s="371">
        <v>10.649999999999997</v>
      </c>
      <c r="K34" s="137">
        <v>-2.6099999999999999E-3</v>
      </c>
      <c r="L34" s="136" t="s">
        <v>193</v>
      </c>
      <c r="M34" s="200"/>
      <c r="N34" s="280">
        <f t="shared" si="17"/>
        <v>1000000</v>
      </c>
      <c r="O34" s="253" t="str">
        <f t="shared" si="18"/>
        <v>PAYER</v>
      </c>
      <c r="P34" s="256">
        <f t="shared" ca="1" si="19"/>
        <v>42523</v>
      </c>
      <c r="Q34" s="256" t="str">
        <f t="shared" si="20"/>
        <v>12Y</v>
      </c>
      <c r="R34" s="250" t="s">
        <v>26</v>
      </c>
      <c r="S34" s="255" t="s">
        <v>20</v>
      </c>
      <c r="T34" s="250" t="s">
        <v>22</v>
      </c>
      <c r="U34" s="250" t="s">
        <v>2</v>
      </c>
      <c r="V34" s="256"/>
      <c r="W34" s="256"/>
      <c r="X34" s="257">
        <f t="shared" ca="1" si="21"/>
        <v>2</v>
      </c>
      <c r="Y34" s="258" t="s">
        <v>177</v>
      </c>
      <c r="Z34" s="255" t="s">
        <v>178</v>
      </c>
      <c r="AA34" s="253" t="str">
        <f t="shared" si="14"/>
        <v>EUR3ML</v>
      </c>
      <c r="AB34" s="257" t="str">
        <f t="shared" si="22"/>
        <v>Quarterly</v>
      </c>
      <c r="AC34" s="255" t="s">
        <v>6</v>
      </c>
      <c r="AD34" s="250" t="s">
        <v>22</v>
      </c>
      <c r="AE34" s="250" t="s">
        <v>2</v>
      </c>
      <c r="AF34" s="256"/>
      <c r="AG34" s="256"/>
      <c r="AH34" s="257">
        <f t="shared" ca="1" si="23"/>
        <v>2</v>
      </c>
      <c r="AI34" s="258" t="s">
        <v>177</v>
      </c>
      <c r="AJ34" s="259">
        <f t="shared" si="24"/>
        <v>-2.6099999999999999E-3</v>
      </c>
      <c r="AK34" s="260"/>
      <c r="AL34" s="258" t="s">
        <v>177</v>
      </c>
      <c r="AM34" s="255" t="s">
        <v>178</v>
      </c>
      <c r="AN34" s="256" t="str">
        <f t="shared" si="25"/>
        <v>EURYC</v>
      </c>
      <c r="AO34" s="253" t="str">
        <f t="shared" si="26"/>
        <v>EURDF_NOCSA</v>
      </c>
      <c r="AP34" s="261">
        <f t="shared" ca="1" si="15"/>
        <v>10.649999999999997</v>
      </c>
      <c r="AQ34" s="272">
        <f t="shared" si="27"/>
        <v>0</v>
      </c>
      <c r="AR34" s="224" t="s">
        <v>4</v>
      </c>
      <c r="AS34" s="181">
        <f ca="1">IF(AND(NOW(),isEUR3MLLoaded),IF(OR($D34="",$D34=0),"",_xll.meProductSwapParRate(_xll.meUtilityLVBFromKeysValues($P$5:$AP$5,$P34:$AP34))),"Please Load Yield Curves")</f>
        <v>7.4284543474910153E-3</v>
      </c>
      <c r="AT34" s="139">
        <f ca="1">IF(AND(NOW(),isEUR3MLLoaded),IF(OR($D34="",$D34=0),"",_xll.meProductSwapPV(_xll.meUtilityLVBFromKeysValues($N$5:$AQ$5,$N34:$AQ34))),"Please Load Yield Curves")</f>
        <v>88528.663243283168</v>
      </c>
      <c r="AU34" s="139">
        <f ca="1">IF(AND(NOW(),isEUR3MLLoaded),IF(OR($D34="",$D34=0),"",_xll.meProductSwapPV01(_xll.meUtilityLVBFromKeysValues($N$5:$AO$5,$N34:$AO34))),"Please Load Yield Curves")</f>
        <v>1191.750788280526</v>
      </c>
      <c r="AV34" s="196">
        <f ca="1">IF(AND(NOW(),isEUR3MLLoaded),IF(OR($D34="",$D34=0),"",_xll.meProductSwapDV01(_xll.meUtilityLVBFromKeysValues($N$5:$AQ$5,$N34:$AQ34))),"Please Load Yield Curves")</f>
        <v>1274.6825810015289</v>
      </c>
      <c r="AW34" s="48"/>
      <c r="AX34" s="150" t="s">
        <v>62</v>
      </c>
      <c r="AY34" s="185">
        <f ca="1">'EUR BASIS 6ML'!J46*10000</f>
        <v>10.649999999999997</v>
      </c>
      <c r="AZ34" s="184">
        <f t="shared" ca="1" si="28"/>
        <v>-2.8143648956452383E-10</v>
      </c>
      <c r="BA34" s="190">
        <f t="shared" ca="1" si="16"/>
        <v>3.3540215808898211E-3</v>
      </c>
    </row>
    <row r="35" spans="1:55" x14ac:dyDescent="0.25">
      <c r="A35" s="114">
        <v>11</v>
      </c>
      <c r="B35" s="132">
        <f ca="1">IF(OR(D35="",D35=0),"",_xll.meDateFromTenor(COB,C35,$T35,$U35))</f>
        <v>42523</v>
      </c>
      <c r="C35" s="140" t="s">
        <v>191</v>
      </c>
      <c r="D35" s="134">
        <v>1000000</v>
      </c>
      <c r="E35" s="134" t="s">
        <v>17</v>
      </c>
      <c r="F35" s="135" t="s">
        <v>176</v>
      </c>
      <c r="G35" s="136" t="s">
        <v>63</v>
      </c>
      <c r="H35" s="137">
        <v>0</v>
      </c>
      <c r="I35" s="167" t="s">
        <v>205</v>
      </c>
      <c r="J35" s="371">
        <v>9.0999999999999979</v>
      </c>
      <c r="K35" s="137">
        <v>-2.6099999999999999E-3</v>
      </c>
      <c r="L35" s="136" t="s">
        <v>193</v>
      </c>
      <c r="M35" s="200"/>
      <c r="N35" s="280">
        <f t="shared" si="17"/>
        <v>1000000</v>
      </c>
      <c r="O35" s="253" t="str">
        <f t="shared" si="18"/>
        <v>PAYER</v>
      </c>
      <c r="P35" s="256">
        <f t="shared" ca="1" si="19"/>
        <v>42523</v>
      </c>
      <c r="Q35" s="256" t="str">
        <f t="shared" si="20"/>
        <v>15Y</v>
      </c>
      <c r="R35" s="250" t="s">
        <v>26</v>
      </c>
      <c r="S35" s="255" t="s">
        <v>20</v>
      </c>
      <c r="T35" s="250" t="s">
        <v>22</v>
      </c>
      <c r="U35" s="250" t="s">
        <v>2</v>
      </c>
      <c r="V35" s="256"/>
      <c r="W35" s="256"/>
      <c r="X35" s="257">
        <f t="shared" ca="1" si="21"/>
        <v>2</v>
      </c>
      <c r="Y35" s="258" t="s">
        <v>177</v>
      </c>
      <c r="Z35" s="255" t="s">
        <v>178</v>
      </c>
      <c r="AA35" s="253" t="str">
        <f t="shared" si="14"/>
        <v>EUR3ML</v>
      </c>
      <c r="AB35" s="257" t="str">
        <f t="shared" si="22"/>
        <v>Quarterly</v>
      </c>
      <c r="AC35" s="255" t="s">
        <v>6</v>
      </c>
      <c r="AD35" s="250" t="s">
        <v>22</v>
      </c>
      <c r="AE35" s="250" t="s">
        <v>2</v>
      </c>
      <c r="AF35" s="256"/>
      <c r="AG35" s="256"/>
      <c r="AH35" s="257">
        <f t="shared" ca="1" si="23"/>
        <v>2</v>
      </c>
      <c r="AI35" s="258" t="s">
        <v>177</v>
      </c>
      <c r="AJ35" s="259">
        <f t="shared" si="24"/>
        <v>-2.6099999999999999E-3</v>
      </c>
      <c r="AK35" s="260"/>
      <c r="AL35" s="258" t="s">
        <v>177</v>
      </c>
      <c r="AM35" s="255" t="s">
        <v>178</v>
      </c>
      <c r="AN35" s="256" t="str">
        <f t="shared" si="25"/>
        <v>EURYC</v>
      </c>
      <c r="AO35" s="253" t="str">
        <f t="shared" si="26"/>
        <v>EURDF_NOCSA</v>
      </c>
      <c r="AP35" s="261">
        <f t="shared" ca="1" si="15"/>
        <v>9.0999999999999979</v>
      </c>
      <c r="AQ35" s="272">
        <f t="shared" si="27"/>
        <v>0</v>
      </c>
      <c r="AR35" s="224" t="s">
        <v>4</v>
      </c>
      <c r="AS35" s="181">
        <f ca="1">IF(AND(NOW(),isEUR3MLLoaded),IF(OR($D35="",$D35=0),"",_xll.meProductSwapParRate(_xll.meUtilityLVBFromKeysValues($P$5:$AP$5,$P35:$AP35))),"Please Load Yield Curves")</f>
        <v>9.3581531993717736E-3</v>
      </c>
      <c r="AT35" s="139">
        <f ca="1">IF(AND(NOW(),isEUR3MLLoaded),IF(OR($D35="",$D35=0),"",_xll.meProductSwapPV(_xll.meUtilityLVBFromKeysValues($N$5:$AQ$5,$N35:$AQ35))),"Please Load Yield Curves")</f>
        <v>137152.67185235757</v>
      </c>
      <c r="AU35" s="139">
        <f ca="1">IF(AND(NOW(),isEUR3MLLoaded),IF(OR($D35="",$D35=0),"",_xll.meProductSwapPV01(_xll.meUtilityLVBFromKeysValues($N$5:$AO$5,$N35:$AO35))),"Please Load Yield Curves")</f>
        <v>1465.5954622692336</v>
      </c>
      <c r="AV35" s="196">
        <f ca="1">IF(AND(NOW(),isEUR3MLLoaded),IF(OR($D35="",$D35=0),"",_xll.meProductSwapDV01(_xll.meUtilityLVBFromKeysValues($N$5:$AQ$5,$N35:$AQ35))),"Please Load Yield Curves")</f>
        <v>1615.4218605544672</v>
      </c>
      <c r="AW35" s="48"/>
      <c r="AX35" s="150" t="s">
        <v>63</v>
      </c>
      <c r="AY35" s="185">
        <f ca="1">'EUR BASIS 6ML'!J47*10000</f>
        <v>9.0999999999999979</v>
      </c>
      <c r="AZ35" s="184">
        <f t="shared" ca="1" si="28"/>
        <v>-1.2030289958664397E-12</v>
      </c>
      <c r="BA35" s="190">
        <f t="shared" ca="1" si="16"/>
        <v>3.2277932914439589E-3</v>
      </c>
    </row>
    <row r="36" spans="1:55" x14ac:dyDescent="0.25">
      <c r="A36" s="114">
        <v>12</v>
      </c>
      <c r="B36" s="132">
        <f ca="1">IF(OR(D36="",D36=0),"",_xll.meDateFromTenor(COB,C36,$T36,$U36))</f>
        <v>42523</v>
      </c>
      <c r="C36" s="140" t="s">
        <v>191</v>
      </c>
      <c r="D36" s="134">
        <v>1000000</v>
      </c>
      <c r="E36" s="134" t="s">
        <v>17</v>
      </c>
      <c r="F36" s="135" t="s">
        <v>176</v>
      </c>
      <c r="G36" s="136" t="s">
        <v>64</v>
      </c>
      <c r="H36" s="137">
        <v>0</v>
      </c>
      <c r="I36" s="167" t="s">
        <v>205</v>
      </c>
      <c r="J36" s="371">
        <v>7.0999999999999979</v>
      </c>
      <c r="K36" s="137">
        <v>-2.6099999999999999E-3</v>
      </c>
      <c r="L36" s="136" t="s">
        <v>193</v>
      </c>
      <c r="M36" s="200"/>
      <c r="N36" s="280">
        <f t="shared" si="17"/>
        <v>1000000</v>
      </c>
      <c r="O36" s="253" t="str">
        <f t="shared" si="18"/>
        <v>PAYER</v>
      </c>
      <c r="P36" s="256">
        <f t="shared" ca="1" si="19"/>
        <v>42523</v>
      </c>
      <c r="Q36" s="256" t="str">
        <f t="shared" si="20"/>
        <v>20Y</v>
      </c>
      <c r="R36" s="250" t="s">
        <v>26</v>
      </c>
      <c r="S36" s="255" t="s">
        <v>20</v>
      </c>
      <c r="T36" s="250" t="s">
        <v>22</v>
      </c>
      <c r="U36" s="250" t="s">
        <v>2</v>
      </c>
      <c r="V36" s="256"/>
      <c r="W36" s="256"/>
      <c r="X36" s="257">
        <f t="shared" ca="1" si="21"/>
        <v>2</v>
      </c>
      <c r="Y36" s="258" t="s">
        <v>177</v>
      </c>
      <c r="Z36" s="255" t="s">
        <v>178</v>
      </c>
      <c r="AA36" s="253" t="str">
        <f t="shared" si="14"/>
        <v>EUR3ML</v>
      </c>
      <c r="AB36" s="257" t="str">
        <f t="shared" si="22"/>
        <v>Quarterly</v>
      </c>
      <c r="AC36" s="255" t="s">
        <v>6</v>
      </c>
      <c r="AD36" s="250" t="s">
        <v>22</v>
      </c>
      <c r="AE36" s="250" t="s">
        <v>2</v>
      </c>
      <c r="AF36" s="256"/>
      <c r="AG36" s="256"/>
      <c r="AH36" s="257">
        <f t="shared" ca="1" si="23"/>
        <v>2</v>
      </c>
      <c r="AI36" s="258" t="s">
        <v>177</v>
      </c>
      <c r="AJ36" s="259">
        <f t="shared" si="24"/>
        <v>-2.6099999999999999E-3</v>
      </c>
      <c r="AK36" s="260"/>
      <c r="AL36" s="258" t="s">
        <v>177</v>
      </c>
      <c r="AM36" s="255" t="s">
        <v>178</v>
      </c>
      <c r="AN36" s="256" t="str">
        <f t="shared" si="25"/>
        <v>EURYC</v>
      </c>
      <c r="AO36" s="253" t="str">
        <f t="shared" si="26"/>
        <v>EURDF_NOCSA</v>
      </c>
      <c r="AP36" s="261">
        <f t="shared" ca="1" si="15"/>
        <v>7.0999999999999979</v>
      </c>
      <c r="AQ36" s="272">
        <f t="shared" si="27"/>
        <v>0</v>
      </c>
      <c r="AR36" s="224" t="s">
        <v>4</v>
      </c>
      <c r="AS36" s="181">
        <f ca="1">IF(AND(NOW(),isEUR3MLLoaded),IF(OR($D36="",$D36=0),"",_xll.meProductSwapParRate(_xll.meUtilityLVBFromKeysValues($P$5:$AP$5,$P36:$AP36))),"Please Load Yield Curves")</f>
        <v>1.0890278567947947E-2</v>
      </c>
      <c r="AT36" s="139">
        <f ca="1">IF(AND(NOW(),isEUR3MLLoaded),IF(OR($D36="",$D36=0),"",_xll.meProductSwapPV(_xll.meUtilityLVBFromKeysValues($N$5:$AQ$5,$N36:$AQ36))),"Please Load Yield Curves")</f>
        <v>206291.16039337279</v>
      </c>
      <c r="AU36" s="139">
        <f ca="1">IF(AND(NOW(),isEUR3MLLoaded),IF(OR($D36="",$D36=0),"",_xll.meProductSwapPV01(_xll.meUtilityLVBFromKeysValues($N$5:$AO$5,$N36:$AO36))),"Please Load Yield Curves")</f>
        <v>1894.2689032815456</v>
      </c>
      <c r="AV36" s="196">
        <f ca="1">IF(AND(NOW(),isEUR3MLLoaded),IF(OR($D36="",$D36=0),"",_xll.meProductSwapDV01(_xll.meUtilityLVBFromKeysValues($N$5:$AQ$5,$N36:$AQ36))),"Please Load Yield Curves")</f>
        <v>2166.7882610364527</v>
      </c>
      <c r="AW36" s="48"/>
      <c r="AX36" s="150" t="s">
        <v>64</v>
      </c>
      <c r="AY36" s="185">
        <f ca="1">'EUR BASIS 6ML'!J48*10000</f>
        <v>7.0999999999999979</v>
      </c>
      <c r="AZ36" s="184">
        <f t="shared" ca="1" si="28"/>
        <v>-1.7646381231251063E-10</v>
      </c>
      <c r="BA36" s="190">
        <f t="shared" ca="1" si="16"/>
        <v>3.3426991140004247E-3</v>
      </c>
    </row>
    <row r="37" spans="1:55" x14ac:dyDescent="0.25">
      <c r="A37" s="114">
        <v>13</v>
      </c>
      <c r="B37" s="132">
        <f ca="1">IF(OR(D37="",D37=0),"",_xll.meDateFromTenor(COB,C37,$T37,$U37))</f>
        <v>42523</v>
      </c>
      <c r="C37" s="140" t="s">
        <v>191</v>
      </c>
      <c r="D37" s="134">
        <v>1000000</v>
      </c>
      <c r="E37" s="134" t="s">
        <v>17</v>
      </c>
      <c r="F37" s="135" t="s">
        <v>176</v>
      </c>
      <c r="G37" s="136" t="s">
        <v>65</v>
      </c>
      <c r="H37" s="137">
        <v>0</v>
      </c>
      <c r="I37" s="167" t="s">
        <v>205</v>
      </c>
      <c r="J37" s="371">
        <v>5.8249999999999975</v>
      </c>
      <c r="K37" s="137">
        <v>-2.6099999999999999E-3</v>
      </c>
      <c r="L37" s="136" t="s">
        <v>193</v>
      </c>
      <c r="M37" s="200"/>
      <c r="N37" s="280">
        <f t="shared" si="17"/>
        <v>1000000</v>
      </c>
      <c r="O37" s="253" t="str">
        <f t="shared" si="18"/>
        <v>PAYER</v>
      </c>
      <c r="P37" s="256">
        <f t="shared" ca="1" si="19"/>
        <v>42523</v>
      </c>
      <c r="Q37" s="256" t="str">
        <f t="shared" si="20"/>
        <v>25Y</v>
      </c>
      <c r="R37" s="250" t="s">
        <v>26</v>
      </c>
      <c r="S37" s="255" t="s">
        <v>20</v>
      </c>
      <c r="T37" s="250" t="s">
        <v>22</v>
      </c>
      <c r="U37" s="250" t="s">
        <v>2</v>
      </c>
      <c r="V37" s="256"/>
      <c r="W37" s="256"/>
      <c r="X37" s="257">
        <f t="shared" ca="1" si="21"/>
        <v>2</v>
      </c>
      <c r="Y37" s="258" t="s">
        <v>177</v>
      </c>
      <c r="Z37" s="255" t="s">
        <v>178</v>
      </c>
      <c r="AA37" s="253" t="str">
        <f t="shared" si="14"/>
        <v>EUR3ML</v>
      </c>
      <c r="AB37" s="257" t="str">
        <f t="shared" si="22"/>
        <v>Quarterly</v>
      </c>
      <c r="AC37" s="255" t="s">
        <v>6</v>
      </c>
      <c r="AD37" s="250" t="s">
        <v>22</v>
      </c>
      <c r="AE37" s="250" t="s">
        <v>2</v>
      </c>
      <c r="AF37" s="256"/>
      <c r="AG37" s="256"/>
      <c r="AH37" s="257">
        <f t="shared" ca="1" si="23"/>
        <v>2</v>
      </c>
      <c r="AI37" s="258" t="s">
        <v>177</v>
      </c>
      <c r="AJ37" s="259">
        <f t="shared" si="24"/>
        <v>-2.6099999999999999E-3</v>
      </c>
      <c r="AK37" s="260"/>
      <c r="AL37" s="258" t="s">
        <v>177</v>
      </c>
      <c r="AM37" s="255" t="s">
        <v>178</v>
      </c>
      <c r="AN37" s="256" t="str">
        <f t="shared" si="25"/>
        <v>EURYC</v>
      </c>
      <c r="AO37" s="253" t="str">
        <f t="shared" si="26"/>
        <v>EURDF_NOCSA</v>
      </c>
      <c r="AP37" s="261">
        <f t="shared" ca="1" si="15"/>
        <v>5.8249999999999975</v>
      </c>
      <c r="AQ37" s="272">
        <f t="shared" si="27"/>
        <v>0</v>
      </c>
      <c r="AR37" s="224" t="s">
        <v>4</v>
      </c>
      <c r="AS37" s="181">
        <f ca="1">IF(AND(NOW(),isEUR3MLLoaded),IF(OR($D37="",$D37=0),"",_xll.meProductSwapParRate(_xll.meUtilityLVBFromKeysValues($P$5:$AP$5,$P37:$AP37))),"Please Load Yield Curves")</f>
        <v>1.1289774047186625E-2</v>
      </c>
      <c r="AT37" s="139">
        <f ca="1">IF(AND(NOW(),isEUR3MLLoaded),IF(OR($D37="",$D37=0),"",_xll.meProductSwapPV(_xll.meUtilityLVBFromKeysValues($N$5:$AQ$5,$N37:$AQ37))),"Please Load Yield Curves")</f>
        <v>259112.05782338587</v>
      </c>
      <c r="AU37" s="139">
        <f ca="1">IF(AND(NOW(),isEUR3MLLoaded),IF(OR($D37="",$D37=0),"",_xll.meProductSwapPV01(_xll.meUtilityLVBFromKeysValues($N$5:$AO$5,$N37:$AO37))),"Please Load Yield Curves")</f>
        <v>2295.1039941357158</v>
      </c>
      <c r="AV37" s="196">
        <f ca="1">IF(AND(NOW(),isEUR3MLLoaded),IF(OR($D37="",$D37=0),"",_xll.meProductSwapDV01(_xll.meUtilityLVBFromKeysValues($N$5:$AQ$5,$N37:$AQ37))),"Please Load Yield Curves")</f>
        <v>2688.3607553602092</v>
      </c>
      <c r="AW37" s="48"/>
      <c r="AX37" s="150" t="s">
        <v>65</v>
      </c>
      <c r="AY37" s="185">
        <f ca="1">'EUR BASIS 6ML'!J49*10000</f>
        <v>5.8249999999999975</v>
      </c>
      <c r="AZ37" s="184">
        <f t="shared" ca="1" si="28"/>
        <v>-2.3371443669262248E-12</v>
      </c>
      <c r="BA37" s="190">
        <f t="shared" ca="1" si="16"/>
        <v>2.7911480865441263E-3</v>
      </c>
    </row>
    <row r="38" spans="1:55" x14ac:dyDescent="0.25">
      <c r="A38" s="114">
        <v>14</v>
      </c>
      <c r="B38" s="141">
        <f ca="1">IF(OR(D38="",D38=0),"",_xll.meDateFromTenor(COB,C38,$T38,$U38))</f>
        <v>42523</v>
      </c>
      <c r="C38" s="142" t="s">
        <v>191</v>
      </c>
      <c r="D38" s="143">
        <v>1000000</v>
      </c>
      <c r="E38" s="143" t="s">
        <v>17</v>
      </c>
      <c r="F38" s="144" t="s">
        <v>176</v>
      </c>
      <c r="G38" s="145" t="s">
        <v>66</v>
      </c>
      <c r="H38" s="146">
        <v>0</v>
      </c>
      <c r="I38" s="168" t="s">
        <v>205</v>
      </c>
      <c r="J38" s="372">
        <v>4.8999999999999986</v>
      </c>
      <c r="K38" s="146">
        <v>-2.6099999999999999E-3</v>
      </c>
      <c r="L38" s="145" t="s">
        <v>193</v>
      </c>
      <c r="M38" s="200"/>
      <c r="N38" s="281">
        <f t="shared" si="17"/>
        <v>1000000</v>
      </c>
      <c r="O38" s="254" t="str">
        <f t="shared" si="18"/>
        <v>PAYER</v>
      </c>
      <c r="P38" s="148">
        <f t="shared" ca="1" si="19"/>
        <v>42523</v>
      </c>
      <c r="Q38" s="148" t="str">
        <f t="shared" si="20"/>
        <v>30Y</v>
      </c>
      <c r="R38" s="273" t="s">
        <v>26</v>
      </c>
      <c r="S38" s="274" t="s">
        <v>20</v>
      </c>
      <c r="T38" s="273" t="s">
        <v>22</v>
      </c>
      <c r="U38" s="273" t="s">
        <v>2</v>
      </c>
      <c r="V38" s="148"/>
      <c r="W38" s="148"/>
      <c r="X38" s="265">
        <f t="shared" ca="1" si="21"/>
        <v>2</v>
      </c>
      <c r="Y38" s="275" t="s">
        <v>177</v>
      </c>
      <c r="Z38" s="274" t="s">
        <v>178</v>
      </c>
      <c r="AA38" s="254" t="str">
        <f t="shared" si="14"/>
        <v>EUR3ML</v>
      </c>
      <c r="AB38" s="265" t="str">
        <f t="shared" si="22"/>
        <v>Quarterly</v>
      </c>
      <c r="AC38" s="274" t="s">
        <v>6</v>
      </c>
      <c r="AD38" s="273" t="s">
        <v>22</v>
      </c>
      <c r="AE38" s="273" t="s">
        <v>2</v>
      </c>
      <c r="AF38" s="148"/>
      <c r="AG38" s="148"/>
      <c r="AH38" s="265">
        <f t="shared" ca="1" si="23"/>
        <v>2</v>
      </c>
      <c r="AI38" s="275" t="s">
        <v>177</v>
      </c>
      <c r="AJ38" s="276">
        <f t="shared" si="24"/>
        <v>-2.6099999999999999E-3</v>
      </c>
      <c r="AK38" s="277"/>
      <c r="AL38" s="275" t="s">
        <v>177</v>
      </c>
      <c r="AM38" s="274" t="s">
        <v>178</v>
      </c>
      <c r="AN38" s="148" t="str">
        <f t="shared" si="25"/>
        <v>EURYC</v>
      </c>
      <c r="AO38" s="254" t="str">
        <f t="shared" si="26"/>
        <v>EURDF_NOCSA</v>
      </c>
      <c r="AP38" s="263">
        <f t="shared" ca="1" si="15"/>
        <v>4.8999999999999986</v>
      </c>
      <c r="AQ38" s="278">
        <f t="shared" si="27"/>
        <v>0</v>
      </c>
      <c r="AR38" s="224" t="s">
        <v>4</v>
      </c>
      <c r="AS38" s="182">
        <f ca="1">IF(AND(NOW(),isEUR3MLLoaded),IF(OR($D38="",$D38=0),"",_xll.meProductSwapParRate(_xll.meUtilityLVBFromKeysValues($P$5:$AP$5,$P38:$AP38))),"Please Load Yield Curves")</f>
        <v>1.1366455109878897E-2</v>
      </c>
      <c r="AT38" s="149">
        <f ca="1">IF(AND(NOW(),isEUR3MLLoaded),IF(OR($D38="",$D38=0),"",_xll.meProductSwapPV(_xll.meUtilityLVBFromKeysValues($N$5:$AQ$5,$N38:$AQ38))),"Please Load Yield Curves")</f>
        <v>303868.46466740296</v>
      </c>
      <c r="AU38" s="149">
        <f ca="1">IF(AND(NOW(),isEUR3MLLoaded),IF(OR($D38="",$D38=0),"",_xll.meProductSwapPV01(_xll.meUtilityLVBFromKeysValues($N$5:$AO$5,$N38:$AO38))),"Please Load Yield Curves")</f>
        <v>2673.3793582073149</v>
      </c>
      <c r="AV38" s="197">
        <f ca="1">IF(AND(NOW(),isEUR3MLLoaded),IF(OR($D38="",$D38=0),"",_xll.meProductSwapDV01(_xll.meUtilityLVBFromKeysValues($N$5:$AQ$5,$N38:$AQ38))),"Please Load Yield Curves")</f>
        <v>3192.0658253737079</v>
      </c>
      <c r="AW38" s="177"/>
      <c r="AX38" s="151" t="s">
        <v>66</v>
      </c>
      <c r="AY38" s="189">
        <f ca="1">'EUR BASIS 6ML'!J50*10000</f>
        <v>4.8999999999999986</v>
      </c>
      <c r="AZ38" s="193">
        <f t="shared" ca="1" si="28"/>
        <v>-1.0534446596294211E-9</v>
      </c>
      <c r="BA38" s="191">
        <f t="shared" ca="1" si="16"/>
        <v>2.816257206723094E-2</v>
      </c>
    </row>
    <row r="39" spans="1:55" x14ac:dyDescent="0.25">
      <c r="AR39" s="224" t="s">
        <v>4</v>
      </c>
    </row>
    <row r="40" spans="1:55" s="40" customFormat="1" x14ac:dyDescent="0.25">
      <c r="B40" s="40" t="s">
        <v>162</v>
      </c>
      <c r="N40" s="224" t="s">
        <v>282</v>
      </c>
      <c r="O40" s="224"/>
      <c r="P40" s="224"/>
      <c r="Q40" s="269"/>
      <c r="R40" s="269"/>
      <c r="S40" s="269"/>
      <c r="T40" s="269"/>
      <c r="U40" s="269"/>
      <c r="V40" s="269"/>
      <c r="W40" s="269"/>
      <c r="X40" s="269"/>
      <c r="Y40" s="269"/>
      <c r="Z40" s="269"/>
      <c r="AA40" s="269"/>
      <c r="AB40" s="269"/>
      <c r="AC40" s="269"/>
      <c r="AD40" s="269"/>
      <c r="AE40" s="269"/>
      <c r="AF40" s="269"/>
      <c r="AG40" s="269"/>
      <c r="AH40" s="269"/>
      <c r="AI40" s="269"/>
      <c r="AJ40" s="269"/>
      <c r="AK40" s="269"/>
      <c r="AL40" s="269"/>
      <c r="AM40" s="269"/>
      <c r="AN40" s="269"/>
      <c r="AO40" s="269"/>
      <c r="AP40" s="269"/>
      <c r="AQ40" s="269"/>
      <c r="AR40" s="224" t="s">
        <v>4</v>
      </c>
      <c r="AU40" s="178"/>
      <c r="AV40" s="178"/>
      <c r="AW40"/>
      <c r="AX40"/>
    </row>
    <row r="41" spans="1:55" ht="33" hidden="1" customHeight="1" outlineLevel="1" x14ac:dyDescent="0.25">
      <c r="B41" s="110" t="s">
        <v>179</v>
      </c>
      <c r="C41" s="111" t="s">
        <v>180</v>
      </c>
      <c r="D41" s="111" t="s">
        <v>175</v>
      </c>
      <c r="E41" s="111" t="s">
        <v>16</v>
      </c>
      <c r="F41" s="111" t="s">
        <v>181</v>
      </c>
      <c r="G41" s="111" t="s">
        <v>182</v>
      </c>
      <c r="H41" s="111" t="s">
        <v>183</v>
      </c>
      <c r="I41" s="111" t="s">
        <v>184</v>
      </c>
      <c r="J41" s="111" t="s">
        <v>185</v>
      </c>
      <c r="K41" s="111" t="s">
        <v>186</v>
      </c>
      <c r="L41" s="111" t="s">
        <v>187</v>
      </c>
      <c r="M41" s="200"/>
      <c r="N41" s="264" t="s">
        <v>175</v>
      </c>
      <c r="O41" s="251" t="s">
        <v>249</v>
      </c>
      <c r="P41" s="251" t="s">
        <v>250</v>
      </c>
      <c r="Q41" s="251" t="s">
        <v>251</v>
      </c>
      <c r="R41" s="251" t="s">
        <v>253</v>
      </c>
      <c r="S41" s="251" t="s">
        <v>254</v>
      </c>
      <c r="T41" s="251" t="s">
        <v>255</v>
      </c>
      <c r="U41" s="251" t="s">
        <v>256</v>
      </c>
      <c r="V41" s="251" t="s">
        <v>283</v>
      </c>
      <c r="W41" s="251" t="s">
        <v>284</v>
      </c>
      <c r="X41" s="251" t="s">
        <v>257</v>
      </c>
      <c r="Y41" s="251" t="s">
        <v>258</v>
      </c>
      <c r="Z41" s="251" t="s">
        <v>259</v>
      </c>
      <c r="AA41" s="251" t="s">
        <v>271</v>
      </c>
      <c r="AB41" s="251" t="s">
        <v>260</v>
      </c>
      <c r="AC41" s="251" t="s">
        <v>261</v>
      </c>
      <c r="AD41" s="251" t="s">
        <v>262</v>
      </c>
      <c r="AE41" s="251" t="s">
        <v>263</v>
      </c>
      <c r="AF41" s="251" t="s">
        <v>285</v>
      </c>
      <c r="AG41" s="251" t="s">
        <v>286</v>
      </c>
      <c r="AH41" s="251" t="s">
        <v>264</v>
      </c>
      <c r="AI41" s="251" t="s">
        <v>265</v>
      </c>
      <c r="AJ41" s="251" t="s">
        <v>266</v>
      </c>
      <c r="AK41" s="251" t="s">
        <v>267</v>
      </c>
      <c r="AL41" s="251" t="s">
        <v>268</v>
      </c>
      <c r="AM41" s="251" t="s">
        <v>270</v>
      </c>
      <c r="AN41" s="251" t="s">
        <v>80</v>
      </c>
      <c r="AO41" s="251" t="s">
        <v>272</v>
      </c>
      <c r="AP41" s="251" t="s">
        <v>269</v>
      </c>
      <c r="AQ41" s="252" t="s">
        <v>252</v>
      </c>
      <c r="AR41" s="224" t="s">
        <v>4</v>
      </c>
      <c r="AS41" s="179" t="s">
        <v>188</v>
      </c>
      <c r="AT41" s="112" t="s">
        <v>189</v>
      </c>
      <c r="AU41" s="112" t="s">
        <v>190</v>
      </c>
      <c r="AV41" s="113" t="s">
        <v>273</v>
      </c>
    </row>
    <row r="42" spans="1:55" hidden="1" outlineLevel="1" x14ac:dyDescent="0.25">
      <c r="A42" s="114">
        <v>1</v>
      </c>
      <c r="B42" s="115">
        <f ca="1">IF(OR(D42="",D42=0),"",_xll.meDateFromTenor(COB,C42,$T42,$U42))</f>
        <v>42523</v>
      </c>
      <c r="C42" s="116" t="s">
        <v>191</v>
      </c>
      <c r="D42" s="117">
        <v>1000000</v>
      </c>
      <c r="E42" s="117" t="s">
        <v>17</v>
      </c>
      <c r="F42" s="118" t="s">
        <v>229</v>
      </c>
      <c r="G42" s="119" t="s">
        <v>43</v>
      </c>
      <c r="H42" s="120">
        <v>0</v>
      </c>
      <c r="I42" s="166" t="s">
        <v>192</v>
      </c>
      <c r="J42" s="121">
        <v>0</v>
      </c>
      <c r="K42" s="120">
        <v>-1.5299999999999999E-3</v>
      </c>
      <c r="L42" s="119" t="s">
        <v>193</v>
      </c>
      <c r="M42" s="200"/>
      <c r="N42" s="279">
        <f>D42</f>
        <v>1000000</v>
      </c>
      <c r="O42" s="127" t="str">
        <f>F42</f>
        <v>RECEIVER</v>
      </c>
      <c r="P42" s="124">
        <f ca="1">B42</f>
        <v>42523</v>
      </c>
      <c r="Q42" s="124" t="str">
        <f>G42</f>
        <v>3Y</v>
      </c>
      <c r="R42" s="122" t="s">
        <v>26</v>
      </c>
      <c r="S42" s="123" t="s">
        <v>20</v>
      </c>
      <c r="T42" s="122" t="s">
        <v>22</v>
      </c>
      <c r="U42" s="122" t="s">
        <v>2</v>
      </c>
      <c r="V42" s="124"/>
      <c r="W42" s="124"/>
      <c r="X42" s="125">
        <f ca="1">IF($B42="","",DAY($B42))</f>
        <v>2</v>
      </c>
      <c r="Y42" s="126" t="s">
        <v>177</v>
      </c>
      <c r="Z42" s="123" t="s">
        <v>178</v>
      </c>
      <c r="AA42" s="127" t="str">
        <f t="shared" ref="AA42:AA55" si="29">$E42&amp;$I42</f>
        <v>EUR6ML</v>
      </c>
      <c r="AB42" s="125" t="str">
        <f>IF($I42="1ML","Monthly",IF($I42="3ML","Quarterly",IF($I42="6ML","Semi-Annual","Annual")))</f>
        <v>Semi-Annual</v>
      </c>
      <c r="AC42" s="123" t="s">
        <v>6</v>
      </c>
      <c r="AD42" s="122" t="s">
        <v>22</v>
      </c>
      <c r="AE42" s="122" t="s">
        <v>2</v>
      </c>
      <c r="AF42" s="124"/>
      <c r="AG42" s="124"/>
      <c r="AH42" s="125">
        <f ca="1">IF($B42="","",DAY($B42))</f>
        <v>2</v>
      </c>
      <c r="AI42" s="126" t="s">
        <v>177</v>
      </c>
      <c r="AJ42" s="129">
        <f>K42</f>
        <v>-1.5299999999999999E-3</v>
      </c>
      <c r="AK42" s="130"/>
      <c r="AL42" s="126" t="s">
        <v>177</v>
      </c>
      <c r="AM42" s="123" t="s">
        <v>178</v>
      </c>
      <c r="AN42" s="124" t="str">
        <f>E42&amp;"YC"</f>
        <v>EURYC</v>
      </c>
      <c r="AO42" s="127" t="str">
        <f>LEFT(AN42,3)&amp;"DF_"&amp;L42</f>
        <v>EURDF_NOCSA</v>
      </c>
      <c r="AP42" s="128">
        <f t="shared" ref="AP42:AP55" si="30">J42</f>
        <v>0</v>
      </c>
      <c r="AQ42" s="271">
        <f>H42</f>
        <v>0</v>
      </c>
      <c r="AR42" s="224" t="s">
        <v>4</v>
      </c>
      <c r="AS42" s="180">
        <f ca="1">IF(AND(NOW(),isEUR6MLLoaded),IF(OR($D42="",$D42=0),"",_xll.meProductSwapParRate(_xll.meUtilityLVBFromKeysValues($P$5:$AP$5,$P42:$AP42))),"Please Load Yield Curves")</f>
        <v>-1.3338913554866508E-3</v>
      </c>
      <c r="AT42" s="131">
        <f ca="1">IF(AND(NOW(),isEUR6MLLoaded),IF(OR($D42="",$D42=0),"",_xll.meProductSwapPV(_xll.meUtilityLVBFromKeysValues($N$5:$AQ$5,$N42:$AQ42))),"Please Load Yield Curves")</f>
        <v>4037.3660311285307</v>
      </c>
      <c r="AU42" s="131">
        <f ca="1">IF(AND(NOW(),isEUR6MLLoaded),IF(OR($D42="",$D42=0),"",_xll.meProductSwapPV01(_xll.meUtilityLVBFromKeysValues($N$5:$AO$5,$N42:$AO42))),"Please Load Yield Curves")</f>
        <v>302.67577749280463</v>
      </c>
      <c r="AV42" s="195">
        <f ca="1">IF(AND(NOW(),isEUR6MLLoaded),IF(OR($D42="",$D42=0),"",_xll.meProductSwapDV01(_xll.meUtilityLVBFromKeysValues($N$5:$AQ$5,$N42:$AQ42))),"Please Load Yield Curves")</f>
        <v>303.29591615682153</v>
      </c>
      <c r="BC42" s="170"/>
    </row>
    <row r="43" spans="1:55" hidden="1" outlineLevel="1" x14ac:dyDescent="0.25">
      <c r="A43" s="114">
        <v>2</v>
      </c>
      <c r="B43" s="132">
        <f ca="1">IF(OR(D43="",D43=0),"",_xll.meDateFromTenor(COB,C43,$T43,$U43))</f>
        <v>42523</v>
      </c>
      <c r="C43" s="133" t="s">
        <v>191</v>
      </c>
      <c r="D43" s="134">
        <v>1000000</v>
      </c>
      <c r="E43" s="134" t="s">
        <v>17</v>
      </c>
      <c r="F43" s="135" t="s">
        <v>229</v>
      </c>
      <c r="G43" s="136" t="s">
        <v>50</v>
      </c>
      <c r="H43" s="137">
        <v>0</v>
      </c>
      <c r="I43" s="167" t="s">
        <v>192</v>
      </c>
      <c r="J43" s="138">
        <v>0</v>
      </c>
      <c r="K43" s="137">
        <v>-1.5299999999999999E-3</v>
      </c>
      <c r="L43" s="136" t="s">
        <v>193</v>
      </c>
      <c r="M43" s="200"/>
      <c r="N43" s="280">
        <f t="shared" ref="N43:N55" si="31">D43</f>
        <v>1000000</v>
      </c>
      <c r="O43" s="253" t="str">
        <f t="shared" ref="O43:O55" si="32">F43</f>
        <v>RECEIVER</v>
      </c>
      <c r="P43" s="256">
        <f t="shared" ref="P43:P55" ca="1" si="33">B43</f>
        <v>42523</v>
      </c>
      <c r="Q43" s="256" t="str">
        <f t="shared" ref="Q43:Q55" si="34">G43</f>
        <v>4Y</v>
      </c>
      <c r="R43" s="250" t="s">
        <v>26</v>
      </c>
      <c r="S43" s="255" t="s">
        <v>20</v>
      </c>
      <c r="T43" s="250" t="s">
        <v>22</v>
      </c>
      <c r="U43" s="250" t="s">
        <v>2</v>
      </c>
      <c r="V43" s="256"/>
      <c r="W43" s="256"/>
      <c r="X43" s="257">
        <f t="shared" ref="X43:X55" ca="1" si="35">IF($B43="","",DAY($B43))</f>
        <v>2</v>
      </c>
      <c r="Y43" s="258" t="s">
        <v>177</v>
      </c>
      <c r="Z43" s="255" t="s">
        <v>178</v>
      </c>
      <c r="AA43" s="253" t="str">
        <f t="shared" si="29"/>
        <v>EUR6ML</v>
      </c>
      <c r="AB43" s="257" t="str">
        <f t="shared" ref="AB43:AB55" si="36">IF($I43="1ML","Monthly",IF($I43="3ML","Quarterly",IF($I43="6ML","Semi-Annual","Annual")))</f>
        <v>Semi-Annual</v>
      </c>
      <c r="AC43" s="255" t="s">
        <v>6</v>
      </c>
      <c r="AD43" s="250" t="s">
        <v>22</v>
      </c>
      <c r="AE43" s="250" t="s">
        <v>2</v>
      </c>
      <c r="AF43" s="256"/>
      <c r="AG43" s="256"/>
      <c r="AH43" s="257">
        <f t="shared" ref="AH43:AH55" ca="1" si="37">IF($B43="","",DAY($B43))</f>
        <v>2</v>
      </c>
      <c r="AI43" s="258" t="s">
        <v>177</v>
      </c>
      <c r="AJ43" s="259">
        <f t="shared" ref="AJ43:AJ55" si="38">K43</f>
        <v>-1.5299999999999999E-3</v>
      </c>
      <c r="AK43" s="260"/>
      <c r="AL43" s="258" t="s">
        <v>177</v>
      </c>
      <c r="AM43" s="255" t="s">
        <v>178</v>
      </c>
      <c r="AN43" s="256" t="str">
        <f t="shared" ref="AN43:AN55" si="39">E43&amp;"YC"</f>
        <v>EURYC</v>
      </c>
      <c r="AO43" s="253" t="str">
        <f t="shared" ref="AO43:AO55" si="40">LEFT(AN43,3)&amp;"DF_"&amp;L43</f>
        <v>EURDF_NOCSA</v>
      </c>
      <c r="AP43" s="261">
        <f t="shared" si="30"/>
        <v>0</v>
      </c>
      <c r="AQ43" s="272">
        <f t="shared" ref="AQ43:AQ55" si="41">H43</f>
        <v>0</v>
      </c>
      <c r="AR43" s="224" t="s">
        <v>4</v>
      </c>
      <c r="AS43" s="181">
        <f ca="1">IF(AND(NOW(),isEUR6MLLoaded),IF(OR($D43="",$D43=0),"",_xll.meProductSwapParRate(_xll.meUtilityLVBFromKeysValues($P$5:$AP$5,$P43:$AP43))),"Please Load Yield Curves")</f>
        <v>-6.8204964552800497E-4</v>
      </c>
      <c r="AT43" s="139">
        <f ca="1">IF(AND(NOW(),isEUR6MLLoaded),IF(OR($D43="",$D43=0),"",_xll.meProductSwapPV(_xll.meUtilityLVBFromKeysValues($N$5:$AQ$5,$N43:$AQ43))),"Please Load Yield Curves")</f>
        <v>2754.11521865848</v>
      </c>
      <c r="AU43" s="139">
        <f ca="1">IF(AND(NOW(),isEUR6MLLoaded),IF(OR($D43="",$D43=0),"",_xll.meProductSwapPV01(_xll.meUtilityLVBFromKeysValues($N$5:$AO$5,$N43:$AO43))),"Please Load Yield Curves")</f>
        <v>403.79981673128748</v>
      </c>
      <c r="AV43" s="196">
        <f ca="1">IF(AND(NOW(),isEUR6MLLoaded),IF(OR($D43="",$D43=0),"",_xll.meProductSwapDV01(_xll.meUtilityLVBFromKeysValues($N$5:$AQ$5,$N43:$AQ43))),"Please Load Yield Curves")</f>
        <v>403.92338952633065</v>
      </c>
    </row>
    <row r="44" spans="1:55" hidden="1" outlineLevel="1" x14ac:dyDescent="0.25">
      <c r="A44" s="114">
        <v>3</v>
      </c>
      <c r="B44" s="132">
        <f ca="1">IF(OR(D44="",D44=0),"",_xll.meDateFromTenor(COB,C44,$T44,$U44))</f>
        <v>42523</v>
      </c>
      <c r="C44" s="140" t="s">
        <v>191</v>
      </c>
      <c r="D44" s="134">
        <v>1000000</v>
      </c>
      <c r="E44" s="134" t="s">
        <v>17</v>
      </c>
      <c r="F44" s="135" t="s">
        <v>229</v>
      </c>
      <c r="G44" s="136" t="s">
        <v>52</v>
      </c>
      <c r="H44" s="137">
        <v>0</v>
      </c>
      <c r="I44" s="167" t="s">
        <v>192</v>
      </c>
      <c r="J44" s="138">
        <v>0</v>
      </c>
      <c r="K44" s="137">
        <v>-1.5299999999999999E-3</v>
      </c>
      <c r="L44" s="136" t="s">
        <v>193</v>
      </c>
      <c r="M44" s="200"/>
      <c r="N44" s="280">
        <f t="shared" si="31"/>
        <v>1000000</v>
      </c>
      <c r="O44" s="253" t="str">
        <f t="shared" si="32"/>
        <v>RECEIVER</v>
      </c>
      <c r="P44" s="256">
        <f t="shared" ca="1" si="33"/>
        <v>42523</v>
      </c>
      <c r="Q44" s="256" t="str">
        <f t="shared" si="34"/>
        <v>5Y</v>
      </c>
      <c r="R44" s="250" t="s">
        <v>26</v>
      </c>
      <c r="S44" s="255" t="s">
        <v>20</v>
      </c>
      <c r="T44" s="250" t="s">
        <v>22</v>
      </c>
      <c r="U44" s="250" t="s">
        <v>2</v>
      </c>
      <c r="V44" s="256"/>
      <c r="W44" s="256"/>
      <c r="X44" s="257">
        <f t="shared" ca="1" si="35"/>
        <v>2</v>
      </c>
      <c r="Y44" s="258" t="s">
        <v>177</v>
      </c>
      <c r="Z44" s="255" t="s">
        <v>178</v>
      </c>
      <c r="AA44" s="253" t="str">
        <f t="shared" si="29"/>
        <v>EUR6ML</v>
      </c>
      <c r="AB44" s="257" t="str">
        <f t="shared" si="36"/>
        <v>Semi-Annual</v>
      </c>
      <c r="AC44" s="255" t="s">
        <v>6</v>
      </c>
      <c r="AD44" s="250" t="s">
        <v>22</v>
      </c>
      <c r="AE44" s="250" t="s">
        <v>2</v>
      </c>
      <c r="AF44" s="256"/>
      <c r="AG44" s="256"/>
      <c r="AH44" s="257">
        <f t="shared" ca="1" si="37"/>
        <v>2</v>
      </c>
      <c r="AI44" s="258" t="s">
        <v>177</v>
      </c>
      <c r="AJ44" s="259">
        <f t="shared" si="38"/>
        <v>-1.5299999999999999E-3</v>
      </c>
      <c r="AK44" s="260"/>
      <c r="AL44" s="258" t="s">
        <v>177</v>
      </c>
      <c r="AM44" s="255" t="s">
        <v>178</v>
      </c>
      <c r="AN44" s="256" t="str">
        <f t="shared" si="39"/>
        <v>EURYC</v>
      </c>
      <c r="AO44" s="253" t="str">
        <f t="shared" si="40"/>
        <v>EURDF_NOCSA</v>
      </c>
      <c r="AP44" s="261">
        <f t="shared" si="30"/>
        <v>0</v>
      </c>
      <c r="AQ44" s="272">
        <f t="shared" si="41"/>
        <v>0</v>
      </c>
      <c r="AR44" s="224" t="s">
        <v>4</v>
      </c>
      <c r="AS44" s="181">
        <f ca="1">IF(AND(NOW(),isEUR6MLLoaded),IF(OR($D44="",$D44=0),"",_xll.meProductSwapParRate(_xll.meUtilityLVBFromKeysValues($P$5:$AP$5,$P44:$AP44))),"Please Load Yield Curves")</f>
        <v>1.61217212952107E-4</v>
      </c>
      <c r="AT44" s="139">
        <f ca="1">IF(AND(NOW(),isEUR6MLLoaded),IF(OR($D44="",$D44=0),"",_xll.meProductSwapPV(_xll.meUtilityLVBFromKeysValues($N$5:$AQ$5,$N44:$AQ44))),"Please Load Yield Curves")</f>
        <v>-814.4605539650986</v>
      </c>
      <c r="AU44" s="139">
        <f ca="1">IF(AND(NOW(),isEUR6MLLoaded),IF(OR($D44="",$D44=0),"",_xll.meProductSwapPV01(_xll.meUtilityLVBFromKeysValues($N$5:$AO$5,$N44:$AO44))),"Please Load Yield Curves")</f>
        <v>505.19453788538783</v>
      </c>
      <c r="AV44" s="196">
        <f ca="1">IF(AND(NOW(),isEUR6MLLoaded),IF(OR($D44="",$D44=0),"",_xll.meProductSwapDV01(_xll.meUtilityLVBFromKeysValues($N$5:$AQ$5,$N44:$AQ44))),"Please Load Yield Curves")</f>
        <v>503.60652252104842</v>
      </c>
      <c r="AW44" s="48"/>
    </row>
    <row r="45" spans="1:55" hidden="1" outlineLevel="1" x14ac:dyDescent="0.25">
      <c r="A45" s="114">
        <v>4</v>
      </c>
      <c r="B45" s="132">
        <f ca="1">IF(OR(D45="",D45=0),"",_xll.meDateFromTenor(COB,C45,$T45,$U45))</f>
        <v>42523</v>
      </c>
      <c r="C45" s="140" t="s">
        <v>191</v>
      </c>
      <c r="D45" s="134">
        <v>1000000</v>
      </c>
      <c r="E45" s="134" t="s">
        <v>17</v>
      </c>
      <c r="F45" s="135" t="s">
        <v>229</v>
      </c>
      <c r="G45" s="136" t="s">
        <v>54</v>
      </c>
      <c r="H45" s="137">
        <v>0</v>
      </c>
      <c r="I45" s="167" t="s">
        <v>192</v>
      </c>
      <c r="J45" s="138">
        <v>0</v>
      </c>
      <c r="K45" s="137">
        <v>-1.5299999999999999E-3</v>
      </c>
      <c r="L45" s="136" t="s">
        <v>193</v>
      </c>
      <c r="M45" s="200"/>
      <c r="N45" s="280">
        <f t="shared" si="31"/>
        <v>1000000</v>
      </c>
      <c r="O45" s="253" t="str">
        <f t="shared" si="32"/>
        <v>RECEIVER</v>
      </c>
      <c r="P45" s="256">
        <f t="shared" ca="1" si="33"/>
        <v>42523</v>
      </c>
      <c r="Q45" s="256" t="str">
        <f t="shared" si="34"/>
        <v>6Y</v>
      </c>
      <c r="R45" s="250" t="s">
        <v>26</v>
      </c>
      <c r="S45" s="255" t="s">
        <v>20</v>
      </c>
      <c r="T45" s="250" t="s">
        <v>22</v>
      </c>
      <c r="U45" s="250" t="s">
        <v>2</v>
      </c>
      <c r="V45" s="256"/>
      <c r="W45" s="256"/>
      <c r="X45" s="257">
        <f t="shared" ca="1" si="35"/>
        <v>2</v>
      </c>
      <c r="Y45" s="258" t="s">
        <v>177</v>
      </c>
      <c r="Z45" s="255" t="s">
        <v>178</v>
      </c>
      <c r="AA45" s="253" t="str">
        <f t="shared" si="29"/>
        <v>EUR6ML</v>
      </c>
      <c r="AB45" s="257" t="str">
        <f t="shared" si="36"/>
        <v>Semi-Annual</v>
      </c>
      <c r="AC45" s="255" t="s">
        <v>6</v>
      </c>
      <c r="AD45" s="250" t="s">
        <v>22</v>
      </c>
      <c r="AE45" s="250" t="s">
        <v>2</v>
      </c>
      <c r="AF45" s="256"/>
      <c r="AG45" s="256"/>
      <c r="AH45" s="257">
        <f t="shared" ca="1" si="37"/>
        <v>2</v>
      </c>
      <c r="AI45" s="258" t="s">
        <v>177</v>
      </c>
      <c r="AJ45" s="259">
        <f t="shared" si="38"/>
        <v>-1.5299999999999999E-3</v>
      </c>
      <c r="AK45" s="260"/>
      <c r="AL45" s="258" t="s">
        <v>177</v>
      </c>
      <c r="AM45" s="255" t="s">
        <v>178</v>
      </c>
      <c r="AN45" s="256" t="str">
        <f t="shared" si="39"/>
        <v>EURYC</v>
      </c>
      <c r="AO45" s="253" t="str">
        <f t="shared" si="40"/>
        <v>EURDF_NOCSA</v>
      </c>
      <c r="AP45" s="261">
        <f t="shared" si="30"/>
        <v>0</v>
      </c>
      <c r="AQ45" s="272">
        <f t="shared" si="41"/>
        <v>0</v>
      </c>
      <c r="AR45" s="224" t="s">
        <v>4</v>
      </c>
      <c r="AS45" s="181">
        <f ca="1">IF(AND(NOW(),isEUR6MLLoaded),IF(OR($D45="",$D45=0),"",_xll.meProductSwapParRate(_xll.meUtilityLVBFromKeysValues($P$5:$AP$5,$P45:$AP45))),"Please Load Yield Curves")</f>
        <v>1.1616404862676265E-3</v>
      </c>
      <c r="AT45" s="139">
        <f ca="1">IF(AND(NOW(),isEUR6MLLoaded),IF(OR($D45="",$D45=0),"",_xll.meProductSwapPV(_xll.meUtilityLVBFromKeysValues($N$5:$AQ$5,$N45:$AQ45))),"Please Load Yield Curves")</f>
        <v>-7042.7949794676142</v>
      </c>
      <c r="AU45" s="139">
        <f ca="1">IF(AND(NOW(),isEUR6MLLoaded),IF(OR($D45="",$D45=0),"",_xll.meProductSwapPV01(_xll.meUtilityLVBFromKeysValues($N$5:$AO$5,$N45:$AO45))),"Please Load Yield Curves")</f>
        <v>606.28008947038791</v>
      </c>
      <c r="AV45" s="196">
        <f ca="1">IF(AND(NOW(),isEUR6MLLoaded),IF(OR($D45="",$D45=0),"",_xll.meProductSwapDV01(_xll.meUtilityLVBFromKeysValues($N$5:$AQ$5,$N45:$AQ45))),"Please Load Yield Curves")</f>
        <v>601.09629010306469</v>
      </c>
      <c r="AW45" s="48"/>
    </row>
    <row r="46" spans="1:55" hidden="1" outlineLevel="1" x14ac:dyDescent="0.25">
      <c r="A46" s="114">
        <v>5</v>
      </c>
      <c r="B46" s="132">
        <f ca="1">IF(OR(D46="",D46=0),"",_xll.meDateFromTenor(COB,C46,$T46,$U46))</f>
        <v>42523</v>
      </c>
      <c r="C46" s="140" t="s">
        <v>191</v>
      </c>
      <c r="D46" s="134">
        <v>1000000</v>
      </c>
      <c r="E46" s="134" t="s">
        <v>17</v>
      </c>
      <c r="F46" s="135" t="s">
        <v>229</v>
      </c>
      <c r="G46" s="136" t="s">
        <v>55</v>
      </c>
      <c r="H46" s="137">
        <v>0</v>
      </c>
      <c r="I46" s="167" t="s">
        <v>192</v>
      </c>
      <c r="J46" s="138">
        <v>0</v>
      </c>
      <c r="K46" s="137">
        <v>-1.5299999999999999E-3</v>
      </c>
      <c r="L46" s="136" t="s">
        <v>193</v>
      </c>
      <c r="M46" s="200"/>
      <c r="N46" s="280">
        <f t="shared" si="31"/>
        <v>1000000</v>
      </c>
      <c r="O46" s="253" t="str">
        <f t="shared" si="32"/>
        <v>RECEIVER</v>
      </c>
      <c r="P46" s="256">
        <f t="shared" ca="1" si="33"/>
        <v>42523</v>
      </c>
      <c r="Q46" s="256" t="str">
        <f t="shared" si="34"/>
        <v>7Y</v>
      </c>
      <c r="R46" s="250" t="s">
        <v>26</v>
      </c>
      <c r="S46" s="255" t="s">
        <v>20</v>
      </c>
      <c r="T46" s="250" t="s">
        <v>22</v>
      </c>
      <c r="U46" s="250" t="s">
        <v>2</v>
      </c>
      <c r="V46" s="256"/>
      <c r="W46" s="256"/>
      <c r="X46" s="257">
        <f t="shared" ca="1" si="35"/>
        <v>2</v>
      </c>
      <c r="Y46" s="258" t="s">
        <v>177</v>
      </c>
      <c r="Z46" s="255" t="s">
        <v>178</v>
      </c>
      <c r="AA46" s="253" t="str">
        <f t="shared" si="29"/>
        <v>EUR6ML</v>
      </c>
      <c r="AB46" s="257" t="str">
        <f t="shared" si="36"/>
        <v>Semi-Annual</v>
      </c>
      <c r="AC46" s="255" t="s">
        <v>6</v>
      </c>
      <c r="AD46" s="250" t="s">
        <v>22</v>
      </c>
      <c r="AE46" s="250" t="s">
        <v>2</v>
      </c>
      <c r="AF46" s="256"/>
      <c r="AG46" s="256"/>
      <c r="AH46" s="257">
        <f t="shared" ca="1" si="37"/>
        <v>2</v>
      </c>
      <c r="AI46" s="258" t="s">
        <v>177</v>
      </c>
      <c r="AJ46" s="259">
        <f t="shared" si="38"/>
        <v>-1.5299999999999999E-3</v>
      </c>
      <c r="AK46" s="260"/>
      <c r="AL46" s="258" t="s">
        <v>177</v>
      </c>
      <c r="AM46" s="255" t="s">
        <v>178</v>
      </c>
      <c r="AN46" s="256" t="str">
        <f t="shared" si="39"/>
        <v>EURYC</v>
      </c>
      <c r="AO46" s="253" t="str">
        <f t="shared" si="40"/>
        <v>EURDF_NOCSA</v>
      </c>
      <c r="AP46" s="261">
        <f t="shared" si="30"/>
        <v>0</v>
      </c>
      <c r="AQ46" s="272">
        <f t="shared" si="41"/>
        <v>0</v>
      </c>
      <c r="AR46" s="224" t="s">
        <v>4</v>
      </c>
      <c r="AS46" s="181">
        <f ca="1">IF(AND(NOW(),isEUR6MLLoaded),IF(OR($D46="",$D46=0),"",_xll.meProductSwapParRate(_xll.meUtilityLVBFromKeysValues($P$5:$AP$5,$P46:$AP46))),"Please Load Yield Curves")</f>
        <v>2.2918834628777628E-3</v>
      </c>
      <c r="AT46" s="139">
        <f ca="1">IF(AND(NOW(),isEUR6MLLoaded),IF(OR($D46="",$D46=0),"",_xll.meProductSwapPV(_xll.meUtilityLVBFromKeysValues($N$5:$AQ$5,$N46:$AQ46))),"Please Load Yield Curves")</f>
        <v>-16197.975663962996</v>
      </c>
      <c r="AU46" s="139">
        <f ca="1">IF(AND(NOW(),isEUR6MLLoaded),IF(OR($D46="",$D46=0),"",_xll.meProductSwapPV01(_xll.meUtilityLVBFromKeysValues($N$5:$AO$5,$N46:$AO46))),"Please Load Yield Curves")</f>
        <v>706.75389592559361</v>
      </c>
      <c r="AV46" s="196">
        <f ca="1">IF(AND(NOW(),isEUR6MLLoaded),IF(OR($D46="",$D46=0),"",_xll.meProductSwapDV01(_xll.meUtilityLVBFromKeysValues($N$5:$AQ$5,$N46:$AQ46))),"Please Load Yield Curves")</f>
        <v>695.38898368729951</v>
      </c>
      <c r="AW46" s="48"/>
    </row>
    <row r="47" spans="1:55" hidden="1" outlineLevel="1" x14ac:dyDescent="0.25">
      <c r="A47" s="114">
        <v>6</v>
      </c>
      <c r="B47" s="132">
        <f ca="1">IF(OR(D47="",D47=0),"",_xll.meDateFromTenor(COB,C47,$T47,$U47))</f>
        <v>42523</v>
      </c>
      <c r="C47" s="140" t="s">
        <v>191</v>
      </c>
      <c r="D47" s="134">
        <v>1000000</v>
      </c>
      <c r="E47" s="134" t="s">
        <v>17</v>
      </c>
      <c r="F47" s="135" t="s">
        <v>229</v>
      </c>
      <c r="G47" s="136" t="s">
        <v>57</v>
      </c>
      <c r="H47" s="137">
        <v>0</v>
      </c>
      <c r="I47" s="167" t="s">
        <v>192</v>
      </c>
      <c r="J47" s="138">
        <v>0</v>
      </c>
      <c r="K47" s="137">
        <v>-1.5299999999999999E-3</v>
      </c>
      <c r="L47" s="136" t="s">
        <v>193</v>
      </c>
      <c r="M47" s="200"/>
      <c r="N47" s="280">
        <f t="shared" si="31"/>
        <v>1000000</v>
      </c>
      <c r="O47" s="253" t="str">
        <f t="shared" si="32"/>
        <v>RECEIVER</v>
      </c>
      <c r="P47" s="256">
        <f t="shared" ca="1" si="33"/>
        <v>42523</v>
      </c>
      <c r="Q47" s="256" t="str">
        <f t="shared" si="34"/>
        <v>8Y</v>
      </c>
      <c r="R47" s="250" t="s">
        <v>26</v>
      </c>
      <c r="S47" s="255" t="s">
        <v>20</v>
      </c>
      <c r="T47" s="250" t="s">
        <v>22</v>
      </c>
      <c r="U47" s="250" t="s">
        <v>2</v>
      </c>
      <c r="V47" s="256"/>
      <c r="W47" s="256"/>
      <c r="X47" s="257">
        <f t="shared" ca="1" si="35"/>
        <v>2</v>
      </c>
      <c r="Y47" s="258" t="s">
        <v>177</v>
      </c>
      <c r="Z47" s="255" t="s">
        <v>178</v>
      </c>
      <c r="AA47" s="253" t="str">
        <f t="shared" si="29"/>
        <v>EUR6ML</v>
      </c>
      <c r="AB47" s="257" t="str">
        <f t="shared" si="36"/>
        <v>Semi-Annual</v>
      </c>
      <c r="AC47" s="255" t="s">
        <v>6</v>
      </c>
      <c r="AD47" s="250" t="s">
        <v>22</v>
      </c>
      <c r="AE47" s="250" t="s">
        <v>2</v>
      </c>
      <c r="AF47" s="256"/>
      <c r="AG47" s="256"/>
      <c r="AH47" s="257">
        <f t="shared" ca="1" si="37"/>
        <v>2</v>
      </c>
      <c r="AI47" s="258" t="s">
        <v>177</v>
      </c>
      <c r="AJ47" s="259">
        <f t="shared" si="38"/>
        <v>-1.5299999999999999E-3</v>
      </c>
      <c r="AK47" s="260"/>
      <c r="AL47" s="258" t="s">
        <v>177</v>
      </c>
      <c r="AM47" s="255" t="s">
        <v>178</v>
      </c>
      <c r="AN47" s="256" t="str">
        <f t="shared" si="39"/>
        <v>EURYC</v>
      </c>
      <c r="AO47" s="253" t="str">
        <f t="shared" si="40"/>
        <v>EURDF_NOCSA</v>
      </c>
      <c r="AP47" s="261">
        <f t="shared" si="30"/>
        <v>0</v>
      </c>
      <c r="AQ47" s="272">
        <f t="shared" si="41"/>
        <v>0</v>
      </c>
      <c r="AR47" s="224" t="s">
        <v>4</v>
      </c>
      <c r="AS47" s="181">
        <f ca="1">IF(AND(NOW(),isEUR6MLLoaded),IF(OR($D47="",$D47=0),"",_xll.meProductSwapParRate(_xll.meUtilityLVBFromKeysValues($P$5:$AP$5,$P47:$AP47))),"Please Load Yield Curves")</f>
        <v>3.472273475414912E-3</v>
      </c>
      <c r="AT47" s="139">
        <f ca="1">IF(AND(NOW(),isEUR6MLLoaded),IF(OR($D47="",$D47=0),"",_xll.meProductSwapPV(_xll.meUtilityLVBFromKeysValues($N$5:$AQ$5,$N47:$AQ47))),"Please Load Yield Curves")</f>
        <v>-28006.635838027956</v>
      </c>
      <c r="AU47" s="139">
        <f ca="1">IF(AND(NOW(),isEUR6MLLoaded),IF(OR($D47="",$D47=0),"",_xll.meProductSwapPV01(_xll.meUtilityLVBFromKeysValues($N$5:$AO$5,$N47:$AO47))),"Please Load Yield Curves")</f>
        <v>806.57920628447516</v>
      </c>
      <c r="AV47" s="196">
        <f ca="1">IF(AND(NOW(),isEUR6MLLoaded),IF(OR($D47="",$D47=0),"",_xll.meProductSwapDV01(_xll.meUtilityLVBFromKeysValues($N$5:$AQ$5,$N47:$AQ47))),"Please Load Yield Curves")</f>
        <v>786.08507069628843</v>
      </c>
      <c r="AW47" s="48"/>
    </row>
    <row r="48" spans="1:55" hidden="1" outlineLevel="1" x14ac:dyDescent="0.25">
      <c r="A48" s="114">
        <v>7</v>
      </c>
      <c r="B48" s="132">
        <f ca="1">IF(OR(D48="",D48=0),"",_xll.meDateFromTenor(COB,C48,$T48,$U48))</f>
        <v>42523</v>
      </c>
      <c r="C48" s="140" t="s">
        <v>191</v>
      </c>
      <c r="D48" s="134">
        <v>1000000</v>
      </c>
      <c r="E48" s="134" t="s">
        <v>17</v>
      </c>
      <c r="F48" s="135" t="s">
        <v>229</v>
      </c>
      <c r="G48" s="136" t="s">
        <v>59</v>
      </c>
      <c r="H48" s="137">
        <v>0</v>
      </c>
      <c r="I48" s="167" t="s">
        <v>192</v>
      </c>
      <c r="J48" s="138">
        <v>0</v>
      </c>
      <c r="K48" s="137">
        <v>-1.5299999999999999E-3</v>
      </c>
      <c r="L48" s="136" t="s">
        <v>193</v>
      </c>
      <c r="M48" s="200"/>
      <c r="N48" s="280">
        <f t="shared" si="31"/>
        <v>1000000</v>
      </c>
      <c r="O48" s="253" t="str">
        <f t="shared" si="32"/>
        <v>RECEIVER</v>
      </c>
      <c r="P48" s="256">
        <f t="shared" ca="1" si="33"/>
        <v>42523</v>
      </c>
      <c r="Q48" s="256" t="str">
        <f t="shared" si="34"/>
        <v>9Y</v>
      </c>
      <c r="R48" s="250" t="s">
        <v>26</v>
      </c>
      <c r="S48" s="255" t="s">
        <v>20</v>
      </c>
      <c r="T48" s="250" t="s">
        <v>22</v>
      </c>
      <c r="U48" s="250" t="s">
        <v>2</v>
      </c>
      <c r="V48" s="256"/>
      <c r="W48" s="256"/>
      <c r="X48" s="257">
        <f t="shared" ca="1" si="35"/>
        <v>2</v>
      </c>
      <c r="Y48" s="258" t="s">
        <v>177</v>
      </c>
      <c r="Z48" s="255" t="s">
        <v>178</v>
      </c>
      <c r="AA48" s="253" t="str">
        <f t="shared" si="29"/>
        <v>EUR6ML</v>
      </c>
      <c r="AB48" s="257" t="str">
        <f t="shared" si="36"/>
        <v>Semi-Annual</v>
      </c>
      <c r="AC48" s="255" t="s">
        <v>6</v>
      </c>
      <c r="AD48" s="250" t="s">
        <v>22</v>
      </c>
      <c r="AE48" s="250" t="s">
        <v>2</v>
      </c>
      <c r="AF48" s="256"/>
      <c r="AG48" s="256"/>
      <c r="AH48" s="257">
        <f t="shared" ca="1" si="37"/>
        <v>2</v>
      </c>
      <c r="AI48" s="258" t="s">
        <v>177</v>
      </c>
      <c r="AJ48" s="259">
        <f t="shared" si="38"/>
        <v>-1.5299999999999999E-3</v>
      </c>
      <c r="AK48" s="260"/>
      <c r="AL48" s="258" t="s">
        <v>177</v>
      </c>
      <c r="AM48" s="255" t="s">
        <v>178</v>
      </c>
      <c r="AN48" s="256" t="str">
        <f t="shared" si="39"/>
        <v>EURYC</v>
      </c>
      <c r="AO48" s="253" t="str">
        <f t="shared" si="40"/>
        <v>EURDF_NOCSA</v>
      </c>
      <c r="AP48" s="261">
        <f t="shared" si="30"/>
        <v>0</v>
      </c>
      <c r="AQ48" s="272">
        <f t="shared" si="41"/>
        <v>0</v>
      </c>
      <c r="AR48" s="224" t="s">
        <v>4</v>
      </c>
      <c r="AS48" s="181">
        <f ca="1">IF(AND(NOW(),isEUR6MLLoaded),IF(OR($D48="",$D48=0),"",_xll.meProductSwapParRate(_xll.meUtilityLVBFromKeysValues($P$5:$AP$5,$P48:$AP48))),"Please Load Yield Curves")</f>
        <v>4.6017975026131858E-3</v>
      </c>
      <c r="AT48" s="139">
        <f ca="1">IF(AND(NOW(),isEUR6MLLoaded),IF(OR($D48="",$D48=0),"",_xll.meProductSwapPV(_xll.meUtilityLVBFromKeysValues($N$5:$AQ$5,$N48:$AQ48))),"Please Load Yield Curves")</f>
        <v>-41632.685598699383</v>
      </c>
      <c r="AU48" s="139">
        <f ca="1">IF(AND(NOW(),isEUR6MLLoaded),IF(OR($D48="",$D48=0),"",_xll.meProductSwapPV01(_xll.meUtilityLVBFromKeysValues($N$5:$AO$5,$N48:$AO48))),"Please Load Yield Curves")</f>
        <v>904.70485880914498</v>
      </c>
      <c r="AV48" s="196">
        <f ca="1">IF(AND(NOW(),isEUR6MLLoaded),IF(OR($D48="",$D48=0),"",_xll.meProductSwapDV01(_xll.meUtilityLVBFromKeysValues($N$5:$AQ$5,$N48:$AQ48))),"Please Load Yield Curves")</f>
        <v>872.34875569053224</v>
      </c>
      <c r="AW48" s="48"/>
    </row>
    <row r="49" spans="1:53" hidden="1" outlineLevel="1" x14ac:dyDescent="0.25">
      <c r="A49" s="114">
        <v>8</v>
      </c>
      <c r="B49" s="132">
        <f ca="1">IF(OR(D49="",D49=0),"",_xll.meDateFromTenor(COB,C49,$T49,$U49))</f>
        <v>42523</v>
      </c>
      <c r="C49" s="140" t="s">
        <v>191</v>
      </c>
      <c r="D49" s="134">
        <v>1000000</v>
      </c>
      <c r="E49" s="134" t="s">
        <v>17</v>
      </c>
      <c r="F49" s="135" t="s">
        <v>229</v>
      </c>
      <c r="G49" s="136" t="s">
        <v>60</v>
      </c>
      <c r="H49" s="137">
        <v>0</v>
      </c>
      <c r="I49" s="167" t="s">
        <v>192</v>
      </c>
      <c r="J49" s="138">
        <v>0</v>
      </c>
      <c r="K49" s="137">
        <v>-1.5299999999999999E-3</v>
      </c>
      <c r="L49" s="136" t="s">
        <v>193</v>
      </c>
      <c r="M49" s="200"/>
      <c r="N49" s="280">
        <f t="shared" si="31"/>
        <v>1000000</v>
      </c>
      <c r="O49" s="253" t="str">
        <f t="shared" si="32"/>
        <v>RECEIVER</v>
      </c>
      <c r="P49" s="256">
        <f t="shared" ca="1" si="33"/>
        <v>42523</v>
      </c>
      <c r="Q49" s="256" t="str">
        <f t="shared" si="34"/>
        <v>10Y</v>
      </c>
      <c r="R49" s="250" t="s">
        <v>26</v>
      </c>
      <c r="S49" s="255" t="s">
        <v>20</v>
      </c>
      <c r="T49" s="250" t="s">
        <v>22</v>
      </c>
      <c r="U49" s="250" t="s">
        <v>2</v>
      </c>
      <c r="V49" s="256"/>
      <c r="W49" s="256"/>
      <c r="X49" s="257">
        <f t="shared" ca="1" si="35"/>
        <v>2</v>
      </c>
      <c r="Y49" s="258" t="s">
        <v>177</v>
      </c>
      <c r="Z49" s="255" t="s">
        <v>178</v>
      </c>
      <c r="AA49" s="253" t="str">
        <f t="shared" si="29"/>
        <v>EUR6ML</v>
      </c>
      <c r="AB49" s="257" t="str">
        <f t="shared" si="36"/>
        <v>Semi-Annual</v>
      </c>
      <c r="AC49" s="255" t="s">
        <v>6</v>
      </c>
      <c r="AD49" s="250" t="s">
        <v>22</v>
      </c>
      <c r="AE49" s="250" t="s">
        <v>2</v>
      </c>
      <c r="AF49" s="256"/>
      <c r="AG49" s="256"/>
      <c r="AH49" s="257">
        <f t="shared" ca="1" si="37"/>
        <v>2</v>
      </c>
      <c r="AI49" s="258" t="s">
        <v>177</v>
      </c>
      <c r="AJ49" s="259">
        <f t="shared" si="38"/>
        <v>-1.5299999999999999E-3</v>
      </c>
      <c r="AK49" s="260"/>
      <c r="AL49" s="258" t="s">
        <v>177</v>
      </c>
      <c r="AM49" s="255" t="s">
        <v>178</v>
      </c>
      <c r="AN49" s="256" t="str">
        <f t="shared" si="39"/>
        <v>EURYC</v>
      </c>
      <c r="AO49" s="253" t="str">
        <f t="shared" si="40"/>
        <v>EURDF_NOCSA</v>
      </c>
      <c r="AP49" s="261">
        <f t="shared" si="30"/>
        <v>0</v>
      </c>
      <c r="AQ49" s="272">
        <f t="shared" si="41"/>
        <v>0</v>
      </c>
      <c r="AR49" s="224" t="s">
        <v>4</v>
      </c>
      <c r="AS49" s="181">
        <f ca="1">IF(AND(NOW(),isEUR6MLLoaded),IF(OR($D49="",$D49=0),"",_xll.meProductSwapParRate(_xll.meUtilityLVBFromKeysValues($P$5:$AP$5,$P49:$AP49))),"Please Load Yield Curves")</f>
        <v>5.6511502101270822E-3</v>
      </c>
      <c r="AT49" s="139">
        <f ca="1">IF(AND(NOW(),isEUR6MLLoaded),IF(OR($D49="",$D49=0),"",_xll.meProductSwapPV(_xll.meUtilityLVBFromKeysValues($N$5:$AQ$5,$N49:$AQ49))),"Please Load Yield Curves")</f>
        <v>-56614.35441371092</v>
      </c>
      <c r="AU49" s="139">
        <f ca="1">IF(AND(NOW(),isEUR6MLLoaded),IF(OR($D49="",$D49=0),"",_xll.meProductSwapPV01(_xll.meUtilityLVBFromKeysValues($N$5:$AO$5,$N49:$AO49))),"Please Load Yield Curves")</f>
        <v>1001.8200243953131</v>
      </c>
      <c r="AV49" s="196">
        <f ca="1">IF(AND(NOW(),isEUR6MLLoaded),IF(OR($D49="",$D49=0),"",_xll.meProductSwapDV01(_xll.meUtilityLVBFromKeysValues($N$5:$AQ$5,$N49:$AQ49))),"Please Load Yield Curves")</f>
        <v>954.96170080176023</v>
      </c>
      <c r="AW49" s="48"/>
    </row>
    <row r="50" spans="1:53" hidden="1" outlineLevel="1" x14ac:dyDescent="0.25">
      <c r="A50" s="114">
        <v>9</v>
      </c>
      <c r="B50" s="132">
        <f ca="1">IF(OR(D50="",D50=0),"",_xll.meDateFromTenor(COB,C50,$T50,$U50))</f>
        <v>42523</v>
      </c>
      <c r="C50" s="140" t="s">
        <v>191</v>
      </c>
      <c r="D50" s="134">
        <v>1000000</v>
      </c>
      <c r="E50" s="134" t="s">
        <v>17</v>
      </c>
      <c r="F50" s="135" t="s">
        <v>229</v>
      </c>
      <c r="G50" s="136" t="s">
        <v>61</v>
      </c>
      <c r="H50" s="137">
        <v>0</v>
      </c>
      <c r="I50" s="167" t="s">
        <v>192</v>
      </c>
      <c r="J50" s="138">
        <v>0</v>
      </c>
      <c r="K50" s="137">
        <v>-1.5299999999999999E-3</v>
      </c>
      <c r="L50" s="136" t="s">
        <v>193</v>
      </c>
      <c r="M50" s="200"/>
      <c r="N50" s="280">
        <f t="shared" si="31"/>
        <v>1000000</v>
      </c>
      <c r="O50" s="253" t="str">
        <f t="shared" si="32"/>
        <v>RECEIVER</v>
      </c>
      <c r="P50" s="256">
        <f t="shared" ca="1" si="33"/>
        <v>42523</v>
      </c>
      <c r="Q50" s="256" t="str">
        <f t="shared" si="34"/>
        <v>11Y</v>
      </c>
      <c r="R50" s="250" t="s">
        <v>26</v>
      </c>
      <c r="S50" s="255" t="s">
        <v>20</v>
      </c>
      <c r="T50" s="250" t="s">
        <v>22</v>
      </c>
      <c r="U50" s="250" t="s">
        <v>2</v>
      </c>
      <c r="V50" s="256"/>
      <c r="W50" s="256"/>
      <c r="X50" s="257">
        <f t="shared" ca="1" si="35"/>
        <v>2</v>
      </c>
      <c r="Y50" s="258" t="s">
        <v>177</v>
      </c>
      <c r="Z50" s="255" t="s">
        <v>178</v>
      </c>
      <c r="AA50" s="253" t="str">
        <f t="shared" si="29"/>
        <v>EUR6ML</v>
      </c>
      <c r="AB50" s="257" t="str">
        <f t="shared" si="36"/>
        <v>Semi-Annual</v>
      </c>
      <c r="AC50" s="255" t="s">
        <v>6</v>
      </c>
      <c r="AD50" s="250" t="s">
        <v>22</v>
      </c>
      <c r="AE50" s="250" t="s">
        <v>2</v>
      </c>
      <c r="AF50" s="256"/>
      <c r="AG50" s="256"/>
      <c r="AH50" s="257">
        <f t="shared" ca="1" si="37"/>
        <v>2</v>
      </c>
      <c r="AI50" s="258" t="s">
        <v>177</v>
      </c>
      <c r="AJ50" s="259">
        <f t="shared" si="38"/>
        <v>-1.5299999999999999E-3</v>
      </c>
      <c r="AK50" s="260"/>
      <c r="AL50" s="258" t="s">
        <v>177</v>
      </c>
      <c r="AM50" s="255" t="s">
        <v>178</v>
      </c>
      <c r="AN50" s="256" t="str">
        <f t="shared" si="39"/>
        <v>EURYC</v>
      </c>
      <c r="AO50" s="253" t="str">
        <f t="shared" si="40"/>
        <v>EURDF_NOCSA</v>
      </c>
      <c r="AP50" s="261">
        <f t="shared" si="30"/>
        <v>0</v>
      </c>
      <c r="AQ50" s="272">
        <f t="shared" si="41"/>
        <v>0</v>
      </c>
      <c r="AR50" s="224" t="s">
        <v>4</v>
      </c>
      <c r="AS50" s="181">
        <f ca="1">IF(AND(NOW(),isEUR6MLLoaded),IF(OR($D50="",$D50=0),"",_xll.meProductSwapParRate(_xll.meUtilityLVBFromKeysValues($P$5:$AP$5,$P50:$AP50))),"Please Load Yield Curves")</f>
        <v>6.5763613768494485E-3</v>
      </c>
      <c r="AT50" s="139">
        <f ca="1">IF(AND(NOW(),isEUR6MLLoaded),IF(OR($D50="",$D50=0),"",_xll.meProductSwapPV(_xll.meUtilityLVBFromKeysValues($N$5:$AQ$5,$N50:$AQ50))),"Please Load Yield Curves")</f>
        <v>-72176.757306375133</v>
      </c>
      <c r="AU50" s="139">
        <f ca="1">IF(AND(NOW(),isEUR6MLLoaded),IF(OR($D50="",$D50=0),"",_xll.meProductSwapPV01(_xll.meUtilityLVBFromKeysValues($N$5:$AO$5,$N50:$AO50))),"Please Load Yield Curves")</f>
        <v>1097.5181132906814</v>
      </c>
      <c r="AV50" s="196">
        <f ca="1">IF(AND(NOW(),isEUR6MLLoaded),IF(OR($D50="",$D50=0),"",_xll.meProductSwapDV01(_xll.meUtilityLVBFromKeysValues($N$5:$AQ$5,$N50:$AQ50))),"Please Load Yield Curves")</f>
        <v>1034.072490144956</v>
      </c>
      <c r="AW50" s="48"/>
    </row>
    <row r="51" spans="1:53" hidden="1" outlineLevel="1" x14ac:dyDescent="0.25">
      <c r="A51" s="114">
        <v>10</v>
      </c>
      <c r="B51" s="132">
        <f ca="1">IF(OR(D51="",D51=0),"",_xll.meDateFromTenor(COB,C51,$T51,$U51))</f>
        <v>42523</v>
      </c>
      <c r="C51" s="140" t="s">
        <v>191</v>
      </c>
      <c r="D51" s="134">
        <v>1000000</v>
      </c>
      <c r="E51" s="134" t="s">
        <v>17</v>
      </c>
      <c r="F51" s="135" t="s">
        <v>229</v>
      </c>
      <c r="G51" s="136" t="s">
        <v>62</v>
      </c>
      <c r="H51" s="137">
        <v>0</v>
      </c>
      <c r="I51" s="167" t="s">
        <v>192</v>
      </c>
      <c r="J51" s="138">
        <v>0</v>
      </c>
      <c r="K51" s="137">
        <v>-1.5299999999999999E-3</v>
      </c>
      <c r="L51" s="136" t="s">
        <v>193</v>
      </c>
      <c r="M51" s="200"/>
      <c r="N51" s="280">
        <f t="shared" si="31"/>
        <v>1000000</v>
      </c>
      <c r="O51" s="253" t="str">
        <f t="shared" si="32"/>
        <v>RECEIVER</v>
      </c>
      <c r="P51" s="256">
        <f t="shared" ca="1" si="33"/>
        <v>42523</v>
      </c>
      <c r="Q51" s="256" t="str">
        <f t="shared" si="34"/>
        <v>12Y</v>
      </c>
      <c r="R51" s="250" t="s">
        <v>26</v>
      </c>
      <c r="S51" s="255" t="s">
        <v>20</v>
      </c>
      <c r="T51" s="250" t="s">
        <v>22</v>
      </c>
      <c r="U51" s="250" t="s">
        <v>2</v>
      </c>
      <c r="V51" s="256"/>
      <c r="W51" s="256"/>
      <c r="X51" s="257">
        <f t="shared" ca="1" si="35"/>
        <v>2</v>
      </c>
      <c r="Y51" s="258" t="s">
        <v>177</v>
      </c>
      <c r="Z51" s="255" t="s">
        <v>178</v>
      </c>
      <c r="AA51" s="253" t="str">
        <f t="shared" si="29"/>
        <v>EUR6ML</v>
      </c>
      <c r="AB51" s="257" t="str">
        <f t="shared" si="36"/>
        <v>Semi-Annual</v>
      </c>
      <c r="AC51" s="255" t="s">
        <v>6</v>
      </c>
      <c r="AD51" s="250" t="s">
        <v>22</v>
      </c>
      <c r="AE51" s="250" t="s">
        <v>2</v>
      </c>
      <c r="AF51" s="256"/>
      <c r="AG51" s="256"/>
      <c r="AH51" s="257">
        <f t="shared" ca="1" si="37"/>
        <v>2</v>
      </c>
      <c r="AI51" s="258" t="s">
        <v>177</v>
      </c>
      <c r="AJ51" s="259">
        <f t="shared" si="38"/>
        <v>-1.5299999999999999E-3</v>
      </c>
      <c r="AK51" s="260"/>
      <c r="AL51" s="258" t="s">
        <v>177</v>
      </c>
      <c r="AM51" s="255" t="s">
        <v>178</v>
      </c>
      <c r="AN51" s="256" t="str">
        <f t="shared" si="39"/>
        <v>EURYC</v>
      </c>
      <c r="AO51" s="253" t="str">
        <f t="shared" si="40"/>
        <v>EURDF_NOCSA</v>
      </c>
      <c r="AP51" s="261">
        <f t="shared" si="30"/>
        <v>0</v>
      </c>
      <c r="AQ51" s="272">
        <f t="shared" si="41"/>
        <v>0</v>
      </c>
      <c r="AR51" s="224" t="s">
        <v>4</v>
      </c>
      <c r="AS51" s="181">
        <f ca="1">IF(AND(NOW(),isEUR6MLLoaded),IF(OR($D51="",$D51=0),"",_xll.meProductSwapParRate(_xll.meUtilityLVBFromKeysValues($P$5:$AP$5,$P51:$AP51))),"Please Load Yield Curves")</f>
        <v>7.4284540660545257E-3</v>
      </c>
      <c r="AT51" s="139">
        <f ca="1">IF(AND(NOW(),isEUR6MLLoaded),IF(OR($D51="",$D51=0),"",_xll.meProductSwapPV(_xll.meUtilityLVBFromKeysValues($N$5:$AQ$5,$N51:$AQ51))),"Please Load Yield Curves")</f>
        <v>-88528.659889261588</v>
      </c>
      <c r="AU51" s="139">
        <f ca="1">IF(AND(NOW(),isEUR6MLLoaded),IF(OR($D51="",$D51=0),"",_xll.meProductSwapPV01(_xll.meUtilityLVBFromKeysValues($N$5:$AO$5,$N51:$AO51))),"Please Load Yield Curves")</f>
        <v>1191.750788280526</v>
      </c>
      <c r="AV51" s="196">
        <f ca="1">IF(AND(NOW(),isEUR6MLLoaded),IF(OR($D51="",$D51=0),"",_xll.meProductSwapDV01(_xll.meUtilityLVBFromKeysValues($N$5:$AQ$5,$N51:$AQ51))),"Please Load Yield Curves")</f>
        <v>1109.2753385528567</v>
      </c>
      <c r="AW51" s="48"/>
    </row>
    <row r="52" spans="1:53" hidden="1" outlineLevel="1" x14ac:dyDescent="0.25">
      <c r="A52" s="114">
        <v>11</v>
      </c>
      <c r="B52" s="132">
        <f ca="1">IF(OR(D52="",D52=0),"",_xll.meDateFromTenor(COB,C52,$T52,$U52))</f>
        <v>42523</v>
      </c>
      <c r="C52" s="140" t="s">
        <v>191</v>
      </c>
      <c r="D52" s="134">
        <v>1000000</v>
      </c>
      <c r="E52" s="134" t="s">
        <v>17</v>
      </c>
      <c r="F52" s="135" t="s">
        <v>229</v>
      </c>
      <c r="G52" s="136" t="s">
        <v>63</v>
      </c>
      <c r="H52" s="137">
        <v>0</v>
      </c>
      <c r="I52" s="167" t="s">
        <v>192</v>
      </c>
      <c r="J52" s="138">
        <v>0</v>
      </c>
      <c r="K52" s="137">
        <v>-1.5299999999999999E-3</v>
      </c>
      <c r="L52" s="136" t="s">
        <v>193</v>
      </c>
      <c r="M52" s="200"/>
      <c r="N52" s="280">
        <f t="shared" si="31"/>
        <v>1000000</v>
      </c>
      <c r="O52" s="253" t="str">
        <f t="shared" si="32"/>
        <v>RECEIVER</v>
      </c>
      <c r="P52" s="256">
        <f t="shared" ca="1" si="33"/>
        <v>42523</v>
      </c>
      <c r="Q52" s="256" t="str">
        <f t="shared" si="34"/>
        <v>15Y</v>
      </c>
      <c r="R52" s="250" t="s">
        <v>26</v>
      </c>
      <c r="S52" s="255" t="s">
        <v>20</v>
      </c>
      <c r="T52" s="250" t="s">
        <v>22</v>
      </c>
      <c r="U52" s="250" t="s">
        <v>2</v>
      </c>
      <c r="V52" s="256"/>
      <c r="W52" s="256"/>
      <c r="X52" s="257">
        <f t="shared" ca="1" si="35"/>
        <v>2</v>
      </c>
      <c r="Y52" s="258" t="s">
        <v>177</v>
      </c>
      <c r="Z52" s="255" t="s">
        <v>178</v>
      </c>
      <c r="AA52" s="253" t="str">
        <f t="shared" si="29"/>
        <v>EUR6ML</v>
      </c>
      <c r="AB52" s="257" t="str">
        <f t="shared" si="36"/>
        <v>Semi-Annual</v>
      </c>
      <c r="AC52" s="255" t="s">
        <v>6</v>
      </c>
      <c r="AD52" s="250" t="s">
        <v>22</v>
      </c>
      <c r="AE52" s="250" t="s">
        <v>2</v>
      </c>
      <c r="AF52" s="256"/>
      <c r="AG52" s="256"/>
      <c r="AH52" s="257">
        <f t="shared" ca="1" si="37"/>
        <v>2</v>
      </c>
      <c r="AI52" s="258" t="s">
        <v>177</v>
      </c>
      <c r="AJ52" s="259">
        <f t="shared" si="38"/>
        <v>-1.5299999999999999E-3</v>
      </c>
      <c r="AK52" s="260"/>
      <c r="AL52" s="258" t="s">
        <v>177</v>
      </c>
      <c r="AM52" s="255" t="s">
        <v>178</v>
      </c>
      <c r="AN52" s="256" t="str">
        <f t="shared" si="39"/>
        <v>EURYC</v>
      </c>
      <c r="AO52" s="253" t="str">
        <f t="shared" si="40"/>
        <v>EURDF_NOCSA</v>
      </c>
      <c r="AP52" s="261">
        <f t="shared" si="30"/>
        <v>0</v>
      </c>
      <c r="AQ52" s="272">
        <f t="shared" si="41"/>
        <v>0</v>
      </c>
      <c r="AR52" s="224" t="s">
        <v>4</v>
      </c>
      <c r="AS52" s="181">
        <f ca="1">IF(AND(NOW(),isEUR6MLLoaded),IF(OR($D52="",$D52=0),"",_xll.meProductSwapParRate(_xll.meUtilityLVBFromKeysValues($P$5:$AP$5,$P52:$AP52))),"Please Load Yield Curves")</f>
        <v>9.3581531981687446E-3</v>
      </c>
      <c r="AT52" s="139">
        <f ca="1">IF(AND(NOW(),isEUR6MLLoaded),IF(OR($D52="",$D52=0),"",_xll.meProductSwapPV(_xll.meUtilityLVBFromKeysValues($N$5:$AQ$5,$N52:$AQ52))),"Please Load Yield Curves")</f>
        <v>-137152.66862456428</v>
      </c>
      <c r="AU52" s="139">
        <f ca="1">IF(AND(NOW(),isEUR6MLLoaded),IF(OR($D52="",$D52=0),"",_xll.meProductSwapPV01(_xll.meUtilityLVBFromKeysValues($N$5:$AO$5,$N52:$AO52))),"Please Load Yield Curves")</f>
        <v>1465.5954622692336</v>
      </c>
      <c r="AV52" s="196">
        <f ca="1">IF(AND(NOW(),isEUR6MLLoaded),IF(OR($D52="",$D52=0),"",_xll.meProductSwapDV01(_xll.meUtilityLVBFromKeysValues($N$5:$AQ$5,$N52:$AQ52))),"Please Load Yield Curves")</f>
        <v>1317.0874777236461</v>
      </c>
      <c r="AW52" s="48"/>
    </row>
    <row r="53" spans="1:53" hidden="1" outlineLevel="1" x14ac:dyDescent="0.25">
      <c r="A53" s="114">
        <v>12</v>
      </c>
      <c r="B53" s="132">
        <f ca="1">IF(OR(D53="",D53=0),"",_xll.meDateFromTenor(COB,C53,$T53,$U53))</f>
        <v>42523</v>
      </c>
      <c r="C53" s="140" t="s">
        <v>191</v>
      </c>
      <c r="D53" s="134">
        <v>1000000</v>
      </c>
      <c r="E53" s="134" t="s">
        <v>17</v>
      </c>
      <c r="F53" s="135" t="s">
        <v>229</v>
      </c>
      <c r="G53" s="136" t="s">
        <v>64</v>
      </c>
      <c r="H53" s="137">
        <v>0</v>
      </c>
      <c r="I53" s="167" t="s">
        <v>192</v>
      </c>
      <c r="J53" s="138">
        <v>0</v>
      </c>
      <c r="K53" s="137">
        <v>-1.5299999999999999E-3</v>
      </c>
      <c r="L53" s="136" t="s">
        <v>193</v>
      </c>
      <c r="M53" s="200"/>
      <c r="N53" s="280">
        <f t="shared" si="31"/>
        <v>1000000</v>
      </c>
      <c r="O53" s="253" t="str">
        <f t="shared" si="32"/>
        <v>RECEIVER</v>
      </c>
      <c r="P53" s="256">
        <f t="shared" ca="1" si="33"/>
        <v>42523</v>
      </c>
      <c r="Q53" s="256" t="str">
        <f t="shared" si="34"/>
        <v>20Y</v>
      </c>
      <c r="R53" s="250" t="s">
        <v>26</v>
      </c>
      <c r="S53" s="255" t="s">
        <v>20</v>
      </c>
      <c r="T53" s="250" t="s">
        <v>22</v>
      </c>
      <c r="U53" s="250" t="s">
        <v>2</v>
      </c>
      <c r="V53" s="256"/>
      <c r="W53" s="256"/>
      <c r="X53" s="257">
        <f t="shared" ca="1" si="35"/>
        <v>2</v>
      </c>
      <c r="Y53" s="258" t="s">
        <v>177</v>
      </c>
      <c r="Z53" s="255" t="s">
        <v>178</v>
      </c>
      <c r="AA53" s="253" t="str">
        <f t="shared" si="29"/>
        <v>EUR6ML</v>
      </c>
      <c r="AB53" s="257" t="str">
        <f t="shared" si="36"/>
        <v>Semi-Annual</v>
      </c>
      <c r="AC53" s="255" t="s">
        <v>6</v>
      </c>
      <c r="AD53" s="250" t="s">
        <v>22</v>
      </c>
      <c r="AE53" s="250" t="s">
        <v>2</v>
      </c>
      <c r="AF53" s="256"/>
      <c r="AG53" s="256"/>
      <c r="AH53" s="257">
        <f t="shared" ca="1" si="37"/>
        <v>2</v>
      </c>
      <c r="AI53" s="258" t="s">
        <v>177</v>
      </c>
      <c r="AJ53" s="259">
        <f t="shared" si="38"/>
        <v>-1.5299999999999999E-3</v>
      </c>
      <c r="AK53" s="260"/>
      <c r="AL53" s="258" t="s">
        <v>177</v>
      </c>
      <c r="AM53" s="255" t="s">
        <v>178</v>
      </c>
      <c r="AN53" s="256" t="str">
        <f t="shared" si="39"/>
        <v>EURYC</v>
      </c>
      <c r="AO53" s="253" t="str">
        <f t="shared" si="40"/>
        <v>EURDF_NOCSA</v>
      </c>
      <c r="AP53" s="261">
        <f t="shared" si="30"/>
        <v>0</v>
      </c>
      <c r="AQ53" s="272">
        <f t="shared" si="41"/>
        <v>0</v>
      </c>
      <c r="AR53" s="224" t="s">
        <v>4</v>
      </c>
      <c r="AS53" s="181">
        <f ca="1">IF(AND(NOW(),isEUR6MLLoaded),IF(OR($D53="",$D53=0),"",_xll.meProductSwapParRate(_xll.meUtilityLVBFromKeysValues($P$5:$AP$5,$P53:$AP53))),"Please Load Yield Curves")</f>
        <v>1.0890278391484135E-2</v>
      </c>
      <c r="AT53" s="139">
        <f ca="1">IF(AND(NOW(),isEUR6MLLoaded),IF(OR($D53="",$D53=0),"",_xll.meProductSwapPV(_xll.meUtilityLVBFromKeysValues($N$5:$AQ$5,$N53:$AQ53))),"Please Load Yield Curves")</f>
        <v>-206291.15705067368</v>
      </c>
      <c r="AU53" s="139">
        <f ca="1">IF(AND(NOW(),isEUR6MLLoaded),IF(OR($D53="",$D53=0),"",_xll.meProductSwapPV01(_xll.meUtilityLVBFromKeysValues($N$5:$AO$5,$N53:$AO53))),"Please Load Yield Curves")</f>
        <v>1894.2689032815456</v>
      </c>
      <c r="AV53" s="196">
        <f ca="1">IF(AND(NOW(),isEUR6MLLoaded),IF(OR($D53="",$D53=0),"",_xll.meProductSwapDV01(_xll.meUtilityLVBFromKeysValues($N$5:$AQ$5,$N53:$AQ53))),"Please Load Yield Curves")</f>
        <v>1625.2737049779262</v>
      </c>
      <c r="AW53" s="48"/>
    </row>
    <row r="54" spans="1:53" hidden="1" outlineLevel="1" x14ac:dyDescent="0.25">
      <c r="A54" s="114">
        <v>13</v>
      </c>
      <c r="B54" s="132">
        <f ca="1">IF(OR(D54="",D54=0),"",_xll.meDateFromTenor(COB,C54,$T54,$U54))</f>
        <v>42523</v>
      </c>
      <c r="C54" s="140" t="s">
        <v>191</v>
      </c>
      <c r="D54" s="134">
        <v>1000000</v>
      </c>
      <c r="E54" s="134" t="s">
        <v>17</v>
      </c>
      <c r="F54" s="135" t="s">
        <v>229</v>
      </c>
      <c r="G54" s="136" t="s">
        <v>65</v>
      </c>
      <c r="H54" s="137">
        <v>0</v>
      </c>
      <c r="I54" s="167" t="s">
        <v>192</v>
      </c>
      <c r="J54" s="138">
        <v>0</v>
      </c>
      <c r="K54" s="137">
        <v>-1.5299999999999999E-3</v>
      </c>
      <c r="L54" s="136" t="s">
        <v>193</v>
      </c>
      <c r="M54" s="200"/>
      <c r="N54" s="280">
        <f t="shared" si="31"/>
        <v>1000000</v>
      </c>
      <c r="O54" s="253" t="str">
        <f t="shared" si="32"/>
        <v>RECEIVER</v>
      </c>
      <c r="P54" s="256">
        <f t="shared" ca="1" si="33"/>
        <v>42523</v>
      </c>
      <c r="Q54" s="256" t="str">
        <f t="shared" si="34"/>
        <v>25Y</v>
      </c>
      <c r="R54" s="250" t="s">
        <v>26</v>
      </c>
      <c r="S54" s="255" t="s">
        <v>20</v>
      </c>
      <c r="T54" s="250" t="s">
        <v>22</v>
      </c>
      <c r="U54" s="250" t="s">
        <v>2</v>
      </c>
      <c r="V54" s="256"/>
      <c r="W54" s="256"/>
      <c r="X54" s="257">
        <f t="shared" ca="1" si="35"/>
        <v>2</v>
      </c>
      <c r="Y54" s="258" t="s">
        <v>177</v>
      </c>
      <c r="Z54" s="255" t="s">
        <v>178</v>
      </c>
      <c r="AA54" s="253" t="str">
        <f t="shared" si="29"/>
        <v>EUR6ML</v>
      </c>
      <c r="AB54" s="257" t="str">
        <f t="shared" si="36"/>
        <v>Semi-Annual</v>
      </c>
      <c r="AC54" s="255" t="s">
        <v>6</v>
      </c>
      <c r="AD54" s="250" t="s">
        <v>22</v>
      </c>
      <c r="AE54" s="250" t="s">
        <v>2</v>
      </c>
      <c r="AF54" s="256"/>
      <c r="AG54" s="256"/>
      <c r="AH54" s="257">
        <f t="shared" ca="1" si="37"/>
        <v>2</v>
      </c>
      <c r="AI54" s="258" t="s">
        <v>177</v>
      </c>
      <c r="AJ54" s="259">
        <f t="shared" si="38"/>
        <v>-1.5299999999999999E-3</v>
      </c>
      <c r="AK54" s="260"/>
      <c r="AL54" s="258" t="s">
        <v>177</v>
      </c>
      <c r="AM54" s="255" t="s">
        <v>178</v>
      </c>
      <c r="AN54" s="256" t="str">
        <f t="shared" si="39"/>
        <v>EURYC</v>
      </c>
      <c r="AO54" s="253" t="str">
        <f t="shared" si="40"/>
        <v>EURDF_NOCSA</v>
      </c>
      <c r="AP54" s="261">
        <f t="shared" si="30"/>
        <v>0</v>
      </c>
      <c r="AQ54" s="272">
        <f t="shared" si="41"/>
        <v>0</v>
      </c>
      <c r="AR54" s="224" t="s">
        <v>4</v>
      </c>
      <c r="AS54" s="181">
        <f ca="1">IF(AND(NOW(),isEUR6MLLoaded),IF(OR($D54="",$D54=0),"",_xll.meProductSwapParRate(_xll.meUtilityLVBFromKeysValues($P$5:$AP$5,$P54:$AP54))),"Please Load Yield Curves")</f>
        <v>1.1289774044849481E-2</v>
      </c>
      <c r="AT54" s="139">
        <f ca="1">IF(AND(NOW(),isEUR6MLLoaded),IF(OR($D54="",$D54=0),"",_xll.meProductSwapPV(_xll.meUtilityLVBFromKeysValues($N$5:$AQ$5,$N54:$AQ54))),"Please Load Yield Curves")</f>
        <v>-259112.05503223778</v>
      </c>
      <c r="AU54" s="139">
        <f ca="1">IF(AND(NOW(),isEUR6MLLoaded),IF(OR($D54="",$D54=0),"",_xll.meProductSwapPV01(_xll.meUtilityLVBFromKeysValues($N$5:$AO$5,$N54:$AO54))),"Please Load Yield Curves")</f>
        <v>2295.1039941357158</v>
      </c>
      <c r="AV54" s="196">
        <f ca="1">IF(AND(NOW(),isEUR6MLLoaded),IF(OR($D54="",$D54=0),"",_xll.meProductSwapDV01(_xll.meUtilityLVBFromKeysValues($N$5:$AQ$5,$N54:$AQ54))),"Please Load Yield Curves")</f>
        <v>1907.8711843542496</v>
      </c>
      <c r="AW54" s="48"/>
    </row>
    <row r="55" spans="1:53" hidden="1" outlineLevel="1" x14ac:dyDescent="0.25">
      <c r="A55" s="114">
        <v>14</v>
      </c>
      <c r="B55" s="141">
        <f ca="1">IF(OR(D55="",D55=0),"",_xll.meDateFromTenor(COB,C55,$T55,$U55))</f>
        <v>42523</v>
      </c>
      <c r="C55" s="142" t="s">
        <v>191</v>
      </c>
      <c r="D55" s="143">
        <v>1000000</v>
      </c>
      <c r="E55" s="143" t="s">
        <v>17</v>
      </c>
      <c r="F55" s="144" t="s">
        <v>229</v>
      </c>
      <c r="G55" s="145" t="s">
        <v>66</v>
      </c>
      <c r="H55" s="146">
        <v>0</v>
      </c>
      <c r="I55" s="168" t="s">
        <v>192</v>
      </c>
      <c r="J55" s="147">
        <v>0</v>
      </c>
      <c r="K55" s="146">
        <v>-1.5299999999999999E-3</v>
      </c>
      <c r="L55" s="145" t="s">
        <v>193</v>
      </c>
      <c r="M55" s="200"/>
      <c r="N55" s="281">
        <f t="shared" si="31"/>
        <v>1000000</v>
      </c>
      <c r="O55" s="254" t="str">
        <f t="shared" si="32"/>
        <v>RECEIVER</v>
      </c>
      <c r="P55" s="148">
        <f t="shared" ca="1" si="33"/>
        <v>42523</v>
      </c>
      <c r="Q55" s="148" t="str">
        <f t="shared" si="34"/>
        <v>30Y</v>
      </c>
      <c r="R55" s="273" t="s">
        <v>26</v>
      </c>
      <c r="S55" s="274" t="s">
        <v>20</v>
      </c>
      <c r="T55" s="273" t="s">
        <v>22</v>
      </c>
      <c r="U55" s="273" t="s">
        <v>2</v>
      </c>
      <c r="V55" s="148"/>
      <c r="W55" s="148"/>
      <c r="X55" s="265">
        <f t="shared" ca="1" si="35"/>
        <v>2</v>
      </c>
      <c r="Y55" s="275" t="s">
        <v>177</v>
      </c>
      <c r="Z55" s="274" t="s">
        <v>178</v>
      </c>
      <c r="AA55" s="254" t="str">
        <f t="shared" si="29"/>
        <v>EUR6ML</v>
      </c>
      <c r="AB55" s="265" t="str">
        <f t="shared" si="36"/>
        <v>Semi-Annual</v>
      </c>
      <c r="AC55" s="274" t="s">
        <v>6</v>
      </c>
      <c r="AD55" s="273" t="s">
        <v>22</v>
      </c>
      <c r="AE55" s="273" t="s">
        <v>2</v>
      </c>
      <c r="AF55" s="148"/>
      <c r="AG55" s="148"/>
      <c r="AH55" s="265">
        <f t="shared" ca="1" si="37"/>
        <v>2</v>
      </c>
      <c r="AI55" s="275" t="s">
        <v>177</v>
      </c>
      <c r="AJ55" s="276">
        <f t="shared" si="38"/>
        <v>-1.5299999999999999E-3</v>
      </c>
      <c r="AK55" s="277"/>
      <c r="AL55" s="275" t="s">
        <v>177</v>
      </c>
      <c r="AM55" s="274" t="s">
        <v>178</v>
      </c>
      <c r="AN55" s="148" t="str">
        <f t="shared" si="39"/>
        <v>EURYC</v>
      </c>
      <c r="AO55" s="254" t="str">
        <f t="shared" si="40"/>
        <v>EURDF_NOCSA</v>
      </c>
      <c r="AP55" s="263">
        <f t="shared" si="30"/>
        <v>0</v>
      </c>
      <c r="AQ55" s="278">
        <f t="shared" si="41"/>
        <v>0</v>
      </c>
      <c r="AR55" s="224" t="s">
        <v>4</v>
      </c>
      <c r="AS55" s="182">
        <f ca="1">IF(AND(NOW(),isEUR6MLLoaded),IF(OR($D55="",$D55=0),"",_xll.meProductSwapParRate(_xll.meUtilityLVBFromKeysValues($P$5:$AP$5,$P55:$AP55))),"Please Load Yield Curves")</f>
        <v>1.1366454056434237E-2</v>
      </c>
      <c r="AT55" s="149">
        <f ca="1">IF(AND(NOW(),isEUR6MLLoaded),IF(OR($D55="",$D55=0),"",_xll.meProductSwapPV(_xll.meUtilityLVBFromKeysValues($N$5:$AQ$5,$N55:$AQ55))),"Please Load Yield Curves")</f>
        <v>-303868.4365048309</v>
      </c>
      <c r="AU55" s="149">
        <f ca="1">IF(AND(NOW(),isEUR6MLLoaded),IF(OR($D55="",$D55=0),"",_xll.meProductSwapPV01(_xll.meUtilityLVBFromKeysValues($N$5:$AO$5,$N55:$AO55))),"Please Load Yield Curves")</f>
        <v>2673.3793582073149</v>
      </c>
      <c r="AV55" s="197">
        <f ca="1">IF(AND(NOW(),isEUR6MLLoaded),IF(OR($D55="",$D55=0),"",_xll.meProductSwapDV01(_xll.meUtilityLVBFromKeysValues($N$5:$AQ$5,$N55:$AQ55))),"Please Load Yield Curves")</f>
        <v>2163.5257114094852</v>
      </c>
      <c r="AW55" s="48"/>
    </row>
    <row r="56" spans="1:53" collapsed="1" x14ac:dyDescent="0.25">
      <c r="AR56" s="224" t="s">
        <v>4</v>
      </c>
    </row>
    <row r="57" spans="1:53" ht="23.25" x14ac:dyDescent="0.35">
      <c r="B57" s="108" t="s">
        <v>246</v>
      </c>
      <c r="AR57" s="224" t="s">
        <v>4</v>
      </c>
      <c r="AS57" s="109"/>
      <c r="AT57" s="447"/>
      <c r="AU57" s="447"/>
      <c r="AV57" s="172"/>
      <c r="AX57" s="108" t="s">
        <v>247</v>
      </c>
    </row>
    <row r="58" spans="1:53" x14ac:dyDescent="0.25">
      <c r="P58" s="203"/>
      <c r="Q58" s="203"/>
      <c r="R58" s="203"/>
      <c r="S58" s="203"/>
      <c r="T58" s="203"/>
      <c r="U58" s="203"/>
      <c r="V58" s="203"/>
      <c r="W58" s="203"/>
      <c r="X58" s="203"/>
      <c r="Y58" s="203"/>
      <c r="Z58" s="203"/>
      <c r="AA58" s="203"/>
      <c r="AB58" s="203"/>
      <c r="AC58" s="203"/>
      <c r="AD58" s="203"/>
      <c r="AE58" s="203"/>
      <c r="AF58" s="203"/>
      <c r="AG58" s="203"/>
      <c r="AH58" s="203"/>
      <c r="AI58" s="203"/>
      <c r="AJ58" s="203"/>
      <c r="AK58" s="203"/>
      <c r="AL58" s="203"/>
      <c r="AM58" s="203"/>
      <c r="AN58" s="203"/>
      <c r="AO58" s="203"/>
      <c r="AP58" s="203"/>
      <c r="AQ58" s="203"/>
      <c r="AR58" s="224" t="s">
        <v>4</v>
      </c>
    </row>
    <row r="59" spans="1:53" x14ac:dyDescent="0.25">
      <c r="B59" s="40" t="s">
        <v>234</v>
      </c>
      <c r="C59" s="40"/>
      <c r="D59" s="40"/>
      <c r="E59" s="40"/>
      <c r="F59" s="40"/>
      <c r="G59" s="40"/>
      <c r="H59" s="40"/>
      <c r="I59" s="40"/>
      <c r="J59" s="40"/>
      <c r="K59" s="40"/>
      <c r="L59" s="40"/>
      <c r="M59" s="40"/>
      <c r="N59" s="224" t="s">
        <v>282</v>
      </c>
      <c r="O59" s="224"/>
      <c r="P59" s="224"/>
      <c r="Q59" s="269"/>
      <c r="R59" s="269"/>
      <c r="S59" s="269"/>
      <c r="T59" s="269"/>
      <c r="U59" s="269"/>
      <c r="V59" s="269"/>
      <c r="W59" s="269"/>
      <c r="X59" s="269"/>
      <c r="Y59" s="269"/>
      <c r="Z59" s="269"/>
      <c r="AA59" s="269"/>
      <c r="AB59" s="269"/>
      <c r="AC59" s="269"/>
      <c r="AD59" s="269"/>
      <c r="AE59" s="269"/>
      <c r="AF59" s="269"/>
      <c r="AG59" s="269"/>
      <c r="AH59" s="269"/>
      <c r="AI59" s="269"/>
      <c r="AJ59" s="269"/>
      <c r="AK59" s="269"/>
      <c r="AL59" s="269"/>
      <c r="AM59" s="269"/>
      <c r="AN59" s="269"/>
      <c r="AO59" s="269"/>
      <c r="AP59" s="269"/>
      <c r="AQ59" s="269"/>
      <c r="AR59" s="224" t="s">
        <v>4</v>
      </c>
      <c r="AS59" s="40"/>
      <c r="AT59" s="40"/>
      <c r="AU59" s="178"/>
      <c r="AV59" s="178"/>
      <c r="AW59" s="40"/>
      <c r="AX59" s="40"/>
      <c r="AY59" s="40"/>
      <c r="AZ59" s="40"/>
      <c r="BA59" s="40"/>
    </row>
    <row r="60" spans="1:53" ht="33.75" customHeight="1" x14ac:dyDescent="0.25">
      <c r="B60" s="110" t="s">
        <v>179</v>
      </c>
      <c r="C60" s="111" t="s">
        <v>180</v>
      </c>
      <c r="D60" s="111" t="s">
        <v>175</v>
      </c>
      <c r="E60" s="111" t="s">
        <v>16</v>
      </c>
      <c r="F60" s="111" t="s">
        <v>181</v>
      </c>
      <c r="G60" s="111" t="s">
        <v>182</v>
      </c>
      <c r="H60" s="111" t="s">
        <v>183</v>
      </c>
      <c r="I60" s="111" t="s">
        <v>184</v>
      </c>
      <c r="J60" s="111" t="s">
        <v>185</v>
      </c>
      <c r="K60" s="111" t="s">
        <v>186</v>
      </c>
      <c r="L60" s="111" t="s">
        <v>187</v>
      </c>
      <c r="M60" s="200"/>
      <c r="N60" s="264" t="s">
        <v>175</v>
      </c>
      <c r="O60" s="251" t="s">
        <v>249</v>
      </c>
      <c r="P60" s="251" t="s">
        <v>250</v>
      </c>
      <c r="Q60" s="251" t="s">
        <v>251</v>
      </c>
      <c r="R60" s="251" t="s">
        <v>253</v>
      </c>
      <c r="S60" s="251" t="s">
        <v>254</v>
      </c>
      <c r="T60" s="251" t="s">
        <v>255</v>
      </c>
      <c r="U60" s="251" t="s">
        <v>256</v>
      </c>
      <c r="V60" s="251" t="s">
        <v>283</v>
      </c>
      <c r="W60" s="251" t="s">
        <v>284</v>
      </c>
      <c r="X60" s="251" t="s">
        <v>257</v>
      </c>
      <c r="Y60" s="251" t="s">
        <v>258</v>
      </c>
      <c r="Z60" s="251" t="s">
        <v>259</v>
      </c>
      <c r="AA60" s="251" t="s">
        <v>271</v>
      </c>
      <c r="AB60" s="251" t="s">
        <v>260</v>
      </c>
      <c r="AC60" s="251" t="s">
        <v>261</v>
      </c>
      <c r="AD60" s="251" t="s">
        <v>262</v>
      </c>
      <c r="AE60" s="251" t="s">
        <v>263</v>
      </c>
      <c r="AF60" s="251" t="s">
        <v>285</v>
      </c>
      <c r="AG60" s="251" t="s">
        <v>286</v>
      </c>
      <c r="AH60" s="251" t="s">
        <v>264</v>
      </c>
      <c r="AI60" s="251" t="s">
        <v>265</v>
      </c>
      <c r="AJ60" s="251" t="s">
        <v>266</v>
      </c>
      <c r="AK60" s="251" t="s">
        <v>267</v>
      </c>
      <c r="AL60" s="251" t="s">
        <v>268</v>
      </c>
      <c r="AM60" s="251" t="s">
        <v>270</v>
      </c>
      <c r="AN60" s="251" t="s">
        <v>80</v>
      </c>
      <c r="AO60" s="251" t="s">
        <v>272</v>
      </c>
      <c r="AP60" s="251" t="s">
        <v>269</v>
      </c>
      <c r="AQ60" s="252" t="s">
        <v>252</v>
      </c>
      <c r="AR60" s="224" t="s">
        <v>4</v>
      </c>
      <c r="AS60" s="179" t="s">
        <v>188</v>
      </c>
      <c r="AT60" s="112" t="s">
        <v>189</v>
      </c>
      <c r="AU60" s="112" t="s">
        <v>190</v>
      </c>
      <c r="AV60" s="113" t="s">
        <v>273</v>
      </c>
      <c r="AW60" s="177"/>
      <c r="AX60" s="154" t="s">
        <v>11</v>
      </c>
      <c r="AY60" s="156" t="s">
        <v>236</v>
      </c>
      <c r="AZ60" s="183" t="s">
        <v>232</v>
      </c>
      <c r="BA60" s="192" t="s">
        <v>233</v>
      </c>
    </row>
    <row r="61" spans="1:53" x14ac:dyDescent="0.25">
      <c r="B61" s="115">
        <f ca="1">IF(OR(D61="",D61=0),"",_xll.meDateFromTenor(COB,C61,$T61,$U61))</f>
        <v>42523</v>
      </c>
      <c r="C61" s="116" t="s">
        <v>191</v>
      </c>
      <c r="D61" s="117">
        <v>1000000</v>
      </c>
      <c r="E61" s="117" t="s">
        <v>17</v>
      </c>
      <c r="F61" s="118" t="s">
        <v>176</v>
      </c>
      <c r="G61" s="119" t="s">
        <v>159</v>
      </c>
      <c r="H61" s="120">
        <v>0</v>
      </c>
      <c r="I61" s="166" t="s">
        <v>235</v>
      </c>
      <c r="J61" s="370">
        <v>9</v>
      </c>
      <c r="K61" s="120">
        <v>-3.49E-3</v>
      </c>
      <c r="L61" s="119" t="s">
        <v>193</v>
      </c>
      <c r="M61" s="200"/>
      <c r="N61" s="279">
        <f>D61</f>
        <v>1000000</v>
      </c>
      <c r="O61" s="127" t="str">
        <f>F61</f>
        <v>PAYER</v>
      </c>
      <c r="P61" s="124">
        <f ca="1">B61</f>
        <v>42523</v>
      </c>
      <c r="Q61" s="124" t="str">
        <f>G61</f>
        <v>1Y</v>
      </c>
      <c r="R61" s="122" t="s">
        <v>26</v>
      </c>
      <c r="S61" s="123" t="s">
        <v>20</v>
      </c>
      <c r="T61" s="122" t="s">
        <v>22</v>
      </c>
      <c r="U61" s="122" t="s">
        <v>2</v>
      </c>
      <c r="V61" s="124"/>
      <c r="W61" s="124"/>
      <c r="X61" s="125">
        <f ca="1">IF($B61="","",DAY($B61))</f>
        <v>2</v>
      </c>
      <c r="Y61" s="126" t="s">
        <v>177</v>
      </c>
      <c r="Z61" s="123" t="s">
        <v>178</v>
      </c>
      <c r="AA61" s="127" t="str">
        <f t="shared" ref="AA61:AA74" si="42">$E61&amp;$I61</f>
        <v>EUR1ML</v>
      </c>
      <c r="AB61" s="125" t="str">
        <f>IF($I61="1ML","Monthly",IF($I61="3ML","Quarterly",IF($I61="6ML","Semi-Annual","Annual")))</f>
        <v>Monthly</v>
      </c>
      <c r="AC61" s="123" t="s">
        <v>6</v>
      </c>
      <c r="AD61" s="122" t="s">
        <v>22</v>
      </c>
      <c r="AE61" s="122" t="s">
        <v>2</v>
      </c>
      <c r="AF61" s="124"/>
      <c r="AG61" s="124"/>
      <c r="AH61" s="125">
        <f ca="1">IF($B61="","",DAY($B61))</f>
        <v>2</v>
      </c>
      <c r="AI61" s="126" t="s">
        <v>177</v>
      </c>
      <c r="AJ61" s="129">
        <f>K61</f>
        <v>-3.49E-3</v>
      </c>
      <c r="AK61" s="130"/>
      <c r="AL61" s="126" t="s">
        <v>177</v>
      </c>
      <c r="AM61" s="123" t="s">
        <v>178</v>
      </c>
      <c r="AN61" s="124" t="str">
        <f>E61&amp;"YC"</f>
        <v>EURYC</v>
      </c>
      <c r="AO61" s="127" t="str">
        <f>LEFT(AN61,3)&amp;"DF_"&amp;L61</f>
        <v>EURDF_NOCSA</v>
      </c>
      <c r="AP61" s="128">
        <f>J61</f>
        <v>9</v>
      </c>
      <c r="AQ61" s="271">
        <f>H61</f>
        <v>0</v>
      </c>
      <c r="AR61" s="224" t="s">
        <v>4</v>
      </c>
      <c r="AS61" s="180">
        <f ca="1">IF(AND(NOW(),isEUR1MLLoaded),IF(OR($D61="",$D61=0),"",_xll.meProductSwapParRate(_xll.meUtilityLVBFromKeysValues($P$5:$AP$5,$P61:$AP61))),"Please Load Yield Curves")</f>
        <v>-2.8448761470040843E-3</v>
      </c>
      <c r="AT61" s="131">
        <f ca="1">IF(AND(NOW(),isEUR1MLLoaded),IF(OR($D61="",$D61=0),"",_xll.meProductSwapPV(_xll.meUtilityLVBFromKeysValues($N$5:$AQ$5,$N61:$AQ61))),"Please Load Yield Curves")</f>
        <v>-2855.9920904931441</v>
      </c>
      <c r="AU61" s="131">
        <f ca="1">IF(AND(NOW(),isEUR1MLLoaded),IF(OR($D61="",$D61=0),"",_xll.meProductSwapPV01(_xll.meUtilityLVBFromKeysValues($N$5:$AO$5,$N61:$AO61))),"Please Load Yield Curves")</f>
        <v>100.39073558617891</v>
      </c>
      <c r="AV61" s="195">
        <f ca="1">IF(AND(NOW(),isEUR1MLLoaded),IF(OR($D61="",$D61=0),"",_xll.meProductSwapDV01(_xll.meUtilityLVBFromKeysValues($N$5:$AQ$5,$N61:$AQ61))),"Please Load Yield Curves")</f>
        <v>100.22987346298736</v>
      </c>
      <c r="AW61" s="48"/>
      <c r="AX61" s="150" t="str">
        <f>'EUR BASIS 1ML'!I35</f>
        <v>1Y</v>
      </c>
      <c r="AY61" s="185">
        <f>'EUR BASIS 1ML'!J35*10000</f>
        <v>9</v>
      </c>
      <c r="AZ61" s="184">
        <f ca="1">AS78-AS61</f>
        <v>-1.1783428434386511E-9</v>
      </c>
      <c r="BA61" s="190">
        <f t="shared" ref="BA61:BA74" ca="1" si="43">AT78+AT61</f>
        <v>1.1829478967229079E-3</v>
      </c>
    </row>
    <row r="62" spans="1:53" x14ac:dyDescent="0.25">
      <c r="B62" s="132">
        <f ca="1">IF(OR(D62="",D62=0),"",_xll.meDateFromTenor(COB,C62,$T62,$U62))</f>
        <v>42523</v>
      </c>
      <c r="C62" s="133" t="s">
        <v>191</v>
      </c>
      <c r="D62" s="134">
        <v>1000000</v>
      </c>
      <c r="E62" s="134" t="s">
        <v>17</v>
      </c>
      <c r="F62" s="135" t="s">
        <v>176</v>
      </c>
      <c r="G62" s="136" t="s">
        <v>47</v>
      </c>
      <c r="H62" s="137">
        <v>0</v>
      </c>
      <c r="I62" s="167" t="s">
        <v>235</v>
      </c>
      <c r="J62" s="371">
        <v>9.2000000000000011</v>
      </c>
      <c r="K62" s="137">
        <v>-3.49E-3</v>
      </c>
      <c r="L62" s="136" t="s">
        <v>193</v>
      </c>
      <c r="M62" s="200"/>
      <c r="N62" s="280">
        <f t="shared" ref="N62:N74" si="44">D62</f>
        <v>1000000</v>
      </c>
      <c r="O62" s="253" t="str">
        <f t="shared" ref="O62:O74" si="45">F62</f>
        <v>PAYER</v>
      </c>
      <c r="P62" s="256">
        <f t="shared" ref="P62:P74" ca="1" si="46">B62</f>
        <v>42523</v>
      </c>
      <c r="Q62" s="256" t="str">
        <f t="shared" ref="Q62:Q74" si="47">G62</f>
        <v>2Y</v>
      </c>
      <c r="R62" s="250" t="s">
        <v>26</v>
      </c>
      <c r="S62" s="255" t="s">
        <v>20</v>
      </c>
      <c r="T62" s="250" t="s">
        <v>22</v>
      </c>
      <c r="U62" s="250" t="s">
        <v>2</v>
      </c>
      <c r="V62" s="256"/>
      <c r="W62" s="256"/>
      <c r="X62" s="257">
        <f t="shared" ref="X62:X74" ca="1" si="48">IF($B62="","",DAY($B62))</f>
        <v>2</v>
      </c>
      <c r="Y62" s="258" t="s">
        <v>177</v>
      </c>
      <c r="Z62" s="255" t="s">
        <v>178</v>
      </c>
      <c r="AA62" s="253" t="str">
        <f t="shared" si="42"/>
        <v>EUR1ML</v>
      </c>
      <c r="AB62" s="257" t="str">
        <f t="shared" ref="AB62:AB74" si="49">IF($I62="1ML","Monthly",IF($I62="3ML","Quarterly",IF($I62="6ML","Semi-Annual","Annual")))</f>
        <v>Monthly</v>
      </c>
      <c r="AC62" s="255" t="s">
        <v>6</v>
      </c>
      <c r="AD62" s="250" t="s">
        <v>22</v>
      </c>
      <c r="AE62" s="250" t="s">
        <v>2</v>
      </c>
      <c r="AF62" s="256"/>
      <c r="AG62" s="256"/>
      <c r="AH62" s="257">
        <f t="shared" ref="AH62:AH74" ca="1" si="50">IF($B62="","",DAY($B62))</f>
        <v>2</v>
      </c>
      <c r="AI62" s="258" t="s">
        <v>177</v>
      </c>
      <c r="AJ62" s="259">
        <f t="shared" ref="AJ62:AJ74" si="51">K62</f>
        <v>-3.49E-3</v>
      </c>
      <c r="AK62" s="260"/>
      <c r="AL62" s="258" t="s">
        <v>177</v>
      </c>
      <c r="AM62" s="255" t="s">
        <v>178</v>
      </c>
      <c r="AN62" s="256" t="str">
        <f t="shared" ref="AN62:AN74" si="52">E62&amp;"YC"</f>
        <v>EURYC</v>
      </c>
      <c r="AO62" s="253" t="str">
        <f t="shared" ref="AO62:AO74" si="53">LEFT(AN62,3)&amp;"DF_"&amp;L62</f>
        <v>EURDF_NOCSA</v>
      </c>
      <c r="AP62" s="261">
        <f t="shared" ref="AP62:AP74" si="54">J62</f>
        <v>9.2000000000000011</v>
      </c>
      <c r="AQ62" s="272">
        <f t="shared" ref="AQ62:AQ74" si="55">H62</f>
        <v>0</v>
      </c>
      <c r="AR62" s="224" t="s">
        <v>4</v>
      </c>
      <c r="AS62" s="181">
        <f ca="1">IF(AND(NOW(),isEUR1MLLoaded),IF(OR($D62="",$D62=0),"",_xll.meProductSwapParRate(_xll.meUtilityLVBFromKeysValues($P$5:$AP$5,$P62:$AP62))),"Please Load Yield Curves")</f>
        <v>-2.9430751442686902E-3</v>
      </c>
      <c r="AT62" s="139">
        <f ca="1">IF(AND(NOW(),isEUR1MLLoaded),IF(OR($D62="",$D62=0),"",_xll.meProductSwapPV(_xll.meUtilityLVBFromKeysValues($N$5:$AQ$5,$N62:$AQ62))),"Please Load Yield Curves")</f>
        <v>-5938.3337285729749</v>
      </c>
      <c r="AU62" s="139">
        <f ca="1">IF(AND(NOW(),isEUR1MLLoaded),IF(OR($D62="",$D62=0),"",_xll.meProductSwapPV01(_xll.meUtilityLVBFromKeysValues($N$5:$AO$5,$N62:$AO62))),"Please Load Yield Curves")</f>
        <v>201.77309234313017</v>
      </c>
      <c r="AV62" s="196">
        <f ca="1">IF(AND(NOW(),isEUR1MLLoaded),IF(OR($D62="",$D62=0),"",_xll.meProductSwapDV01(_xll.meUtilityLVBFromKeysValues($N$5:$AQ$5,$N62:$AQ62))),"Please Load Yield Curves")</f>
        <v>201.13354345827534</v>
      </c>
      <c r="AW62" s="48"/>
      <c r="AX62" s="150" t="str">
        <f>'EUR BASIS 1ML'!I36</f>
        <v>2Y</v>
      </c>
      <c r="AY62" s="185">
        <f>'EUR BASIS 1ML'!J36*10000</f>
        <v>9.2000000000000011</v>
      </c>
      <c r="AZ62" s="184">
        <f t="shared" ref="AZ62:AZ74" ca="1" si="56">AS79-AS62</f>
        <v>-1.910368312325883E-9</v>
      </c>
      <c r="BA62" s="190">
        <f t="shared" ca="1" si="43"/>
        <v>3.9631979243495152E-3</v>
      </c>
    </row>
    <row r="63" spans="1:53" x14ac:dyDescent="0.25">
      <c r="B63" s="132">
        <f ca="1">IF(OR(D63="",D63=0),"",_xll.meDateFromTenor(COB,C63,$T63,$U63))</f>
        <v>42523</v>
      </c>
      <c r="C63" s="140" t="s">
        <v>191</v>
      </c>
      <c r="D63" s="134">
        <v>1000000</v>
      </c>
      <c r="E63" s="134" t="s">
        <v>17</v>
      </c>
      <c r="F63" s="135" t="s">
        <v>176</v>
      </c>
      <c r="G63" s="136" t="s">
        <v>43</v>
      </c>
      <c r="H63" s="137">
        <v>0</v>
      </c>
      <c r="I63" s="167" t="s">
        <v>235</v>
      </c>
      <c r="J63" s="371">
        <v>9.4</v>
      </c>
      <c r="K63" s="137">
        <v>-3.49E-3</v>
      </c>
      <c r="L63" s="136" t="s">
        <v>193</v>
      </c>
      <c r="M63" s="200"/>
      <c r="N63" s="280">
        <f t="shared" si="44"/>
        <v>1000000</v>
      </c>
      <c r="O63" s="253" t="str">
        <f t="shared" si="45"/>
        <v>PAYER</v>
      </c>
      <c r="P63" s="256">
        <f t="shared" ca="1" si="46"/>
        <v>42523</v>
      </c>
      <c r="Q63" s="256" t="str">
        <f t="shared" si="47"/>
        <v>3Y</v>
      </c>
      <c r="R63" s="250" t="s">
        <v>26</v>
      </c>
      <c r="S63" s="255" t="s">
        <v>20</v>
      </c>
      <c r="T63" s="250" t="s">
        <v>22</v>
      </c>
      <c r="U63" s="250" t="s">
        <v>2</v>
      </c>
      <c r="V63" s="256"/>
      <c r="W63" s="256"/>
      <c r="X63" s="257">
        <f t="shared" ca="1" si="48"/>
        <v>2</v>
      </c>
      <c r="Y63" s="258" t="s">
        <v>177</v>
      </c>
      <c r="Z63" s="255" t="s">
        <v>178</v>
      </c>
      <c r="AA63" s="253" t="str">
        <f t="shared" si="42"/>
        <v>EUR1ML</v>
      </c>
      <c r="AB63" s="257" t="str">
        <f t="shared" si="49"/>
        <v>Monthly</v>
      </c>
      <c r="AC63" s="255" t="s">
        <v>6</v>
      </c>
      <c r="AD63" s="250" t="s">
        <v>22</v>
      </c>
      <c r="AE63" s="250" t="s">
        <v>2</v>
      </c>
      <c r="AF63" s="256"/>
      <c r="AG63" s="256"/>
      <c r="AH63" s="257">
        <f t="shared" ca="1" si="50"/>
        <v>2</v>
      </c>
      <c r="AI63" s="258" t="s">
        <v>177</v>
      </c>
      <c r="AJ63" s="259">
        <f t="shared" si="51"/>
        <v>-3.49E-3</v>
      </c>
      <c r="AK63" s="260"/>
      <c r="AL63" s="258" t="s">
        <v>177</v>
      </c>
      <c r="AM63" s="255" t="s">
        <v>178</v>
      </c>
      <c r="AN63" s="256" t="str">
        <f t="shared" si="52"/>
        <v>EURYC</v>
      </c>
      <c r="AO63" s="253" t="str">
        <f t="shared" si="53"/>
        <v>EURDF_NOCSA</v>
      </c>
      <c r="AP63" s="261">
        <f t="shared" si="54"/>
        <v>9.4</v>
      </c>
      <c r="AQ63" s="272">
        <f t="shared" si="55"/>
        <v>0</v>
      </c>
      <c r="AR63" s="224" t="s">
        <v>4</v>
      </c>
      <c r="AS63" s="181">
        <f ca="1">IF(AND(NOW(),isEUR1MLLoaded),IF(OR($D63="",$D63=0),"",_xll.meProductSwapParRate(_xll.meUtilityLVBFromKeysValues($P$5:$AP$5,$P63:$AP63))),"Please Load Yield Curves")</f>
        <v>-2.6499948048976517E-3</v>
      </c>
      <c r="AT63" s="139">
        <f ca="1">IF(AND(NOW(),isEUR1MLLoaded),IF(OR($D63="",$D63=0),"",_xll.meProductSwapPV(_xll.meUtilityLVBFromKeysValues($N$5:$AQ$5,$N63:$AQ63))),"Please Load Yield Curves")</f>
        <v>-8020.8923792428996</v>
      </c>
      <c r="AU63" s="139">
        <f ca="1">IF(AND(NOW(),isEUR1MLLoaded),IF(OR($D63="",$D63=0),"",_xll.meProductSwapPV01(_xll.meUtilityLVBFromKeysValues($N$5:$AO$5,$N63:$AO63))),"Please Load Yield Curves")</f>
        <v>302.67577749280463</v>
      </c>
      <c r="AV63" s="196">
        <f ca="1">IF(AND(NOW(),isEUR1MLLoaded),IF(OR($D63="",$D63=0),"",_xll.meProductSwapDV01(_xll.meUtilityLVBFromKeysValues($N$5:$AQ$5,$N63:$AQ63))),"Please Load Yield Curves")</f>
        <v>301.50859996458757</v>
      </c>
      <c r="AW63" s="48"/>
      <c r="AX63" s="150" t="str">
        <f>'EUR BASIS 1ML'!I37</f>
        <v>3Y</v>
      </c>
      <c r="AY63" s="185">
        <f>'EUR BASIS 1ML'!J37*10000</f>
        <v>9.4</v>
      </c>
      <c r="AZ63" s="184">
        <f t="shared" ca="1" si="56"/>
        <v>-5.1202727366188305E-9</v>
      </c>
      <c r="BA63" s="190">
        <f t="shared" ca="1" si="43"/>
        <v>1.5497825314014335E-2</v>
      </c>
    </row>
    <row r="64" spans="1:53" x14ac:dyDescent="0.25">
      <c r="B64" s="132">
        <f ca="1">IF(OR(D64="",D64=0),"",_xll.meDateFromTenor(COB,C64,$T64,$U64))</f>
        <v>42523</v>
      </c>
      <c r="C64" s="140" t="s">
        <v>191</v>
      </c>
      <c r="D64" s="134">
        <v>1000000</v>
      </c>
      <c r="E64" s="134" t="s">
        <v>17</v>
      </c>
      <c r="F64" s="135" t="s">
        <v>176</v>
      </c>
      <c r="G64" s="136" t="s">
        <v>50</v>
      </c>
      <c r="H64" s="137">
        <v>0</v>
      </c>
      <c r="I64" s="167" t="s">
        <v>235</v>
      </c>
      <c r="J64" s="371">
        <v>9.9</v>
      </c>
      <c r="K64" s="137">
        <v>-3.49E-3</v>
      </c>
      <c r="L64" s="136" t="s">
        <v>193</v>
      </c>
      <c r="M64" s="200"/>
      <c r="N64" s="280">
        <f t="shared" si="44"/>
        <v>1000000</v>
      </c>
      <c r="O64" s="253" t="str">
        <f t="shared" si="45"/>
        <v>PAYER</v>
      </c>
      <c r="P64" s="256">
        <f t="shared" ca="1" si="46"/>
        <v>42523</v>
      </c>
      <c r="Q64" s="256" t="str">
        <f t="shared" si="47"/>
        <v>4Y</v>
      </c>
      <c r="R64" s="250" t="s">
        <v>26</v>
      </c>
      <c r="S64" s="255" t="s">
        <v>20</v>
      </c>
      <c r="T64" s="250" t="s">
        <v>22</v>
      </c>
      <c r="U64" s="250" t="s">
        <v>2</v>
      </c>
      <c r="V64" s="256"/>
      <c r="W64" s="256"/>
      <c r="X64" s="257">
        <f t="shared" ca="1" si="48"/>
        <v>2</v>
      </c>
      <c r="Y64" s="258" t="s">
        <v>177</v>
      </c>
      <c r="Z64" s="255" t="s">
        <v>178</v>
      </c>
      <c r="AA64" s="253" t="str">
        <f t="shared" si="42"/>
        <v>EUR1ML</v>
      </c>
      <c r="AB64" s="257" t="str">
        <f t="shared" si="49"/>
        <v>Monthly</v>
      </c>
      <c r="AC64" s="255" t="s">
        <v>6</v>
      </c>
      <c r="AD64" s="250" t="s">
        <v>22</v>
      </c>
      <c r="AE64" s="250" t="s">
        <v>2</v>
      </c>
      <c r="AF64" s="256"/>
      <c r="AG64" s="256"/>
      <c r="AH64" s="257">
        <f t="shared" ca="1" si="50"/>
        <v>2</v>
      </c>
      <c r="AI64" s="258" t="s">
        <v>177</v>
      </c>
      <c r="AJ64" s="259">
        <f t="shared" si="51"/>
        <v>-3.49E-3</v>
      </c>
      <c r="AK64" s="260"/>
      <c r="AL64" s="258" t="s">
        <v>177</v>
      </c>
      <c r="AM64" s="255" t="s">
        <v>178</v>
      </c>
      <c r="AN64" s="256" t="str">
        <f t="shared" si="52"/>
        <v>EURYC</v>
      </c>
      <c r="AO64" s="253" t="str">
        <f t="shared" si="53"/>
        <v>EURDF_NOCSA</v>
      </c>
      <c r="AP64" s="261">
        <f t="shared" si="54"/>
        <v>9.9</v>
      </c>
      <c r="AQ64" s="272">
        <f t="shared" si="55"/>
        <v>0</v>
      </c>
      <c r="AR64" s="224" t="s">
        <v>4</v>
      </c>
      <c r="AS64" s="181">
        <f ca="1">IF(AND(NOW(),isEUR1MLLoaded),IF(OR($D64="",$D64=0),"",_xll.meProductSwapParRate(_xll.meUtilityLVBFromKeysValues($P$5:$AP$5,$P64:$AP64))),"Please Load Yield Curves")</f>
        <v>-2.0499896646316539E-3</v>
      </c>
      <c r="AT64" s="139">
        <f ca="1">IF(AND(NOW(),isEUR1MLLoaded),IF(OR($D64="",$D64=0),"",_xll.meProductSwapPV(_xll.meUtilityLVBFromKeysValues($N$5:$AQ$5,$N64:$AQ64))),"Please Load Yield Curves")</f>
        <v>-8277.8545087929542</v>
      </c>
      <c r="AU64" s="139">
        <f ca="1">IF(AND(NOW(),isEUR1MLLoaded),IF(OR($D64="",$D64=0),"",_xll.meProductSwapPV01(_xll.meUtilityLVBFromKeysValues($N$5:$AO$5,$N64:$AO64))),"Please Load Yield Curves")</f>
        <v>403.79981673128748</v>
      </c>
      <c r="AV64" s="196">
        <f ca="1">IF(AND(NOW(),isEUR1MLLoaded),IF(OR($D64="",$D64=0),"",_xll.meProductSwapDV01(_xll.meUtilityLVBFromKeysValues($N$5:$AQ$5,$N64:$AQ64))),"Please Load Yield Curves")</f>
        <v>402.52820059318486</v>
      </c>
      <c r="AW64" s="48"/>
      <c r="AX64" s="150" t="str">
        <f>'EUR BASIS 1ML'!I38</f>
        <v>4Y</v>
      </c>
      <c r="AY64" s="185">
        <f>'EUR BASIS 1ML'!J38*10000</f>
        <v>9.9</v>
      </c>
      <c r="AZ64" s="184">
        <f t="shared" ca="1" si="56"/>
        <v>-1.0226088976907771E-8</v>
      </c>
      <c r="BA64" s="190">
        <f t="shared" ca="1" si="43"/>
        <v>4.1292928546681651E-2</v>
      </c>
    </row>
    <row r="65" spans="2:53" x14ac:dyDescent="0.25">
      <c r="B65" s="132">
        <f ca="1">IF(OR(D65="",D65=0),"",_xll.meDateFromTenor(COB,C65,$T65,$U65))</f>
        <v>42523</v>
      </c>
      <c r="C65" s="140" t="s">
        <v>191</v>
      </c>
      <c r="D65" s="134">
        <v>1000000</v>
      </c>
      <c r="E65" s="134" t="s">
        <v>17</v>
      </c>
      <c r="F65" s="135" t="s">
        <v>176</v>
      </c>
      <c r="G65" s="136" t="s">
        <v>52</v>
      </c>
      <c r="H65" s="137">
        <v>0</v>
      </c>
      <c r="I65" s="167" t="s">
        <v>235</v>
      </c>
      <c r="J65" s="371">
        <v>9.85</v>
      </c>
      <c r="K65" s="137">
        <v>-3.49E-3</v>
      </c>
      <c r="L65" s="136" t="s">
        <v>193</v>
      </c>
      <c r="M65" s="200"/>
      <c r="N65" s="280">
        <f t="shared" si="44"/>
        <v>1000000</v>
      </c>
      <c r="O65" s="253" t="str">
        <f t="shared" si="45"/>
        <v>PAYER</v>
      </c>
      <c r="P65" s="256">
        <f t="shared" ca="1" si="46"/>
        <v>42523</v>
      </c>
      <c r="Q65" s="256" t="str">
        <f t="shared" si="47"/>
        <v>5Y</v>
      </c>
      <c r="R65" s="250" t="s">
        <v>26</v>
      </c>
      <c r="S65" s="255" t="s">
        <v>20</v>
      </c>
      <c r="T65" s="250" t="s">
        <v>22</v>
      </c>
      <c r="U65" s="250" t="s">
        <v>2</v>
      </c>
      <c r="V65" s="256"/>
      <c r="W65" s="256"/>
      <c r="X65" s="257">
        <f t="shared" ca="1" si="48"/>
        <v>2</v>
      </c>
      <c r="Y65" s="258" t="s">
        <v>177</v>
      </c>
      <c r="Z65" s="255" t="s">
        <v>178</v>
      </c>
      <c r="AA65" s="253" t="str">
        <f t="shared" si="42"/>
        <v>EUR1ML</v>
      </c>
      <c r="AB65" s="257" t="str">
        <f t="shared" si="49"/>
        <v>Monthly</v>
      </c>
      <c r="AC65" s="255" t="s">
        <v>6</v>
      </c>
      <c r="AD65" s="250" t="s">
        <v>22</v>
      </c>
      <c r="AE65" s="250" t="s">
        <v>2</v>
      </c>
      <c r="AF65" s="256"/>
      <c r="AG65" s="256"/>
      <c r="AH65" s="257">
        <f t="shared" ca="1" si="50"/>
        <v>2</v>
      </c>
      <c r="AI65" s="258" t="s">
        <v>177</v>
      </c>
      <c r="AJ65" s="259">
        <f t="shared" si="51"/>
        <v>-3.49E-3</v>
      </c>
      <c r="AK65" s="260"/>
      <c r="AL65" s="258" t="s">
        <v>177</v>
      </c>
      <c r="AM65" s="255" t="s">
        <v>178</v>
      </c>
      <c r="AN65" s="256" t="str">
        <f t="shared" si="52"/>
        <v>EURYC</v>
      </c>
      <c r="AO65" s="253" t="str">
        <f t="shared" si="53"/>
        <v>EURDF_NOCSA</v>
      </c>
      <c r="AP65" s="261">
        <f t="shared" si="54"/>
        <v>9.85</v>
      </c>
      <c r="AQ65" s="272">
        <f t="shared" si="55"/>
        <v>0</v>
      </c>
      <c r="AR65" s="224" t="s">
        <v>4</v>
      </c>
      <c r="AS65" s="181">
        <f ca="1">IF(AND(NOW(),isEUR1MLLoaded),IF(OR($D65="",$D65=0),"",_xll.meProductSwapParRate(_xll.meUtilityLVBFromKeysValues($P$5:$AP$5,$P65:$AP65))),"Please Load Yield Curves")</f>
        <v>-1.2474850389535635E-3</v>
      </c>
      <c r="AT65" s="139">
        <f ca="1">IF(AND(NOW(),isEUR1MLLoaded),IF(OR($D65="",$D65=0),"",_xll.meProductSwapPV(_xll.meUtilityLVBFromKeysValues($N$5:$AQ$5,$N65:$AQ65))),"Please Load Yield Curves")</f>
        <v>-6302.2262777308051</v>
      </c>
      <c r="AU65" s="139">
        <f ca="1">IF(AND(NOW(),isEUR1MLLoaded),IF(OR($D65="",$D65=0),"",_xll.meProductSwapPV01(_xll.meUtilityLVBFromKeysValues($N$5:$AO$5,$N65:$AO65))),"Please Load Yield Curves")</f>
        <v>505.19453788538783</v>
      </c>
      <c r="AV65" s="196">
        <f ca="1">IF(AND(NOW(),isEUR1MLLoaded),IF(OR($D65="",$D65=0),"",_xll.meProductSwapDV01(_xll.meUtilityLVBFromKeysValues($N$5:$AQ$5,$N65:$AQ65))),"Please Load Yield Curves")</f>
        <v>504.85126069111516</v>
      </c>
      <c r="AW65" s="48"/>
      <c r="AX65" s="150" t="str">
        <f>'EUR BASIS 1ML'!I39</f>
        <v>5Y</v>
      </c>
      <c r="AY65" s="185">
        <f>'EUR BASIS 1ML'!J39*10000</f>
        <v>9.85</v>
      </c>
      <c r="AZ65" s="184">
        <f t="shared" ca="1" si="56"/>
        <v>-1.4775687179856278E-8</v>
      </c>
      <c r="BA65" s="190">
        <f t="shared" ca="1" si="43"/>
        <v>7.4645964567935152E-2</v>
      </c>
    </row>
    <row r="66" spans="2:53" x14ac:dyDescent="0.25">
      <c r="B66" s="132">
        <f ca="1">IF(OR(D66="",D66=0),"",_xll.meDateFromTenor(COB,C66,$T66,$U66))</f>
        <v>42523</v>
      </c>
      <c r="C66" s="140" t="s">
        <v>191</v>
      </c>
      <c r="D66" s="134">
        <v>1000000</v>
      </c>
      <c r="E66" s="134" t="s">
        <v>17</v>
      </c>
      <c r="F66" s="135" t="s">
        <v>176</v>
      </c>
      <c r="G66" s="136" t="s">
        <v>54</v>
      </c>
      <c r="H66" s="137">
        <v>0</v>
      </c>
      <c r="I66" s="167" t="s">
        <v>235</v>
      </c>
      <c r="J66" s="371">
        <v>9.9</v>
      </c>
      <c r="K66" s="137">
        <v>-3.49E-3</v>
      </c>
      <c r="L66" s="136" t="s">
        <v>193</v>
      </c>
      <c r="M66" s="200"/>
      <c r="N66" s="280">
        <f t="shared" si="44"/>
        <v>1000000</v>
      </c>
      <c r="O66" s="253" t="str">
        <f t="shared" si="45"/>
        <v>PAYER</v>
      </c>
      <c r="P66" s="256">
        <f t="shared" ca="1" si="46"/>
        <v>42523</v>
      </c>
      <c r="Q66" s="256" t="str">
        <f t="shared" si="47"/>
        <v>6Y</v>
      </c>
      <c r="R66" s="250" t="s">
        <v>26</v>
      </c>
      <c r="S66" s="255" t="s">
        <v>20</v>
      </c>
      <c r="T66" s="250" t="s">
        <v>22</v>
      </c>
      <c r="U66" s="250" t="s">
        <v>2</v>
      </c>
      <c r="V66" s="256"/>
      <c r="W66" s="256"/>
      <c r="X66" s="257">
        <f t="shared" ca="1" si="48"/>
        <v>2</v>
      </c>
      <c r="Y66" s="258" t="s">
        <v>177</v>
      </c>
      <c r="Z66" s="255" t="s">
        <v>178</v>
      </c>
      <c r="AA66" s="253" t="str">
        <f t="shared" si="42"/>
        <v>EUR1ML</v>
      </c>
      <c r="AB66" s="257" t="str">
        <f t="shared" si="49"/>
        <v>Monthly</v>
      </c>
      <c r="AC66" s="255" t="s">
        <v>6</v>
      </c>
      <c r="AD66" s="250" t="s">
        <v>22</v>
      </c>
      <c r="AE66" s="250" t="s">
        <v>2</v>
      </c>
      <c r="AF66" s="256"/>
      <c r="AG66" s="256"/>
      <c r="AH66" s="257">
        <f t="shared" ca="1" si="50"/>
        <v>2</v>
      </c>
      <c r="AI66" s="258" t="s">
        <v>177</v>
      </c>
      <c r="AJ66" s="259">
        <f t="shared" si="51"/>
        <v>-3.49E-3</v>
      </c>
      <c r="AK66" s="260"/>
      <c r="AL66" s="258" t="s">
        <v>177</v>
      </c>
      <c r="AM66" s="255" t="s">
        <v>178</v>
      </c>
      <c r="AN66" s="256" t="str">
        <f t="shared" si="52"/>
        <v>EURYC</v>
      </c>
      <c r="AO66" s="253" t="str">
        <f t="shared" si="53"/>
        <v>EURDF_NOCSA</v>
      </c>
      <c r="AP66" s="261">
        <f t="shared" si="54"/>
        <v>9.9</v>
      </c>
      <c r="AQ66" s="272">
        <f t="shared" si="55"/>
        <v>0</v>
      </c>
      <c r="AR66" s="224" t="s">
        <v>4</v>
      </c>
      <c r="AS66" s="181">
        <f ca="1">IF(AND(NOW(),isEUR1MLLoaded),IF(OR($D66="",$D66=0),"",_xll.meProductSwapParRate(_xll.meUtilityLVBFromKeysValues($P$5:$AP$5,$P66:$AP66))),"Please Load Yield Curves")</f>
        <v>-2.474839383048578E-4</v>
      </c>
      <c r="AT66" s="139">
        <f ca="1">IF(AND(NOW(),isEUR1MLLoaded),IF(OR($D66="",$D66=0),"",_xll.meProductSwapPV(_xll.meUtilityLVBFromKeysValues($N$5:$AQ$5,$N66:$AQ66))),"Please Load Yield Curves")</f>
        <v>-1500.4458425795312</v>
      </c>
      <c r="AU66" s="139">
        <f ca="1">IF(AND(NOW(),isEUR1MLLoaded),IF(OR($D66="",$D66=0),"",_xll.meProductSwapPV01(_xll.meUtilityLVBFromKeysValues($N$5:$AO$5,$N66:$AO66))),"Please Load Yield Curves")</f>
        <v>606.28008947038791</v>
      </c>
      <c r="AV66" s="196">
        <f ca="1">IF(AND(NOW(),isEUR1MLLoaded),IF(OR($D66="",$D66=0),"",_xll.meProductSwapDV01(_xll.meUtilityLVBFromKeysValues($N$5:$AQ$5,$N66:$AQ66))),"Please Load Yield Curves")</f>
        <v>607.66020159779112</v>
      </c>
      <c r="AW66" s="48"/>
      <c r="AX66" s="150" t="str">
        <f>'EUR BASIS 1ML'!I40</f>
        <v>6Y</v>
      </c>
      <c r="AY66" s="185">
        <f>'EUR BASIS 1ML'!J40*10000</f>
        <v>9.9</v>
      </c>
      <c r="AZ66" s="184">
        <f t="shared" ca="1" si="56"/>
        <v>-1.5929681096503012E-8</v>
      </c>
      <c r="BA66" s="190">
        <f t="shared" ca="1" si="43"/>
        <v>9.6578484804467735E-2</v>
      </c>
    </row>
    <row r="67" spans="2:53" x14ac:dyDescent="0.25">
      <c r="B67" s="132">
        <f ca="1">IF(OR(D67="",D67=0),"",_xll.meDateFromTenor(COB,C67,$T67,$U67))</f>
        <v>42523</v>
      </c>
      <c r="C67" s="140" t="s">
        <v>191</v>
      </c>
      <c r="D67" s="134">
        <v>1000000</v>
      </c>
      <c r="E67" s="134" t="s">
        <v>17</v>
      </c>
      <c r="F67" s="135" t="s">
        <v>176</v>
      </c>
      <c r="G67" s="136" t="s">
        <v>55</v>
      </c>
      <c r="H67" s="137">
        <v>0</v>
      </c>
      <c r="I67" s="167" t="s">
        <v>235</v>
      </c>
      <c r="J67" s="371">
        <v>9.9</v>
      </c>
      <c r="K67" s="137">
        <v>-3.49E-3</v>
      </c>
      <c r="L67" s="136" t="s">
        <v>193</v>
      </c>
      <c r="M67" s="200"/>
      <c r="N67" s="280">
        <f t="shared" si="44"/>
        <v>1000000</v>
      </c>
      <c r="O67" s="253" t="str">
        <f t="shared" si="45"/>
        <v>PAYER</v>
      </c>
      <c r="P67" s="256">
        <f t="shared" ca="1" si="46"/>
        <v>42523</v>
      </c>
      <c r="Q67" s="256" t="str">
        <f t="shared" si="47"/>
        <v>7Y</v>
      </c>
      <c r="R67" s="250" t="s">
        <v>26</v>
      </c>
      <c r="S67" s="255" t="s">
        <v>20</v>
      </c>
      <c r="T67" s="250" t="s">
        <v>22</v>
      </c>
      <c r="U67" s="250" t="s">
        <v>2</v>
      </c>
      <c r="V67" s="256"/>
      <c r="W67" s="256"/>
      <c r="X67" s="257">
        <f t="shared" ca="1" si="48"/>
        <v>2</v>
      </c>
      <c r="Y67" s="258" t="s">
        <v>177</v>
      </c>
      <c r="Z67" s="255" t="s">
        <v>178</v>
      </c>
      <c r="AA67" s="253" t="str">
        <f t="shared" si="42"/>
        <v>EUR1ML</v>
      </c>
      <c r="AB67" s="257" t="str">
        <f t="shared" si="49"/>
        <v>Monthly</v>
      </c>
      <c r="AC67" s="255" t="s">
        <v>6</v>
      </c>
      <c r="AD67" s="250" t="s">
        <v>22</v>
      </c>
      <c r="AE67" s="250" t="s">
        <v>2</v>
      </c>
      <c r="AF67" s="256"/>
      <c r="AG67" s="256"/>
      <c r="AH67" s="257">
        <f t="shared" ca="1" si="50"/>
        <v>2</v>
      </c>
      <c r="AI67" s="258" t="s">
        <v>177</v>
      </c>
      <c r="AJ67" s="259">
        <f t="shared" si="51"/>
        <v>-3.49E-3</v>
      </c>
      <c r="AK67" s="260"/>
      <c r="AL67" s="258" t="s">
        <v>177</v>
      </c>
      <c r="AM67" s="255" t="s">
        <v>178</v>
      </c>
      <c r="AN67" s="256" t="str">
        <f t="shared" si="52"/>
        <v>EURYC</v>
      </c>
      <c r="AO67" s="253" t="str">
        <f t="shared" si="53"/>
        <v>EURDF_NOCSA</v>
      </c>
      <c r="AP67" s="261">
        <f t="shared" si="54"/>
        <v>9.9</v>
      </c>
      <c r="AQ67" s="272">
        <f t="shared" si="55"/>
        <v>0</v>
      </c>
      <c r="AR67" s="224" t="s">
        <v>4</v>
      </c>
      <c r="AS67" s="181">
        <f ca="1">IF(AND(NOW(),isEUR1MLLoaded),IF(OR($D67="",$D67=0),"",_xll.meProductSwapParRate(_xll.meUtilityLVBFromKeysValues($P$5:$AP$5,$P67:$AP67))),"Please Load Yield Curves")</f>
        <v>9.0251638833378084E-4</v>
      </c>
      <c r="AT67" s="139">
        <f ca="1">IF(AND(NOW(),isEUR1MLLoaded),IF(OR($D67="",$D67=0),"",_xll.meProductSwapPV(_xll.meUtilityLVBFromKeysValues($N$5:$AQ$5,$N67:$AQ67))),"Please Load Yield Curves")</f>
        <v>6378.5697359159558</v>
      </c>
      <c r="AU67" s="139">
        <f ca="1">IF(AND(NOW(),isEUR1MLLoaded),IF(OR($D67="",$D67=0),"",_xll.meProductSwapPV01(_xll.meUtilityLVBFromKeysValues($N$5:$AO$5,$N67:$AO67))),"Please Load Yield Curves")</f>
        <v>706.75389592559361</v>
      </c>
      <c r="AV67" s="196">
        <f ca="1">IF(AND(NOW(),isEUR1MLLoaded),IF(OR($D67="",$D67=0),"",_xll.meProductSwapDV01(_xll.meUtilityLVBFromKeysValues($N$5:$AQ$5,$N67:$AQ67))),"Please Load Yield Curves")</f>
        <v>704.26962512432783</v>
      </c>
      <c r="AW67" s="48"/>
      <c r="AX67" s="150" t="str">
        <f>'EUR BASIS 1ML'!I41</f>
        <v>7Y</v>
      </c>
      <c r="AY67" s="185">
        <f>'EUR BASIS 1ML'!J41*10000</f>
        <v>9.9</v>
      </c>
      <c r="AZ67" s="184">
        <f t="shared" ca="1" si="56"/>
        <v>-1.6916339437848989E-8</v>
      </c>
      <c r="BA67" s="190">
        <f t="shared" ca="1" si="43"/>
        <v>0.11955688802572695</v>
      </c>
    </row>
    <row r="68" spans="2:53" x14ac:dyDescent="0.25">
      <c r="B68" s="132">
        <f ca="1">IF(OR(D68="",D68=0),"",_xll.meDateFromTenor(COB,C68,$T68,$U68))</f>
        <v>42523</v>
      </c>
      <c r="C68" s="140" t="s">
        <v>191</v>
      </c>
      <c r="D68" s="134">
        <v>1000000</v>
      </c>
      <c r="E68" s="134" t="s">
        <v>17</v>
      </c>
      <c r="F68" s="135" t="s">
        <v>176</v>
      </c>
      <c r="G68" s="136" t="s">
        <v>57</v>
      </c>
      <c r="H68" s="137">
        <v>0</v>
      </c>
      <c r="I68" s="167" t="s">
        <v>235</v>
      </c>
      <c r="J68" s="371">
        <v>9.2000000000000011</v>
      </c>
      <c r="K68" s="137">
        <v>-3.49E-3</v>
      </c>
      <c r="L68" s="136" t="s">
        <v>193</v>
      </c>
      <c r="M68" s="200"/>
      <c r="N68" s="280">
        <f t="shared" si="44"/>
        <v>1000000</v>
      </c>
      <c r="O68" s="253" t="str">
        <f t="shared" si="45"/>
        <v>PAYER</v>
      </c>
      <c r="P68" s="256">
        <f t="shared" ca="1" si="46"/>
        <v>42523</v>
      </c>
      <c r="Q68" s="256" t="str">
        <f t="shared" si="47"/>
        <v>8Y</v>
      </c>
      <c r="R68" s="250" t="s">
        <v>26</v>
      </c>
      <c r="S68" s="255" t="s">
        <v>20</v>
      </c>
      <c r="T68" s="250" t="s">
        <v>22</v>
      </c>
      <c r="U68" s="250" t="s">
        <v>2</v>
      </c>
      <c r="V68" s="256"/>
      <c r="W68" s="256"/>
      <c r="X68" s="257">
        <f t="shared" ca="1" si="48"/>
        <v>2</v>
      </c>
      <c r="Y68" s="258" t="s">
        <v>177</v>
      </c>
      <c r="Z68" s="255" t="s">
        <v>178</v>
      </c>
      <c r="AA68" s="253" t="str">
        <f t="shared" si="42"/>
        <v>EUR1ML</v>
      </c>
      <c r="AB68" s="257" t="str">
        <f t="shared" si="49"/>
        <v>Monthly</v>
      </c>
      <c r="AC68" s="255" t="s">
        <v>6</v>
      </c>
      <c r="AD68" s="250" t="s">
        <v>22</v>
      </c>
      <c r="AE68" s="250" t="s">
        <v>2</v>
      </c>
      <c r="AF68" s="256"/>
      <c r="AG68" s="256"/>
      <c r="AH68" s="257">
        <f t="shared" ca="1" si="50"/>
        <v>2</v>
      </c>
      <c r="AI68" s="258" t="s">
        <v>177</v>
      </c>
      <c r="AJ68" s="259">
        <f t="shared" si="51"/>
        <v>-3.49E-3</v>
      </c>
      <c r="AK68" s="260"/>
      <c r="AL68" s="258" t="s">
        <v>177</v>
      </c>
      <c r="AM68" s="255" t="s">
        <v>178</v>
      </c>
      <c r="AN68" s="256" t="str">
        <f t="shared" si="52"/>
        <v>EURYC</v>
      </c>
      <c r="AO68" s="253" t="str">
        <f t="shared" si="53"/>
        <v>EURDF_NOCSA</v>
      </c>
      <c r="AP68" s="261">
        <f t="shared" si="54"/>
        <v>9.2000000000000011</v>
      </c>
      <c r="AQ68" s="272">
        <f t="shared" si="55"/>
        <v>0</v>
      </c>
      <c r="AR68" s="224" t="s">
        <v>4</v>
      </c>
      <c r="AS68" s="181">
        <f ca="1">IF(AND(NOW(),isEUR1MLLoaded),IF(OR($D68="",$D68=0),"",_xll.meProductSwapParRate(_xll.meUtilityLVBFromKeysValues($P$5:$AP$5,$P68:$AP68))),"Please Load Yield Curves")</f>
        <v>2.1275205287328842E-3</v>
      </c>
      <c r="AT68" s="139">
        <f ca="1">IF(AND(NOW(),isEUR1MLLoaded),IF(OR($D68="",$D68=0),"",_xll.meProductSwapPV(_xll.meUtilityLVBFromKeysValues($N$5:$AQ$5,$N68:$AQ68))),"Please Load Yield Curves")</f>
        <v>17160.138194192965</v>
      </c>
      <c r="AU68" s="139">
        <f ca="1">IF(AND(NOW(),isEUR1MLLoaded),IF(OR($D68="",$D68=0),"",_xll.meProductSwapPV01(_xll.meUtilityLVBFromKeysValues($N$5:$AO$5,$N68:$AO68))),"Please Load Yield Curves")</f>
        <v>806.57920628447516</v>
      </c>
      <c r="AV68" s="196">
        <f ca="1">IF(AND(NOW(),isEUR1MLLoaded),IF(OR($D68="",$D68=0),"",_xll.meProductSwapDV01(_xll.meUtilityLVBFromKeysValues($N$5:$AQ$5,$N68:$AQ68))),"Please Load Yield Curves")</f>
        <v>822.44309826575079</v>
      </c>
      <c r="AW68" s="48"/>
      <c r="AX68" s="150" t="str">
        <f>'EUR BASIS 1ML'!I42</f>
        <v>8Y</v>
      </c>
      <c r="AY68" s="185">
        <f>'EUR BASIS 1ML'!J42*10000</f>
        <v>9.2000000000000011</v>
      </c>
      <c r="AZ68" s="184">
        <f t="shared" ca="1" si="56"/>
        <v>-2.0728470375916408E-8</v>
      </c>
      <c r="BA68" s="190">
        <f t="shared" ca="1" si="43"/>
        <v>0.16775159730241285</v>
      </c>
    </row>
    <row r="69" spans="2:53" x14ac:dyDescent="0.25">
      <c r="B69" s="132">
        <f ca="1">IF(OR(D69="",D69=0),"",_xll.meDateFromTenor(COB,C69,$T69,$U69))</f>
        <v>42523</v>
      </c>
      <c r="C69" s="140" t="s">
        <v>191</v>
      </c>
      <c r="D69" s="134">
        <v>1000000</v>
      </c>
      <c r="E69" s="134" t="s">
        <v>17</v>
      </c>
      <c r="F69" s="135" t="s">
        <v>176</v>
      </c>
      <c r="G69" s="136" t="s">
        <v>59</v>
      </c>
      <c r="H69" s="137">
        <v>0</v>
      </c>
      <c r="I69" s="167" t="s">
        <v>235</v>
      </c>
      <c r="J69" s="371">
        <v>9.2000000000000011</v>
      </c>
      <c r="K69" s="137">
        <v>-3.49E-3</v>
      </c>
      <c r="L69" s="136" t="s">
        <v>193</v>
      </c>
      <c r="M69" s="200"/>
      <c r="N69" s="280">
        <f t="shared" si="44"/>
        <v>1000000</v>
      </c>
      <c r="O69" s="253" t="str">
        <f t="shared" si="45"/>
        <v>PAYER</v>
      </c>
      <c r="P69" s="256">
        <f t="shared" ca="1" si="46"/>
        <v>42523</v>
      </c>
      <c r="Q69" s="256" t="str">
        <f t="shared" si="47"/>
        <v>9Y</v>
      </c>
      <c r="R69" s="250" t="s">
        <v>26</v>
      </c>
      <c r="S69" s="255" t="s">
        <v>20</v>
      </c>
      <c r="T69" s="250" t="s">
        <v>22</v>
      </c>
      <c r="U69" s="250" t="s">
        <v>2</v>
      </c>
      <c r="V69" s="256"/>
      <c r="W69" s="256"/>
      <c r="X69" s="257">
        <f t="shared" ca="1" si="48"/>
        <v>2</v>
      </c>
      <c r="Y69" s="258" t="s">
        <v>177</v>
      </c>
      <c r="Z69" s="255" t="s">
        <v>178</v>
      </c>
      <c r="AA69" s="253" t="str">
        <f t="shared" si="42"/>
        <v>EUR1ML</v>
      </c>
      <c r="AB69" s="257" t="str">
        <f t="shared" si="49"/>
        <v>Monthly</v>
      </c>
      <c r="AC69" s="255" t="s">
        <v>6</v>
      </c>
      <c r="AD69" s="250" t="s">
        <v>22</v>
      </c>
      <c r="AE69" s="250" t="s">
        <v>2</v>
      </c>
      <c r="AF69" s="256"/>
      <c r="AG69" s="256"/>
      <c r="AH69" s="257">
        <f t="shared" ca="1" si="50"/>
        <v>2</v>
      </c>
      <c r="AI69" s="258" t="s">
        <v>177</v>
      </c>
      <c r="AJ69" s="259">
        <f t="shared" si="51"/>
        <v>-3.49E-3</v>
      </c>
      <c r="AK69" s="260"/>
      <c r="AL69" s="258" t="s">
        <v>177</v>
      </c>
      <c r="AM69" s="255" t="s">
        <v>178</v>
      </c>
      <c r="AN69" s="256" t="str">
        <f t="shared" si="52"/>
        <v>EURYC</v>
      </c>
      <c r="AO69" s="253" t="str">
        <f t="shared" si="53"/>
        <v>EURDF_NOCSA</v>
      </c>
      <c r="AP69" s="261">
        <f t="shared" si="54"/>
        <v>9.2000000000000011</v>
      </c>
      <c r="AQ69" s="272">
        <f t="shared" si="55"/>
        <v>0</v>
      </c>
      <c r="AR69" s="224" t="s">
        <v>4</v>
      </c>
      <c r="AS69" s="181">
        <f ca="1">IF(AND(NOW(),isEUR1MLLoaded),IF(OR($D69="",$D69=0),"",_xll.meProductSwapParRate(_xll.meUtilityLVBFromKeysValues($P$5:$AP$5,$P69:$AP69))),"Please Load Yield Curves")</f>
        <v>3.322519944819198E-3</v>
      </c>
      <c r="AT69" s="139">
        <f ca="1">IF(AND(NOW(),isEUR1MLLoaded),IF(OR($D69="",$D69=0),"",_xll.meProductSwapPV(_xll.meUtilityLVBFromKeysValues($N$5:$AQ$5,$N69:$AQ69))),"Please Load Yield Curves")</f>
        <v>30058.999375682208</v>
      </c>
      <c r="AU69" s="139">
        <f ca="1">IF(AND(NOW(),isEUR1MLLoaded),IF(OR($D69="",$D69=0),"",_xll.meProductSwapPV01(_xll.meUtilityLVBFromKeysValues($N$5:$AO$5,$N69:$AO69))),"Please Load Yield Curves")</f>
        <v>904.70485880914498</v>
      </c>
      <c r="AV69" s="196">
        <f ca="1">IF(AND(NOW(),isEUR1MLLoaded),IF(OR($D69="",$D69=0),"",_xll.meProductSwapDV01(_xll.meUtilityLVBFromKeysValues($N$5:$AQ$5,$N69:$AQ69))),"Please Load Yield Curves")</f>
        <v>931.56220060082023</v>
      </c>
      <c r="AW69" s="48"/>
      <c r="AX69" s="150" t="str">
        <f>'EUR BASIS 1ML'!I43</f>
        <v>9Y</v>
      </c>
      <c r="AY69" s="185">
        <f>'EUR BASIS 1ML'!J43*10000</f>
        <v>9.2000000000000011</v>
      </c>
      <c r="AZ69" s="184">
        <f t="shared" ca="1" si="56"/>
        <v>-1.9317324156508525E-8</v>
      </c>
      <c r="BA69" s="190">
        <f t="shared" ca="1" si="43"/>
        <v>0.17476477023592452</v>
      </c>
    </row>
    <row r="70" spans="2:53" x14ac:dyDescent="0.25">
      <c r="B70" s="132">
        <f ca="1">IF(OR(D70="",D70=0),"",_xll.meDateFromTenor(COB,C70,$T70,$U70))</f>
        <v>42523</v>
      </c>
      <c r="C70" s="140" t="s">
        <v>191</v>
      </c>
      <c r="D70" s="134">
        <v>1000000</v>
      </c>
      <c r="E70" s="134" t="s">
        <v>17</v>
      </c>
      <c r="F70" s="135" t="s">
        <v>176</v>
      </c>
      <c r="G70" s="136" t="s">
        <v>60</v>
      </c>
      <c r="H70" s="137">
        <v>0</v>
      </c>
      <c r="I70" s="167" t="s">
        <v>235</v>
      </c>
      <c r="J70" s="371">
        <v>8.9</v>
      </c>
      <c r="K70" s="137">
        <v>-3.49E-3</v>
      </c>
      <c r="L70" s="136" t="s">
        <v>193</v>
      </c>
      <c r="M70" s="200"/>
      <c r="N70" s="280">
        <f t="shared" si="44"/>
        <v>1000000</v>
      </c>
      <c r="O70" s="253" t="str">
        <f t="shared" si="45"/>
        <v>PAYER</v>
      </c>
      <c r="P70" s="256">
        <f t="shared" ca="1" si="46"/>
        <v>42523</v>
      </c>
      <c r="Q70" s="256" t="str">
        <f t="shared" si="47"/>
        <v>10Y</v>
      </c>
      <c r="R70" s="250" t="s">
        <v>26</v>
      </c>
      <c r="S70" s="255" t="s">
        <v>20</v>
      </c>
      <c r="T70" s="250" t="s">
        <v>22</v>
      </c>
      <c r="U70" s="250" t="s">
        <v>2</v>
      </c>
      <c r="V70" s="256"/>
      <c r="W70" s="256"/>
      <c r="X70" s="257">
        <f t="shared" ca="1" si="48"/>
        <v>2</v>
      </c>
      <c r="Y70" s="258" t="s">
        <v>177</v>
      </c>
      <c r="Z70" s="255" t="s">
        <v>178</v>
      </c>
      <c r="AA70" s="253" t="str">
        <f t="shared" si="42"/>
        <v>EUR1ML</v>
      </c>
      <c r="AB70" s="257" t="str">
        <f t="shared" si="49"/>
        <v>Monthly</v>
      </c>
      <c r="AC70" s="255" t="s">
        <v>6</v>
      </c>
      <c r="AD70" s="250" t="s">
        <v>22</v>
      </c>
      <c r="AE70" s="250" t="s">
        <v>2</v>
      </c>
      <c r="AF70" s="256"/>
      <c r="AG70" s="256"/>
      <c r="AH70" s="257">
        <f t="shared" ca="1" si="50"/>
        <v>2</v>
      </c>
      <c r="AI70" s="258" t="s">
        <v>177</v>
      </c>
      <c r="AJ70" s="259">
        <f t="shared" si="51"/>
        <v>-3.49E-3</v>
      </c>
      <c r="AK70" s="260"/>
      <c r="AL70" s="258" t="s">
        <v>177</v>
      </c>
      <c r="AM70" s="255" t="s">
        <v>178</v>
      </c>
      <c r="AN70" s="256" t="str">
        <f t="shared" si="52"/>
        <v>EURYC</v>
      </c>
      <c r="AO70" s="253" t="str">
        <f t="shared" si="53"/>
        <v>EURDF_NOCSA</v>
      </c>
      <c r="AP70" s="261">
        <f t="shared" si="54"/>
        <v>8.9</v>
      </c>
      <c r="AQ70" s="272">
        <f t="shared" si="55"/>
        <v>0</v>
      </c>
      <c r="AR70" s="224" t="s">
        <v>4</v>
      </c>
      <c r="AS70" s="181">
        <f ca="1">IF(AND(NOW(),isEUR1MLLoaded),IF(OR($D70="",$D70=0),"",_xll.meProductSwapParRate(_xll.meUtilityLVBFromKeysValues($P$5:$AP$5,$P70:$AP70))),"Please Load Yield Curves")</f>
        <v>4.4425215960326846E-3</v>
      </c>
      <c r="AT70" s="139">
        <f ca="1">IF(AND(NOW(),isEUR1MLLoaded),IF(OR($D70="",$D70=0),"",_xll.meProductSwapPV(_xll.meUtilityLVBFromKeysValues($N$5:$AQ$5,$N70:$AQ70))),"Please Load Yield Curves")</f>
        <v>44506.070937141689</v>
      </c>
      <c r="AU70" s="139">
        <f ca="1">IF(AND(NOW(),isEUR1MLLoaded),IF(OR($D70="",$D70=0),"",_xll.meProductSwapPV01(_xll.meUtilityLVBFromKeysValues($N$5:$AO$5,$N70:$AO70))),"Please Load Yield Curves")</f>
        <v>1001.8200243953131</v>
      </c>
      <c r="AV70" s="196">
        <f ca="1">IF(AND(NOW(),isEUR1MLLoaded),IF(OR($D70="",$D70=0),"",_xll.meProductSwapDV01(_xll.meUtilityLVBFromKeysValues($N$5:$AQ$5,$N70:$AQ70))),"Please Load Yield Curves")</f>
        <v>1042.5387699696994</v>
      </c>
      <c r="AW70" s="48"/>
      <c r="AX70" s="150" t="str">
        <f>'EUR BASIS 1ML'!I44</f>
        <v>10Y</v>
      </c>
      <c r="AY70" s="185">
        <f>'EUR BASIS 1ML'!J44*10000</f>
        <v>8.9</v>
      </c>
      <c r="AZ70" s="184">
        <f t="shared" ca="1" si="56"/>
        <v>-2.0999938067992052E-8</v>
      </c>
      <c r="BA70" s="190">
        <f t="shared" ca="1" si="43"/>
        <v>0.21038158467854373</v>
      </c>
    </row>
    <row r="71" spans="2:53" x14ac:dyDescent="0.25">
      <c r="B71" s="132">
        <f ca="1">IF(OR(D71="",D71=0),"",_xll.meDateFromTenor(COB,C71,$T71,$U71))</f>
        <v>42523</v>
      </c>
      <c r="C71" s="140" t="s">
        <v>191</v>
      </c>
      <c r="D71" s="134">
        <v>1000000</v>
      </c>
      <c r="E71" s="134" t="s">
        <v>17</v>
      </c>
      <c r="F71" s="135" t="s">
        <v>176</v>
      </c>
      <c r="G71" s="136" t="s">
        <v>63</v>
      </c>
      <c r="H71" s="137">
        <v>0</v>
      </c>
      <c r="I71" s="167" t="s">
        <v>235</v>
      </c>
      <c r="J71" s="371">
        <v>7.3500000000000005</v>
      </c>
      <c r="K71" s="137">
        <v>-3.49E-3</v>
      </c>
      <c r="L71" s="136" t="s">
        <v>193</v>
      </c>
      <c r="M71" s="200"/>
      <c r="N71" s="280">
        <f t="shared" si="44"/>
        <v>1000000</v>
      </c>
      <c r="O71" s="253" t="str">
        <f t="shared" si="45"/>
        <v>PAYER</v>
      </c>
      <c r="P71" s="256">
        <f t="shared" ca="1" si="46"/>
        <v>42523</v>
      </c>
      <c r="Q71" s="256" t="str">
        <f t="shared" si="47"/>
        <v>15Y</v>
      </c>
      <c r="R71" s="250" t="s">
        <v>26</v>
      </c>
      <c r="S71" s="255" t="s">
        <v>20</v>
      </c>
      <c r="T71" s="250" t="s">
        <v>22</v>
      </c>
      <c r="U71" s="250" t="s">
        <v>2</v>
      </c>
      <c r="V71" s="256"/>
      <c r="W71" s="256"/>
      <c r="X71" s="257">
        <f t="shared" ca="1" si="48"/>
        <v>2</v>
      </c>
      <c r="Y71" s="258" t="s">
        <v>177</v>
      </c>
      <c r="Z71" s="255" t="s">
        <v>178</v>
      </c>
      <c r="AA71" s="253" t="str">
        <f t="shared" si="42"/>
        <v>EUR1ML</v>
      </c>
      <c r="AB71" s="257" t="str">
        <f t="shared" si="49"/>
        <v>Monthly</v>
      </c>
      <c r="AC71" s="255" t="s">
        <v>6</v>
      </c>
      <c r="AD71" s="250" t="s">
        <v>22</v>
      </c>
      <c r="AE71" s="250" t="s">
        <v>2</v>
      </c>
      <c r="AF71" s="256"/>
      <c r="AG71" s="256"/>
      <c r="AH71" s="257">
        <f t="shared" ca="1" si="50"/>
        <v>2</v>
      </c>
      <c r="AI71" s="258" t="s">
        <v>177</v>
      </c>
      <c r="AJ71" s="259">
        <f t="shared" si="51"/>
        <v>-3.49E-3</v>
      </c>
      <c r="AK71" s="260"/>
      <c r="AL71" s="258" t="s">
        <v>177</v>
      </c>
      <c r="AM71" s="255" t="s">
        <v>178</v>
      </c>
      <c r="AN71" s="256" t="str">
        <f t="shared" si="52"/>
        <v>EURYC</v>
      </c>
      <c r="AO71" s="253" t="str">
        <f t="shared" si="53"/>
        <v>EURDF_NOCSA</v>
      </c>
      <c r="AP71" s="261">
        <f t="shared" si="54"/>
        <v>7.3500000000000005</v>
      </c>
      <c r="AQ71" s="272">
        <f t="shared" si="55"/>
        <v>0</v>
      </c>
      <c r="AR71" s="224" t="s">
        <v>4</v>
      </c>
      <c r="AS71" s="181">
        <f ca="1">IF(AND(NOW(),isEUR1MLLoaded),IF(OR($D71="",$D71=0),"",_xll.meProductSwapParRate(_xll.meUtilityLVBFromKeysValues($P$5:$AP$5,$P71:$AP71))),"Please Load Yield Curves")</f>
        <v>8.4325234832203898E-3</v>
      </c>
      <c r="AT71" s="139">
        <f ca="1">IF(AND(NOW(),isEUR1MLLoaded),IF(OR($D71="",$D71=0),"",_xll.meProductSwapPV(_xll.meUtilityLVBFromKeysValues($N$5:$AQ$5,$N71:$AQ71))),"Please Load Yield Curves")</f>
        <v>123586.68152486555</v>
      </c>
      <c r="AU71" s="139">
        <f ca="1">IF(AND(NOW(),isEUR1MLLoaded),IF(OR($D71="",$D71=0),"",_xll.meProductSwapPV01(_xll.meUtilityLVBFromKeysValues($N$5:$AO$5,$N71:$AO71))),"Please Load Yield Curves")</f>
        <v>1465.5954622692336</v>
      </c>
      <c r="AV71" s="196">
        <f ca="1">IF(AND(NOW(),isEUR1MLLoaded),IF(OR($D71="",$D71=0),"",_xll.meProductSwapDV01(_xll.meUtilityLVBFromKeysValues($N$5:$AQ$5,$N71:$AQ71))),"Please Load Yield Curves")</f>
        <v>1605.9342561399988</v>
      </c>
      <c r="AW71" s="48"/>
      <c r="AX71" s="150" t="str">
        <f>'EUR BASIS 1ML'!I45</f>
        <v>15Y</v>
      </c>
      <c r="AY71" s="185">
        <f>'EUR BASIS 1ML'!J45*10000</f>
        <v>7.3500000000000005</v>
      </c>
      <c r="AZ71" s="184">
        <f t="shared" ca="1" si="56"/>
        <v>-2.3446133329968477E-8</v>
      </c>
      <c r="BA71" s="190">
        <f t="shared" ca="1" si="43"/>
        <v>0.34362546616466716</v>
      </c>
    </row>
    <row r="72" spans="2:53" x14ac:dyDescent="0.25">
      <c r="B72" s="132">
        <f ca="1">IF(OR(D72="",D72=0),"",_xll.meDateFromTenor(COB,C72,$T72,$U72))</f>
        <v>42523</v>
      </c>
      <c r="C72" s="140" t="s">
        <v>191</v>
      </c>
      <c r="D72" s="134">
        <v>1000000</v>
      </c>
      <c r="E72" s="134" t="s">
        <v>17</v>
      </c>
      <c r="F72" s="135" t="s">
        <v>176</v>
      </c>
      <c r="G72" s="136" t="s">
        <v>64</v>
      </c>
      <c r="H72" s="137">
        <v>0</v>
      </c>
      <c r="I72" s="167" t="s">
        <v>235</v>
      </c>
      <c r="J72" s="371">
        <v>5.3500000000000014</v>
      </c>
      <c r="K72" s="137">
        <v>-3.49E-3</v>
      </c>
      <c r="L72" s="136" t="s">
        <v>193</v>
      </c>
      <c r="M72" s="200"/>
      <c r="N72" s="280">
        <f t="shared" si="44"/>
        <v>1000000</v>
      </c>
      <c r="O72" s="253" t="str">
        <f t="shared" si="45"/>
        <v>PAYER</v>
      </c>
      <c r="P72" s="256">
        <f t="shared" ca="1" si="46"/>
        <v>42523</v>
      </c>
      <c r="Q72" s="256" t="str">
        <f t="shared" si="47"/>
        <v>20Y</v>
      </c>
      <c r="R72" s="250" t="s">
        <v>26</v>
      </c>
      <c r="S72" s="255" t="s">
        <v>20</v>
      </c>
      <c r="T72" s="250" t="s">
        <v>22</v>
      </c>
      <c r="U72" s="250" t="s">
        <v>2</v>
      </c>
      <c r="V72" s="256"/>
      <c r="W72" s="256"/>
      <c r="X72" s="257">
        <f t="shared" ca="1" si="48"/>
        <v>2</v>
      </c>
      <c r="Y72" s="258" t="s">
        <v>177</v>
      </c>
      <c r="Z72" s="255" t="s">
        <v>178</v>
      </c>
      <c r="AA72" s="253" t="str">
        <f t="shared" si="42"/>
        <v>EUR1ML</v>
      </c>
      <c r="AB72" s="257" t="str">
        <f t="shared" si="49"/>
        <v>Monthly</v>
      </c>
      <c r="AC72" s="255" t="s">
        <v>6</v>
      </c>
      <c r="AD72" s="250" t="s">
        <v>22</v>
      </c>
      <c r="AE72" s="250" t="s">
        <v>2</v>
      </c>
      <c r="AF72" s="256"/>
      <c r="AG72" s="256"/>
      <c r="AH72" s="257">
        <f t="shared" ca="1" si="50"/>
        <v>2</v>
      </c>
      <c r="AI72" s="258" t="s">
        <v>177</v>
      </c>
      <c r="AJ72" s="259">
        <f t="shared" si="51"/>
        <v>-3.49E-3</v>
      </c>
      <c r="AK72" s="260"/>
      <c r="AL72" s="258" t="s">
        <v>177</v>
      </c>
      <c r="AM72" s="255" t="s">
        <v>178</v>
      </c>
      <c r="AN72" s="256" t="str">
        <f t="shared" si="52"/>
        <v>EURYC</v>
      </c>
      <c r="AO72" s="253" t="str">
        <f t="shared" si="53"/>
        <v>EURDF_NOCSA</v>
      </c>
      <c r="AP72" s="261">
        <f t="shared" si="54"/>
        <v>5.3500000000000014</v>
      </c>
      <c r="AQ72" s="272">
        <f t="shared" si="55"/>
        <v>0</v>
      </c>
      <c r="AR72" s="224" t="s">
        <v>4</v>
      </c>
      <c r="AS72" s="181">
        <f ca="1">IF(AND(NOW(),isEUR1MLLoaded),IF(OR($D72="",$D72=0),"",_xll.meProductSwapParRate(_xll.meUtilityLVBFromKeysValues($P$5:$AP$5,$P72:$AP72))),"Please Load Yield Curves")</f>
        <v>1.0167526263661382E-2</v>
      </c>
      <c r="AT72" s="139">
        <f ca="1">IF(AND(NOW(),isEUR1MLLoaded),IF(OR($D72="",$D72=0),"",_xll.meProductSwapPV(_xll.meUtilityLVBFromKeysValues($N$5:$AQ$5,$N72:$AQ72))),"Please Load Yield Curves")</f>
        <v>192600.28824552154</v>
      </c>
      <c r="AU72" s="139">
        <f ca="1">IF(AND(NOW(),isEUR1MLLoaded),IF(OR($D72="",$D72=0),"",_xll.meProductSwapPV01(_xll.meUtilityLVBFromKeysValues($N$5:$AO$5,$N72:$AO72))),"Please Load Yield Curves")</f>
        <v>1894.2689032815456</v>
      </c>
      <c r="AV72" s="196">
        <f ca="1">IF(AND(NOW(),isEUR1MLLoaded),IF(OR($D72="",$D72=0),"",_xll.meProductSwapDV01(_xll.meUtilityLVBFromKeysValues($N$5:$AQ$5,$N72:$AQ72))),"Please Load Yield Curves")</f>
        <v>2156.6316542916215</v>
      </c>
      <c r="AW72" s="48"/>
      <c r="AX72" s="150" t="str">
        <f>'EUR BASIS 1ML'!I46</f>
        <v>20Y</v>
      </c>
      <c r="AY72" s="185">
        <f>'EUR BASIS 1ML'!J46*10000</f>
        <v>5.3500000000000014</v>
      </c>
      <c r="AZ72" s="184">
        <f t="shared" ca="1" si="56"/>
        <v>-2.6334134949068666E-8</v>
      </c>
      <c r="BA72" s="190">
        <f t="shared" ca="1" si="43"/>
        <v>0.50220119880395941</v>
      </c>
    </row>
    <row r="73" spans="2:53" x14ac:dyDescent="0.25">
      <c r="B73" s="132">
        <f ca="1">IF(OR(D73="",D73=0),"",_xll.meDateFromTenor(COB,C73,$T73,$U73))</f>
        <v>42523</v>
      </c>
      <c r="C73" s="140" t="s">
        <v>191</v>
      </c>
      <c r="D73" s="134">
        <v>1000000</v>
      </c>
      <c r="E73" s="134" t="s">
        <v>17</v>
      </c>
      <c r="F73" s="135" t="s">
        <v>176</v>
      </c>
      <c r="G73" s="136" t="s">
        <v>65</v>
      </c>
      <c r="H73" s="137">
        <v>0</v>
      </c>
      <c r="I73" s="167" t="s">
        <v>235</v>
      </c>
      <c r="J73" s="371">
        <v>4.0750000000000011</v>
      </c>
      <c r="K73" s="137">
        <v>-3.49E-3</v>
      </c>
      <c r="L73" s="136" t="s">
        <v>193</v>
      </c>
      <c r="M73" s="200"/>
      <c r="N73" s="280">
        <f t="shared" si="44"/>
        <v>1000000</v>
      </c>
      <c r="O73" s="253" t="str">
        <f t="shared" si="45"/>
        <v>PAYER</v>
      </c>
      <c r="P73" s="256">
        <f t="shared" ca="1" si="46"/>
        <v>42523</v>
      </c>
      <c r="Q73" s="256" t="str">
        <f t="shared" si="47"/>
        <v>25Y</v>
      </c>
      <c r="R73" s="250" t="s">
        <v>26</v>
      </c>
      <c r="S73" s="255" t="s">
        <v>20</v>
      </c>
      <c r="T73" s="250" t="s">
        <v>22</v>
      </c>
      <c r="U73" s="250" t="s">
        <v>2</v>
      </c>
      <c r="V73" s="256"/>
      <c r="W73" s="256"/>
      <c r="X73" s="257">
        <f t="shared" ca="1" si="48"/>
        <v>2</v>
      </c>
      <c r="Y73" s="258" t="s">
        <v>177</v>
      </c>
      <c r="Z73" s="255" t="s">
        <v>178</v>
      </c>
      <c r="AA73" s="253" t="str">
        <f t="shared" si="42"/>
        <v>EUR1ML</v>
      </c>
      <c r="AB73" s="257" t="str">
        <f t="shared" si="49"/>
        <v>Monthly</v>
      </c>
      <c r="AC73" s="255" t="s">
        <v>6</v>
      </c>
      <c r="AD73" s="250" t="s">
        <v>22</v>
      </c>
      <c r="AE73" s="250" t="s">
        <v>2</v>
      </c>
      <c r="AF73" s="256"/>
      <c r="AG73" s="256"/>
      <c r="AH73" s="257">
        <f t="shared" ca="1" si="50"/>
        <v>2</v>
      </c>
      <c r="AI73" s="258" t="s">
        <v>177</v>
      </c>
      <c r="AJ73" s="259">
        <f t="shared" si="51"/>
        <v>-3.49E-3</v>
      </c>
      <c r="AK73" s="260"/>
      <c r="AL73" s="258" t="s">
        <v>177</v>
      </c>
      <c r="AM73" s="255" t="s">
        <v>178</v>
      </c>
      <c r="AN73" s="256" t="str">
        <f t="shared" si="52"/>
        <v>EURYC</v>
      </c>
      <c r="AO73" s="253" t="str">
        <f t="shared" si="53"/>
        <v>EURDF_NOCSA</v>
      </c>
      <c r="AP73" s="261">
        <f t="shared" si="54"/>
        <v>4.0750000000000011</v>
      </c>
      <c r="AQ73" s="272">
        <f t="shared" si="55"/>
        <v>0</v>
      </c>
      <c r="AR73" s="224" t="s">
        <v>4</v>
      </c>
      <c r="AS73" s="181">
        <f ca="1">IF(AND(NOW(),isEUR1MLLoaded),IF(OR($D73="",$D73=0),"",_xll.meProductSwapParRate(_xll.meUtilityLVBFromKeysValues($P$5:$AP$5,$P73:$AP73))),"Please Load Yield Curves")</f>
        <v>1.0696691855234898E-2</v>
      </c>
      <c r="AT73" s="139">
        <f ca="1">IF(AND(NOW(),isEUR1MLLoaded),IF(OR($D73="",$D73=0),"",_xll.meProductSwapPV(_xll.meUtilityLVBFromKeysValues($N$5:$AQ$5,$N73:$AQ73))),"Please Load Yield Curves")</f>
        <v>245500.20200988589</v>
      </c>
      <c r="AU73" s="139">
        <f ca="1">IF(AND(NOW(),isEUR1MLLoaded),IF(OR($D73="",$D73=0),"",_xll.meProductSwapPV01(_xll.meUtilityLVBFromKeysValues($N$5:$AO$5,$N73:$AO73))),"Please Load Yield Curves")</f>
        <v>2295.1039941357158</v>
      </c>
      <c r="AV73" s="196">
        <f ca="1">IF(AND(NOW(),isEUR1MLLoaded),IF(OR($D73="",$D73=0),"",_xll.meProductSwapDV01(_xll.meUtilityLVBFromKeysValues($N$5:$AQ$5,$N73:$AQ73))),"Please Load Yield Curves")</f>
        <v>2677.961074512682</v>
      </c>
      <c r="AW73" s="48"/>
      <c r="AX73" s="150" t="str">
        <f>'EUR BASIS 1ML'!I47</f>
        <v>25Y</v>
      </c>
      <c r="AY73" s="185">
        <f>'EUR BASIS 1ML'!J47*10000</f>
        <v>4.0750000000000011</v>
      </c>
      <c r="AZ73" s="184">
        <f t="shared" ca="1" si="56"/>
        <v>-2.1772921583729232E-8</v>
      </c>
      <c r="BA73" s="190">
        <f t="shared" ca="1" si="43"/>
        <v>0.49971119288238697</v>
      </c>
    </row>
    <row r="74" spans="2:53" x14ac:dyDescent="0.25">
      <c r="B74" s="141">
        <f ca="1">IF(OR(D74="",D74=0),"",_xll.meDateFromTenor(COB,C74,$T74,$U74))</f>
        <v>42523</v>
      </c>
      <c r="C74" s="142" t="s">
        <v>191</v>
      </c>
      <c r="D74" s="143">
        <v>1000000</v>
      </c>
      <c r="E74" s="143" t="s">
        <v>17</v>
      </c>
      <c r="F74" s="144" t="s">
        <v>176</v>
      </c>
      <c r="G74" s="145" t="s">
        <v>66</v>
      </c>
      <c r="H74" s="146">
        <v>0</v>
      </c>
      <c r="I74" s="168" t="s">
        <v>235</v>
      </c>
      <c r="J74" s="372">
        <v>3.1500000000000017</v>
      </c>
      <c r="K74" s="146">
        <v>-3.49E-3</v>
      </c>
      <c r="L74" s="145" t="s">
        <v>193</v>
      </c>
      <c r="M74" s="200"/>
      <c r="N74" s="281">
        <f t="shared" si="44"/>
        <v>1000000</v>
      </c>
      <c r="O74" s="254" t="str">
        <f t="shared" si="45"/>
        <v>PAYER</v>
      </c>
      <c r="P74" s="148">
        <f t="shared" ca="1" si="46"/>
        <v>42523</v>
      </c>
      <c r="Q74" s="148" t="str">
        <f t="shared" si="47"/>
        <v>30Y</v>
      </c>
      <c r="R74" s="273" t="s">
        <v>26</v>
      </c>
      <c r="S74" s="274" t="s">
        <v>20</v>
      </c>
      <c r="T74" s="273" t="s">
        <v>22</v>
      </c>
      <c r="U74" s="273" t="s">
        <v>2</v>
      </c>
      <c r="V74" s="148"/>
      <c r="W74" s="148"/>
      <c r="X74" s="265">
        <f t="shared" ca="1" si="48"/>
        <v>2</v>
      </c>
      <c r="Y74" s="275" t="s">
        <v>177</v>
      </c>
      <c r="Z74" s="274" t="s">
        <v>178</v>
      </c>
      <c r="AA74" s="254" t="str">
        <f t="shared" si="42"/>
        <v>EUR1ML</v>
      </c>
      <c r="AB74" s="265" t="str">
        <f t="shared" si="49"/>
        <v>Monthly</v>
      </c>
      <c r="AC74" s="274" t="s">
        <v>6</v>
      </c>
      <c r="AD74" s="273" t="s">
        <v>22</v>
      </c>
      <c r="AE74" s="273" t="s">
        <v>2</v>
      </c>
      <c r="AF74" s="148"/>
      <c r="AG74" s="148"/>
      <c r="AH74" s="265">
        <f t="shared" ca="1" si="50"/>
        <v>2</v>
      </c>
      <c r="AI74" s="275" t="s">
        <v>177</v>
      </c>
      <c r="AJ74" s="276">
        <f t="shared" si="51"/>
        <v>-3.49E-3</v>
      </c>
      <c r="AK74" s="277"/>
      <c r="AL74" s="275" t="s">
        <v>177</v>
      </c>
      <c r="AM74" s="274" t="s">
        <v>178</v>
      </c>
      <c r="AN74" s="148" t="str">
        <f t="shared" si="52"/>
        <v>EURYC</v>
      </c>
      <c r="AO74" s="254" t="str">
        <f t="shared" si="53"/>
        <v>EURDF_NOCSA</v>
      </c>
      <c r="AP74" s="263">
        <f t="shared" si="54"/>
        <v>3.1500000000000017</v>
      </c>
      <c r="AQ74" s="278">
        <f t="shared" si="55"/>
        <v>0</v>
      </c>
      <c r="AR74" s="224" t="s">
        <v>4</v>
      </c>
      <c r="AS74" s="182">
        <f ca="1">IF(AND(NOW(),isEUR1MLLoaded),IF(OR($D74="",$D74=0),"",_xll.meProductSwapParRate(_xll.meUtilityLVBFromKeysValues($P$5:$AP$5,$P74:$AP74))),"Please Load Yield Curves")</f>
        <v>1.0867527602689607E-2</v>
      </c>
      <c r="AT74" s="149">
        <f ca="1">IF(AND(NOW(),isEUR1MLLoaded),IF(OR($D74="",$D74=0),"",_xll.meProductSwapPV(_xll.meUtilityLVBFromKeysValues($N$5:$AQ$5,$N74:$AQ74))),"Please Load Yield Curves")</f>
        <v>290530.23967778619</v>
      </c>
      <c r="AU74" s="149">
        <f ca="1">IF(AND(NOW(),isEUR1MLLoaded),IF(OR($D74="",$D74=0),"",_xll.meProductSwapPV01(_xll.meUtilityLVBFromKeysValues($N$5:$AO$5,$N74:$AO74))),"Please Load Yield Curves")</f>
        <v>2673.3793582073149</v>
      </c>
      <c r="AV74" s="197">
        <f ca="1">IF(AND(NOW(),isEUR1MLLoaded),IF(OR($D74="",$D74=0),"",_xll.meProductSwapDV01(_xll.meUtilityLVBFromKeysValues($N$5:$AQ$5,$N74:$AQ74))),"Please Load Yield Curves")</f>
        <v>3182.0597349390277</v>
      </c>
      <c r="AW74" s="177"/>
      <c r="AX74" s="151" t="str">
        <f>'EUR BASIS 1ML'!I48</f>
        <v>30Y</v>
      </c>
      <c r="AY74" s="189">
        <f>'EUR BASIS 1ML'!J48*10000</f>
        <v>3.1500000000000017</v>
      </c>
      <c r="AZ74" s="193">
        <f t="shared" ca="1" si="56"/>
        <v>-2.7469004104316297E-8</v>
      </c>
      <c r="BA74" s="191">
        <f t="shared" ca="1" si="43"/>
        <v>0.73435068567050621</v>
      </c>
    </row>
    <row r="75" spans="2:53" x14ac:dyDescent="0.25">
      <c r="AR75" s="224" t="s">
        <v>4</v>
      </c>
    </row>
    <row r="76" spans="2:53" x14ac:dyDescent="0.25">
      <c r="B76" s="40" t="s">
        <v>174</v>
      </c>
      <c r="C76" s="40"/>
      <c r="D76" s="40"/>
      <c r="E76" s="40"/>
      <c r="F76" s="40"/>
      <c r="G76" s="40"/>
      <c r="H76" s="40"/>
      <c r="I76" s="40"/>
      <c r="J76" s="40"/>
      <c r="K76" s="40"/>
      <c r="L76" s="40"/>
      <c r="M76" s="40"/>
      <c r="N76" s="224" t="s">
        <v>282</v>
      </c>
      <c r="O76" s="224"/>
      <c r="P76" s="224"/>
      <c r="Q76" s="269"/>
      <c r="R76" s="269"/>
      <c r="S76" s="269"/>
      <c r="T76" s="269"/>
      <c r="U76" s="269"/>
      <c r="V76" s="269"/>
      <c r="W76" s="269"/>
      <c r="X76" s="269"/>
      <c r="Y76" s="269"/>
      <c r="Z76" s="269"/>
      <c r="AA76" s="269"/>
      <c r="AB76" s="269"/>
      <c r="AC76" s="269"/>
      <c r="AD76" s="269"/>
      <c r="AE76" s="269"/>
      <c r="AF76" s="269"/>
      <c r="AG76" s="269"/>
      <c r="AH76" s="269"/>
      <c r="AI76" s="269"/>
      <c r="AJ76" s="269"/>
      <c r="AK76" s="269"/>
      <c r="AL76" s="269"/>
      <c r="AM76" s="269"/>
      <c r="AN76" s="269"/>
      <c r="AO76" s="269"/>
      <c r="AP76" s="269"/>
      <c r="AQ76" s="269"/>
      <c r="AR76" s="224" t="s">
        <v>4</v>
      </c>
      <c r="AS76" s="40"/>
      <c r="AT76" s="40"/>
      <c r="AU76" s="178"/>
      <c r="AV76" s="178"/>
      <c r="AY76" s="40"/>
      <c r="AZ76" s="40"/>
      <c r="BA76" s="40"/>
    </row>
    <row r="77" spans="2:53" ht="30" hidden="1" outlineLevel="1" x14ac:dyDescent="0.25">
      <c r="B77" s="110" t="s">
        <v>179</v>
      </c>
      <c r="C77" s="111" t="s">
        <v>180</v>
      </c>
      <c r="D77" s="111" t="s">
        <v>175</v>
      </c>
      <c r="E77" s="111" t="s">
        <v>16</v>
      </c>
      <c r="F77" s="111" t="s">
        <v>181</v>
      </c>
      <c r="G77" s="111" t="s">
        <v>182</v>
      </c>
      <c r="H77" s="111" t="s">
        <v>183</v>
      </c>
      <c r="I77" s="111" t="s">
        <v>184</v>
      </c>
      <c r="J77" s="111" t="s">
        <v>185</v>
      </c>
      <c r="K77" s="111" t="s">
        <v>186</v>
      </c>
      <c r="L77" s="111" t="s">
        <v>187</v>
      </c>
      <c r="M77" s="200"/>
      <c r="N77" s="264" t="s">
        <v>175</v>
      </c>
      <c r="O77" s="251" t="s">
        <v>249</v>
      </c>
      <c r="P77" s="251" t="s">
        <v>250</v>
      </c>
      <c r="Q77" s="251" t="s">
        <v>251</v>
      </c>
      <c r="R77" s="251" t="s">
        <v>253</v>
      </c>
      <c r="S77" s="251" t="s">
        <v>254</v>
      </c>
      <c r="T77" s="251" t="s">
        <v>255</v>
      </c>
      <c r="U77" s="251" t="s">
        <v>256</v>
      </c>
      <c r="V77" s="251" t="s">
        <v>283</v>
      </c>
      <c r="W77" s="251" t="s">
        <v>284</v>
      </c>
      <c r="X77" s="251" t="s">
        <v>257</v>
      </c>
      <c r="Y77" s="251" t="s">
        <v>258</v>
      </c>
      <c r="Z77" s="251" t="s">
        <v>259</v>
      </c>
      <c r="AA77" s="251" t="s">
        <v>271</v>
      </c>
      <c r="AB77" s="251" t="s">
        <v>260</v>
      </c>
      <c r="AC77" s="251" t="s">
        <v>261</v>
      </c>
      <c r="AD77" s="251" t="s">
        <v>262</v>
      </c>
      <c r="AE77" s="251" t="s">
        <v>263</v>
      </c>
      <c r="AF77" s="251" t="s">
        <v>285</v>
      </c>
      <c r="AG77" s="251" t="s">
        <v>286</v>
      </c>
      <c r="AH77" s="251" t="s">
        <v>264</v>
      </c>
      <c r="AI77" s="251" t="s">
        <v>265</v>
      </c>
      <c r="AJ77" s="251" t="s">
        <v>266</v>
      </c>
      <c r="AK77" s="251" t="s">
        <v>267</v>
      </c>
      <c r="AL77" s="251" t="s">
        <v>268</v>
      </c>
      <c r="AM77" s="251" t="s">
        <v>270</v>
      </c>
      <c r="AN77" s="251" t="s">
        <v>80</v>
      </c>
      <c r="AO77" s="251" t="s">
        <v>272</v>
      </c>
      <c r="AP77" s="251" t="s">
        <v>269</v>
      </c>
      <c r="AQ77" s="252" t="s">
        <v>252</v>
      </c>
      <c r="AR77" s="224" t="s">
        <v>4</v>
      </c>
      <c r="AS77" s="179" t="s">
        <v>188</v>
      </c>
      <c r="AT77" s="112" t="s">
        <v>189</v>
      </c>
      <c r="AU77" s="112" t="s">
        <v>190</v>
      </c>
      <c r="AV77" s="113" t="s">
        <v>273</v>
      </c>
    </row>
    <row r="78" spans="2:53" hidden="1" outlineLevel="1" x14ac:dyDescent="0.25">
      <c r="B78" s="115">
        <f ca="1">IF(OR(D78="",D78=0),"",_xll.meDateFromTenor(COB,C78,$T78,$U78))</f>
        <v>42523</v>
      </c>
      <c r="C78" s="116" t="s">
        <v>191</v>
      </c>
      <c r="D78" s="117">
        <v>1000000</v>
      </c>
      <c r="E78" s="117" t="s">
        <v>17</v>
      </c>
      <c r="F78" s="118" t="s">
        <v>229</v>
      </c>
      <c r="G78" s="119" t="s">
        <v>159</v>
      </c>
      <c r="H78" s="120">
        <v>0</v>
      </c>
      <c r="I78" s="166" t="s">
        <v>205</v>
      </c>
      <c r="J78" s="121">
        <v>0</v>
      </c>
      <c r="K78" s="120">
        <v>-2.6099999999999999E-3</v>
      </c>
      <c r="L78" s="119" t="s">
        <v>193</v>
      </c>
      <c r="M78" s="200"/>
      <c r="N78" s="279">
        <f>D78</f>
        <v>1000000</v>
      </c>
      <c r="O78" s="127" t="str">
        <f>F78</f>
        <v>RECEIVER</v>
      </c>
      <c r="P78" s="124">
        <f ca="1">B78</f>
        <v>42523</v>
      </c>
      <c r="Q78" s="124" t="str">
        <f>G78</f>
        <v>1Y</v>
      </c>
      <c r="R78" s="122" t="s">
        <v>26</v>
      </c>
      <c r="S78" s="123" t="s">
        <v>20</v>
      </c>
      <c r="T78" s="122" t="s">
        <v>22</v>
      </c>
      <c r="U78" s="122" t="s">
        <v>2</v>
      </c>
      <c r="V78" s="124"/>
      <c r="W78" s="124"/>
      <c r="X78" s="125">
        <f ca="1">IF($B78="","",DAY($B78))</f>
        <v>2</v>
      </c>
      <c r="Y78" s="126" t="s">
        <v>177</v>
      </c>
      <c r="Z78" s="123" t="s">
        <v>178</v>
      </c>
      <c r="AA78" s="127" t="str">
        <f t="shared" ref="AA78:AA91" si="57">$E78&amp;$I78</f>
        <v>EUR3ML</v>
      </c>
      <c r="AB78" s="125" t="str">
        <f>IF($I78="1ML","Monthly",IF($I78="3ML","Quarterly",IF($I78="6ML","Semi-Annual","Annual")))</f>
        <v>Quarterly</v>
      </c>
      <c r="AC78" s="123" t="s">
        <v>6</v>
      </c>
      <c r="AD78" s="122" t="s">
        <v>22</v>
      </c>
      <c r="AE78" s="122" t="s">
        <v>2</v>
      </c>
      <c r="AF78" s="124"/>
      <c r="AG78" s="124"/>
      <c r="AH78" s="125">
        <f ca="1">IF($B78="","",DAY($B78))</f>
        <v>2</v>
      </c>
      <c r="AI78" s="126" t="s">
        <v>177</v>
      </c>
      <c r="AJ78" s="129">
        <f>K78</f>
        <v>-2.6099999999999999E-3</v>
      </c>
      <c r="AK78" s="130"/>
      <c r="AL78" s="126" t="s">
        <v>177</v>
      </c>
      <c r="AM78" s="123" t="s">
        <v>178</v>
      </c>
      <c r="AN78" s="124" t="str">
        <f>E78&amp;"YC"</f>
        <v>EURYC</v>
      </c>
      <c r="AO78" s="127" t="str">
        <f>LEFT(AN78,3)&amp;"DF_"&amp;L78</f>
        <v>EURDF_NOCSA</v>
      </c>
      <c r="AP78" s="128">
        <f t="shared" ref="AP78:AP91" si="58">J78</f>
        <v>0</v>
      </c>
      <c r="AQ78" s="271">
        <f>H78</f>
        <v>0</v>
      </c>
      <c r="AR78" s="224" t="s">
        <v>4</v>
      </c>
      <c r="AS78" s="180">
        <f ca="1">IF(AND(NOW(),isEUR3MLLoaded),IF(OR($D78="",$D78=0),"",_xll.meProductSwapParRate(_xll.meUtilityLVBFromKeysValues($P$5:$AP$5,$P78:$AP78))),"Please Load Yield Curves")</f>
        <v>-2.8448773253469278E-3</v>
      </c>
      <c r="AT78" s="131">
        <f ca="1">IF(AND(NOW(),isEUR3MLLoaded),IF(OR($D78="",$D78=0),"",_xll.meProductSwapPV(_xll.meUtilityLVBFromKeysValues($N$5:$AP$5,$N78:$AP78))),"Please Load Yield Curves")</f>
        <v>2855.9932734410409</v>
      </c>
      <c r="AU78" s="131">
        <f ca="1">IF(AND(NOW(),isEUR3MLLoaded),IF(OR($D78="",$D78=0),"",_xll.meProductSwapPV01(_xll.meUtilityLVBFromKeysValues($N$5:$AO$5,$N78:$AO78))),"Please Load Yield Curves")</f>
        <v>100.39073558617891</v>
      </c>
      <c r="AV78" s="195">
        <f ca="1">IF(AND(NOW(),isEUR3MLLoaded),IF(OR($D78="",$D78=0),"",_xll.meProductSwapDV01(_xll.meUtilityLVBFromKeysValues($N$5:$AQ$5,$N78:$AQ78))),"Please Load Yield Curves")</f>
        <v>100.57465115866239</v>
      </c>
      <c r="AZ78" s="286"/>
    </row>
    <row r="79" spans="2:53" hidden="1" outlineLevel="1" x14ac:dyDescent="0.25">
      <c r="B79" s="132">
        <f ca="1">IF(OR(D79="",D79=0),"",_xll.meDateFromTenor(COB,C79,$T79,$U79))</f>
        <v>42523</v>
      </c>
      <c r="C79" s="133" t="s">
        <v>191</v>
      </c>
      <c r="D79" s="134">
        <v>1000000</v>
      </c>
      <c r="E79" s="134" t="s">
        <v>17</v>
      </c>
      <c r="F79" s="135" t="s">
        <v>229</v>
      </c>
      <c r="G79" s="136" t="s">
        <v>47</v>
      </c>
      <c r="H79" s="137">
        <v>0</v>
      </c>
      <c r="I79" s="167" t="s">
        <v>205</v>
      </c>
      <c r="J79" s="138">
        <v>0</v>
      </c>
      <c r="K79" s="137">
        <v>-2.6099999999999999E-3</v>
      </c>
      <c r="L79" s="136" t="s">
        <v>193</v>
      </c>
      <c r="M79" s="200"/>
      <c r="N79" s="280">
        <f t="shared" ref="N79:N91" si="59">D79</f>
        <v>1000000</v>
      </c>
      <c r="O79" s="253" t="str">
        <f t="shared" ref="O79:O91" si="60">F79</f>
        <v>RECEIVER</v>
      </c>
      <c r="P79" s="256">
        <f t="shared" ref="P79:P91" ca="1" si="61">B79</f>
        <v>42523</v>
      </c>
      <c r="Q79" s="256" t="str">
        <f t="shared" ref="Q79:Q91" si="62">G79</f>
        <v>2Y</v>
      </c>
      <c r="R79" s="250" t="s">
        <v>26</v>
      </c>
      <c r="S79" s="255" t="s">
        <v>20</v>
      </c>
      <c r="T79" s="250" t="s">
        <v>22</v>
      </c>
      <c r="U79" s="250" t="s">
        <v>2</v>
      </c>
      <c r="V79" s="256"/>
      <c r="W79" s="256"/>
      <c r="X79" s="257">
        <f t="shared" ref="X79:X91" ca="1" si="63">IF($B79="","",DAY($B79))</f>
        <v>2</v>
      </c>
      <c r="Y79" s="258" t="s">
        <v>177</v>
      </c>
      <c r="Z79" s="255" t="s">
        <v>178</v>
      </c>
      <c r="AA79" s="253" t="str">
        <f t="shared" si="57"/>
        <v>EUR3ML</v>
      </c>
      <c r="AB79" s="257" t="str">
        <f t="shared" ref="AB79:AB91" si="64">IF($I79="1ML","Monthly",IF($I79="3ML","Quarterly",IF($I79="6ML","Semi-Annual","Annual")))</f>
        <v>Quarterly</v>
      </c>
      <c r="AC79" s="255" t="s">
        <v>6</v>
      </c>
      <c r="AD79" s="250" t="s">
        <v>22</v>
      </c>
      <c r="AE79" s="250" t="s">
        <v>2</v>
      </c>
      <c r="AF79" s="256"/>
      <c r="AG79" s="256"/>
      <c r="AH79" s="257">
        <f t="shared" ref="AH79:AH91" ca="1" si="65">IF($B79="","",DAY($B79))</f>
        <v>2</v>
      </c>
      <c r="AI79" s="258" t="s">
        <v>177</v>
      </c>
      <c r="AJ79" s="259">
        <f t="shared" ref="AJ79:AJ91" si="66">K79</f>
        <v>-2.6099999999999999E-3</v>
      </c>
      <c r="AK79" s="260"/>
      <c r="AL79" s="258" t="s">
        <v>177</v>
      </c>
      <c r="AM79" s="255" t="s">
        <v>178</v>
      </c>
      <c r="AN79" s="256" t="str">
        <f t="shared" ref="AN79:AN91" si="67">E79&amp;"YC"</f>
        <v>EURYC</v>
      </c>
      <c r="AO79" s="253" t="str">
        <f t="shared" ref="AO79:AO91" si="68">LEFT(AN79,3)&amp;"DF_"&amp;L79</f>
        <v>EURDF_NOCSA</v>
      </c>
      <c r="AP79" s="261">
        <f t="shared" si="58"/>
        <v>0</v>
      </c>
      <c r="AQ79" s="272">
        <f t="shared" ref="AQ79:AQ91" si="69">H79</f>
        <v>0</v>
      </c>
      <c r="AR79" s="224" t="s">
        <v>4</v>
      </c>
      <c r="AS79" s="181">
        <f ca="1">IF(AND(NOW(),isEUR3MLLoaded),IF(OR($D79="",$D79=0),"",_xll.meProductSwapParRate(_xll.meUtilityLVBFromKeysValues($P$5:$AP$5,$P79:$AP79))),"Please Load Yield Curves")</f>
        <v>-2.9430770546370025E-3</v>
      </c>
      <c r="AT79" s="139">
        <f ca="1">IF(AND(NOW(),isEUR3MLLoaded),IF(OR($D79="",$D79=0),"",_xll.meProductSwapPV(_xll.meUtilityLVBFromKeysValues($N$5:$AP$5,$N79:$AP79))),"Please Load Yield Curves")</f>
        <v>5938.3376917708993</v>
      </c>
      <c r="AU79" s="139">
        <f ca="1">IF(AND(NOW(),isEUR3MLLoaded),IF(OR($D79="",$D79=0),"",_xll.meProductSwapPV01(_xll.meUtilityLVBFromKeysValues($N$5:$AO$5,$N79:$AO79))),"Please Load Yield Curves")</f>
        <v>201.77309234313017</v>
      </c>
      <c r="AV79" s="196">
        <f ca="1">IF(AND(NOW(),isEUR3MLLoaded),IF(OR($D79="",$D79=0),"",_xll.meProductSwapDV01(_xll.meUtilityLVBFromKeysValues($N$5:$AQ$5,$N79:$AQ79))),"Please Load Yield Curves")</f>
        <v>202.45514049571108</v>
      </c>
    </row>
    <row r="80" spans="2:53" hidden="1" outlineLevel="1" x14ac:dyDescent="0.25">
      <c r="B80" s="132">
        <f ca="1">IF(OR(D80="",D80=0),"",_xll.meDateFromTenor(COB,C80,$T80,$U80))</f>
        <v>42523</v>
      </c>
      <c r="C80" s="140" t="s">
        <v>191</v>
      </c>
      <c r="D80" s="134">
        <v>1000000</v>
      </c>
      <c r="E80" s="134" t="s">
        <v>17</v>
      </c>
      <c r="F80" s="135" t="s">
        <v>229</v>
      </c>
      <c r="G80" s="136" t="s">
        <v>43</v>
      </c>
      <c r="H80" s="137">
        <v>0</v>
      </c>
      <c r="I80" s="167" t="s">
        <v>205</v>
      </c>
      <c r="J80" s="138">
        <v>0</v>
      </c>
      <c r="K80" s="137">
        <v>-2.6099999999999999E-3</v>
      </c>
      <c r="L80" s="136" t="s">
        <v>193</v>
      </c>
      <c r="M80" s="200"/>
      <c r="N80" s="280">
        <f t="shared" si="59"/>
        <v>1000000</v>
      </c>
      <c r="O80" s="253" t="str">
        <f t="shared" si="60"/>
        <v>RECEIVER</v>
      </c>
      <c r="P80" s="256">
        <f t="shared" ca="1" si="61"/>
        <v>42523</v>
      </c>
      <c r="Q80" s="256" t="str">
        <f t="shared" si="62"/>
        <v>3Y</v>
      </c>
      <c r="R80" s="250" t="s">
        <v>26</v>
      </c>
      <c r="S80" s="255" t="s">
        <v>20</v>
      </c>
      <c r="T80" s="250" t="s">
        <v>22</v>
      </c>
      <c r="U80" s="250" t="s">
        <v>2</v>
      </c>
      <c r="V80" s="256"/>
      <c r="W80" s="256"/>
      <c r="X80" s="257">
        <f t="shared" ca="1" si="63"/>
        <v>2</v>
      </c>
      <c r="Y80" s="258" t="s">
        <v>177</v>
      </c>
      <c r="Z80" s="255" t="s">
        <v>178</v>
      </c>
      <c r="AA80" s="253" t="str">
        <f t="shared" si="57"/>
        <v>EUR3ML</v>
      </c>
      <c r="AB80" s="257" t="str">
        <f t="shared" si="64"/>
        <v>Quarterly</v>
      </c>
      <c r="AC80" s="255" t="s">
        <v>6</v>
      </c>
      <c r="AD80" s="250" t="s">
        <v>22</v>
      </c>
      <c r="AE80" s="250" t="s">
        <v>2</v>
      </c>
      <c r="AF80" s="256"/>
      <c r="AG80" s="256"/>
      <c r="AH80" s="257">
        <f t="shared" ca="1" si="65"/>
        <v>2</v>
      </c>
      <c r="AI80" s="258" t="s">
        <v>177</v>
      </c>
      <c r="AJ80" s="259">
        <f t="shared" si="66"/>
        <v>-2.6099999999999999E-3</v>
      </c>
      <c r="AK80" s="260"/>
      <c r="AL80" s="258" t="s">
        <v>177</v>
      </c>
      <c r="AM80" s="255" t="s">
        <v>178</v>
      </c>
      <c r="AN80" s="256" t="str">
        <f t="shared" si="67"/>
        <v>EURYC</v>
      </c>
      <c r="AO80" s="253" t="str">
        <f t="shared" si="68"/>
        <v>EURDF_NOCSA</v>
      </c>
      <c r="AP80" s="261">
        <f t="shared" si="58"/>
        <v>0</v>
      </c>
      <c r="AQ80" s="272">
        <f t="shared" si="69"/>
        <v>0</v>
      </c>
      <c r="AR80" s="224" t="s">
        <v>4</v>
      </c>
      <c r="AS80" s="181">
        <f ca="1">IF(AND(NOW(),isEUR3MLLoaded),IF(OR($D80="",$D80=0),"",_xll.meProductSwapParRate(_xll.meUtilityLVBFromKeysValues($P$5:$AP$5,$P80:$AP80))),"Please Load Yield Curves")</f>
        <v>-2.6499999251703883E-3</v>
      </c>
      <c r="AT80" s="139">
        <f ca="1">IF(AND(NOW(),isEUR3MLLoaded),IF(OR($D80="",$D80=0),"",_xll.meProductSwapPV(_xll.meUtilityLVBFromKeysValues($N$5:$AP$5,$N80:$AP80))),"Please Load Yield Curves")</f>
        <v>8020.9078770682136</v>
      </c>
      <c r="AU80" s="139">
        <f ca="1">IF(AND(NOW(),isEUR3MLLoaded),IF(OR($D80="",$D80=0),"",_xll.meProductSwapPV01(_xll.meUtilityLVBFromKeysValues($N$5:$AO$5,$N80:$AO80))),"Please Load Yield Curves")</f>
        <v>302.67577749280463</v>
      </c>
      <c r="AV80" s="196">
        <f ca="1">IF(AND(NOW(),isEUR3MLLoaded),IF(OR($D80="",$D80=0),"",_xll.meProductSwapDV01(_xll.meUtilityLVBFromKeysValues($N$5:$AQ$5,$N80:$AQ80))),"Please Load Yield Curves")</f>
        <v>303.8845007814337</v>
      </c>
      <c r="AW80" s="48"/>
    </row>
    <row r="81" spans="2:53" hidden="1" outlineLevel="1" x14ac:dyDescent="0.25">
      <c r="B81" s="132">
        <f ca="1">IF(OR(D81="",D81=0),"",_xll.meDateFromTenor(COB,C81,$T81,$U81))</f>
        <v>42523</v>
      </c>
      <c r="C81" s="140" t="s">
        <v>191</v>
      </c>
      <c r="D81" s="134">
        <v>1000000</v>
      </c>
      <c r="E81" s="134" t="s">
        <v>17</v>
      </c>
      <c r="F81" s="135" t="s">
        <v>229</v>
      </c>
      <c r="G81" s="136" t="s">
        <v>50</v>
      </c>
      <c r="H81" s="137">
        <v>0</v>
      </c>
      <c r="I81" s="167" t="s">
        <v>205</v>
      </c>
      <c r="J81" s="138">
        <v>0</v>
      </c>
      <c r="K81" s="137">
        <v>-2.6099999999999999E-3</v>
      </c>
      <c r="L81" s="136" t="s">
        <v>193</v>
      </c>
      <c r="M81" s="200"/>
      <c r="N81" s="280">
        <f t="shared" si="59"/>
        <v>1000000</v>
      </c>
      <c r="O81" s="253" t="str">
        <f t="shared" si="60"/>
        <v>RECEIVER</v>
      </c>
      <c r="P81" s="256">
        <f t="shared" ca="1" si="61"/>
        <v>42523</v>
      </c>
      <c r="Q81" s="256" t="str">
        <f t="shared" si="62"/>
        <v>4Y</v>
      </c>
      <c r="R81" s="250" t="s">
        <v>26</v>
      </c>
      <c r="S81" s="255" t="s">
        <v>20</v>
      </c>
      <c r="T81" s="250" t="s">
        <v>22</v>
      </c>
      <c r="U81" s="250" t="s">
        <v>2</v>
      </c>
      <c r="V81" s="256"/>
      <c r="W81" s="256"/>
      <c r="X81" s="257">
        <f t="shared" ca="1" si="63"/>
        <v>2</v>
      </c>
      <c r="Y81" s="258" t="s">
        <v>177</v>
      </c>
      <c r="Z81" s="255" t="s">
        <v>178</v>
      </c>
      <c r="AA81" s="253" t="str">
        <f t="shared" si="57"/>
        <v>EUR3ML</v>
      </c>
      <c r="AB81" s="257" t="str">
        <f t="shared" si="64"/>
        <v>Quarterly</v>
      </c>
      <c r="AC81" s="255" t="s">
        <v>6</v>
      </c>
      <c r="AD81" s="250" t="s">
        <v>22</v>
      </c>
      <c r="AE81" s="250" t="s">
        <v>2</v>
      </c>
      <c r="AF81" s="256"/>
      <c r="AG81" s="256"/>
      <c r="AH81" s="257">
        <f t="shared" ca="1" si="65"/>
        <v>2</v>
      </c>
      <c r="AI81" s="258" t="s">
        <v>177</v>
      </c>
      <c r="AJ81" s="259">
        <f t="shared" si="66"/>
        <v>-2.6099999999999999E-3</v>
      </c>
      <c r="AK81" s="260"/>
      <c r="AL81" s="258" t="s">
        <v>177</v>
      </c>
      <c r="AM81" s="255" t="s">
        <v>178</v>
      </c>
      <c r="AN81" s="256" t="str">
        <f t="shared" si="67"/>
        <v>EURYC</v>
      </c>
      <c r="AO81" s="253" t="str">
        <f t="shared" si="68"/>
        <v>EURDF_NOCSA</v>
      </c>
      <c r="AP81" s="261">
        <f t="shared" si="58"/>
        <v>0</v>
      </c>
      <c r="AQ81" s="272">
        <f t="shared" si="69"/>
        <v>0</v>
      </c>
      <c r="AR81" s="224" t="s">
        <v>4</v>
      </c>
      <c r="AS81" s="181">
        <f ca="1">IF(AND(NOW(),isEUR3MLLoaded),IF(OR($D81="",$D81=0),"",_xll.meProductSwapParRate(_xll.meUtilityLVBFromKeysValues($P$5:$AP$5,$P81:$AP81))),"Please Load Yield Curves")</f>
        <v>-2.0499998907206308E-3</v>
      </c>
      <c r="AT81" s="139">
        <f ca="1">IF(AND(NOW(),isEUR3MLLoaded),IF(OR($D81="",$D81=0),"",_xll.meProductSwapPV(_xll.meUtilityLVBFromKeysValues($N$5:$AP$5,$N81:$AP81))),"Please Load Yield Curves")</f>
        <v>8277.8958017215009</v>
      </c>
      <c r="AU81" s="139">
        <f ca="1">IF(AND(NOW(),isEUR3MLLoaded),IF(OR($D81="",$D81=0),"",_xll.meProductSwapPV01(_xll.meUtilityLVBFromKeysValues($N$5:$AO$5,$N81:$AO81))),"Please Load Yield Curves")</f>
        <v>403.79981673128748</v>
      </c>
      <c r="AV81" s="196">
        <f ca="1">IF(AND(NOW(),isEUR3MLLoaded),IF(OR($D81="",$D81=0),"",_xll.meProductSwapDV01(_xll.meUtilityLVBFromKeysValues($N$5:$AQ$5,$N81:$AQ81))),"Please Load Yield Curves")</f>
        <v>405.08834170478298</v>
      </c>
      <c r="AW81" s="48"/>
    </row>
    <row r="82" spans="2:53" hidden="1" outlineLevel="1" x14ac:dyDescent="0.25">
      <c r="B82" s="132">
        <f ca="1">IF(OR(D82="",D82=0),"",_xll.meDateFromTenor(COB,C82,$T82,$U82))</f>
        <v>42523</v>
      </c>
      <c r="C82" s="140" t="s">
        <v>191</v>
      </c>
      <c r="D82" s="134">
        <v>1000000</v>
      </c>
      <c r="E82" s="134" t="s">
        <v>17</v>
      </c>
      <c r="F82" s="135" t="s">
        <v>229</v>
      </c>
      <c r="G82" s="136" t="s">
        <v>52</v>
      </c>
      <c r="H82" s="137">
        <v>0</v>
      </c>
      <c r="I82" s="167" t="s">
        <v>205</v>
      </c>
      <c r="J82" s="138">
        <v>0</v>
      </c>
      <c r="K82" s="137">
        <v>-2.6099999999999999E-3</v>
      </c>
      <c r="L82" s="136" t="s">
        <v>193</v>
      </c>
      <c r="M82" s="200"/>
      <c r="N82" s="280">
        <f t="shared" si="59"/>
        <v>1000000</v>
      </c>
      <c r="O82" s="253" t="str">
        <f t="shared" si="60"/>
        <v>RECEIVER</v>
      </c>
      <c r="P82" s="256">
        <f t="shared" ca="1" si="61"/>
        <v>42523</v>
      </c>
      <c r="Q82" s="256" t="str">
        <f t="shared" si="62"/>
        <v>5Y</v>
      </c>
      <c r="R82" s="250" t="s">
        <v>26</v>
      </c>
      <c r="S82" s="255" t="s">
        <v>20</v>
      </c>
      <c r="T82" s="250" t="s">
        <v>22</v>
      </c>
      <c r="U82" s="250" t="s">
        <v>2</v>
      </c>
      <c r="V82" s="256"/>
      <c r="W82" s="256"/>
      <c r="X82" s="257">
        <f t="shared" ca="1" si="63"/>
        <v>2</v>
      </c>
      <c r="Y82" s="258" t="s">
        <v>177</v>
      </c>
      <c r="Z82" s="255" t="s">
        <v>178</v>
      </c>
      <c r="AA82" s="253" t="str">
        <f t="shared" si="57"/>
        <v>EUR3ML</v>
      </c>
      <c r="AB82" s="257" t="str">
        <f t="shared" si="64"/>
        <v>Quarterly</v>
      </c>
      <c r="AC82" s="255" t="s">
        <v>6</v>
      </c>
      <c r="AD82" s="250" t="s">
        <v>22</v>
      </c>
      <c r="AE82" s="250" t="s">
        <v>2</v>
      </c>
      <c r="AF82" s="256"/>
      <c r="AG82" s="256"/>
      <c r="AH82" s="257">
        <f t="shared" ca="1" si="65"/>
        <v>2</v>
      </c>
      <c r="AI82" s="258" t="s">
        <v>177</v>
      </c>
      <c r="AJ82" s="259">
        <f t="shared" si="66"/>
        <v>-2.6099999999999999E-3</v>
      </c>
      <c r="AK82" s="260"/>
      <c r="AL82" s="258" t="s">
        <v>177</v>
      </c>
      <c r="AM82" s="255" t="s">
        <v>178</v>
      </c>
      <c r="AN82" s="256" t="str">
        <f t="shared" si="67"/>
        <v>EURYC</v>
      </c>
      <c r="AO82" s="253" t="str">
        <f t="shared" si="68"/>
        <v>EURDF_NOCSA</v>
      </c>
      <c r="AP82" s="261">
        <f t="shared" si="58"/>
        <v>0</v>
      </c>
      <c r="AQ82" s="272">
        <f t="shared" si="69"/>
        <v>0</v>
      </c>
      <c r="AR82" s="224" t="s">
        <v>4</v>
      </c>
      <c r="AS82" s="181">
        <f ca="1">IF(AND(NOW(),isEUR3MLLoaded),IF(OR($D82="",$D82=0),"",_xll.meProductSwapParRate(_xll.meUtilityLVBFromKeysValues($P$5:$AP$5,$P82:$AP82))),"Please Load Yield Curves")</f>
        <v>-1.2474998146407433E-3</v>
      </c>
      <c r="AT82" s="139">
        <f ca="1">IF(AND(NOW(),isEUR3MLLoaded),IF(OR($D82="",$D82=0),"",_xll.meProductSwapPV(_xll.meUtilityLVBFromKeysValues($N$5:$AP$5,$N82:$AP82))),"Please Load Yield Curves")</f>
        <v>6302.3009236953731</v>
      </c>
      <c r="AU82" s="139">
        <f ca="1">IF(AND(NOW(),isEUR3MLLoaded),IF(OR($D82="",$D82=0),"",_xll.meProductSwapPV01(_xll.meUtilityLVBFromKeysValues($N$5:$AO$5,$N82:$AO82))),"Please Load Yield Curves")</f>
        <v>505.19453788538783</v>
      </c>
      <c r="AV82" s="196">
        <f ca="1">IF(AND(NOW(),isEUR3MLLoaded),IF(OR($D82="",$D82=0),"",_xll.meProductSwapDV01(_xll.meUtilityLVBFromKeysValues($N$5:$AQ$5,$N82:$AQ82))),"Please Load Yield Curves")</f>
        <v>505.54579447651093</v>
      </c>
      <c r="AW82" s="48"/>
    </row>
    <row r="83" spans="2:53" hidden="1" outlineLevel="1" x14ac:dyDescent="0.25">
      <c r="B83" s="132">
        <f ca="1">IF(OR(D83="",D83=0),"",_xll.meDateFromTenor(COB,C83,$T83,$U83))</f>
        <v>42523</v>
      </c>
      <c r="C83" s="140" t="s">
        <v>191</v>
      </c>
      <c r="D83" s="134">
        <v>1000000</v>
      </c>
      <c r="E83" s="134" t="s">
        <v>17</v>
      </c>
      <c r="F83" s="135" t="s">
        <v>229</v>
      </c>
      <c r="G83" s="136" t="s">
        <v>54</v>
      </c>
      <c r="H83" s="137">
        <v>0</v>
      </c>
      <c r="I83" s="167" t="s">
        <v>205</v>
      </c>
      <c r="J83" s="138">
        <v>0</v>
      </c>
      <c r="K83" s="137">
        <v>-2.6099999999999999E-3</v>
      </c>
      <c r="L83" s="136" t="s">
        <v>193</v>
      </c>
      <c r="M83" s="200"/>
      <c r="N83" s="280">
        <f t="shared" si="59"/>
        <v>1000000</v>
      </c>
      <c r="O83" s="253" t="str">
        <f t="shared" si="60"/>
        <v>RECEIVER</v>
      </c>
      <c r="P83" s="256">
        <f t="shared" ca="1" si="61"/>
        <v>42523</v>
      </c>
      <c r="Q83" s="256" t="str">
        <f t="shared" si="62"/>
        <v>6Y</v>
      </c>
      <c r="R83" s="250" t="s">
        <v>26</v>
      </c>
      <c r="S83" s="255" t="s">
        <v>20</v>
      </c>
      <c r="T83" s="250" t="s">
        <v>22</v>
      </c>
      <c r="U83" s="250" t="s">
        <v>2</v>
      </c>
      <c r="V83" s="256"/>
      <c r="W83" s="256"/>
      <c r="X83" s="257">
        <f t="shared" ca="1" si="63"/>
        <v>2</v>
      </c>
      <c r="Y83" s="258" t="s">
        <v>177</v>
      </c>
      <c r="Z83" s="255" t="s">
        <v>178</v>
      </c>
      <c r="AA83" s="253" t="str">
        <f t="shared" si="57"/>
        <v>EUR3ML</v>
      </c>
      <c r="AB83" s="257" t="str">
        <f t="shared" si="64"/>
        <v>Quarterly</v>
      </c>
      <c r="AC83" s="255" t="s">
        <v>6</v>
      </c>
      <c r="AD83" s="250" t="s">
        <v>22</v>
      </c>
      <c r="AE83" s="250" t="s">
        <v>2</v>
      </c>
      <c r="AF83" s="256"/>
      <c r="AG83" s="256"/>
      <c r="AH83" s="257">
        <f t="shared" ca="1" si="65"/>
        <v>2</v>
      </c>
      <c r="AI83" s="258" t="s">
        <v>177</v>
      </c>
      <c r="AJ83" s="259">
        <f t="shared" si="66"/>
        <v>-2.6099999999999999E-3</v>
      </c>
      <c r="AK83" s="260"/>
      <c r="AL83" s="258" t="s">
        <v>177</v>
      </c>
      <c r="AM83" s="255" t="s">
        <v>178</v>
      </c>
      <c r="AN83" s="256" t="str">
        <f t="shared" si="67"/>
        <v>EURYC</v>
      </c>
      <c r="AO83" s="253" t="str">
        <f t="shared" si="68"/>
        <v>EURDF_NOCSA</v>
      </c>
      <c r="AP83" s="261">
        <f t="shared" si="58"/>
        <v>0</v>
      </c>
      <c r="AQ83" s="272">
        <f t="shared" si="69"/>
        <v>0</v>
      </c>
      <c r="AR83" s="224" t="s">
        <v>4</v>
      </c>
      <c r="AS83" s="181">
        <f ca="1">IF(AND(NOW(),isEUR3MLLoaded),IF(OR($D83="",$D83=0),"",_xll.meProductSwapParRate(_xll.meUtilityLVBFromKeysValues($P$5:$AP$5,$P83:$AP83))),"Please Load Yield Curves")</f>
        <v>-2.4749986798595431E-4</v>
      </c>
      <c r="AT83" s="139">
        <f ca="1">IF(AND(NOW(),isEUR3MLLoaded),IF(OR($D83="",$D83=0),"",_xll.meProductSwapPV(_xll.meUtilityLVBFromKeysValues($N$5:$AP$5,$N83:$AP83))),"Please Load Yield Curves")</f>
        <v>1500.5424210643357</v>
      </c>
      <c r="AU83" s="139">
        <f ca="1">IF(AND(NOW(),isEUR3MLLoaded),IF(OR($D83="",$D83=0),"",_xll.meProductSwapPV01(_xll.meUtilityLVBFromKeysValues($N$5:$AO$5,$N83:$AO83))),"Please Load Yield Curves")</f>
        <v>606.28008947038791</v>
      </c>
      <c r="AV83" s="196">
        <f ca="1">IF(AND(NOW(),isEUR3MLLoaded),IF(OR($D83="",$D83=0),"",_xll.meProductSwapDV01(_xll.meUtilityLVBFromKeysValues($N$5:$AQ$5,$N83:$AQ83))),"Please Load Yield Curves")</f>
        <v>608.65616963522677</v>
      </c>
      <c r="AW83" s="48"/>
    </row>
    <row r="84" spans="2:53" hidden="1" outlineLevel="1" x14ac:dyDescent="0.25">
      <c r="B84" s="132">
        <f ca="1">IF(OR(D84="",D84=0),"",_xll.meDateFromTenor(COB,C84,$T84,$U84))</f>
        <v>42523</v>
      </c>
      <c r="C84" s="140" t="s">
        <v>191</v>
      </c>
      <c r="D84" s="134">
        <v>1000000</v>
      </c>
      <c r="E84" s="134" t="s">
        <v>17</v>
      </c>
      <c r="F84" s="135" t="s">
        <v>229</v>
      </c>
      <c r="G84" s="136" t="s">
        <v>55</v>
      </c>
      <c r="H84" s="137">
        <v>0</v>
      </c>
      <c r="I84" s="167" t="s">
        <v>205</v>
      </c>
      <c r="J84" s="138">
        <v>0</v>
      </c>
      <c r="K84" s="137">
        <v>-2.6099999999999999E-3</v>
      </c>
      <c r="L84" s="136" t="s">
        <v>193</v>
      </c>
      <c r="M84" s="200"/>
      <c r="N84" s="280">
        <f t="shared" si="59"/>
        <v>1000000</v>
      </c>
      <c r="O84" s="253" t="str">
        <f t="shared" si="60"/>
        <v>RECEIVER</v>
      </c>
      <c r="P84" s="256">
        <f t="shared" ca="1" si="61"/>
        <v>42523</v>
      </c>
      <c r="Q84" s="256" t="str">
        <f t="shared" si="62"/>
        <v>7Y</v>
      </c>
      <c r="R84" s="250" t="s">
        <v>26</v>
      </c>
      <c r="S84" s="255" t="s">
        <v>20</v>
      </c>
      <c r="T84" s="250" t="s">
        <v>22</v>
      </c>
      <c r="U84" s="250" t="s">
        <v>2</v>
      </c>
      <c r="V84" s="256"/>
      <c r="W84" s="256"/>
      <c r="X84" s="257">
        <f t="shared" ca="1" si="63"/>
        <v>2</v>
      </c>
      <c r="Y84" s="258" t="s">
        <v>177</v>
      </c>
      <c r="Z84" s="255" t="s">
        <v>178</v>
      </c>
      <c r="AA84" s="253" t="str">
        <f t="shared" si="57"/>
        <v>EUR3ML</v>
      </c>
      <c r="AB84" s="257" t="str">
        <f t="shared" si="64"/>
        <v>Quarterly</v>
      </c>
      <c r="AC84" s="255" t="s">
        <v>6</v>
      </c>
      <c r="AD84" s="250" t="s">
        <v>22</v>
      </c>
      <c r="AE84" s="250" t="s">
        <v>2</v>
      </c>
      <c r="AF84" s="256"/>
      <c r="AG84" s="256"/>
      <c r="AH84" s="257">
        <f t="shared" ca="1" si="65"/>
        <v>2</v>
      </c>
      <c r="AI84" s="258" t="s">
        <v>177</v>
      </c>
      <c r="AJ84" s="259">
        <f t="shared" si="66"/>
        <v>-2.6099999999999999E-3</v>
      </c>
      <c r="AK84" s="260"/>
      <c r="AL84" s="258" t="s">
        <v>177</v>
      </c>
      <c r="AM84" s="255" t="s">
        <v>178</v>
      </c>
      <c r="AN84" s="256" t="str">
        <f t="shared" si="67"/>
        <v>EURYC</v>
      </c>
      <c r="AO84" s="253" t="str">
        <f t="shared" si="68"/>
        <v>EURDF_NOCSA</v>
      </c>
      <c r="AP84" s="261">
        <f t="shared" si="58"/>
        <v>0</v>
      </c>
      <c r="AQ84" s="272">
        <f t="shared" si="69"/>
        <v>0</v>
      </c>
      <c r="AR84" s="224" t="s">
        <v>4</v>
      </c>
      <c r="AS84" s="181">
        <f ca="1">IF(AND(NOW(),isEUR3MLLoaded),IF(OR($D84="",$D84=0),"",_xll.meProductSwapParRate(_xll.meUtilityLVBFromKeysValues($P$5:$AP$5,$P84:$AP84))),"Please Load Yield Curves")</f>
        <v>9.0249947199434299E-4</v>
      </c>
      <c r="AT84" s="139">
        <f ca="1">IF(AND(NOW(),isEUR3MLLoaded),IF(OR($D84="",$D84=0),"",_xll.meProductSwapPV(_xll.meUtilityLVBFromKeysValues($N$5:$AP$5,$N84:$AP84))),"Please Load Yield Curves")</f>
        <v>-6378.4501790279301</v>
      </c>
      <c r="AU84" s="139">
        <f ca="1">IF(AND(NOW(),isEUR3MLLoaded),IF(OR($D84="",$D84=0),"",_xll.meProductSwapPV01(_xll.meUtilityLVBFromKeysValues($N$5:$AO$5,$N84:$AO84))),"Please Load Yield Curves")</f>
        <v>706.75389592559361</v>
      </c>
      <c r="AV84" s="196">
        <f ca="1">IF(AND(NOW(),isEUR3MLLoaded),IF(OR($D84="",$D84=0),"",_xll.meProductSwapDV01(_xll.meUtilityLVBFromKeysValues($N$5:$AQ$5,$N84:$AQ84))),"Please Load Yield Curves")</f>
        <v>699.13853677679708</v>
      </c>
      <c r="AW84" s="48"/>
    </row>
    <row r="85" spans="2:53" hidden="1" outlineLevel="1" x14ac:dyDescent="0.25">
      <c r="B85" s="132">
        <f ca="1">IF(OR(D85="",D85=0),"",_xll.meDateFromTenor(COB,C85,$T85,$U85))</f>
        <v>42523</v>
      </c>
      <c r="C85" s="140" t="s">
        <v>191</v>
      </c>
      <c r="D85" s="134">
        <v>1000000</v>
      </c>
      <c r="E85" s="134" t="s">
        <v>17</v>
      </c>
      <c r="F85" s="135" t="s">
        <v>229</v>
      </c>
      <c r="G85" s="136" t="s">
        <v>57</v>
      </c>
      <c r="H85" s="137">
        <v>0</v>
      </c>
      <c r="I85" s="167" t="s">
        <v>205</v>
      </c>
      <c r="J85" s="138">
        <v>0</v>
      </c>
      <c r="K85" s="137">
        <v>-2.6099999999999999E-3</v>
      </c>
      <c r="L85" s="136" t="s">
        <v>193</v>
      </c>
      <c r="M85" s="200"/>
      <c r="N85" s="280">
        <f t="shared" si="59"/>
        <v>1000000</v>
      </c>
      <c r="O85" s="253" t="str">
        <f t="shared" si="60"/>
        <v>RECEIVER</v>
      </c>
      <c r="P85" s="256">
        <f t="shared" ca="1" si="61"/>
        <v>42523</v>
      </c>
      <c r="Q85" s="256" t="str">
        <f t="shared" si="62"/>
        <v>8Y</v>
      </c>
      <c r="R85" s="250" t="s">
        <v>26</v>
      </c>
      <c r="S85" s="255" t="s">
        <v>20</v>
      </c>
      <c r="T85" s="250" t="s">
        <v>22</v>
      </c>
      <c r="U85" s="250" t="s">
        <v>2</v>
      </c>
      <c r="V85" s="256"/>
      <c r="W85" s="256"/>
      <c r="X85" s="257">
        <f t="shared" ca="1" si="63"/>
        <v>2</v>
      </c>
      <c r="Y85" s="258" t="s">
        <v>177</v>
      </c>
      <c r="Z85" s="255" t="s">
        <v>178</v>
      </c>
      <c r="AA85" s="253" t="str">
        <f t="shared" si="57"/>
        <v>EUR3ML</v>
      </c>
      <c r="AB85" s="257" t="str">
        <f t="shared" si="64"/>
        <v>Quarterly</v>
      </c>
      <c r="AC85" s="255" t="s">
        <v>6</v>
      </c>
      <c r="AD85" s="250" t="s">
        <v>22</v>
      </c>
      <c r="AE85" s="250" t="s">
        <v>2</v>
      </c>
      <c r="AF85" s="256"/>
      <c r="AG85" s="256"/>
      <c r="AH85" s="257">
        <f t="shared" ca="1" si="65"/>
        <v>2</v>
      </c>
      <c r="AI85" s="258" t="s">
        <v>177</v>
      </c>
      <c r="AJ85" s="259">
        <f t="shared" si="66"/>
        <v>-2.6099999999999999E-3</v>
      </c>
      <c r="AK85" s="260"/>
      <c r="AL85" s="258" t="s">
        <v>177</v>
      </c>
      <c r="AM85" s="255" t="s">
        <v>178</v>
      </c>
      <c r="AN85" s="256" t="str">
        <f t="shared" si="67"/>
        <v>EURYC</v>
      </c>
      <c r="AO85" s="253" t="str">
        <f t="shared" si="68"/>
        <v>EURDF_NOCSA</v>
      </c>
      <c r="AP85" s="261">
        <f t="shared" si="58"/>
        <v>0</v>
      </c>
      <c r="AQ85" s="272">
        <f t="shared" si="69"/>
        <v>0</v>
      </c>
      <c r="AR85" s="224" t="s">
        <v>4</v>
      </c>
      <c r="AS85" s="181">
        <f ca="1">IF(AND(NOW(),isEUR3MLLoaded),IF(OR($D85="",$D85=0),"",_xll.meProductSwapParRate(_xll.meUtilityLVBFromKeysValues($P$5:$AP$5,$P85:$AP85))),"Please Load Yield Curves")</f>
        <v>2.1274998002625083E-3</v>
      </c>
      <c r="AT85" s="139">
        <f ca="1">IF(AND(NOW(),isEUR3MLLoaded),IF(OR($D85="",$D85=0),"",_xll.meProductSwapPV(_xll.meUtilityLVBFromKeysValues($N$5:$AP$5,$N85:$AP85))),"Please Load Yield Curves")</f>
        <v>-17159.970442595662</v>
      </c>
      <c r="AU85" s="139">
        <f ca="1">IF(AND(NOW(),isEUR3MLLoaded),IF(OR($D85="",$D85=0),"",_xll.meProductSwapPV01(_xll.meUtilityLVBFromKeysValues($N$5:$AO$5,$N85:$AO85))),"Please Load Yield Curves")</f>
        <v>806.57920628447516</v>
      </c>
      <c r="AV85" s="196">
        <f ca="1">IF(AND(NOW(),isEUR3MLLoaded),IF(OR($D85="",$D85=0),"",_xll.meProductSwapDV01(_xll.meUtilityLVBFromKeysValues($N$5:$AQ$5,$N85:$AQ85))),"Please Load Yield Curves")</f>
        <v>790.74245861878296</v>
      </c>
      <c r="AW85" s="48"/>
    </row>
    <row r="86" spans="2:53" hidden="1" outlineLevel="1" x14ac:dyDescent="0.25">
      <c r="B86" s="132">
        <f ca="1">IF(OR(D86="",D86=0),"",_xll.meDateFromTenor(COB,C86,$T86,$U86))</f>
        <v>42523</v>
      </c>
      <c r="C86" s="140" t="s">
        <v>191</v>
      </c>
      <c r="D86" s="134">
        <v>1000000</v>
      </c>
      <c r="E86" s="134" t="s">
        <v>17</v>
      </c>
      <c r="F86" s="135" t="s">
        <v>229</v>
      </c>
      <c r="G86" s="136" t="s">
        <v>59</v>
      </c>
      <c r="H86" s="137">
        <v>0</v>
      </c>
      <c r="I86" s="167" t="s">
        <v>205</v>
      </c>
      <c r="J86" s="138">
        <v>0</v>
      </c>
      <c r="K86" s="137">
        <v>-2.6099999999999999E-3</v>
      </c>
      <c r="L86" s="136" t="s">
        <v>193</v>
      </c>
      <c r="M86" s="200"/>
      <c r="N86" s="280">
        <f t="shared" si="59"/>
        <v>1000000</v>
      </c>
      <c r="O86" s="253" t="str">
        <f t="shared" si="60"/>
        <v>RECEIVER</v>
      </c>
      <c r="P86" s="256">
        <f t="shared" ca="1" si="61"/>
        <v>42523</v>
      </c>
      <c r="Q86" s="256" t="str">
        <f t="shared" si="62"/>
        <v>9Y</v>
      </c>
      <c r="R86" s="250" t="s">
        <v>26</v>
      </c>
      <c r="S86" s="255" t="s">
        <v>20</v>
      </c>
      <c r="T86" s="250" t="s">
        <v>22</v>
      </c>
      <c r="U86" s="250" t="s">
        <v>2</v>
      </c>
      <c r="V86" s="256"/>
      <c r="W86" s="256"/>
      <c r="X86" s="257">
        <f t="shared" ca="1" si="63"/>
        <v>2</v>
      </c>
      <c r="Y86" s="258" t="s">
        <v>177</v>
      </c>
      <c r="Z86" s="255" t="s">
        <v>178</v>
      </c>
      <c r="AA86" s="253" t="str">
        <f t="shared" si="57"/>
        <v>EUR3ML</v>
      </c>
      <c r="AB86" s="257" t="str">
        <f t="shared" si="64"/>
        <v>Quarterly</v>
      </c>
      <c r="AC86" s="255" t="s">
        <v>6</v>
      </c>
      <c r="AD86" s="250" t="s">
        <v>22</v>
      </c>
      <c r="AE86" s="250" t="s">
        <v>2</v>
      </c>
      <c r="AF86" s="256"/>
      <c r="AG86" s="256"/>
      <c r="AH86" s="257">
        <f t="shared" ca="1" si="65"/>
        <v>2</v>
      </c>
      <c r="AI86" s="258" t="s">
        <v>177</v>
      </c>
      <c r="AJ86" s="259">
        <f t="shared" si="66"/>
        <v>-2.6099999999999999E-3</v>
      </c>
      <c r="AK86" s="260"/>
      <c r="AL86" s="258" t="s">
        <v>177</v>
      </c>
      <c r="AM86" s="255" t="s">
        <v>178</v>
      </c>
      <c r="AN86" s="256" t="str">
        <f t="shared" si="67"/>
        <v>EURYC</v>
      </c>
      <c r="AO86" s="253" t="str">
        <f t="shared" si="68"/>
        <v>EURDF_NOCSA</v>
      </c>
      <c r="AP86" s="261">
        <f t="shared" si="58"/>
        <v>0</v>
      </c>
      <c r="AQ86" s="272">
        <f t="shared" si="69"/>
        <v>0</v>
      </c>
      <c r="AR86" s="224" t="s">
        <v>4</v>
      </c>
      <c r="AS86" s="181">
        <f ca="1">IF(AND(NOW(),isEUR3MLLoaded),IF(OR($D86="",$D86=0),"",_xll.meProductSwapParRate(_xll.meUtilityLVBFromKeysValues($P$5:$AP$5,$P86:$AP86))),"Please Load Yield Curves")</f>
        <v>3.3225006274950415E-3</v>
      </c>
      <c r="AT86" s="139">
        <f ca="1">IF(AND(NOW(),isEUR3MLLoaded),IF(OR($D86="",$D86=0),"",_xll.meProductSwapPV(_xll.meUtilityLVBFromKeysValues($N$5:$AP$5,$N86:$AP86))),"Please Load Yield Curves")</f>
        <v>-30058.824610911972</v>
      </c>
      <c r="AU86" s="139">
        <f ca="1">IF(AND(NOW(),isEUR3MLLoaded),IF(OR($D86="",$D86=0),"",_xll.meProductSwapPV01(_xll.meUtilityLVBFromKeysValues($N$5:$AO$5,$N86:$AO86))),"Please Load Yield Curves")</f>
        <v>904.70485880914498</v>
      </c>
      <c r="AV86" s="196">
        <f ca="1">IF(AND(NOW(),isEUR3MLLoaded),IF(OR($D86="",$D86=0),"",_xll.meProductSwapDV01(_xll.meUtilityLVBFromKeysValues($N$5:$AQ$5,$N86:$AQ86))),"Please Load Yield Curves")</f>
        <v>877.7768521094348</v>
      </c>
      <c r="AW86" s="48"/>
    </row>
    <row r="87" spans="2:53" hidden="1" outlineLevel="1" x14ac:dyDescent="0.25">
      <c r="B87" s="132">
        <f ca="1">IF(OR(D87="",D87=0),"",_xll.meDateFromTenor(COB,C87,$T87,$U87))</f>
        <v>42523</v>
      </c>
      <c r="C87" s="140" t="s">
        <v>191</v>
      </c>
      <c r="D87" s="134">
        <v>1000000</v>
      </c>
      <c r="E87" s="134" t="s">
        <v>17</v>
      </c>
      <c r="F87" s="135" t="s">
        <v>229</v>
      </c>
      <c r="G87" s="136" t="s">
        <v>60</v>
      </c>
      <c r="H87" s="137">
        <v>0</v>
      </c>
      <c r="I87" s="167" t="s">
        <v>205</v>
      </c>
      <c r="J87" s="138">
        <v>0</v>
      </c>
      <c r="K87" s="137">
        <v>-2.6099999999999999E-3</v>
      </c>
      <c r="L87" s="136" t="s">
        <v>193</v>
      </c>
      <c r="M87" s="200"/>
      <c r="N87" s="280">
        <f t="shared" si="59"/>
        <v>1000000</v>
      </c>
      <c r="O87" s="253" t="str">
        <f t="shared" si="60"/>
        <v>RECEIVER</v>
      </c>
      <c r="P87" s="256">
        <f t="shared" ca="1" si="61"/>
        <v>42523</v>
      </c>
      <c r="Q87" s="256" t="str">
        <f t="shared" si="62"/>
        <v>10Y</v>
      </c>
      <c r="R87" s="250" t="s">
        <v>26</v>
      </c>
      <c r="S87" s="255" t="s">
        <v>20</v>
      </c>
      <c r="T87" s="250" t="s">
        <v>22</v>
      </c>
      <c r="U87" s="250" t="s">
        <v>2</v>
      </c>
      <c r="V87" s="256"/>
      <c r="W87" s="256"/>
      <c r="X87" s="257">
        <f t="shared" ca="1" si="63"/>
        <v>2</v>
      </c>
      <c r="Y87" s="258" t="s">
        <v>177</v>
      </c>
      <c r="Z87" s="255" t="s">
        <v>178</v>
      </c>
      <c r="AA87" s="253" t="str">
        <f t="shared" si="57"/>
        <v>EUR3ML</v>
      </c>
      <c r="AB87" s="257" t="str">
        <f t="shared" si="64"/>
        <v>Quarterly</v>
      </c>
      <c r="AC87" s="255" t="s">
        <v>6</v>
      </c>
      <c r="AD87" s="250" t="s">
        <v>22</v>
      </c>
      <c r="AE87" s="250" t="s">
        <v>2</v>
      </c>
      <c r="AF87" s="256"/>
      <c r="AG87" s="256"/>
      <c r="AH87" s="257">
        <f t="shared" ca="1" si="65"/>
        <v>2</v>
      </c>
      <c r="AI87" s="258" t="s">
        <v>177</v>
      </c>
      <c r="AJ87" s="259">
        <f t="shared" si="66"/>
        <v>-2.6099999999999999E-3</v>
      </c>
      <c r="AK87" s="260"/>
      <c r="AL87" s="258" t="s">
        <v>177</v>
      </c>
      <c r="AM87" s="255" t="s">
        <v>178</v>
      </c>
      <c r="AN87" s="256" t="str">
        <f t="shared" si="67"/>
        <v>EURYC</v>
      </c>
      <c r="AO87" s="253" t="str">
        <f t="shared" si="68"/>
        <v>EURDF_NOCSA</v>
      </c>
      <c r="AP87" s="261">
        <f t="shared" si="58"/>
        <v>0</v>
      </c>
      <c r="AQ87" s="272">
        <f t="shared" si="69"/>
        <v>0</v>
      </c>
      <c r="AR87" s="224" t="s">
        <v>4</v>
      </c>
      <c r="AS87" s="181">
        <f ca="1">IF(AND(NOW(),isEUR3MLLoaded),IF(OR($D87="",$D87=0),"",_xll.meProductSwapParRate(_xll.meUtilityLVBFromKeysValues($P$5:$AP$5,$P87:$AP87))),"Please Load Yield Curves")</f>
        <v>4.4425005960946166E-3</v>
      </c>
      <c r="AT87" s="139">
        <f ca="1">IF(AND(NOW(),isEUR3MLLoaded),IF(OR($D87="",$D87=0),"",_xll.meProductSwapPV(_xll.meUtilityLVBFromKeysValues($N$5:$AP$5,$N87:$AP87))),"Please Load Yield Curves")</f>
        <v>-44505.86055555701</v>
      </c>
      <c r="AU87" s="139">
        <f ca="1">IF(AND(NOW(),isEUR3MLLoaded),IF(OR($D87="",$D87=0),"",_xll.meProductSwapPV01(_xll.meUtilityLVBFromKeysValues($N$5:$AO$5,$N87:$AO87))),"Please Load Yield Curves")</f>
        <v>1001.8200243953131</v>
      </c>
      <c r="AV87" s="196">
        <f ca="1">IF(AND(NOW(),isEUR3MLLoaded),IF(OR($D87="",$D87=0),"",_xll.meProductSwapDV01(_xll.meUtilityLVBFromKeysValues($N$5:$AQ$5,$N87:$AQ87))),"Please Load Yield Curves")</f>
        <v>961.065152662321</v>
      </c>
      <c r="AW87" s="48"/>
    </row>
    <row r="88" spans="2:53" hidden="1" outlineLevel="1" x14ac:dyDescent="0.25">
      <c r="B88" s="132">
        <f ca="1">IF(OR(D88="",D88=0),"",_xll.meDateFromTenor(COB,C88,$T88,$U88))</f>
        <v>42523</v>
      </c>
      <c r="C88" s="140" t="s">
        <v>191</v>
      </c>
      <c r="D88" s="134">
        <v>1000000</v>
      </c>
      <c r="E88" s="134" t="s">
        <v>17</v>
      </c>
      <c r="F88" s="135" t="s">
        <v>229</v>
      </c>
      <c r="G88" s="136" t="s">
        <v>63</v>
      </c>
      <c r="H88" s="137">
        <v>0</v>
      </c>
      <c r="I88" s="167" t="s">
        <v>205</v>
      </c>
      <c r="J88" s="138">
        <v>0</v>
      </c>
      <c r="K88" s="137">
        <v>-2.6099999999999999E-3</v>
      </c>
      <c r="L88" s="136" t="s">
        <v>193</v>
      </c>
      <c r="M88" s="200"/>
      <c r="N88" s="280">
        <f t="shared" si="59"/>
        <v>1000000</v>
      </c>
      <c r="O88" s="253" t="str">
        <f t="shared" si="60"/>
        <v>RECEIVER</v>
      </c>
      <c r="P88" s="256">
        <f t="shared" ca="1" si="61"/>
        <v>42523</v>
      </c>
      <c r="Q88" s="256" t="str">
        <f t="shared" si="62"/>
        <v>15Y</v>
      </c>
      <c r="R88" s="250" t="s">
        <v>26</v>
      </c>
      <c r="S88" s="255" t="s">
        <v>20</v>
      </c>
      <c r="T88" s="250" t="s">
        <v>22</v>
      </c>
      <c r="U88" s="250" t="s">
        <v>2</v>
      </c>
      <c r="V88" s="256"/>
      <c r="W88" s="256"/>
      <c r="X88" s="257">
        <f t="shared" ca="1" si="63"/>
        <v>2</v>
      </c>
      <c r="Y88" s="258" t="s">
        <v>177</v>
      </c>
      <c r="Z88" s="255" t="s">
        <v>178</v>
      </c>
      <c r="AA88" s="253" t="str">
        <f t="shared" si="57"/>
        <v>EUR3ML</v>
      </c>
      <c r="AB88" s="257" t="str">
        <f t="shared" si="64"/>
        <v>Quarterly</v>
      </c>
      <c r="AC88" s="255" t="s">
        <v>6</v>
      </c>
      <c r="AD88" s="250" t="s">
        <v>22</v>
      </c>
      <c r="AE88" s="250" t="s">
        <v>2</v>
      </c>
      <c r="AF88" s="256"/>
      <c r="AG88" s="256"/>
      <c r="AH88" s="257">
        <f t="shared" ca="1" si="65"/>
        <v>2</v>
      </c>
      <c r="AI88" s="258" t="s">
        <v>177</v>
      </c>
      <c r="AJ88" s="259">
        <f t="shared" si="66"/>
        <v>-2.6099999999999999E-3</v>
      </c>
      <c r="AK88" s="260"/>
      <c r="AL88" s="258" t="s">
        <v>177</v>
      </c>
      <c r="AM88" s="255" t="s">
        <v>178</v>
      </c>
      <c r="AN88" s="256" t="str">
        <f t="shared" si="67"/>
        <v>EURYC</v>
      </c>
      <c r="AO88" s="253" t="str">
        <f t="shared" si="68"/>
        <v>EURDF_NOCSA</v>
      </c>
      <c r="AP88" s="261">
        <f t="shared" si="58"/>
        <v>0</v>
      </c>
      <c r="AQ88" s="272">
        <f t="shared" si="69"/>
        <v>0</v>
      </c>
      <c r="AR88" s="224" t="s">
        <v>4</v>
      </c>
      <c r="AS88" s="181">
        <f ca="1">IF(AND(NOW(),isEUR3MLLoaded),IF(OR($D88="",$D88=0),"",_xll.meProductSwapParRate(_xll.meUtilityLVBFromKeysValues($P$5:$AP$5,$P88:$AP88))),"Please Load Yield Curves")</f>
        <v>8.4325000370870599E-3</v>
      </c>
      <c r="AT88" s="139">
        <f ca="1">IF(AND(NOW(),isEUR3MLLoaded),IF(OR($D88="",$D88=0),"",_xll.meProductSwapPV(_xll.meUtilityLVBFromKeysValues($N$5:$AP$5,$N88:$AP88))),"Please Load Yield Curves")</f>
        <v>-123586.33789939938</v>
      </c>
      <c r="AU88" s="139">
        <f ca="1">IF(AND(NOW(),isEUR3MLLoaded),IF(OR($D88="",$D88=0),"",_xll.meProductSwapPV01(_xll.meUtilityLVBFromKeysValues($N$5:$AO$5,$N88:$AO88))),"Please Load Yield Curves")</f>
        <v>1465.5954622692336</v>
      </c>
      <c r="AV88" s="196">
        <f ca="1">IF(AND(NOW(),isEUR3MLLoaded),IF(OR($D88="",$D88=0),"",_xll.meProductSwapDV01(_xll.meUtilityLVBFromKeysValues($N$5:$AQ$5,$N88:$AQ88))),"Please Load Yield Curves")</f>
        <v>1325.8381814455281</v>
      </c>
      <c r="AW88" s="48"/>
    </row>
    <row r="89" spans="2:53" hidden="1" outlineLevel="1" x14ac:dyDescent="0.25">
      <c r="B89" s="132">
        <f ca="1">IF(OR(D89="",D89=0),"",_xll.meDateFromTenor(COB,C89,$T89,$U89))</f>
        <v>42523</v>
      </c>
      <c r="C89" s="140" t="s">
        <v>191</v>
      </c>
      <c r="D89" s="134">
        <v>1000000</v>
      </c>
      <c r="E89" s="134" t="s">
        <v>17</v>
      </c>
      <c r="F89" s="135" t="s">
        <v>229</v>
      </c>
      <c r="G89" s="136" t="s">
        <v>64</v>
      </c>
      <c r="H89" s="137">
        <v>0</v>
      </c>
      <c r="I89" s="167" t="s">
        <v>205</v>
      </c>
      <c r="J89" s="138">
        <v>0</v>
      </c>
      <c r="K89" s="137">
        <v>-2.6099999999999999E-3</v>
      </c>
      <c r="L89" s="136" t="s">
        <v>193</v>
      </c>
      <c r="M89" s="200"/>
      <c r="N89" s="280">
        <f t="shared" si="59"/>
        <v>1000000</v>
      </c>
      <c r="O89" s="253" t="str">
        <f t="shared" si="60"/>
        <v>RECEIVER</v>
      </c>
      <c r="P89" s="256">
        <f t="shared" ca="1" si="61"/>
        <v>42523</v>
      </c>
      <c r="Q89" s="256" t="str">
        <f t="shared" si="62"/>
        <v>20Y</v>
      </c>
      <c r="R89" s="250" t="s">
        <v>26</v>
      </c>
      <c r="S89" s="255" t="s">
        <v>20</v>
      </c>
      <c r="T89" s="250" t="s">
        <v>22</v>
      </c>
      <c r="U89" s="250" t="s">
        <v>2</v>
      </c>
      <c r="V89" s="256"/>
      <c r="W89" s="256"/>
      <c r="X89" s="257">
        <f t="shared" ca="1" si="63"/>
        <v>2</v>
      </c>
      <c r="Y89" s="258" t="s">
        <v>177</v>
      </c>
      <c r="Z89" s="255" t="s">
        <v>178</v>
      </c>
      <c r="AA89" s="253" t="str">
        <f t="shared" si="57"/>
        <v>EUR3ML</v>
      </c>
      <c r="AB89" s="257" t="str">
        <f t="shared" si="64"/>
        <v>Quarterly</v>
      </c>
      <c r="AC89" s="255" t="s">
        <v>6</v>
      </c>
      <c r="AD89" s="250" t="s">
        <v>22</v>
      </c>
      <c r="AE89" s="250" t="s">
        <v>2</v>
      </c>
      <c r="AF89" s="256"/>
      <c r="AG89" s="256"/>
      <c r="AH89" s="257">
        <f t="shared" ca="1" si="65"/>
        <v>2</v>
      </c>
      <c r="AI89" s="258" t="s">
        <v>177</v>
      </c>
      <c r="AJ89" s="259">
        <f t="shared" si="66"/>
        <v>-2.6099999999999999E-3</v>
      </c>
      <c r="AK89" s="260"/>
      <c r="AL89" s="258" t="s">
        <v>177</v>
      </c>
      <c r="AM89" s="255" t="s">
        <v>178</v>
      </c>
      <c r="AN89" s="256" t="str">
        <f t="shared" si="67"/>
        <v>EURYC</v>
      </c>
      <c r="AO89" s="253" t="str">
        <f t="shared" si="68"/>
        <v>EURDF_NOCSA</v>
      </c>
      <c r="AP89" s="261">
        <f t="shared" si="58"/>
        <v>0</v>
      </c>
      <c r="AQ89" s="272">
        <f t="shared" si="69"/>
        <v>0</v>
      </c>
      <c r="AR89" s="224" t="s">
        <v>4</v>
      </c>
      <c r="AS89" s="181">
        <f ca="1">IF(AND(NOW(),isEUR3MLLoaded),IF(OR($D89="",$D89=0),"",_xll.meProductSwapParRate(_xll.meUtilityLVBFromKeysValues($P$5:$AP$5,$P89:$AP89))),"Please Load Yield Curves")</f>
        <v>1.0167499929526433E-2</v>
      </c>
      <c r="AT89" s="139">
        <f ca="1">IF(AND(NOW(),isEUR3MLLoaded),IF(OR($D89="",$D89=0),"",_xll.meProductSwapPV(_xll.meUtilityLVBFromKeysValues($N$5:$AP$5,$N89:$AP89))),"Please Load Yield Curves")</f>
        <v>-192599.78604432274</v>
      </c>
      <c r="AU89" s="139">
        <f ca="1">IF(AND(NOW(),isEUR3MLLoaded),IF(OR($D89="",$D89=0),"",_xll.meProductSwapPV01(_xll.meUtilityLVBFromKeysValues($N$5:$AO$5,$N89:$AO89))),"Please Load Yield Curves")</f>
        <v>1894.2689032815456</v>
      </c>
      <c r="AV89" s="196">
        <f ca="1">IF(AND(NOW(),isEUR3MLLoaded),IF(OR($D89="",$D89=0),"",_xll.meProductSwapDV01(_xll.meUtilityLVBFromKeysValues($N$5:$AQ$5,$N89:$AQ89))),"Please Load Yield Curves")</f>
        <v>1635.0044072152559</v>
      </c>
      <c r="AW89" s="48"/>
    </row>
    <row r="90" spans="2:53" hidden="1" outlineLevel="1" x14ac:dyDescent="0.25">
      <c r="B90" s="132">
        <f ca="1">IF(OR(D90="",D90=0),"",_xll.meDateFromTenor(COB,C90,$T90,$U90))</f>
        <v>42523</v>
      </c>
      <c r="C90" s="140" t="s">
        <v>191</v>
      </c>
      <c r="D90" s="134">
        <v>1000000</v>
      </c>
      <c r="E90" s="134" t="s">
        <v>17</v>
      </c>
      <c r="F90" s="135" t="s">
        <v>229</v>
      </c>
      <c r="G90" s="136" t="s">
        <v>65</v>
      </c>
      <c r="H90" s="137">
        <v>0</v>
      </c>
      <c r="I90" s="167" t="s">
        <v>205</v>
      </c>
      <c r="J90" s="138">
        <v>0</v>
      </c>
      <c r="K90" s="137">
        <v>-2.6099999999999999E-3</v>
      </c>
      <c r="L90" s="136" t="s">
        <v>193</v>
      </c>
      <c r="M90" s="200"/>
      <c r="N90" s="280">
        <f t="shared" si="59"/>
        <v>1000000</v>
      </c>
      <c r="O90" s="253" t="str">
        <f t="shared" si="60"/>
        <v>RECEIVER</v>
      </c>
      <c r="P90" s="256">
        <f t="shared" ca="1" si="61"/>
        <v>42523</v>
      </c>
      <c r="Q90" s="256" t="str">
        <f t="shared" si="62"/>
        <v>25Y</v>
      </c>
      <c r="R90" s="250" t="s">
        <v>26</v>
      </c>
      <c r="S90" s="255" t="s">
        <v>20</v>
      </c>
      <c r="T90" s="250" t="s">
        <v>22</v>
      </c>
      <c r="U90" s="250" t="s">
        <v>2</v>
      </c>
      <c r="V90" s="256"/>
      <c r="W90" s="256"/>
      <c r="X90" s="257">
        <f t="shared" ca="1" si="63"/>
        <v>2</v>
      </c>
      <c r="Y90" s="258" t="s">
        <v>177</v>
      </c>
      <c r="Z90" s="255" t="s">
        <v>178</v>
      </c>
      <c r="AA90" s="253" t="str">
        <f t="shared" si="57"/>
        <v>EUR3ML</v>
      </c>
      <c r="AB90" s="257" t="str">
        <f t="shared" si="64"/>
        <v>Quarterly</v>
      </c>
      <c r="AC90" s="255" t="s">
        <v>6</v>
      </c>
      <c r="AD90" s="250" t="s">
        <v>22</v>
      </c>
      <c r="AE90" s="250" t="s">
        <v>2</v>
      </c>
      <c r="AF90" s="256"/>
      <c r="AG90" s="256"/>
      <c r="AH90" s="257">
        <f t="shared" ca="1" si="65"/>
        <v>2</v>
      </c>
      <c r="AI90" s="258" t="s">
        <v>177</v>
      </c>
      <c r="AJ90" s="259">
        <f t="shared" si="66"/>
        <v>-2.6099999999999999E-3</v>
      </c>
      <c r="AK90" s="260"/>
      <c r="AL90" s="258" t="s">
        <v>177</v>
      </c>
      <c r="AM90" s="255" t="s">
        <v>178</v>
      </c>
      <c r="AN90" s="256" t="str">
        <f t="shared" si="67"/>
        <v>EURYC</v>
      </c>
      <c r="AO90" s="253" t="str">
        <f t="shared" si="68"/>
        <v>EURDF_NOCSA</v>
      </c>
      <c r="AP90" s="261">
        <f t="shared" si="58"/>
        <v>0</v>
      </c>
      <c r="AQ90" s="272">
        <f t="shared" si="69"/>
        <v>0</v>
      </c>
      <c r="AR90" s="224" t="s">
        <v>4</v>
      </c>
      <c r="AS90" s="181">
        <f ca="1">IF(AND(NOW(),isEUR3MLLoaded),IF(OR($D90="",$D90=0),"",_xll.meProductSwapParRate(_xll.meUtilityLVBFromKeysValues($P$5:$AP$5,$P90:$AP90))),"Please Load Yield Curves")</f>
        <v>1.0696670082313314E-2</v>
      </c>
      <c r="AT90" s="139">
        <f ca="1">IF(AND(NOW(),isEUR3MLLoaded),IF(OR($D90="",$D90=0),"",_xll.meProductSwapPV(_xll.meUtilityLVBFromKeysValues($N$5:$AP$5,$N90:$AP90))),"Please Load Yield Curves")</f>
        <v>-245499.70229869301</v>
      </c>
      <c r="AU90" s="139">
        <f ca="1">IF(AND(NOW(),isEUR3MLLoaded),IF(OR($D90="",$D90=0),"",_xll.meProductSwapPV01(_xll.meUtilityLVBFromKeysValues($N$5:$AO$5,$N90:$AO90))),"Please Load Yield Curves")</f>
        <v>2295.1039941357158</v>
      </c>
      <c r="AV90" s="196">
        <f ca="1">IF(AND(NOW(),isEUR3MLLoaded),IF(OR($D90="",$D90=0),"",_xll.meProductSwapDV01(_xll.meUtilityLVBFromKeysValues($N$5:$AQ$5,$N90:$AQ90))),"Please Load Yield Curves")</f>
        <v>1918.0385023641632</v>
      </c>
      <c r="AW90" s="48"/>
    </row>
    <row r="91" spans="2:53" hidden="1" outlineLevel="1" x14ac:dyDescent="0.25">
      <c r="B91" s="141">
        <f ca="1">IF(OR(D91="",D91=0),"",_xll.meDateFromTenor(COB,C91,$T91,$U91))</f>
        <v>42523</v>
      </c>
      <c r="C91" s="142" t="s">
        <v>191</v>
      </c>
      <c r="D91" s="143">
        <v>1000000</v>
      </c>
      <c r="E91" s="143" t="s">
        <v>17</v>
      </c>
      <c r="F91" s="144" t="s">
        <v>229</v>
      </c>
      <c r="G91" s="145" t="s">
        <v>66</v>
      </c>
      <c r="H91" s="146">
        <v>0</v>
      </c>
      <c r="I91" s="168" t="s">
        <v>205</v>
      </c>
      <c r="J91" s="147">
        <v>0</v>
      </c>
      <c r="K91" s="146">
        <v>-2.6099999999999999E-3</v>
      </c>
      <c r="L91" s="145" t="s">
        <v>193</v>
      </c>
      <c r="M91" s="200"/>
      <c r="N91" s="281">
        <f t="shared" si="59"/>
        <v>1000000</v>
      </c>
      <c r="O91" s="254" t="str">
        <f t="shared" si="60"/>
        <v>RECEIVER</v>
      </c>
      <c r="P91" s="148">
        <f t="shared" ca="1" si="61"/>
        <v>42523</v>
      </c>
      <c r="Q91" s="148" t="str">
        <f t="shared" si="62"/>
        <v>30Y</v>
      </c>
      <c r="R91" s="273" t="s">
        <v>26</v>
      </c>
      <c r="S91" s="274" t="s">
        <v>20</v>
      </c>
      <c r="T91" s="273" t="s">
        <v>22</v>
      </c>
      <c r="U91" s="273" t="s">
        <v>2</v>
      </c>
      <c r="V91" s="148"/>
      <c r="W91" s="148"/>
      <c r="X91" s="265">
        <f t="shared" ca="1" si="63"/>
        <v>2</v>
      </c>
      <c r="Y91" s="275" t="s">
        <v>177</v>
      </c>
      <c r="Z91" s="274" t="s">
        <v>178</v>
      </c>
      <c r="AA91" s="254" t="str">
        <f t="shared" si="57"/>
        <v>EUR3ML</v>
      </c>
      <c r="AB91" s="265" t="str">
        <f t="shared" si="64"/>
        <v>Quarterly</v>
      </c>
      <c r="AC91" s="274" t="s">
        <v>6</v>
      </c>
      <c r="AD91" s="273" t="s">
        <v>22</v>
      </c>
      <c r="AE91" s="273" t="s">
        <v>2</v>
      </c>
      <c r="AF91" s="148"/>
      <c r="AG91" s="148"/>
      <c r="AH91" s="265">
        <f t="shared" ca="1" si="65"/>
        <v>2</v>
      </c>
      <c r="AI91" s="275" t="s">
        <v>177</v>
      </c>
      <c r="AJ91" s="276">
        <f t="shared" si="66"/>
        <v>-2.6099999999999999E-3</v>
      </c>
      <c r="AK91" s="277"/>
      <c r="AL91" s="275" t="s">
        <v>177</v>
      </c>
      <c r="AM91" s="274" t="s">
        <v>178</v>
      </c>
      <c r="AN91" s="148" t="str">
        <f t="shared" si="67"/>
        <v>EURYC</v>
      </c>
      <c r="AO91" s="254" t="str">
        <f t="shared" si="68"/>
        <v>EURDF_NOCSA</v>
      </c>
      <c r="AP91" s="263">
        <f t="shared" si="58"/>
        <v>0</v>
      </c>
      <c r="AQ91" s="278">
        <f t="shared" si="69"/>
        <v>0</v>
      </c>
      <c r="AR91" s="224" t="s">
        <v>4</v>
      </c>
      <c r="AS91" s="182">
        <f ca="1">IF(AND(NOW(),isEUR3MLLoaded),IF(OR($D91="",$D91=0),"",_xll.meProductSwapParRate(_xll.meUtilityLVBFromKeysValues($P$5:$AP$5,$P91:$AP91))),"Please Load Yield Curves")</f>
        <v>1.0867500133685502E-2</v>
      </c>
      <c r="AT91" s="149">
        <f ca="1">IF(AND(NOW(),isEUR3MLLoaded),IF(OR($D91="",$D91=0),"",_xll.meProductSwapPV(_xll.meUtilityLVBFromKeysValues($N$5:$AP$5,$N91:$AP91))),"Please Load Yield Curves")</f>
        <v>-290529.50532710052</v>
      </c>
      <c r="AU91" s="149">
        <f ca="1">IF(AND(NOW(),isEUR3MLLoaded),IF(OR($D91="",$D91=0),"",_xll.meProductSwapPV01(_xll.meUtilityLVBFromKeysValues($N$5:$AO$5,$N91:$AO91))),"Please Load Yield Curves")</f>
        <v>2673.3793582073149</v>
      </c>
      <c r="AV91" s="197">
        <f ca="1">IF(AND(NOW(),isEUR3MLLoaded),IF(OR($D91="",$D91=0),"",_xll.meProductSwapDV01(_xll.meUtilityLVBFromKeysValues($N$5:$AQ$5,$N91:$AQ91))),"Please Load Yield Curves")</f>
        <v>2173.4682319708768</v>
      </c>
      <c r="AW91" s="48"/>
    </row>
    <row r="92" spans="2:53" collapsed="1" x14ac:dyDescent="0.25">
      <c r="AR92" s="224" t="s">
        <v>4</v>
      </c>
    </row>
    <row r="93" spans="2:53" ht="23.25" x14ac:dyDescent="0.35">
      <c r="B93" s="108" t="s">
        <v>241</v>
      </c>
      <c r="AR93" s="224" t="s">
        <v>4</v>
      </c>
      <c r="AS93" s="109"/>
      <c r="AT93" s="447"/>
      <c r="AU93" s="447"/>
      <c r="AV93" s="172"/>
      <c r="AX93" s="108" t="s">
        <v>248</v>
      </c>
    </row>
    <row r="94" spans="2:53" x14ac:dyDescent="0.25">
      <c r="AR94" s="224" t="s">
        <v>4</v>
      </c>
    </row>
    <row r="95" spans="2:53" x14ac:dyDescent="0.25">
      <c r="B95" s="40" t="s">
        <v>230</v>
      </c>
      <c r="C95" s="40"/>
      <c r="D95" s="40"/>
      <c r="E95" s="40"/>
      <c r="F95" s="40"/>
      <c r="G95" s="40"/>
      <c r="H95" s="40"/>
      <c r="I95" s="40"/>
      <c r="J95" s="40"/>
      <c r="K95" s="40"/>
      <c r="L95" s="40"/>
      <c r="M95" s="40"/>
      <c r="N95" s="224" t="s">
        <v>282</v>
      </c>
      <c r="O95" s="224"/>
      <c r="P95" s="224"/>
      <c r="Q95" s="269"/>
      <c r="R95" s="269"/>
      <c r="S95" s="269"/>
      <c r="T95" s="269"/>
      <c r="U95" s="269"/>
      <c r="V95" s="269"/>
      <c r="W95" s="269"/>
      <c r="X95" s="269"/>
      <c r="Y95" s="269"/>
      <c r="Z95" s="269"/>
      <c r="AA95" s="269"/>
      <c r="AB95" s="269"/>
      <c r="AC95" s="269"/>
      <c r="AD95" s="269"/>
      <c r="AE95" s="269"/>
      <c r="AF95" s="269"/>
      <c r="AG95" s="269"/>
      <c r="AH95" s="269"/>
      <c r="AI95" s="269"/>
      <c r="AJ95" s="269"/>
      <c r="AK95" s="269"/>
      <c r="AL95" s="269"/>
      <c r="AM95" s="269"/>
      <c r="AN95" s="269"/>
      <c r="AO95" s="269"/>
      <c r="AP95" s="269"/>
      <c r="AQ95" s="269"/>
      <c r="AR95" s="224" t="s">
        <v>4</v>
      </c>
      <c r="AS95" s="40"/>
      <c r="AT95" s="40"/>
      <c r="AU95" s="178"/>
      <c r="AV95" s="178"/>
      <c r="AW95" s="40"/>
      <c r="AX95" s="40"/>
      <c r="AY95" s="40"/>
      <c r="AZ95" s="40"/>
      <c r="BA95" s="40"/>
    </row>
    <row r="96" spans="2:53" ht="31.5" customHeight="1" x14ac:dyDescent="0.25">
      <c r="B96" s="110" t="s">
        <v>179</v>
      </c>
      <c r="C96" s="111" t="s">
        <v>180</v>
      </c>
      <c r="D96" s="111" t="s">
        <v>175</v>
      </c>
      <c r="E96" s="111" t="s">
        <v>16</v>
      </c>
      <c r="F96" s="111" t="s">
        <v>181</v>
      </c>
      <c r="G96" s="111" t="s">
        <v>182</v>
      </c>
      <c r="H96" s="111" t="s">
        <v>183</v>
      </c>
      <c r="I96" s="111" t="s">
        <v>184</v>
      </c>
      <c r="J96" s="111" t="s">
        <v>185</v>
      </c>
      <c r="K96" s="111" t="s">
        <v>186</v>
      </c>
      <c r="L96" s="111" t="s">
        <v>187</v>
      </c>
      <c r="M96" s="200"/>
      <c r="N96" s="264" t="s">
        <v>175</v>
      </c>
      <c r="O96" s="251" t="s">
        <v>249</v>
      </c>
      <c r="P96" s="251" t="s">
        <v>250</v>
      </c>
      <c r="Q96" s="251" t="s">
        <v>251</v>
      </c>
      <c r="R96" s="251" t="s">
        <v>253</v>
      </c>
      <c r="S96" s="251" t="s">
        <v>254</v>
      </c>
      <c r="T96" s="251" t="s">
        <v>255</v>
      </c>
      <c r="U96" s="251" t="s">
        <v>256</v>
      </c>
      <c r="V96" s="251" t="s">
        <v>283</v>
      </c>
      <c r="W96" s="251" t="s">
        <v>284</v>
      </c>
      <c r="X96" s="251" t="s">
        <v>257</v>
      </c>
      <c r="Y96" s="251" t="s">
        <v>258</v>
      </c>
      <c r="Z96" s="251" t="s">
        <v>259</v>
      </c>
      <c r="AA96" s="251" t="s">
        <v>271</v>
      </c>
      <c r="AB96" s="251" t="s">
        <v>260</v>
      </c>
      <c r="AC96" s="251" t="s">
        <v>261</v>
      </c>
      <c r="AD96" s="251" t="s">
        <v>262</v>
      </c>
      <c r="AE96" s="251" t="s">
        <v>263</v>
      </c>
      <c r="AF96" s="251" t="s">
        <v>285</v>
      </c>
      <c r="AG96" s="251" t="s">
        <v>286</v>
      </c>
      <c r="AH96" s="251" t="s">
        <v>264</v>
      </c>
      <c r="AI96" s="251" t="s">
        <v>265</v>
      </c>
      <c r="AJ96" s="251" t="s">
        <v>266</v>
      </c>
      <c r="AK96" s="251" t="s">
        <v>267</v>
      </c>
      <c r="AL96" s="251" t="s">
        <v>268</v>
      </c>
      <c r="AM96" s="251" t="s">
        <v>270</v>
      </c>
      <c r="AN96" s="251" t="s">
        <v>80</v>
      </c>
      <c r="AO96" s="251" t="s">
        <v>272</v>
      </c>
      <c r="AP96" s="251" t="s">
        <v>269</v>
      </c>
      <c r="AQ96" s="252" t="s">
        <v>252</v>
      </c>
      <c r="AR96" s="224" t="s">
        <v>4</v>
      </c>
      <c r="AS96" s="179" t="s">
        <v>188</v>
      </c>
      <c r="AT96" s="112" t="s">
        <v>189</v>
      </c>
      <c r="AU96" s="112" t="s">
        <v>190</v>
      </c>
      <c r="AV96" s="113" t="s">
        <v>273</v>
      </c>
      <c r="AW96" s="177"/>
      <c r="AX96" s="154" t="s">
        <v>11</v>
      </c>
      <c r="AY96" s="156" t="s">
        <v>287</v>
      </c>
      <c r="AZ96" s="183" t="s">
        <v>232</v>
      </c>
      <c r="BA96" s="192" t="s">
        <v>233</v>
      </c>
    </row>
    <row r="97" spans="2:53" x14ac:dyDescent="0.25">
      <c r="B97" s="115">
        <f ca="1">IF(OR(D97="",D97=0),"",_xll.meDateFromTenor(COB,C97,$T97,$U97))</f>
        <v>42523</v>
      </c>
      <c r="C97" s="133" t="s">
        <v>191</v>
      </c>
      <c r="D97" s="134">
        <v>1000000</v>
      </c>
      <c r="E97" s="134" t="s">
        <v>17</v>
      </c>
      <c r="F97" s="135" t="s">
        <v>176</v>
      </c>
      <c r="G97" s="136" t="s">
        <v>47</v>
      </c>
      <c r="H97" s="137">
        <v>0</v>
      </c>
      <c r="I97" s="167" t="s">
        <v>192</v>
      </c>
      <c r="J97" s="371">
        <v>15</v>
      </c>
      <c r="K97" s="120">
        <v>-1.5299999999999999E-3</v>
      </c>
      <c r="L97" s="136" t="s">
        <v>193</v>
      </c>
      <c r="M97" s="200"/>
      <c r="N97" s="279">
        <f>D97</f>
        <v>1000000</v>
      </c>
      <c r="O97" s="127" t="str">
        <f>F97</f>
        <v>PAYER</v>
      </c>
      <c r="P97" s="124">
        <f ca="1">B97</f>
        <v>42523</v>
      </c>
      <c r="Q97" s="124" t="str">
        <f>G97</f>
        <v>2Y</v>
      </c>
      <c r="R97" s="122" t="s">
        <v>26</v>
      </c>
      <c r="S97" s="123" t="s">
        <v>20</v>
      </c>
      <c r="T97" s="122" t="s">
        <v>22</v>
      </c>
      <c r="U97" s="122" t="s">
        <v>2</v>
      </c>
      <c r="V97" s="124"/>
      <c r="W97" s="124"/>
      <c r="X97" s="125">
        <f ca="1">IF($B97="","",DAY($B97))</f>
        <v>2</v>
      </c>
      <c r="Y97" s="126" t="s">
        <v>177</v>
      </c>
      <c r="Z97" s="123" t="s">
        <v>178</v>
      </c>
      <c r="AA97" s="127" t="str">
        <f t="shared" ref="AA97:AA109" si="70">$E97&amp;$I97</f>
        <v>EUR6ML</v>
      </c>
      <c r="AB97" s="125" t="str">
        <f>IF($I97="1ML","Monthly",IF($I97="3ML","Quarterly",IF($I97="6ML","Semi-Annual","Annual")))</f>
        <v>Semi-Annual</v>
      </c>
      <c r="AC97" s="123" t="s">
        <v>6</v>
      </c>
      <c r="AD97" s="122" t="s">
        <v>22</v>
      </c>
      <c r="AE97" s="122" t="s">
        <v>2</v>
      </c>
      <c r="AF97" s="124"/>
      <c r="AG97" s="124"/>
      <c r="AH97" s="125">
        <f ca="1">IF($B97="","",DAY($B97))</f>
        <v>2</v>
      </c>
      <c r="AI97" s="126" t="s">
        <v>177</v>
      </c>
      <c r="AJ97" s="129">
        <f>K97</f>
        <v>-1.5299999999999999E-3</v>
      </c>
      <c r="AK97" s="130"/>
      <c r="AL97" s="126" t="s">
        <v>177</v>
      </c>
      <c r="AM97" s="123" t="s">
        <v>178</v>
      </c>
      <c r="AN97" s="124" t="str">
        <f>E97&amp;"YC"</f>
        <v>EURYC</v>
      </c>
      <c r="AO97" s="127" t="str">
        <f>LEFT(AN97,3)&amp;"DF_"&amp;L97</f>
        <v>EURDF_NOCSA</v>
      </c>
      <c r="AP97" s="128">
        <f t="shared" ref="AP97:AP109" si="71">J97</f>
        <v>15</v>
      </c>
      <c r="AQ97" s="271">
        <f>H97</f>
        <v>0</v>
      </c>
      <c r="AR97" s="224" t="s">
        <v>4</v>
      </c>
      <c r="AS97" s="180">
        <f ca="1">IF(AND(NOW(),isEUR6MLLoaded),IF(OR($D97="",$D97=0),"",_xll.meProductSwapParRate(_xll.meUtilityLVBFromKeysValues($P$5:$AP$5,$P97:$AP97))),"Please Load Yield Curves")</f>
        <v>-1.0795542531373717E-4</v>
      </c>
      <c r="AT97" s="131">
        <f ca="1">IF(AND(NOW(),isEUR6MLLoaded),IF(OR($D97="",$D97=0),"",_xll.meProductSwapPV(_xll.meUtilityLVBFromKeysValues($N$5:$AQ$5,$N97:$AQ97))),"Please Load Yield Curves")</f>
        <v>-217.8250000077058</v>
      </c>
      <c r="AU97" s="131">
        <f ca="1">IF(AND(NOW(),isEUR6MLLoaded),IF(OR($D97="",$D97=0),"",_xll.meProductSwapPV01(_xll.meUtilityLVBFromKeysValues($N$5:$AO$5,$N97:$AO97))),"Please Load Yield Curves")</f>
        <v>201.77309234313017</v>
      </c>
      <c r="AV97" s="195">
        <f ca="1">IF(AND(NOW(),isEUR6MLLoaded),IF(OR($D97="",$D97=0),"",_xll.meProductSwapDV01(_xll.meUtilityLVBFromKeysValues($N$5:$AQ$5,$N97:$AQ97))),"Please Load Yield Curves")</f>
        <v>201.73708135417706</v>
      </c>
      <c r="AW97" s="48"/>
      <c r="AX97" s="150" t="str">
        <f>'EUR BASIS 12ML'!I36</f>
        <v>2Y</v>
      </c>
      <c r="AY97" s="185">
        <f>'EUR BASIS 12ML'!J36*10000</f>
        <v>15</v>
      </c>
      <c r="AZ97" s="184">
        <f t="shared" ref="AZ97:AZ109" ca="1" si="72">AS113-AS97</f>
        <v>8.0915951836037919E-12</v>
      </c>
      <c r="BA97" s="190">
        <f t="shared" ref="BA97:BA109" ca="1" si="73">AT113+AT97</f>
        <v>-1.6326661835819323E-5</v>
      </c>
    </row>
    <row r="98" spans="2:53" x14ac:dyDescent="0.25">
      <c r="B98" s="132">
        <f ca="1">IF(OR(D98="",D98=0),"",_xll.meDateFromTenor(COB,C98,$T98,$U98))</f>
        <v>42523</v>
      </c>
      <c r="C98" s="140" t="s">
        <v>191</v>
      </c>
      <c r="D98" s="134">
        <v>1000000</v>
      </c>
      <c r="E98" s="134" t="s">
        <v>17</v>
      </c>
      <c r="F98" s="135" t="s">
        <v>176</v>
      </c>
      <c r="G98" s="136" t="s">
        <v>43</v>
      </c>
      <c r="H98" s="137">
        <v>0</v>
      </c>
      <c r="I98" s="167" t="s">
        <v>192</v>
      </c>
      <c r="J98" s="371">
        <v>15.3</v>
      </c>
      <c r="K98" s="137">
        <v>-1.5299999999999999E-3</v>
      </c>
      <c r="L98" s="136" t="s">
        <v>193</v>
      </c>
      <c r="M98" s="200"/>
      <c r="N98" s="280">
        <f t="shared" ref="N98:N109" si="74">D98</f>
        <v>1000000</v>
      </c>
      <c r="O98" s="253" t="str">
        <f t="shared" ref="O98:O109" si="75">F98</f>
        <v>PAYER</v>
      </c>
      <c r="P98" s="256">
        <f t="shared" ref="P98:P109" ca="1" si="76">B98</f>
        <v>42523</v>
      </c>
      <c r="Q98" s="256" t="str">
        <f t="shared" ref="Q98:Q109" si="77">G98</f>
        <v>3Y</v>
      </c>
      <c r="R98" s="250" t="s">
        <v>26</v>
      </c>
      <c r="S98" s="255" t="s">
        <v>20</v>
      </c>
      <c r="T98" s="250" t="s">
        <v>22</v>
      </c>
      <c r="U98" s="250" t="s">
        <v>2</v>
      </c>
      <c r="V98" s="256"/>
      <c r="W98" s="256"/>
      <c r="X98" s="257">
        <f t="shared" ref="X98:X109" ca="1" si="78">IF($B98="","",DAY($B98))</f>
        <v>2</v>
      </c>
      <c r="Y98" s="258" t="s">
        <v>177</v>
      </c>
      <c r="Z98" s="255" t="s">
        <v>178</v>
      </c>
      <c r="AA98" s="253" t="str">
        <f t="shared" si="70"/>
        <v>EUR6ML</v>
      </c>
      <c r="AB98" s="257" t="str">
        <f t="shared" ref="AB98:AB109" si="79">IF($I98="1ML","Monthly",IF($I98="3ML","Quarterly",IF($I98="6ML","Semi-Annual","Annual")))</f>
        <v>Semi-Annual</v>
      </c>
      <c r="AC98" s="255" t="s">
        <v>6</v>
      </c>
      <c r="AD98" s="250" t="s">
        <v>22</v>
      </c>
      <c r="AE98" s="250" t="s">
        <v>2</v>
      </c>
      <c r="AF98" s="256"/>
      <c r="AG98" s="256"/>
      <c r="AH98" s="257">
        <f t="shared" ref="AH98:AH109" ca="1" si="80">IF($B98="","",DAY($B98))</f>
        <v>2</v>
      </c>
      <c r="AI98" s="258" t="s">
        <v>177</v>
      </c>
      <c r="AJ98" s="259">
        <f t="shared" ref="AJ98:AJ109" si="81">K98</f>
        <v>-1.5299999999999999E-3</v>
      </c>
      <c r="AK98" s="260"/>
      <c r="AL98" s="258" t="s">
        <v>177</v>
      </c>
      <c r="AM98" s="255" t="s">
        <v>178</v>
      </c>
      <c r="AN98" s="256" t="str">
        <f t="shared" ref="AN98:AN109" si="82">E98&amp;"YC"</f>
        <v>EURYC</v>
      </c>
      <c r="AO98" s="253" t="str">
        <f t="shared" ref="AO98:AO109" si="83">LEFT(AN98,3)&amp;"DF_"&amp;L98</f>
        <v>EURDF_NOCSA</v>
      </c>
      <c r="AP98" s="261">
        <f t="shared" si="71"/>
        <v>15.3</v>
      </c>
      <c r="AQ98" s="272">
        <f t="shared" ref="AQ98:AQ109" si="84">H98</f>
        <v>0</v>
      </c>
      <c r="AR98" s="224" t="s">
        <v>4</v>
      </c>
      <c r="AS98" s="181">
        <f ca="1">IF(AND(NOW(),isEUR6MLLoaded),IF(OR($D98="",$D98=0),"",_xll.meProductSwapParRate(_xll.meUtilityLVBFromKeysValues($P$5:$AP$5,$P98:$AP98))),"Please Load Yield Curves")</f>
        <v>2.1582487822167045E-4</v>
      </c>
      <c r="AT98" s="139">
        <f ca="1">IF(AND(NOW(),isEUR6MLLoaded),IF(OR($D98="",$D98=0),"",_xll.meProductSwapPV(_xll.meUtilityLVBFromKeysValues($N$5:$AQ$5,$N98:$AQ98))),"Please Load Yield Curves")</f>
        <v>653.24962818033987</v>
      </c>
      <c r="AU98" s="139">
        <f ca="1">IF(AND(NOW(),isEUR6MLLoaded),IF(OR($D98="",$D98=0),"",_xll.meProductSwapPV01(_xll.meUtilityLVBFromKeysValues($N$5:$AO$5,$N98:$AO98))),"Please Load Yield Curves")</f>
        <v>302.67577749280463</v>
      </c>
      <c r="AV98" s="196">
        <f ca="1">IF(AND(NOW(),isEUR6MLLoaded),IF(OR($D98="",$D98=0),"",_xll.meProductSwapDV01(_xll.meUtilityLVBFromKeysValues($N$5:$AQ$5,$N98:$AQ98))),"Please Load Yield Curves")</f>
        <v>302.88156216994554</v>
      </c>
      <c r="AW98" s="48"/>
      <c r="AX98" s="150" t="str">
        <f>'EUR BASIS 12ML'!I37</f>
        <v>3Y</v>
      </c>
      <c r="AY98" s="185">
        <f>'EUR BASIS 12ML'!J37*10000</f>
        <v>15.3</v>
      </c>
      <c r="AZ98" s="184">
        <f t="shared" ca="1" si="72"/>
        <v>2.6205944993239541E-11</v>
      </c>
      <c r="BA98" s="190">
        <f t="shared" ca="1" si="73"/>
        <v>-7.9319047699755174E-5</v>
      </c>
    </row>
    <row r="99" spans="2:53" x14ac:dyDescent="0.25">
      <c r="B99" s="132">
        <f ca="1">IF(OR(D99="",D99=0),"",_xll.meDateFromTenor(COB,C99,$T99,$U99))</f>
        <v>42523</v>
      </c>
      <c r="C99" s="140" t="s">
        <v>191</v>
      </c>
      <c r="D99" s="134">
        <v>1000000</v>
      </c>
      <c r="E99" s="134" t="s">
        <v>17</v>
      </c>
      <c r="F99" s="135" t="s">
        <v>176</v>
      </c>
      <c r="G99" s="136" t="s">
        <v>50</v>
      </c>
      <c r="H99" s="137">
        <v>0</v>
      </c>
      <c r="I99" s="167" t="s">
        <v>192</v>
      </c>
      <c r="J99" s="371">
        <v>15.3</v>
      </c>
      <c r="K99" s="137">
        <v>-1.5299999999999999E-3</v>
      </c>
      <c r="L99" s="136" t="s">
        <v>193</v>
      </c>
      <c r="M99" s="200"/>
      <c r="N99" s="280">
        <f t="shared" si="74"/>
        <v>1000000</v>
      </c>
      <c r="O99" s="253" t="str">
        <f t="shared" si="75"/>
        <v>PAYER</v>
      </c>
      <c r="P99" s="256">
        <f t="shared" ca="1" si="76"/>
        <v>42523</v>
      </c>
      <c r="Q99" s="256" t="str">
        <f t="shared" si="77"/>
        <v>4Y</v>
      </c>
      <c r="R99" s="250" t="s">
        <v>26</v>
      </c>
      <c r="S99" s="255" t="s">
        <v>20</v>
      </c>
      <c r="T99" s="250" t="s">
        <v>22</v>
      </c>
      <c r="U99" s="250" t="s">
        <v>2</v>
      </c>
      <c r="V99" s="256"/>
      <c r="W99" s="256"/>
      <c r="X99" s="257">
        <f t="shared" ca="1" si="78"/>
        <v>2</v>
      </c>
      <c r="Y99" s="258" t="s">
        <v>177</v>
      </c>
      <c r="Z99" s="255" t="s">
        <v>178</v>
      </c>
      <c r="AA99" s="253" t="str">
        <f t="shared" si="70"/>
        <v>EUR6ML</v>
      </c>
      <c r="AB99" s="257" t="str">
        <f t="shared" si="79"/>
        <v>Semi-Annual</v>
      </c>
      <c r="AC99" s="255" t="s">
        <v>6</v>
      </c>
      <c r="AD99" s="250" t="s">
        <v>22</v>
      </c>
      <c r="AE99" s="250" t="s">
        <v>2</v>
      </c>
      <c r="AF99" s="256"/>
      <c r="AG99" s="256"/>
      <c r="AH99" s="257">
        <f t="shared" ca="1" si="80"/>
        <v>2</v>
      </c>
      <c r="AI99" s="258" t="s">
        <v>177</v>
      </c>
      <c r="AJ99" s="259">
        <f t="shared" si="81"/>
        <v>-1.5299999999999999E-3</v>
      </c>
      <c r="AK99" s="260"/>
      <c r="AL99" s="258" t="s">
        <v>177</v>
      </c>
      <c r="AM99" s="255" t="s">
        <v>178</v>
      </c>
      <c r="AN99" s="256" t="str">
        <f t="shared" si="82"/>
        <v>EURYC</v>
      </c>
      <c r="AO99" s="253" t="str">
        <f t="shared" si="83"/>
        <v>EURDF_NOCSA</v>
      </c>
      <c r="AP99" s="261">
        <f t="shared" si="71"/>
        <v>15.3</v>
      </c>
      <c r="AQ99" s="272">
        <f t="shared" si="84"/>
        <v>0</v>
      </c>
      <c r="AR99" s="224" t="s">
        <v>4</v>
      </c>
      <c r="AS99" s="181">
        <f ca="1">IF(AND(NOW(),isEUR6MLLoaded),IF(OR($D99="",$D99=0),"",_xll.meProductSwapParRate(_xll.meUtilityLVBFromKeysValues($P$5:$AP$5,$P99:$AP99))),"Please Load Yield Curves")</f>
        <v>8.6895881806713299E-4</v>
      </c>
      <c r="AT99" s="139">
        <f ca="1">IF(AND(NOW(),isEUR6MLLoaded),IF(OR($D99="",$D99=0),"",_xll.meProductSwapPV(_xll.meUtilityLVBFromKeysValues($N$5:$AQ$5,$N99:$AQ99))),"Please Load Yield Curves")</f>
        <v>3508.8541148254449</v>
      </c>
      <c r="AU99" s="139">
        <f ca="1">IF(AND(NOW(),isEUR6MLLoaded),IF(OR($D99="",$D99=0),"",_xll.meProductSwapPV01(_xll.meUtilityLVBFromKeysValues($N$5:$AO$5,$N99:$AO99))),"Please Load Yield Curves")</f>
        <v>403.79981673128748</v>
      </c>
      <c r="AV99" s="196">
        <f ca="1">IF(AND(NOW(),isEUR6MLLoaded),IF(OR($D99="",$D99=0),"",_xll.meProductSwapDV01(_xll.meUtilityLVBFromKeysValues($N$5:$AQ$5,$N99:$AQ99))),"Please Load Yield Curves")</f>
        <v>405.09263176580919</v>
      </c>
      <c r="AW99" s="48"/>
      <c r="AX99" s="150" t="str">
        <f>'EUR BASIS 12ML'!I38</f>
        <v>4Y</v>
      </c>
      <c r="AY99" s="185">
        <f>'EUR BASIS 12ML'!J38*10000</f>
        <v>15.3</v>
      </c>
      <c r="AZ99" s="184">
        <f t="shared" ca="1" si="72"/>
        <v>3.8196559413658515E-11</v>
      </c>
      <c r="BA99" s="190">
        <f t="shared" ca="1" si="73"/>
        <v>-1.5423763670696644E-4</v>
      </c>
    </row>
    <row r="100" spans="2:53" x14ac:dyDescent="0.25">
      <c r="B100" s="132">
        <f ca="1">IF(OR(D100="",D100=0),"",_xll.meDateFromTenor(COB,C100,$T100,$U100))</f>
        <v>42523</v>
      </c>
      <c r="C100" s="140" t="s">
        <v>191</v>
      </c>
      <c r="D100" s="134">
        <v>1000000</v>
      </c>
      <c r="E100" s="134" t="s">
        <v>17</v>
      </c>
      <c r="F100" s="135" t="s">
        <v>176</v>
      </c>
      <c r="G100" s="136" t="s">
        <v>52</v>
      </c>
      <c r="H100" s="137">
        <v>0</v>
      </c>
      <c r="I100" s="167" t="s">
        <v>192</v>
      </c>
      <c r="J100" s="371">
        <v>15</v>
      </c>
      <c r="K100" s="137">
        <v>-1.5299999999999999E-3</v>
      </c>
      <c r="L100" s="136" t="s">
        <v>193</v>
      </c>
      <c r="M100" s="200"/>
      <c r="N100" s="280">
        <f t="shared" si="74"/>
        <v>1000000</v>
      </c>
      <c r="O100" s="253" t="str">
        <f t="shared" si="75"/>
        <v>PAYER</v>
      </c>
      <c r="P100" s="256">
        <f t="shared" ca="1" si="76"/>
        <v>42523</v>
      </c>
      <c r="Q100" s="256" t="str">
        <f t="shared" si="77"/>
        <v>5Y</v>
      </c>
      <c r="R100" s="250" t="s">
        <v>26</v>
      </c>
      <c r="S100" s="255" t="s">
        <v>20</v>
      </c>
      <c r="T100" s="250" t="s">
        <v>22</v>
      </c>
      <c r="U100" s="250" t="s">
        <v>2</v>
      </c>
      <c r="V100" s="256"/>
      <c r="W100" s="256"/>
      <c r="X100" s="257">
        <f t="shared" ca="1" si="78"/>
        <v>2</v>
      </c>
      <c r="Y100" s="258" t="s">
        <v>177</v>
      </c>
      <c r="Z100" s="255" t="s">
        <v>178</v>
      </c>
      <c r="AA100" s="253" t="str">
        <f t="shared" si="70"/>
        <v>EUR6ML</v>
      </c>
      <c r="AB100" s="257" t="str">
        <f t="shared" si="79"/>
        <v>Semi-Annual</v>
      </c>
      <c r="AC100" s="255" t="s">
        <v>6</v>
      </c>
      <c r="AD100" s="250" t="s">
        <v>22</v>
      </c>
      <c r="AE100" s="250" t="s">
        <v>2</v>
      </c>
      <c r="AF100" s="256"/>
      <c r="AG100" s="256"/>
      <c r="AH100" s="257">
        <f t="shared" ca="1" si="80"/>
        <v>2</v>
      </c>
      <c r="AI100" s="258" t="s">
        <v>177</v>
      </c>
      <c r="AJ100" s="259">
        <f t="shared" si="81"/>
        <v>-1.5299999999999999E-3</v>
      </c>
      <c r="AK100" s="260"/>
      <c r="AL100" s="258" t="s">
        <v>177</v>
      </c>
      <c r="AM100" s="255" t="s">
        <v>178</v>
      </c>
      <c r="AN100" s="256" t="str">
        <f t="shared" si="82"/>
        <v>EURYC</v>
      </c>
      <c r="AO100" s="253" t="str">
        <f t="shared" si="83"/>
        <v>EURDF_NOCSA</v>
      </c>
      <c r="AP100" s="261">
        <f t="shared" si="71"/>
        <v>15</v>
      </c>
      <c r="AQ100" s="272">
        <f t="shared" si="84"/>
        <v>0</v>
      </c>
      <c r="AR100" s="224" t="s">
        <v>4</v>
      </c>
      <c r="AS100" s="181">
        <f ca="1">IF(AND(NOW(),isEUR6MLLoaded),IF(OR($D100="",$D100=0),"",_xll.meProductSwapParRate(_xll.meUtilityLVBFromKeysValues($P$5:$AP$5,$P100:$AP100))),"Please Load Yield Curves")</f>
        <v>1.6819199606731585E-3</v>
      </c>
      <c r="AT100" s="139">
        <f ca="1">IF(AND(NOW(),isEUR6MLLoaded),IF(OR($D100="",$D100=0),"",_xll.meProductSwapPV(_xll.meUtilityLVBFromKeysValues($N$5:$AQ$5,$N100:$AQ100))),"Please Load Yield Curves")</f>
        <v>8496.9677729248597</v>
      </c>
      <c r="AU100" s="139">
        <f ca="1">IF(AND(NOW(),isEUR6MLLoaded),IF(OR($D100="",$D100=0),"",_xll.meProductSwapPV01(_xll.meUtilityLVBFromKeysValues($N$5:$AO$5,$N100:$AO100))),"Please Load Yield Curves")</f>
        <v>505.19453788538783</v>
      </c>
      <c r="AV100" s="196">
        <f ca="1">IF(AND(NOW(),isEUR6MLLoaded),IF(OR($D100="",$D100=0),"",_xll.meProductSwapDV01(_xll.meUtilityLVBFromKeysValues($N$5:$AQ$5,$N100:$AQ100))),"Please Load Yield Curves")</f>
        <v>508.90309962423908</v>
      </c>
      <c r="AW100" s="48"/>
      <c r="AX100" s="150" t="str">
        <f>'EUR BASIS 12ML'!I39</f>
        <v>5Y</v>
      </c>
      <c r="AY100" s="185">
        <f>'EUR BASIS 12ML'!J39*10000</f>
        <v>15</v>
      </c>
      <c r="AZ100" s="184">
        <f t="shared" ca="1" si="72"/>
        <v>3.5917143608246715E-11</v>
      </c>
      <c r="BA100" s="190">
        <f t="shared" ca="1" si="73"/>
        <v>-1.8145144713344052E-4</v>
      </c>
    </row>
    <row r="101" spans="2:53" x14ac:dyDescent="0.25">
      <c r="B101" s="132">
        <f ca="1">IF(OR(D101="",D101=0),"",_xll.meDateFromTenor(COB,C101,$T101,$U101))</f>
        <v>42523</v>
      </c>
      <c r="C101" s="140" t="s">
        <v>191</v>
      </c>
      <c r="D101" s="134">
        <v>1000000</v>
      </c>
      <c r="E101" s="134" t="s">
        <v>17</v>
      </c>
      <c r="F101" s="135" t="s">
        <v>176</v>
      </c>
      <c r="G101" s="136" t="s">
        <v>54</v>
      </c>
      <c r="H101" s="137">
        <v>0</v>
      </c>
      <c r="I101" s="167" t="s">
        <v>192</v>
      </c>
      <c r="J101" s="371">
        <v>14.7</v>
      </c>
      <c r="K101" s="137">
        <v>-1.5299999999999999E-3</v>
      </c>
      <c r="L101" s="136" t="s">
        <v>193</v>
      </c>
      <c r="M101" s="200"/>
      <c r="N101" s="280">
        <f t="shared" si="74"/>
        <v>1000000</v>
      </c>
      <c r="O101" s="253" t="str">
        <f t="shared" si="75"/>
        <v>PAYER</v>
      </c>
      <c r="P101" s="256">
        <f t="shared" ca="1" si="76"/>
        <v>42523</v>
      </c>
      <c r="Q101" s="256" t="str">
        <f t="shared" si="77"/>
        <v>6Y</v>
      </c>
      <c r="R101" s="250" t="s">
        <v>26</v>
      </c>
      <c r="S101" s="255" t="s">
        <v>20</v>
      </c>
      <c r="T101" s="250" t="s">
        <v>22</v>
      </c>
      <c r="U101" s="250" t="s">
        <v>2</v>
      </c>
      <c r="V101" s="256"/>
      <c r="W101" s="256"/>
      <c r="X101" s="257">
        <f t="shared" ca="1" si="78"/>
        <v>2</v>
      </c>
      <c r="Y101" s="258" t="s">
        <v>177</v>
      </c>
      <c r="Z101" s="255" t="s">
        <v>178</v>
      </c>
      <c r="AA101" s="253" t="str">
        <f t="shared" si="70"/>
        <v>EUR6ML</v>
      </c>
      <c r="AB101" s="257" t="str">
        <f t="shared" si="79"/>
        <v>Semi-Annual</v>
      </c>
      <c r="AC101" s="255" t="s">
        <v>6</v>
      </c>
      <c r="AD101" s="250" t="s">
        <v>22</v>
      </c>
      <c r="AE101" s="250" t="s">
        <v>2</v>
      </c>
      <c r="AF101" s="256"/>
      <c r="AG101" s="256"/>
      <c r="AH101" s="257">
        <f t="shared" ca="1" si="80"/>
        <v>2</v>
      </c>
      <c r="AI101" s="258" t="s">
        <v>177</v>
      </c>
      <c r="AJ101" s="259">
        <f t="shared" si="81"/>
        <v>-1.5299999999999999E-3</v>
      </c>
      <c r="AK101" s="260"/>
      <c r="AL101" s="258" t="s">
        <v>177</v>
      </c>
      <c r="AM101" s="255" t="s">
        <v>178</v>
      </c>
      <c r="AN101" s="256" t="str">
        <f t="shared" si="82"/>
        <v>EURYC</v>
      </c>
      <c r="AO101" s="253" t="str">
        <f t="shared" si="83"/>
        <v>EURDF_NOCSA</v>
      </c>
      <c r="AP101" s="261">
        <f t="shared" si="71"/>
        <v>14.7</v>
      </c>
      <c r="AQ101" s="272">
        <f t="shared" si="84"/>
        <v>0</v>
      </c>
      <c r="AR101" s="224" t="s">
        <v>4</v>
      </c>
      <c r="AS101" s="181">
        <f ca="1">IF(AND(NOW(),isEUR6MLLoaded),IF(OR($D101="",$D101=0),"",_xll.meProductSwapParRate(_xll.meUtilityLVBFromKeysValues($P$5:$AP$5,$P101:$AP101))),"Please Load Yield Curves")</f>
        <v>2.6521877927149903E-3</v>
      </c>
      <c r="AT101" s="139">
        <f ca="1">IF(AND(NOW(),isEUR6MLLoaded),IF(OR($D101="",$D101=0),"",_xll.meProductSwapPV(_xll.meUtilityLVBFromKeysValues($N$5:$AQ$5,$N101:$AQ101))),"Please Load Yield Curves")</f>
        <v>16079.686522595148</v>
      </c>
      <c r="AU101" s="139">
        <f ca="1">IF(AND(NOW(),isEUR6MLLoaded),IF(OR($D101="",$D101=0),"",_xll.meProductSwapPV01(_xll.meUtilityLVBFromKeysValues($N$5:$AO$5,$N101:$AO101))),"Please Load Yield Curves")</f>
        <v>606.28008947038791</v>
      </c>
      <c r="AV101" s="196">
        <f ca="1">IF(AND(NOW(),isEUR6MLLoaded),IF(OR($D101="",$D101=0),"",_xll.meProductSwapDV01(_xll.meUtilityLVBFromKeysValues($N$5:$AQ$5,$N101:$AQ101))),"Please Load Yield Curves")</f>
        <v>614.40661001282672</v>
      </c>
      <c r="AW101" s="48"/>
      <c r="AX101" s="150" t="str">
        <f>'EUR BASIS 12ML'!I40</f>
        <v>6Y</v>
      </c>
      <c r="AY101" s="185">
        <f>'EUR BASIS 12ML'!J40*10000</f>
        <v>14.7</v>
      </c>
      <c r="AZ101" s="184">
        <f t="shared" ca="1" si="72"/>
        <v>4.4279860160478801E-11</v>
      </c>
      <c r="BA101" s="190">
        <f t="shared" ca="1" si="73"/>
        <v>-2.6845997490454465E-4</v>
      </c>
    </row>
    <row r="102" spans="2:53" x14ac:dyDescent="0.25">
      <c r="B102" s="132">
        <f ca="1">IF(OR(D102="",D102=0),"",_xll.meDateFromTenor(COB,C102,$T102,$U102))</f>
        <v>42523</v>
      </c>
      <c r="C102" s="140" t="s">
        <v>191</v>
      </c>
      <c r="D102" s="134">
        <v>1000000</v>
      </c>
      <c r="E102" s="134" t="s">
        <v>17</v>
      </c>
      <c r="F102" s="135" t="s">
        <v>176</v>
      </c>
      <c r="G102" s="136" t="s">
        <v>55</v>
      </c>
      <c r="H102" s="137">
        <v>0</v>
      </c>
      <c r="I102" s="167" t="s">
        <v>192</v>
      </c>
      <c r="J102" s="371">
        <v>14.1</v>
      </c>
      <c r="K102" s="137">
        <v>-1.5299999999999999E-3</v>
      </c>
      <c r="L102" s="136" t="s">
        <v>193</v>
      </c>
      <c r="M102" s="200"/>
      <c r="N102" s="280">
        <f t="shared" si="74"/>
        <v>1000000</v>
      </c>
      <c r="O102" s="253" t="str">
        <f t="shared" si="75"/>
        <v>PAYER</v>
      </c>
      <c r="P102" s="256">
        <f t="shared" ca="1" si="76"/>
        <v>42523</v>
      </c>
      <c r="Q102" s="256" t="str">
        <f t="shared" si="77"/>
        <v>7Y</v>
      </c>
      <c r="R102" s="250" t="s">
        <v>26</v>
      </c>
      <c r="S102" s="255" t="s">
        <v>20</v>
      </c>
      <c r="T102" s="250" t="s">
        <v>22</v>
      </c>
      <c r="U102" s="250" t="s">
        <v>2</v>
      </c>
      <c r="V102" s="256"/>
      <c r="W102" s="256"/>
      <c r="X102" s="257">
        <f t="shared" ca="1" si="78"/>
        <v>2</v>
      </c>
      <c r="Y102" s="258" t="s">
        <v>177</v>
      </c>
      <c r="Z102" s="255" t="s">
        <v>178</v>
      </c>
      <c r="AA102" s="253" t="str">
        <f t="shared" si="70"/>
        <v>EUR6ML</v>
      </c>
      <c r="AB102" s="257" t="str">
        <f t="shared" si="79"/>
        <v>Semi-Annual</v>
      </c>
      <c r="AC102" s="255" t="s">
        <v>6</v>
      </c>
      <c r="AD102" s="250" t="s">
        <v>22</v>
      </c>
      <c r="AE102" s="250" t="s">
        <v>2</v>
      </c>
      <c r="AF102" s="256"/>
      <c r="AG102" s="256"/>
      <c r="AH102" s="257">
        <f t="shared" ca="1" si="80"/>
        <v>2</v>
      </c>
      <c r="AI102" s="258" t="s">
        <v>177</v>
      </c>
      <c r="AJ102" s="259">
        <f t="shared" si="81"/>
        <v>-1.5299999999999999E-3</v>
      </c>
      <c r="AK102" s="260"/>
      <c r="AL102" s="258" t="s">
        <v>177</v>
      </c>
      <c r="AM102" s="255" t="s">
        <v>178</v>
      </c>
      <c r="AN102" s="256" t="str">
        <f t="shared" si="82"/>
        <v>EURYC</v>
      </c>
      <c r="AO102" s="253" t="str">
        <f t="shared" si="83"/>
        <v>EURDF_NOCSA</v>
      </c>
      <c r="AP102" s="261">
        <f t="shared" si="71"/>
        <v>14.1</v>
      </c>
      <c r="AQ102" s="272">
        <f t="shared" si="84"/>
        <v>0</v>
      </c>
      <c r="AR102" s="224" t="s">
        <v>4</v>
      </c>
      <c r="AS102" s="181">
        <f ca="1">IF(AND(NOW(),isEUR6MLLoaded),IF(OR($D102="",$D102=0),"",_xll.meProductSwapParRate(_xll.meUtilityLVBFromKeysValues($P$5:$AP$5,$P102:$AP102))),"Please Load Yield Curves")</f>
        <v>3.7219207884195459E-3</v>
      </c>
      <c r="AT102" s="139">
        <f ca="1">IF(AND(NOW(),isEUR6MLLoaded),IF(OR($D102="",$D102=0),"",_xll.meProductSwapPV(_xll.meUtilityLVBFromKeysValues($N$5:$AQ$5,$N102:$AQ102))),"Please Load Yield Curves")</f>
        <v>26304.820175419711</v>
      </c>
      <c r="AU102" s="139">
        <f ca="1">IF(AND(NOW(),isEUR6MLLoaded),IF(OR($D102="",$D102=0),"",_xll.meProductSwapPV01(_xll.meUtilityLVBFromKeysValues($N$5:$AO$5,$N102:$AO102))),"Please Load Yield Curves")</f>
        <v>706.75389592559361</v>
      </c>
      <c r="AV102" s="196">
        <f ca="1">IF(AND(NOW(),isEUR6MLLoaded),IF(OR($D102="",$D102=0),"",_xll.meProductSwapDV01(_xll.meUtilityLVBFromKeysValues($N$5:$AQ$5,$N102:$AQ102))),"Please Load Yield Curves")</f>
        <v>721.90770454153562</v>
      </c>
      <c r="AW102" s="48"/>
      <c r="AX102" s="150" t="str">
        <f>'EUR BASIS 12ML'!I41</f>
        <v>7Y</v>
      </c>
      <c r="AY102" s="185">
        <f>'EUR BASIS 12ML'!J41*10000</f>
        <v>14.1</v>
      </c>
      <c r="AZ102" s="184">
        <f t="shared" ca="1" si="72"/>
        <v>4.5786889904531058E-11</v>
      </c>
      <c r="BA102" s="190">
        <f t="shared" ca="1" si="73"/>
        <v>-3.2360062687075697E-4</v>
      </c>
    </row>
    <row r="103" spans="2:53" x14ac:dyDescent="0.25">
      <c r="B103" s="132">
        <f ca="1">IF(OR(D103="",D103=0),"",_xll.meDateFromTenor(COB,C103,$T103,$U103))</f>
        <v>42523</v>
      </c>
      <c r="C103" s="140" t="s">
        <v>191</v>
      </c>
      <c r="D103" s="134">
        <v>1000000</v>
      </c>
      <c r="E103" s="134" t="s">
        <v>17</v>
      </c>
      <c r="F103" s="135" t="s">
        <v>176</v>
      </c>
      <c r="G103" s="136" t="s">
        <v>57</v>
      </c>
      <c r="H103" s="137">
        <v>0</v>
      </c>
      <c r="I103" s="167" t="s">
        <v>192</v>
      </c>
      <c r="J103" s="371">
        <v>13.4</v>
      </c>
      <c r="K103" s="137">
        <v>-1.5299999999999999E-3</v>
      </c>
      <c r="L103" s="136" t="s">
        <v>193</v>
      </c>
      <c r="M103" s="200"/>
      <c r="N103" s="280">
        <f t="shared" si="74"/>
        <v>1000000</v>
      </c>
      <c r="O103" s="253" t="str">
        <f t="shared" si="75"/>
        <v>PAYER</v>
      </c>
      <c r="P103" s="256">
        <f t="shared" ca="1" si="76"/>
        <v>42523</v>
      </c>
      <c r="Q103" s="256" t="str">
        <f t="shared" si="77"/>
        <v>8Y</v>
      </c>
      <c r="R103" s="250" t="s">
        <v>26</v>
      </c>
      <c r="S103" s="255" t="s">
        <v>20</v>
      </c>
      <c r="T103" s="250" t="s">
        <v>22</v>
      </c>
      <c r="U103" s="250" t="s">
        <v>2</v>
      </c>
      <c r="V103" s="256"/>
      <c r="W103" s="256"/>
      <c r="X103" s="257">
        <f t="shared" ca="1" si="78"/>
        <v>2</v>
      </c>
      <c r="Y103" s="258" t="s">
        <v>177</v>
      </c>
      <c r="Z103" s="255" t="s">
        <v>178</v>
      </c>
      <c r="AA103" s="253" t="str">
        <f t="shared" si="70"/>
        <v>EUR6ML</v>
      </c>
      <c r="AB103" s="257" t="str">
        <f t="shared" si="79"/>
        <v>Semi-Annual</v>
      </c>
      <c r="AC103" s="255" t="s">
        <v>6</v>
      </c>
      <c r="AD103" s="250" t="s">
        <v>22</v>
      </c>
      <c r="AE103" s="250" t="s">
        <v>2</v>
      </c>
      <c r="AF103" s="256"/>
      <c r="AG103" s="256"/>
      <c r="AH103" s="257">
        <f t="shared" ca="1" si="80"/>
        <v>2</v>
      </c>
      <c r="AI103" s="258" t="s">
        <v>177</v>
      </c>
      <c r="AJ103" s="259">
        <f t="shared" si="81"/>
        <v>-1.5299999999999999E-3</v>
      </c>
      <c r="AK103" s="260"/>
      <c r="AL103" s="258" t="s">
        <v>177</v>
      </c>
      <c r="AM103" s="255" t="s">
        <v>178</v>
      </c>
      <c r="AN103" s="256" t="str">
        <f t="shared" si="82"/>
        <v>EURYC</v>
      </c>
      <c r="AO103" s="253" t="str">
        <f t="shared" si="83"/>
        <v>EURDF_NOCSA</v>
      </c>
      <c r="AP103" s="261">
        <f t="shared" si="71"/>
        <v>13.4</v>
      </c>
      <c r="AQ103" s="272">
        <f t="shared" si="84"/>
        <v>0</v>
      </c>
      <c r="AR103" s="224" t="s">
        <v>4</v>
      </c>
      <c r="AS103" s="181">
        <f ca="1">IF(AND(NOW(),isEUR6MLLoaded),IF(OR($D103="",$D103=0),"",_xll.meProductSwapParRate(_xll.meUtilityLVBFromKeysValues($P$5:$AP$5,$P103:$AP103))),"Please Load Yield Curves")</f>
        <v>4.8321399298208731E-3</v>
      </c>
      <c r="AT103" s="139">
        <f ca="1">IF(AND(NOW(),isEUR6MLLoaded),IF(OR($D103="",$D103=0),"",_xll.meProductSwapPV(_xll.meUtilityLVBFromKeysValues($N$5:$AQ$5,$N103:$AQ103))),"Please Load Yield Curves")</f>
        <v>38975.035892504398</v>
      </c>
      <c r="AU103" s="139">
        <f ca="1">IF(AND(NOW(),isEUR6MLLoaded),IF(OR($D103="",$D103=0),"",_xll.meProductSwapPV01(_xll.meUtilityLVBFromKeysValues($N$5:$AO$5,$N103:$AO103))),"Please Load Yield Curves")</f>
        <v>806.57920628447516</v>
      </c>
      <c r="AV103" s="196">
        <f ca="1">IF(AND(NOW(),isEUR6MLLoaded),IF(OR($D103="",$D103=0),"",_xll.meProductSwapDV01(_xll.meUtilityLVBFromKeysValues($N$5:$AQ$5,$N103:$AQ103))),"Please Load Yield Curves")</f>
        <v>831.72373866451323</v>
      </c>
      <c r="AW103" s="48"/>
      <c r="AX103" s="150" t="str">
        <f>'EUR BASIS 12ML'!I42</f>
        <v>8Y</v>
      </c>
      <c r="AY103" s="185">
        <f>'EUR BASIS 12ML'!J42*10000</f>
        <v>13.4</v>
      </c>
      <c r="AZ103" s="184">
        <f t="shared" ca="1" si="72"/>
        <v>3.376598306514822E-11</v>
      </c>
      <c r="BA103" s="190">
        <f t="shared" ca="1" si="73"/>
        <v>-2.7234939625486732E-4</v>
      </c>
    </row>
    <row r="104" spans="2:53" x14ac:dyDescent="0.25">
      <c r="B104" s="132">
        <f ca="1">IF(OR(D104="",D104=0),"",_xll.meDateFromTenor(COB,C104,$T104,$U104))</f>
        <v>42523</v>
      </c>
      <c r="C104" s="140" t="s">
        <v>191</v>
      </c>
      <c r="D104" s="134">
        <v>1000000</v>
      </c>
      <c r="E104" s="134" t="s">
        <v>17</v>
      </c>
      <c r="F104" s="135" t="s">
        <v>176</v>
      </c>
      <c r="G104" s="136" t="s">
        <v>59</v>
      </c>
      <c r="H104" s="137">
        <v>0</v>
      </c>
      <c r="I104" s="167" t="s">
        <v>192</v>
      </c>
      <c r="J104" s="371">
        <v>12.8</v>
      </c>
      <c r="K104" s="137">
        <v>-1.5299999999999999E-3</v>
      </c>
      <c r="L104" s="136" t="s">
        <v>193</v>
      </c>
      <c r="M104" s="200"/>
      <c r="N104" s="280">
        <f t="shared" si="74"/>
        <v>1000000</v>
      </c>
      <c r="O104" s="253" t="str">
        <f t="shared" si="75"/>
        <v>PAYER</v>
      </c>
      <c r="P104" s="256">
        <f t="shared" ca="1" si="76"/>
        <v>42523</v>
      </c>
      <c r="Q104" s="256" t="str">
        <f t="shared" si="77"/>
        <v>9Y</v>
      </c>
      <c r="R104" s="250" t="s">
        <v>26</v>
      </c>
      <c r="S104" s="255" t="s">
        <v>20</v>
      </c>
      <c r="T104" s="250" t="s">
        <v>22</v>
      </c>
      <c r="U104" s="250" t="s">
        <v>2</v>
      </c>
      <c r="V104" s="256"/>
      <c r="W104" s="256"/>
      <c r="X104" s="257">
        <f t="shared" ca="1" si="78"/>
        <v>2</v>
      </c>
      <c r="Y104" s="258" t="s">
        <v>177</v>
      </c>
      <c r="Z104" s="255" t="s">
        <v>178</v>
      </c>
      <c r="AA104" s="253" t="str">
        <f t="shared" si="70"/>
        <v>EUR6ML</v>
      </c>
      <c r="AB104" s="257" t="str">
        <f t="shared" si="79"/>
        <v>Semi-Annual</v>
      </c>
      <c r="AC104" s="255" t="s">
        <v>6</v>
      </c>
      <c r="AD104" s="250" t="s">
        <v>22</v>
      </c>
      <c r="AE104" s="250" t="s">
        <v>2</v>
      </c>
      <c r="AF104" s="256"/>
      <c r="AG104" s="256"/>
      <c r="AH104" s="257">
        <f t="shared" ca="1" si="80"/>
        <v>2</v>
      </c>
      <c r="AI104" s="258" t="s">
        <v>177</v>
      </c>
      <c r="AJ104" s="259">
        <f t="shared" si="81"/>
        <v>-1.5299999999999999E-3</v>
      </c>
      <c r="AK104" s="260"/>
      <c r="AL104" s="258" t="s">
        <v>177</v>
      </c>
      <c r="AM104" s="255" t="s">
        <v>178</v>
      </c>
      <c r="AN104" s="256" t="str">
        <f t="shared" si="82"/>
        <v>EURYC</v>
      </c>
      <c r="AO104" s="253" t="str">
        <f t="shared" si="83"/>
        <v>EURDF_NOCSA</v>
      </c>
      <c r="AP104" s="261">
        <f t="shared" si="71"/>
        <v>12.8</v>
      </c>
      <c r="AQ104" s="272">
        <f t="shared" si="84"/>
        <v>0</v>
      </c>
      <c r="AR104" s="224" t="s">
        <v>4</v>
      </c>
      <c r="AS104" s="181">
        <f ca="1">IF(AND(NOW(),isEUR6MLLoaded),IF(OR($D104="",$D104=0),"",_xll.meProductSwapParRate(_xll.meUtilityLVBFromKeysValues($P$5:$AP$5,$P104:$AP104))),"Please Load Yield Curves")</f>
        <v>5.9010788976233833E-3</v>
      </c>
      <c r="AT104" s="139">
        <f ca="1">IF(AND(NOW(),isEUR6MLLoaded),IF(OR($D104="",$D104=0),"",_xll.meProductSwapPV(_xll.meUtilityLVBFromKeysValues($N$5:$AQ$5,$N104:$AQ104))),"Please Load Yield Curves")</f>
        <v>53387.347508959872</v>
      </c>
      <c r="AU104" s="139">
        <f ca="1">IF(AND(NOW(),isEUR6MLLoaded),IF(OR($D104="",$D104=0),"",_xll.meProductSwapPV01(_xll.meUtilityLVBFromKeysValues($N$5:$AO$5,$N104:$AO104))),"Please Load Yield Curves")</f>
        <v>904.70485880914498</v>
      </c>
      <c r="AV104" s="196">
        <f ca="1">IF(AND(NOW(),isEUR6MLLoaded),IF(OR($D104="",$D104=0),"",_xll.meProductSwapDV01(_xll.meUtilityLVBFromKeysValues($N$5:$AQ$5,$N104:$AQ104))),"Please Load Yield Curves")</f>
        <v>942.61122635619654</v>
      </c>
      <c r="AW104" s="48"/>
      <c r="AX104" s="150" t="str">
        <f>'EUR BASIS 12ML'!I43</f>
        <v>9Y</v>
      </c>
      <c r="AY104" s="185">
        <f>'EUR BASIS 12ML'!J43*10000</f>
        <v>12.8</v>
      </c>
      <c r="AZ104" s="184">
        <f t="shared" ca="1" si="72"/>
        <v>3.7838163158276927E-11</v>
      </c>
      <c r="BA104" s="190">
        <f t="shared" ca="1" si="73"/>
        <v>-3.423237067181617E-4</v>
      </c>
    </row>
    <row r="105" spans="2:53" x14ac:dyDescent="0.25">
      <c r="B105" s="132">
        <f ca="1">IF(OR(D105="",D105=0),"",_xll.meDateFromTenor(COB,C105,$T105,$U105))</f>
        <v>42523</v>
      </c>
      <c r="C105" s="140" t="s">
        <v>191</v>
      </c>
      <c r="D105" s="134">
        <v>1000000</v>
      </c>
      <c r="E105" s="134" t="s">
        <v>17</v>
      </c>
      <c r="F105" s="135" t="s">
        <v>176</v>
      </c>
      <c r="G105" s="136" t="s">
        <v>60</v>
      </c>
      <c r="H105" s="137">
        <v>0</v>
      </c>
      <c r="I105" s="167" t="s">
        <v>192</v>
      </c>
      <c r="J105" s="371">
        <v>12.2</v>
      </c>
      <c r="K105" s="137">
        <v>-1.5299999999999999E-3</v>
      </c>
      <c r="L105" s="136" t="s">
        <v>193</v>
      </c>
      <c r="M105" s="200"/>
      <c r="N105" s="280">
        <f t="shared" si="74"/>
        <v>1000000</v>
      </c>
      <c r="O105" s="253" t="str">
        <f t="shared" si="75"/>
        <v>PAYER</v>
      </c>
      <c r="P105" s="256">
        <f t="shared" ca="1" si="76"/>
        <v>42523</v>
      </c>
      <c r="Q105" s="256" t="str">
        <f t="shared" si="77"/>
        <v>10Y</v>
      </c>
      <c r="R105" s="250" t="s">
        <v>26</v>
      </c>
      <c r="S105" s="255" t="s">
        <v>20</v>
      </c>
      <c r="T105" s="250" t="s">
        <v>22</v>
      </c>
      <c r="U105" s="250" t="s">
        <v>2</v>
      </c>
      <c r="V105" s="256"/>
      <c r="W105" s="256"/>
      <c r="X105" s="257">
        <f t="shared" ca="1" si="78"/>
        <v>2</v>
      </c>
      <c r="Y105" s="258" t="s">
        <v>177</v>
      </c>
      <c r="Z105" s="255" t="s">
        <v>178</v>
      </c>
      <c r="AA105" s="253" t="str">
        <f t="shared" si="70"/>
        <v>EUR6ML</v>
      </c>
      <c r="AB105" s="257" t="str">
        <f t="shared" si="79"/>
        <v>Semi-Annual</v>
      </c>
      <c r="AC105" s="255" t="s">
        <v>6</v>
      </c>
      <c r="AD105" s="250" t="s">
        <v>22</v>
      </c>
      <c r="AE105" s="250" t="s">
        <v>2</v>
      </c>
      <c r="AF105" s="256"/>
      <c r="AG105" s="256"/>
      <c r="AH105" s="257">
        <f t="shared" ca="1" si="80"/>
        <v>2</v>
      </c>
      <c r="AI105" s="258" t="s">
        <v>177</v>
      </c>
      <c r="AJ105" s="259">
        <f t="shared" si="81"/>
        <v>-1.5299999999999999E-3</v>
      </c>
      <c r="AK105" s="260"/>
      <c r="AL105" s="258" t="s">
        <v>177</v>
      </c>
      <c r="AM105" s="255" t="s">
        <v>178</v>
      </c>
      <c r="AN105" s="256" t="str">
        <f t="shared" si="82"/>
        <v>EURYC</v>
      </c>
      <c r="AO105" s="253" t="str">
        <f t="shared" si="83"/>
        <v>EURDF_NOCSA</v>
      </c>
      <c r="AP105" s="261">
        <f t="shared" si="71"/>
        <v>12.2</v>
      </c>
      <c r="AQ105" s="272">
        <f t="shared" si="84"/>
        <v>0</v>
      </c>
      <c r="AR105" s="224" t="s">
        <v>4</v>
      </c>
      <c r="AS105" s="181">
        <f ca="1">IF(AND(NOW(),isEUR6MLLoaded),IF(OR($D105="",$D105=0),"",_xll.meProductSwapParRate(_xll.meUtilityLVBFromKeysValues($P$5:$AP$5,$P105:$AP105))),"Please Load Yield Curves")</f>
        <v>6.8897933314280126E-3</v>
      </c>
      <c r="AT105" s="139">
        <f ca="1">IF(AND(NOW(),isEUR6MLLoaded),IF(OR($D105="",$D105=0),"",_xll.meProductSwapPV(_xll.meUtilityLVBFromKeysValues($N$5:$AQ$5,$N105:$AQ105))),"Please Load Yield Curves")</f>
        <v>69023.329233698765</v>
      </c>
      <c r="AU105" s="139">
        <f ca="1">IF(AND(NOW(),isEUR6MLLoaded),IF(OR($D105="",$D105=0),"",_xll.meProductSwapPV01(_xll.meUtilityLVBFromKeysValues($N$5:$AO$5,$N105:$AO105))),"Please Load Yield Curves")</f>
        <v>1001.8200243953131</v>
      </c>
      <c r="AV105" s="196">
        <f ca="1">IF(AND(NOW(),isEUR6MLLoaded),IF(OR($D105="",$D105=0),"",_xll.meProductSwapDV01(_xll.meUtilityLVBFromKeysValues($N$5:$AQ$5,$N105:$AQ105))),"Please Load Yield Curves")</f>
        <v>1055.1318646431534</v>
      </c>
      <c r="AW105" s="48"/>
      <c r="AX105" s="150" t="str">
        <f>'EUR BASIS 12ML'!I44</f>
        <v>10Y</v>
      </c>
      <c r="AY105" s="185">
        <f>'EUR BASIS 12ML'!J44*10000</f>
        <v>12.2</v>
      </c>
      <c r="AZ105" s="184">
        <f t="shared" ca="1" si="72"/>
        <v>3.1174211649609429E-11</v>
      </c>
      <c r="BA105" s="190">
        <f t="shared" ca="1" si="73"/>
        <v>-3.1230949389282614E-4</v>
      </c>
    </row>
    <row r="106" spans="2:53" x14ac:dyDescent="0.25">
      <c r="B106" s="132">
        <f ca="1">IF(OR(D106="",D106=0),"",_xll.meDateFromTenor(COB,C106,$T106,$U106))</f>
        <v>42523</v>
      </c>
      <c r="C106" s="140" t="s">
        <v>191</v>
      </c>
      <c r="D106" s="134">
        <v>1000000</v>
      </c>
      <c r="E106" s="134" t="s">
        <v>17</v>
      </c>
      <c r="F106" s="135" t="s">
        <v>176</v>
      </c>
      <c r="G106" s="136" t="s">
        <v>63</v>
      </c>
      <c r="H106" s="137">
        <v>0</v>
      </c>
      <c r="I106" s="167" t="s">
        <v>192</v>
      </c>
      <c r="J106" s="371">
        <v>9.3000000000000007</v>
      </c>
      <c r="K106" s="137">
        <v>-1.5299999999999999E-3</v>
      </c>
      <c r="L106" s="136" t="s">
        <v>193</v>
      </c>
      <c r="M106" s="200"/>
      <c r="N106" s="280">
        <f t="shared" si="74"/>
        <v>1000000</v>
      </c>
      <c r="O106" s="253" t="str">
        <f t="shared" si="75"/>
        <v>PAYER</v>
      </c>
      <c r="P106" s="256">
        <f t="shared" ca="1" si="76"/>
        <v>42523</v>
      </c>
      <c r="Q106" s="256" t="str">
        <f t="shared" si="77"/>
        <v>15Y</v>
      </c>
      <c r="R106" s="250" t="s">
        <v>26</v>
      </c>
      <c r="S106" s="255" t="s">
        <v>20</v>
      </c>
      <c r="T106" s="250" t="s">
        <v>22</v>
      </c>
      <c r="U106" s="250" t="s">
        <v>2</v>
      </c>
      <c r="V106" s="256"/>
      <c r="W106" s="256"/>
      <c r="X106" s="257">
        <f t="shared" ca="1" si="78"/>
        <v>2</v>
      </c>
      <c r="Y106" s="258" t="s">
        <v>177</v>
      </c>
      <c r="Z106" s="255" t="s">
        <v>178</v>
      </c>
      <c r="AA106" s="253" t="str">
        <f t="shared" si="70"/>
        <v>EUR6ML</v>
      </c>
      <c r="AB106" s="257" t="str">
        <f t="shared" si="79"/>
        <v>Semi-Annual</v>
      </c>
      <c r="AC106" s="255" t="s">
        <v>6</v>
      </c>
      <c r="AD106" s="250" t="s">
        <v>22</v>
      </c>
      <c r="AE106" s="250" t="s">
        <v>2</v>
      </c>
      <c r="AF106" s="256"/>
      <c r="AG106" s="256"/>
      <c r="AH106" s="257">
        <f t="shared" ca="1" si="80"/>
        <v>2</v>
      </c>
      <c r="AI106" s="258" t="s">
        <v>177</v>
      </c>
      <c r="AJ106" s="259">
        <f t="shared" si="81"/>
        <v>-1.5299999999999999E-3</v>
      </c>
      <c r="AK106" s="260"/>
      <c r="AL106" s="258" t="s">
        <v>177</v>
      </c>
      <c r="AM106" s="255" t="s">
        <v>178</v>
      </c>
      <c r="AN106" s="256" t="str">
        <f t="shared" si="82"/>
        <v>EURYC</v>
      </c>
      <c r="AO106" s="253" t="str">
        <f t="shared" si="83"/>
        <v>EURDF_NOCSA</v>
      </c>
      <c r="AP106" s="261">
        <f t="shared" si="71"/>
        <v>9.3000000000000007</v>
      </c>
      <c r="AQ106" s="272">
        <f t="shared" si="84"/>
        <v>0</v>
      </c>
      <c r="AR106" s="224" t="s">
        <v>4</v>
      </c>
      <c r="AS106" s="181">
        <f ca="1">IF(AND(NOW(),isEUR6MLLoaded),IF(OR($D106="",$D106=0),"",_xll.meProductSwapParRate(_xll.meUtilityLVBFromKeysValues($P$5:$AP$5,$P106:$AP106))),"Please Load Yield Curves")</f>
        <v>1.0303309940130879E-2</v>
      </c>
      <c r="AT106" s="139">
        <f ca="1">IF(AND(NOW(),isEUR6MLLoaded),IF(OR($D106="",$D106=0),"",_xll.meProductSwapPV(_xll.meUtilityLVBFromKeysValues($N$5:$AQ$5,$N106:$AQ106))),"Please Load Yield Curves")</f>
        <v>151004.84294609303</v>
      </c>
      <c r="AU106" s="139">
        <f ca="1">IF(AND(NOW(),isEUR6MLLoaded),IF(OR($D106="",$D106=0),"",_xll.meProductSwapPV01(_xll.meUtilityLVBFromKeysValues($N$5:$AO$5,$N106:$AO106))),"Please Load Yield Curves")</f>
        <v>1465.5954622692336</v>
      </c>
      <c r="AV106" s="196">
        <f ca="1">IF(AND(NOW(),isEUR6MLLoaded),IF(OR($D106="",$D106=0),"",_xll.meProductSwapDV01(_xll.meUtilityLVBFromKeysValues($N$5:$AQ$5,$N106:$AQ106))),"Please Load Yield Curves")</f>
        <v>1624.5412555042267</v>
      </c>
      <c r="AW106" s="48"/>
      <c r="AX106" s="150" t="str">
        <f>'EUR BASIS 12ML'!I45</f>
        <v>15Y</v>
      </c>
      <c r="AY106" s="185">
        <f>'EUR BASIS 12ML'!J45*10000</f>
        <v>9.3000000000000007</v>
      </c>
      <c r="AZ106" s="184">
        <f t="shared" ca="1" si="72"/>
        <v>2.0501655928484297E-11</v>
      </c>
      <c r="BA106" s="190">
        <f t="shared" ca="1" si="73"/>
        <v>-3.0047135078348219E-4</v>
      </c>
    </row>
    <row r="107" spans="2:53" x14ac:dyDescent="0.25">
      <c r="B107" s="132">
        <f ca="1">IF(OR(D107="",D107=0),"",_xll.meDateFromTenor(COB,C107,$T107,$U107))</f>
        <v>42523</v>
      </c>
      <c r="C107" s="140" t="s">
        <v>191</v>
      </c>
      <c r="D107" s="134">
        <v>1000000</v>
      </c>
      <c r="E107" s="134" t="s">
        <v>17</v>
      </c>
      <c r="F107" s="135" t="s">
        <v>176</v>
      </c>
      <c r="G107" s="136" t="s">
        <v>64</v>
      </c>
      <c r="H107" s="137">
        <v>0</v>
      </c>
      <c r="I107" s="167" t="s">
        <v>192</v>
      </c>
      <c r="J107" s="371">
        <v>7.8</v>
      </c>
      <c r="K107" s="137">
        <v>-1.5299999999999999E-3</v>
      </c>
      <c r="L107" s="136" t="s">
        <v>193</v>
      </c>
      <c r="M107" s="200"/>
      <c r="N107" s="280">
        <f t="shared" si="74"/>
        <v>1000000</v>
      </c>
      <c r="O107" s="253" t="str">
        <f t="shared" si="75"/>
        <v>PAYER</v>
      </c>
      <c r="P107" s="256">
        <f t="shared" ca="1" si="76"/>
        <v>42523</v>
      </c>
      <c r="Q107" s="256" t="str">
        <f t="shared" si="77"/>
        <v>20Y</v>
      </c>
      <c r="R107" s="250" t="s">
        <v>26</v>
      </c>
      <c r="S107" s="255" t="s">
        <v>20</v>
      </c>
      <c r="T107" s="250" t="s">
        <v>22</v>
      </c>
      <c r="U107" s="250" t="s">
        <v>2</v>
      </c>
      <c r="V107" s="256"/>
      <c r="W107" s="256"/>
      <c r="X107" s="257">
        <f t="shared" ca="1" si="78"/>
        <v>2</v>
      </c>
      <c r="Y107" s="258" t="s">
        <v>177</v>
      </c>
      <c r="Z107" s="255" t="s">
        <v>178</v>
      </c>
      <c r="AA107" s="253" t="str">
        <f t="shared" si="70"/>
        <v>EUR6ML</v>
      </c>
      <c r="AB107" s="257" t="str">
        <f t="shared" si="79"/>
        <v>Semi-Annual</v>
      </c>
      <c r="AC107" s="255" t="s">
        <v>6</v>
      </c>
      <c r="AD107" s="250" t="s">
        <v>22</v>
      </c>
      <c r="AE107" s="250" t="s">
        <v>2</v>
      </c>
      <c r="AF107" s="256"/>
      <c r="AG107" s="256"/>
      <c r="AH107" s="257">
        <f t="shared" ca="1" si="80"/>
        <v>2</v>
      </c>
      <c r="AI107" s="258" t="s">
        <v>177</v>
      </c>
      <c r="AJ107" s="259">
        <f t="shared" si="81"/>
        <v>-1.5299999999999999E-3</v>
      </c>
      <c r="AK107" s="260"/>
      <c r="AL107" s="258" t="s">
        <v>177</v>
      </c>
      <c r="AM107" s="255" t="s">
        <v>178</v>
      </c>
      <c r="AN107" s="256" t="str">
        <f t="shared" si="82"/>
        <v>EURYC</v>
      </c>
      <c r="AO107" s="253" t="str">
        <f t="shared" si="83"/>
        <v>EURDF_NOCSA</v>
      </c>
      <c r="AP107" s="261">
        <f t="shared" si="71"/>
        <v>7.8</v>
      </c>
      <c r="AQ107" s="272">
        <f t="shared" si="84"/>
        <v>0</v>
      </c>
      <c r="AR107" s="224" t="s">
        <v>4</v>
      </c>
      <c r="AS107" s="181">
        <f ca="1">IF(AND(NOW(),isEUR6MLLoaded),IF(OR($D107="",$D107=0),"",_xll.meProductSwapParRate(_xll.meUtilityLVBFromKeysValues($P$5:$AP$5,$P107:$AP107))),"Please Load Yield Curves")</f>
        <v>1.168343327467701E-2</v>
      </c>
      <c r="AT107" s="139">
        <f ca="1">IF(AND(NOW(),isEUR6MLLoaded),IF(OR($D107="",$D107=0),"",_xll.meProductSwapPV(_xll.meUtilityLVBFromKeysValues($N$5:$AQ$5,$N107:$AQ107))),"Please Load Yield Curves")</f>
        <v>221315.64335785536</v>
      </c>
      <c r="AU107" s="139">
        <f ca="1">IF(AND(NOW(),isEUR6MLLoaded),IF(OR($D107="",$D107=0),"",_xll.meProductSwapPV01(_xll.meUtilityLVBFromKeysValues($N$5:$AO$5,$N107:$AO107))),"Please Load Yield Curves")</f>
        <v>1894.2689032815456</v>
      </c>
      <c r="AV107" s="196">
        <f ca="1">IF(AND(NOW(),isEUR6MLLoaded),IF(OR($D107="",$D107=0),"",_xll.meProductSwapDV01(_xll.meUtilityLVBFromKeysValues($N$5:$AQ$5,$N107:$AQ107))),"Please Load Yield Curves")</f>
        <v>2177.9778121124496</v>
      </c>
      <c r="AW107" s="48"/>
      <c r="AX107" s="150" t="str">
        <f>'EUR BASIS 12ML'!I46</f>
        <v>20Y</v>
      </c>
      <c r="AY107" s="185">
        <f>'EUR BASIS 12ML'!J46*10000</f>
        <v>7.8</v>
      </c>
      <c r="AZ107" s="184">
        <f t="shared" ca="1" si="72"/>
        <v>2.6394464738843659E-11</v>
      </c>
      <c r="BA107" s="190">
        <f t="shared" ca="1" si="73"/>
        <v>-4.9998215399682522E-4</v>
      </c>
    </row>
    <row r="108" spans="2:53" x14ac:dyDescent="0.25">
      <c r="B108" s="132">
        <f ca="1">IF(OR(D108="",D108=0),"",_xll.meDateFromTenor(COB,C108,$T108,$U108))</f>
        <v>42523</v>
      </c>
      <c r="C108" s="140" t="s">
        <v>191</v>
      </c>
      <c r="D108" s="134">
        <v>1000000</v>
      </c>
      <c r="E108" s="134" t="s">
        <v>17</v>
      </c>
      <c r="F108" s="135" t="s">
        <v>176</v>
      </c>
      <c r="G108" s="136" t="s">
        <v>65</v>
      </c>
      <c r="H108" s="137">
        <v>0</v>
      </c>
      <c r="I108" s="167" t="s">
        <v>192</v>
      </c>
      <c r="J108" s="371">
        <v>7</v>
      </c>
      <c r="K108" s="137">
        <v>-1.5299999999999999E-3</v>
      </c>
      <c r="L108" s="136" t="s">
        <v>193</v>
      </c>
      <c r="M108" s="200"/>
      <c r="N108" s="280">
        <f t="shared" si="74"/>
        <v>1000000</v>
      </c>
      <c r="O108" s="253" t="str">
        <f t="shared" si="75"/>
        <v>PAYER</v>
      </c>
      <c r="P108" s="256">
        <f t="shared" ca="1" si="76"/>
        <v>42523</v>
      </c>
      <c r="Q108" s="256" t="str">
        <f t="shared" si="77"/>
        <v>25Y</v>
      </c>
      <c r="R108" s="250" t="s">
        <v>26</v>
      </c>
      <c r="S108" s="255" t="s">
        <v>20</v>
      </c>
      <c r="T108" s="250" t="s">
        <v>22</v>
      </c>
      <c r="U108" s="250" t="s">
        <v>2</v>
      </c>
      <c r="V108" s="256"/>
      <c r="W108" s="256"/>
      <c r="X108" s="257">
        <f t="shared" ca="1" si="78"/>
        <v>2</v>
      </c>
      <c r="Y108" s="258" t="s">
        <v>177</v>
      </c>
      <c r="Z108" s="255" t="s">
        <v>178</v>
      </c>
      <c r="AA108" s="253" t="str">
        <f t="shared" si="70"/>
        <v>EUR6ML</v>
      </c>
      <c r="AB108" s="257" t="str">
        <f t="shared" si="79"/>
        <v>Semi-Annual</v>
      </c>
      <c r="AC108" s="255" t="s">
        <v>6</v>
      </c>
      <c r="AD108" s="250" t="s">
        <v>22</v>
      </c>
      <c r="AE108" s="250" t="s">
        <v>2</v>
      </c>
      <c r="AF108" s="256"/>
      <c r="AG108" s="256"/>
      <c r="AH108" s="257">
        <f t="shared" ca="1" si="80"/>
        <v>2</v>
      </c>
      <c r="AI108" s="258" t="s">
        <v>177</v>
      </c>
      <c r="AJ108" s="259">
        <f t="shared" si="81"/>
        <v>-1.5299999999999999E-3</v>
      </c>
      <c r="AK108" s="260"/>
      <c r="AL108" s="258" t="s">
        <v>177</v>
      </c>
      <c r="AM108" s="255" t="s">
        <v>178</v>
      </c>
      <c r="AN108" s="256" t="str">
        <f t="shared" si="82"/>
        <v>EURYC</v>
      </c>
      <c r="AO108" s="253" t="str">
        <f t="shared" si="83"/>
        <v>EURDF_NOCSA</v>
      </c>
      <c r="AP108" s="261">
        <f t="shared" si="71"/>
        <v>7</v>
      </c>
      <c r="AQ108" s="272">
        <f t="shared" si="84"/>
        <v>0</v>
      </c>
      <c r="AR108" s="224" t="s">
        <v>4</v>
      </c>
      <c r="AS108" s="181">
        <f ca="1">IF(AND(NOW(),isEUR6MLLoaded),IF(OR($D108="",$D108=0),"",_xll.meProductSwapParRate(_xll.meUtilityLVBFromKeysValues($P$5:$AP$5,$P108:$AP108))),"Please Load Yield Curves")</f>
        <v>1.2001668220327655E-2</v>
      </c>
      <c r="AT108" s="139">
        <f ca="1">IF(AND(NOW(),isEUR6MLLoaded),IF(OR($D108="",$D108=0),"",_xll.meProductSwapPV(_xll.meUtilityLVBFromKeysValues($N$5:$AQ$5,$N108:$AQ108))),"Please Load Yield Curves")</f>
        <v>275450.76668765687</v>
      </c>
      <c r="AU108" s="139">
        <f ca="1">IF(AND(NOW(),isEUR6MLLoaded),IF(OR($D108="",$D108=0),"",_xll.meProductSwapPV01(_xll.meUtilityLVBFromKeysValues($N$5:$AO$5,$N108:$AO108))),"Please Load Yield Curves")</f>
        <v>2295.1039941357158</v>
      </c>
      <c r="AV108" s="196">
        <f ca="1">IF(AND(NOW(),isEUR6MLLoaded),IF(OR($D108="",$D108=0),"",_xll.meProductSwapDV01(_xll.meUtilityLVBFromKeysValues($N$5:$AQ$5,$N108:$AQ108))),"Please Load Yield Curves")</f>
        <v>2701.9538538821344</v>
      </c>
      <c r="AW108" s="48"/>
      <c r="AX108" s="150" t="str">
        <f>'EUR BASIS 12ML'!I47</f>
        <v>25Y</v>
      </c>
      <c r="AY108" s="185">
        <f>'EUR BASIS 12ML'!J47*10000</f>
        <v>7</v>
      </c>
      <c r="AZ108" s="184">
        <f t="shared" ca="1" si="72"/>
        <v>2.2194196133695776E-11</v>
      </c>
      <c r="BA108" s="190">
        <f t="shared" ca="1" si="73"/>
        <v>-5.0937989726662636E-4</v>
      </c>
    </row>
    <row r="109" spans="2:53" x14ac:dyDescent="0.25">
      <c r="B109" s="141">
        <f ca="1">IF(OR(D109="",D109=0),"",_xll.meDateFromTenor(COB,C109,$T109,$U109))</f>
        <v>42523</v>
      </c>
      <c r="C109" s="142" t="s">
        <v>191</v>
      </c>
      <c r="D109" s="143">
        <v>1000000</v>
      </c>
      <c r="E109" s="143" t="s">
        <v>17</v>
      </c>
      <c r="F109" s="144" t="s">
        <v>176</v>
      </c>
      <c r="G109" s="145" t="s">
        <v>66</v>
      </c>
      <c r="H109" s="146">
        <v>0</v>
      </c>
      <c r="I109" s="168" t="s">
        <v>192</v>
      </c>
      <c r="J109" s="372">
        <v>6.4</v>
      </c>
      <c r="K109" s="146">
        <v>-1.5299999999999999E-3</v>
      </c>
      <c r="L109" s="145" t="s">
        <v>193</v>
      </c>
      <c r="M109" s="200"/>
      <c r="N109" s="281">
        <f t="shared" si="74"/>
        <v>1000000</v>
      </c>
      <c r="O109" s="254" t="str">
        <f t="shared" si="75"/>
        <v>PAYER</v>
      </c>
      <c r="P109" s="148">
        <f t="shared" ca="1" si="76"/>
        <v>42523</v>
      </c>
      <c r="Q109" s="148" t="str">
        <f t="shared" si="77"/>
        <v>30Y</v>
      </c>
      <c r="R109" s="273" t="s">
        <v>26</v>
      </c>
      <c r="S109" s="274" t="s">
        <v>20</v>
      </c>
      <c r="T109" s="273" t="s">
        <v>22</v>
      </c>
      <c r="U109" s="273" t="s">
        <v>2</v>
      </c>
      <c r="V109" s="148"/>
      <c r="W109" s="148"/>
      <c r="X109" s="265">
        <f t="shared" ca="1" si="78"/>
        <v>2</v>
      </c>
      <c r="Y109" s="275" t="s">
        <v>177</v>
      </c>
      <c r="Z109" s="274" t="s">
        <v>178</v>
      </c>
      <c r="AA109" s="254" t="str">
        <f t="shared" si="70"/>
        <v>EUR6ML</v>
      </c>
      <c r="AB109" s="265" t="str">
        <f t="shared" si="79"/>
        <v>Semi-Annual</v>
      </c>
      <c r="AC109" s="274" t="s">
        <v>6</v>
      </c>
      <c r="AD109" s="273" t="s">
        <v>22</v>
      </c>
      <c r="AE109" s="273" t="s">
        <v>2</v>
      </c>
      <c r="AF109" s="148"/>
      <c r="AG109" s="148"/>
      <c r="AH109" s="265">
        <f t="shared" ca="1" si="80"/>
        <v>2</v>
      </c>
      <c r="AI109" s="436" t="s">
        <v>177</v>
      </c>
      <c r="AJ109" s="276">
        <f t="shared" si="81"/>
        <v>-1.5299999999999999E-3</v>
      </c>
      <c r="AK109" s="437"/>
      <c r="AL109" s="275" t="s">
        <v>177</v>
      </c>
      <c r="AM109" s="274" t="s">
        <v>178</v>
      </c>
      <c r="AN109" s="148" t="str">
        <f t="shared" si="82"/>
        <v>EURYC</v>
      </c>
      <c r="AO109" s="254" t="str">
        <f t="shared" si="83"/>
        <v>EURDF_NOCSA</v>
      </c>
      <c r="AP109" s="263">
        <f t="shared" si="71"/>
        <v>6.4</v>
      </c>
      <c r="AQ109" s="278">
        <f t="shared" si="84"/>
        <v>0</v>
      </c>
      <c r="AR109" s="224" t="s">
        <v>4</v>
      </c>
      <c r="AS109" s="182">
        <f ca="1">IF(AND(NOW(),isEUR6MLLoaded),IF(OR($D109="",$D109=0),"",_xll.meProductSwapParRate(_xll.meUtilityLVBFromKeysValues($P$5:$AP$5,$P109:$AP109))),"Please Load Yield Curves")</f>
        <v>1.2017354894055338E-2</v>
      </c>
      <c r="AT109" s="149">
        <f ca="1">IF(AND(NOW(),isEUR6MLLoaded),IF(OR($D109="",$D109=0),"",_xll.meProductSwapPV(_xll.meUtilityLVBFromKeysValues($N$5:$AQ$5,$N109:$AQ109))),"Please Load Yield Curves")</f>
        <v>321269.48514019191</v>
      </c>
      <c r="AU109" s="149">
        <f ca="1">IF(AND(NOW(),isEUR6MLLoaded),IF(OR($D109="",$D109=0),"",_xll.meProductSwapPV01(_xll.meUtilityLVBFromKeysValues($N$5:$AO$5,$N109:$AO109))),"Please Load Yield Curves")</f>
        <v>2673.3793582073149</v>
      </c>
      <c r="AV109" s="197">
        <f ca="1">IF(AND(NOW(),isEUR6MLLoaded),IF(OR($D109="",$D109=0),"",_xll.meProductSwapDV01(_xll.meUtilityLVBFromKeysValues($N$5:$AQ$5,$N109:$AQ109))),"Please Load Yield Curves")</f>
        <v>3207.9211411065889</v>
      </c>
      <c r="AW109" s="177"/>
      <c r="AX109" s="151" t="str">
        <f>'EUR BASIS 12ML'!I48</f>
        <v>30Y</v>
      </c>
      <c r="AY109" s="189">
        <f>'EUR BASIS 12ML'!J48*10000</f>
        <v>6.4</v>
      </c>
      <c r="AZ109" s="193">
        <f t="shared" ca="1" si="72"/>
        <v>3.107746698871594E-12</v>
      </c>
      <c r="BA109" s="191">
        <f t="shared" ca="1" si="73"/>
        <v>-8.3081831689924002E-5</v>
      </c>
    </row>
    <row r="110" spans="2:53" x14ac:dyDescent="0.25">
      <c r="K110" s="40"/>
      <c r="AJ110" s="269"/>
      <c r="AR110" s="224" t="s">
        <v>4</v>
      </c>
      <c r="AU110" s="178"/>
      <c r="AV110" s="178"/>
    </row>
    <row r="111" spans="2:53" x14ac:dyDescent="0.25">
      <c r="B111" s="40" t="s">
        <v>228</v>
      </c>
      <c r="C111" s="40"/>
      <c r="D111" s="40"/>
      <c r="E111" s="40"/>
      <c r="F111" s="40"/>
      <c r="G111" s="40"/>
      <c r="H111" s="40"/>
      <c r="I111" s="40"/>
      <c r="J111" s="40"/>
      <c r="L111" s="40"/>
      <c r="M111" s="40"/>
      <c r="N111" s="224" t="s">
        <v>282</v>
      </c>
      <c r="O111" s="224"/>
      <c r="P111" s="224"/>
      <c r="Q111" s="269"/>
      <c r="R111" s="269"/>
      <c r="S111" s="269"/>
      <c r="T111" s="269"/>
      <c r="U111" s="269"/>
      <c r="V111" s="269"/>
      <c r="W111" s="269"/>
      <c r="X111" s="269"/>
      <c r="Y111" s="269"/>
      <c r="Z111" s="269"/>
      <c r="AA111" s="269"/>
      <c r="AB111" s="269"/>
      <c r="AC111" s="269"/>
      <c r="AD111" s="269"/>
      <c r="AE111" s="269"/>
      <c r="AF111" s="269"/>
      <c r="AG111" s="269"/>
      <c r="AH111" s="269"/>
      <c r="AI111" s="269"/>
      <c r="AJ111" s="269"/>
      <c r="AK111" s="269"/>
      <c r="AL111" s="269"/>
      <c r="AM111" s="269"/>
      <c r="AN111" s="269"/>
      <c r="AO111" s="269"/>
      <c r="AP111" s="269"/>
      <c r="AQ111" s="269"/>
      <c r="AR111" s="224" t="s">
        <v>4</v>
      </c>
      <c r="AS111" s="40"/>
      <c r="AT111" s="40"/>
      <c r="AU111" s="178"/>
      <c r="AV111" s="178"/>
      <c r="AY111" s="40"/>
      <c r="AZ111" s="40"/>
      <c r="BA111" s="40"/>
    </row>
    <row r="112" spans="2:53" ht="33.75" hidden="1" customHeight="1" outlineLevel="1" x14ac:dyDescent="0.25">
      <c r="B112" s="110" t="s">
        <v>179</v>
      </c>
      <c r="C112" s="111" t="s">
        <v>180</v>
      </c>
      <c r="D112" s="111" t="s">
        <v>175</v>
      </c>
      <c r="E112" s="111" t="s">
        <v>16</v>
      </c>
      <c r="F112" s="111" t="s">
        <v>181</v>
      </c>
      <c r="G112" s="111" t="s">
        <v>182</v>
      </c>
      <c r="H112" s="111" t="s">
        <v>183</v>
      </c>
      <c r="I112" s="111" t="s">
        <v>184</v>
      </c>
      <c r="J112" s="111" t="s">
        <v>185</v>
      </c>
      <c r="K112" s="111" t="s">
        <v>186</v>
      </c>
      <c r="L112" s="111" t="s">
        <v>187</v>
      </c>
      <c r="M112" s="200"/>
      <c r="N112" s="264" t="s">
        <v>175</v>
      </c>
      <c r="O112" s="251" t="s">
        <v>249</v>
      </c>
      <c r="P112" s="251" t="s">
        <v>250</v>
      </c>
      <c r="Q112" s="251" t="s">
        <v>251</v>
      </c>
      <c r="R112" s="251" t="s">
        <v>253</v>
      </c>
      <c r="S112" s="251" t="s">
        <v>254</v>
      </c>
      <c r="T112" s="251" t="s">
        <v>255</v>
      </c>
      <c r="U112" s="251" t="s">
        <v>256</v>
      </c>
      <c r="V112" s="251" t="s">
        <v>283</v>
      </c>
      <c r="W112" s="251" t="s">
        <v>284</v>
      </c>
      <c r="X112" s="251" t="s">
        <v>257</v>
      </c>
      <c r="Y112" s="251" t="s">
        <v>258</v>
      </c>
      <c r="Z112" s="251" t="s">
        <v>259</v>
      </c>
      <c r="AA112" s="251" t="s">
        <v>271</v>
      </c>
      <c r="AB112" s="251" t="s">
        <v>260</v>
      </c>
      <c r="AC112" s="251" t="s">
        <v>261</v>
      </c>
      <c r="AD112" s="251" t="s">
        <v>262</v>
      </c>
      <c r="AE112" s="251" t="s">
        <v>263</v>
      </c>
      <c r="AF112" s="251" t="s">
        <v>285</v>
      </c>
      <c r="AG112" s="251" t="s">
        <v>286</v>
      </c>
      <c r="AH112" s="251" t="s">
        <v>264</v>
      </c>
      <c r="AI112" s="251" t="s">
        <v>265</v>
      </c>
      <c r="AJ112" s="251" t="s">
        <v>266</v>
      </c>
      <c r="AK112" s="251" t="s">
        <v>267</v>
      </c>
      <c r="AL112" s="251" t="s">
        <v>268</v>
      </c>
      <c r="AM112" s="251" t="s">
        <v>270</v>
      </c>
      <c r="AN112" s="251" t="s">
        <v>80</v>
      </c>
      <c r="AO112" s="251" t="s">
        <v>272</v>
      </c>
      <c r="AP112" s="251" t="s">
        <v>269</v>
      </c>
      <c r="AQ112" s="252" t="s">
        <v>252</v>
      </c>
      <c r="AR112" s="224" t="s">
        <v>4</v>
      </c>
      <c r="AS112" s="179" t="s">
        <v>188</v>
      </c>
      <c r="AT112" s="112" t="s">
        <v>189</v>
      </c>
      <c r="AU112" s="112" t="s">
        <v>190</v>
      </c>
      <c r="AV112" s="113" t="s">
        <v>273</v>
      </c>
    </row>
    <row r="113" spans="2:49" hidden="1" outlineLevel="1" x14ac:dyDescent="0.25">
      <c r="B113" s="115">
        <f ca="1">IF(OR(D113="",D113=0),"",_xll.meDateFromTenor(COB,C113,$T113,$U113))</f>
        <v>42523</v>
      </c>
      <c r="C113" s="133" t="s">
        <v>191</v>
      </c>
      <c r="D113" s="134">
        <v>1000000</v>
      </c>
      <c r="E113" s="134" t="s">
        <v>17</v>
      </c>
      <c r="F113" s="135" t="s">
        <v>229</v>
      </c>
      <c r="G113" s="136" t="s">
        <v>47</v>
      </c>
      <c r="H113" s="137">
        <v>0</v>
      </c>
      <c r="I113" s="167" t="s">
        <v>240</v>
      </c>
      <c r="J113" s="138">
        <v>0</v>
      </c>
      <c r="K113" s="137">
        <f>'EUR SWAP 3ML'!$L$42</f>
        <v>-1.4999999999999999E-4</v>
      </c>
      <c r="L113" s="136" t="s">
        <v>193</v>
      </c>
      <c r="M113" s="200"/>
      <c r="N113" s="279">
        <f>D113</f>
        <v>1000000</v>
      </c>
      <c r="O113" s="127" t="str">
        <f>F113</f>
        <v>RECEIVER</v>
      </c>
      <c r="P113" s="124">
        <f ca="1">B113</f>
        <v>42523</v>
      </c>
      <c r="Q113" s="124" t="str">
        <f>G113</f>
        <v>2Y</v>
      </c>
      <c r="R113" s="122" t="s">
        <v>26</v>
      </c>
      <c r="S113" s="123" t="s">
        <v>20</v>
      </c>
      <c r="T113" s="122" t="s">
        <v>22</v>
      </c>
      <c r="U113" s="122" t="s">
        <v>2</v>
      </c>
      <c r="V113" s="124"/>
      <c r="W113" s="124"/>
      <c r="X113" s="125">
        <f ca="1">IF($B113="","",DAY($B113))</f>
        <v>2</v>
      </c>
      <c r="Y113" s="126" t="s">
        <v>177</v>
      </c>
      <c r="Z113" s="123" t="s">
        <v>178</v>
      </c>
      <c r="AA113" s="127" t="str">
        <f t="shared" ref="AA113:AA125" si="85">$E113&amp;$I113</f>
        <v>EUR12ML</v>
      </c>
      <c r="AB113" s="125" t="str">
        <f>IF($I113="1ML","Monthly",IF($I113="3ML","Quarterly",IF($I113="6ML","Semi-Annual","Annual")))</f>
        <v>Annual</v>
      </c>
      <c r="AC113" s="123" t="s">
        <v>6</v>
      </c>
      <c r="AD113" s="122" t="s">
        <v>22</v>
      </c>
      <c r="AE113" s="122" t="s">
        <v>2</v>
      </c>
      <c r="AF113" s="124"/>
      <c r="AG113" s="124"/>
      <c r="AH113" s="125">
        <f ca="1">IF($B113="","",DAY($B113))</f>
        <v>2</v>
      </c>
      <c r="AI113" s="126" t="s">
        <v>177</v>
      </c>
      <c r="AJ113" s="129">
        <f>$K113</f>
        <v>-1.4999999999999999E-4</v>
      </c>
      <c r="AK113" s="130"/>
      <c r="AL113" s="126" t="s">
        <v>177</v>
      </c>
      <c r="AM113" s="123" t="s">
        <v>178</v>
      </c>
      <c r="AN113" s="124" t="str">
        <f>E113&amp;"YC"</f>
        <v>EURYC</v>
      </c>
      <c r="AO113" s="127" t="str">
        <f>LEFT(AN113,3)&amp;"DF_"&amp;L113</f>
        <v>EURDF_NOCSA</v>
      </c>
      <c r="AP113" s="128">
        <f t="shared" ref="AP113:AP125" si="86">J113</f>
        <v>0</v>
      </c>
      <c r="AQ113" s="271">
        <f>H113</f>
        <v>0</v>
      </c>
      <c r="AR113" s="224" t="s">
        <v>4</v>
      </c>
      <c r="AS113" s="180">
        <f ca="1">IF(AND(NOW(),isEUR12MLLoaded),IF(OR($D113="",$D113=0),"",_xll.meProductSwapParRate(_xll.meUtilityLVBFromKeysValues($P$5:$AP$5,$P113:$AP113))),"Please Load Yield Curves")</f>
        <v>-1.0795541722214199E-4</v>
      </c>
      <c r="AT113" s="131">
        <f ca="1">IF(AND(NOW(),isEUR12MLLoaded),IF(OR($D113="",$D113=0),"",_xll.meProductSwapPV(_xll.meUtilityLVBFromKeysValues($N$5:$AP$5,$N113:$AP113))),"Please Load Yield Curves")</f>
        <v>217.82498368104396</v>
      </c>
      <c r="AU113" s="131">
        <f ca="1">IF(AND(NOW(),isEUR12MLLoaded),IF(OR($D113="",$D113=0),"",_xll.meProductSwapPV01(_xll.meUtilityLVBFromKeysValues($N$5:$AO$5,$N113:$AO113))),"Please Load Yield Curves")</f>
        <v>201.77309234313017</v>
      </c>
      <c r="AV113" s="195">
        <f ca="1">IF(AND(NOW(),isEUR12MLLoaded),IF(OR($D113="",$D113=0),"",_xll.meProductSwapDV01(_xll.meUtilityLVBFromKeysValues($N$5:$AQ$5,$N113:$AQ113))),"Please Load Yield Curves")</f>
        <v>201.8015128099311</v>
      </c>
    </row>
    <row r="114" spans="2:49" hidden="1" outlineLevel="1" x14ac:dyDescent="0.25">
      <c r="B114" s="132">
        <f ca="1">IF(OR(D114="",D114=0),"",_xll.meDateFromTenor(COB,C114,$T114,$U114))</f>
        <v>42523</v>
      </c>
      <c r="C114" s="140" t="s">
        <v>191</v>
      </c>
      <c r="D114" s="134">
        <v>1000000</v>
      </c>
      <c r="E114" s="134" t="s">
        <v>17</v>
      </c>
      <c r="F114" s="135" t="s">
        <v>229</v>
      </c>
      <c r="G114" s="136" t="s">
        <v>43</v>
      </c>
      <c r="H114" s="137">
        <v>0</v>
      </c>
      <c r="I114" s="167" t="s">
        <v>240</v>
      </c>
      <c r="J114" s="138">
        <v>0</v>
      </c>
      <c r="K114" s="137">
        <f>'EUR SWAP 3ML'!$L$42</f>
        <v>-1.4999999999999999E-4</v>
      </c>
      <c r="L114" s="136" t="s">
        <v>193</v>
      </c>
      <c r="M114" s="200"/>
      <c r="N114" s="280">
        <f t="shared" ref="N114:N125" si="87">D114</f>
        <v>1000000</v>
      </c>
      <c r="O114" s="253" t="str">
        <f t="shared" ref="O114:O125" si="88">F114</f>
        <v>RECEIVER</v>
      </c>
      <c r="P114" s="256">
        <f t="shared" ref="P114:P125" ca="1" si="89">B114</f>
        <v>42523</v>
      </c>
      <c r="Q114" s="256" t="str">
        <f t="shared" ref="Q114:Q125" si="90">G114</f>
        <v>3Y</v>
      </c>
      <c r="R114" s="250" t="s">
        <v>26</v>
      </c>
      <c r="S114" s="255" t="s">
        <v>20</v>
      </c>
      <c r="T114" s="250" t="s">
        <v>22</v>
      </c>
      <c r="U114" s="250" t="s">
        <v>2</v>
      </c>
      <c r="V114" s="256"/>
      <c r="W114" s="256"/>
      <c r="X114" s="257">
        <f t="shared" ref="X114:X125" ca="1" si="91">IF($B114="","",DAY($B114))</f>
        <v>2</v>
      </c>
      <c r="Y114" s="258" t="s">
        <v>177</v>
      </c>
      <c r="Z114" s="255" t="s">
        <v>178</v>
      </c>
      <c r="AA114" s="253" t="str">
        <f t="shared" si="85"/>
        <v>EUR12ML</v>
      </c>
      <c r="AB114" s="257" t="str">
        <f t="shared" ref="AB114:AB125" si="92">IF($I114="1ML","Monthly",IF($I114="3ML","Quarterly",IF($I114="6ML","Semi-Annual","Annual")))</f>
        <v>Annual</v>
      </c>
      <c r="AC114" s="255" t="s">
        <v>6</v>
      </c>
      <c r="AD114" s="250" t="s">
        <v>22</v>
      </c>
      <c r="AE114" s="250" t="s">
        <v>2</v>
      </c>
      <c r="AF114" s="256"/>
      <c r="AG114" s="256"/>
      <c r="AH114" s="257">
        <f t="shared" ref="AH114:AH125" ca="1" si="93">IF($B114="","",DAY($B114))</f>
        <v>2</v>
      </c>
      <c r="AI114" s="258" t="s">
        <v>177</v>
      </c>
      <c r="AJ114" s="259">
        <f t="shared" ref="AJ114:AJ125" si="94">$K114</f>
        <v>-1.4999999999999999E-4</v>
      </c>
      <c r="AK114" s="260"/>
      <c r="AL114" s="258" t="s">
        <v>177</v>
      </c>
      <c r="AM114" s="255" t="s">
        <v>178</v>
      </c>
      <c r="AN114" s="256" t="str">
        <f t="shared" ref="AN114:AN125" si="95">E114&amp;"YC"</f>
        <v>EURYC</v>
      </c>
      <c r="AO114" s="253" t="str">
        <f t="shared" ref="AO114:AO125" si="96">LEFT(AN114,3)&amp;"DF_"&amp;L114</f>
        <v>EURDF_NOCSA</v>
      </c>
      <c r="AP114" s="261">
        <f t="shared" si="86"/>
        <v>0</v>
      </c>
      <c r="AQ114" s="272">
        <f t="shared" ref="AQ114:AQ125" si="97">H114</f>
        <v>0</v>
      </c>
      <c r="AR114" s="224" t="s">
        <v>4</v>
      </c>
      <c r="AS114" s="181">
        <f ca="1">IF(AND(NOW(),isEUR12MLLoaded),IF(OR($D114="",$D114=0),"",_xll.meProductSwapParRate(_xll.meUtilityLVBFromKeysValues($P$5:$AP$5,$P114:$AP114))),"Please Load Yield Curves")</f>
        <v>2.1582490442761544E-4</v>
      </c>
      <c r="AT114" s="139">
        <f ca="1">IF(AND(NOW(),isEUR12MLLoaded),IF(OR($D114="",$D114=0),"",_xll.meProductSwapPV(_xll.meUtilityLVBFromKeysValues($N$5:$AP$5,$N114:$AP114))),"Please Load Yield Curves")</f>
        <v>-653.24970749938757</v>
      </c>
      <c r="AU114" s="139">
        <f ca="1">IF(AND(NOW(),isEUR12MLLoaded),IF(OR($D114="",$D114=0),"",_xll.meProductSwapPV01(_xll.meUtilityLVBFromKeysValues($N$5:$AO$5,$N114:$AO114))),"Please Load Yield Curves")</f>
        <v>302.67577749280463</v>
      </c>
      <c r="AV114" s="196">
        <f ca="1">IF(AND(NOW(),isEUR12MLLoaded),IF(OR($D114="",$D114=0),"",_xll.meProductSwapDV01(_xll.meUtilityLVBFromKeysValues($N$5:$AQ$5,$N114:$AQ114))),"Please Load Yield Curves")</f>
        <v>302.44234645141495</v>
      </c>
      <c r="AW114" s="48"/>
    </row>
    <row r="115" spans="2:49" hidden="1" outlineLevel="1" x14ac:dyDescent="0.25">
      <c r="B115" s="132">
        <f ca="1">IF(OR(D115="",D115=0),"",_xll.meDateFromTenor(COB,C115,$T115,$U115))</f>
        <v>42523</v>
      </c>
      <c r="C115" s="140" t="s">
        <v>191</v>
      </c>
      <c r="D115" s="134">
        <v>1000000</v>
      </c>
      <c r="E115" s="134" t="s">
        <v>17</v>
      </c>
      <c r="F115" s="135" t="s">
        <v>229</v>
      </c>
      <c r="G115" s="136" t="s">
        <v>50</v>
      </c>
      <c r="H115" s="137">
        <v>0</v>
      </c>
      <c r="I115" s="167" t="s">
        <v>240</v>
      </c>
      <c r="J115" s="138">
        <v>0</v>
      </c>
      <c r="K115" s="137">
        <f>'EUR SWAP 3ML'!$L$42</f>
        <v>-1.4999999999999999E-4</v>
      </c>
      <c r="L115" s="136" t="s">
        <v>193</v>
      </c>
      <c r="M115" s="200"/>
      <c r="N115" s="280">
        <f t="shared" si="87"/>
        <v>1000000</v>
      </c>
      <c r="O115" s="253" t="str">
        <f t="shared" si="88"/>
        <v>RECEIVER</v>
      </c>
      <c r="P115" s="256">
        <f t="shared" ca="1" si="89"/>
        <v>42523</v>
      </c>
      <c r="Q115" s="256" t="str">
        <f t="shared" si="90"/>
        <v>4Y</v>
      </c>
      <c r="R115" s="250" t="s">
        <v>26</v>
      </c>
      <c r="S115" s="255" t="s">
        <v>20</v>
      </c>
      <c r="T115" s="250" t="s">
        <v>22</v>
      </c>
      <c r="U115" s="250" t="s">
        <v>2</v>
      </c>
      <c r="V115" s="256"/>
      <c r="W115" s="256"/>
      <c r="X115" s="257">
        <f t="shared" ca="1" si="91"/>
        <v>2</v>
      </c>
      <c r="Y115" s="258" t="s">
        <v>177</v>
      </c>
      <c r="Z115" s="255" t="s">
        <v>178</v>
      </c>
      <c r="AA115" s="253" t="str">
        <f t="shared" si="85"/>
        <v>EUR12ML</v>
      </c>
      <c r="AB115" s="257" t="str">
        <f t="shared" si="92"/>
        <v>Annual</v>
      </c>
      <c r="AC115" s="255" t="s">
        <v>6</v>
      </c>
      <c r="AD115" s="250" t="s">
        <v>22</v>
      </c>
      <c r="AE115" s="250" t="s">
        <v>2</v>
      </c>
      <c r="AF115" s="256"/>
      <c r="AG115" s="256"/>
      <c r="AH115" s="257">
        <f t="shared" ca="1" si="93"/>
        <v>2</v>
      </c>
      <c r="AI115" s="258" t="s">
        <v>177</v>
      </c>
      <c r="AJ115" s="259">
        <f t="shared" si="94"/>
        <v>-1.4999999999999999E-4</v>
      </c>
      <c r="AK115" s="260"/>
      <c r="AL115" s="258" t="s">
        <v>177</v>
      </c>
      <c r="AM115" s="255" t="s">
        <v>178</v>
      </c>
      <c r="AN115" s="256" t="str">
        <f t="shared" si="95"/>
        <v>EURYC</v>
      </c>
      <c r="AO115" s="253" t="str">
        <f t="shared" si="96"/>
        <v>EURDF_NOCSA</v>
      </c>
      <c r="AP115" s="261">
        <f t="shared" si="86"/>
        <v>0</v>
      </c>
      <c r="AQ115" s="272">
        <f t="shared" si="97"/>
        <v>0</v>
      </c>
      <c r="AR115" s="224" t="s">
        <v>4</v>
      </c>
      <c r="AS115" s="181">
        <f ca="1">IF(AND(NOW(),isEUR12MLLoaded),IF(OR($D115="",$D115=0),"",_xll.meProductSwapParRate(_xll.meUtilityLVBFromKeysValues($P$5:$AP$5,$P115:$AP115))),"Please Load Yield Curves")</f>
        <v>8.6895885626369241E-4</v>
      </c>
      <c r="AT115" s="139">
        <f ca="1">IF(AND(NOW(),isEUR12MLLoaded),IF(OR($D115="",$D115=0),"",_xll.meProductSwapPV(_xll.meUtilityLVBFromKeysValues($N$5:$AP$5,$N115:$AP115))),"Please Load Yield Curves")</f>
        <v>-3508.8542690630816</v>
      </c>
      <c r="AU115" s="139">
        <f ca="1">IF(AND(NOW(),isEUR12MLLoaded),IF(OR($D115="",$D115=0),"",_xll.meProductSwapPV01(_xll.meUtilityLVBFromKeysValues($N$5:$AO$5,$N115:$AO115))),"Please Load Yield Curves")</f>
        <v>403.79981673128748</v>
      </c>
      <c r="AV115" s="196">
        <f ca="1">IF(AND(NOW(),isEUR12MLLoaded),IF(OR($D115="",$D115=0),"",_xll.meProductSwapDV01(_xll.meUtilityLVBFromKeysValues($N$5:$AQ$5,$N115:$AQ115))),"Please Load Yield Curves")</f>
        <v>402.42372880917588</v>
      </c>
      <c r="AW115" s="48"/>
    </row>
    <row r="116" spans="2:49" hidden="1" outlineLevel="1" x14ac:dyDescent="0.25">
      <c r="B116" s="132">
        <f ca="1">IF(OR(D116="",D116=0),"",_xll.meDateFromTenor(COB,C116,$T116,$U116))</f>
        <v>42523</v>
      </c>
      <c r="C116" s="140" t="s">
        <v>191</v>
      </c>
      <c r="D116" s="134">
        <v>1000000</v>
      </c>
      <c r="E116" s="134" t="s">
        <v>17</v>
      </c>
      <c r="F116" s="135" t="s">
        <v>229</v>
      </c>
      <c r="G116" s="136" t="s">
        <v>52</v>
      </c>
      <c r="H116" s="137">
        <v>0</v>
      </c>
      <c r="I116" s="167" t="s">
        <v>240</v>
      </c>
      <c r="J116" s="138">
        <v>0</v>
      </c>
      <c r="K116" s="137">
        <f>'EUR SWAP 3ML'!$L$42</f>
        <v>-1.4999999999999999E-4</v>
      </c>
      <c r="L116" s="136" t="s">
        <v>193</v>
      </c>
      <c r="M116" s="200"/>
      <c r="N116" s="280">
        <f t="shared" si="87"/>
        <v>1000000</v>
      </c>
      <c r="O116" s="253" t="str">
        <f t="shared" si="88"/>
        <v>RECEIVER</v>
      </c>
      <c r="P116" s="256">
        <f t="shared" ca="1" si="89"/>
        <v>42523</v>
      </c>
      <c r="Q116" s="256" t="str">
        <f t="shared" si="90"/>
        <v>5Y</v>
      </c>
      <c r="R116" s="250" t="s">
        <v>26</v>
      </c>
      <c r="S116" s="255" t="s">
        <v>20</v>
      </c>
      <c r="T116" s="250" t="s">
        <v>22</v>
      </c>
      <c r="U116" s="250" t="s">
        <v>2</v>
      </c>
      <c r="V116" s="256"/>
      <c r="W116" s="256"/>
      <c r="X116" s="257">
        <f t="shared" ca="1" si="91"/>
        <v>2</v>
      </c>
      <c r="Y116" s="258" t="s">
        <v>177</v>
      </c>
      <c r="Z116" s="255" t="s">
        <v>178</v>
      </c>
      <c r="AA116" s="253" t="str">
        <f t="shared" si="85"/>
        <v>EUR12ML</v>
      </c>
      <c r="AB116" s="257" t="str">
        <f t="shared" si="92"/>
        <v>Annual</v>
      </c>
      <c r="AC116" s="255" t="s">
        <v>6</v>
      </c>
      <c r="AD116" s="250" t="s">
        <v>22</v>
      </c>
      <c r="AE116" s="250" t="s">
        <v>2</v>
      </c>
      <c r="AF116" s="256"/>
      <c r="AG116" s="256"/>
      <c r="AH116" s="257">
        <f t="shared" ca="1" si="93"/>
        <v>2</v>
      </c>
      <c r="AI116" s="258" t="s">
        <v>177</v>
      </c>
      <c r="AJ116" s="259">
        <f t="shared" si="94"/>
        <v>-1.4999999999999999E-4</v>
      </c>
      <c r="AK116" s="260"/>
      <c r="AL116" s="258" t="s">
        <v>177</v>
      </c>
      <c r="AM116" s="255" t="s">
        <v>178</v>
      </c>
      <c r="AN116" s="256" t="str">
        <f t="shared" si="95"/>
        <v>EURYC</v>
      </c>
      <c r="AO116" s="253" t="str">
        <f t="shared" si="96"/>
        <v>EURDF_NOCSA</v>
      </c>
      <c r="AP116" s="261">
        <f t="shared" si="86"/>
        <v>0</v>
      </c>
      <c r="AQ116" s="272">
        <f t="shared" si="97"/>
        <v>0</v>
      </c>
      <c r="AR116" s="224" t="s">
        <v>4</v>
      </c>
      <c r="AS116" s="181">
        <f ca="1">IF(AND(NOW(),isEUR12MLLoaded),IF(OR($D116="",$D116=0),"",_xll.meProductSwapParRate(_xll.meUtilityLVBFromKeysValues($P$5:$AP$5,$P116:$AP116))),"Please Load Yield Curves")</f>
        <v>1.6819199965903021E-3</v>
      </c>
      <c r="AT116" s="139">
        <f ca="1">IF(AND(NOW(),isEUR12MLLoaded),IF(OR($D116="",$D116=0),"",_xll.meProductSwapPV(_xll.meUtilityLVBFromKeysValues($N$5:$AP$5,$N116:$AP116))),"Please Load Yield Curves")</f>
        <v>-8496.9679543763068</v>
      </c>
      <c r="AU116" s="139">
        <f ca="1">IF(AND(NOW(),isEUR12MLLoaded),IF(OR($D116="",$D116=0),"",_xll.meProductSwapPV01(_xll.meUtilityLVBFromKeysValues($N$5:$AO$5,$N116:$AO116))),"Please Load Yield Curves")</f>
        <v>505.19453788538783</v>
      </c>
      <c r="AV116" s="196">
        <f ca="1">IF(AND(NOW(),isEUR12MLLoaded),IF(OR($D116="",$D116=0),"",_xll.meProductSwapDV01(_xll.meUtilityLVBFromKeysValues($N$5:$AQ$5,$N116:$AQ116))),"Please Load Yield Curves")</f>
        <v>501.32776679753675</v>
      </c>
      <c r="AW116" s="48"/>
    </row>
    <row r="117" spans="2:49" hidden="1" outlineLevel="1" x14ac:dyDescent="0.25">
      <c r="B117" s="132">
        <f ca="1">IF(OR(D117="",D117=0),"",_xll.meDateFromTenor(COB,C117,$T117,$U117))</f>
        <v>42523</v>
      </c>
      <c r="C117" s="140" t="s">
        <v>191</v>
      </c>
      <c r="D117" s="134">
        <v>1000000</v>
      </c>
      <c r="E117" s="134" t="s">
        <v>17</v>
      </c>
      <c r="F117" s="135" t="s">
        <v>229</v>
      </c>
      <c r="G117" s="136" t="s">
        <v>54</v>
      </c>
      <c r="H117" s="137">
        <v>0</v>
      </c>
      <c r="I117" s="167" t="s">
        <v>240</v>
      </c>
      <c r="J117" s="138">
        <v>0</v>
      </c>
      <c r="K117" s="137">
        <f>'EUR SWAP 3ML'!$L$42</f>
        <v>-1.4999999999999999E-4</v>
      </c>
      <c r="L117" s="136" t="s">
        <v>193</v>
      </c>
      <c r="M117" s="200"/>
      <c r="N117" s="280">
        <f t="shared" si="87"/>
        <v>1000000</v>
      </c>
      <c r="O117" s="253" t="str">
        <f t="shared" si="88"/>
        <v>RECEIVER</v>
      </c>
      <c r="P117" s="256">
        <f t="shared" ca="1" si="89"/>
        <v>42523</v>
      </c>
      <c r="Q117" s="256" t="str">
        <f t="shared" si="90"/>
        <v>6Y</v>
      </c>
      <c r="R117" s="250" t="s">
        <v>26</v>
      </c>
      <c r="S117" s="255" t="s">
        <v>20</v>
      </c>
      <c r="T117" s="250" t="s">
        <v>22</v>
      </c>
      <c r="U117" s="250" t="s">
        <v>2</v>
      </c>
      <c r="V117" s="256"/>
      <c r="W117" s="256"/>
      <c r="X117" s="257">
        <f t="shared" ca="1" si="91"/>
        <v>2</v>
      </c>
      <c r="Y117" s="258" t="s">
        <v>177</v>
      </c>
      <c r="Z117" s="255" t="s">
        <v>178</v>
      </c>
      <c r="AA117" s="253" t="str">
        <f t="shared" si="85"/>
        <v>EUR12ML</v>
      </c>
      <c r="AB117" s="257" t="str">
        <f t="shared" si="92"/>
        <v>Annual</v>
      </c>
      <c r="AC117" s="255" t="s">
        <v>6</v>
      </c>
      <c r="AD117" s="250" t="s">
        <v>22</v>
      </c>
      <c r="AE117" s="250" t="s">
        <v>2</v>
      </c>
      <c r="AF117" s="256"/>
      <c r="AG117" s="256"/>
      <c r="AH117" s="257">
        <f t="shared" ca="1" si="93"/>
        <v>2</v>
      </c>
      <c r="AI117" s="258" t="s">
        <v>177</v>
      </c>
      <c r="AJ117" s="259">
        <f t="shared" si="94"/>
        <v>-1.4999999999999999E-4</v>
      </c>
      <c r="AK117" s="260"/>
      <c r="AL117" s="258" t="s">
        <v>177</v>
      </c>
      <c r="AM117" s="255" t="s">
        <v>178</v>
      </c>
      <c r="AN117" s="256" t="str">
        <f t="shared" si="95"/>
        <v>EURYC</v>
      </c>
      <c r="AO117" s="253" t="str">
        <f t="shared" si="96"/>
        <v>EURDF_NOCSA</v>
      </c>
      <c r="AP117" s="261">
        <f t="shared" si="86"/>
        <v>0</v>
      </c>
      <c r="AQ117" s="272">
        <f t="shared" si="97"/>
        <v>0</v>
      </c>
      <c r="AR117" s="224" t="s">
        <v>4</v>
      </c>
      <c r="AS117" s="181">
        <f ca="1">IF(AND(NOW(),isEUR12MLLoaded),IF(OR($D117="",$D117=0),"",_xll.meProductSwapParRate(_xll.meUtilityLVBFromKeysValues($P$5:$AP$5,$P117:$AP117))),"Please Load Yield Curves")</f>
        <v>2.6521878369948505E-3</v>
      </c>
      <c r="AT117" s="139">
        <f ca="1">IF(AND(NOW(),isEUR12MLLoaded),IF(OR($D117="",$D117=0),"",_xll.meProductSwapPV(_xll.meUtilityLVBFromKeysValues($N$5:$AP$5,$N117:$AP117))),"Please Load Yield Curves")</f>
        <v>-16079.686791055123</v>
      </c>
      <c r="AU117" s="139">
        <f ca="1">IF(AND(NOW(),isEUR12MLLoaded),IF(OR($D117="",$D117=0),"",_xll.meProductSwapPV01(_xll.meUtilityLVBFromKeysValues($N$5:$AO$5,$N117:$AO117))),"Please Load Yield Curves")</f>
        <v>606.28008947038791</v>
      </c>
      <c r="AV117" s="196">
        <f ca="1">IF(AND(NOW(),isEUR12MLLoaded),IF(OR($D117="",$D117=0),"",_xll.meProductSwapDV01(_xll.meUtilityLVBFromKeysValues($N$5:$AQ$5,$N117:$AQ117))),"Please Load Yield Curves")</f>
        <v>597.87653106995924</v>
      </c>
      <c r="AW117" s="48"/>
    </row>
    <row r="118" spans="2:49" hidden="1" outlineLevel="1" x14ac:dyDescent="0.25">
      <c r="B118" s="132">
        <f ca="1">IF(OR(D118="",D118=0),"",_xll.meDateFromTenor(COB,C118,$T118,$U118))</f>
        <v>42523</v>
      </c>
      <c r="C118" s="140" t="s">
        <v>191</v>
      </c>
      <c r="D118" s="134">
        <v>1000000</v>
      </c>
      <c r="E118" s="134" t="s">
        <v>17</v>
      </c>
      <c r="F118" s="135" t="s">
        <v>229</v>
      </c>
      <c r="G118" s="136" t="s">
        <v>55</v>
      </c>
      <c r="H118" s="137">
        <v>0</v>
      </c>
      <c r="I118" s="167" t="s">
        <v>240</v>
      </c>
      <c r="J118" s="138">
        <v>0</v>
      </c>
      <c r="K118" s="137">
        <f>'EUR SWAP 3ML'!$L$42</f>
        <v>-1.4999999999999999E-4</v>
      </c>
      <c r="L118" s="136" t="s">
        <v>193</v>
      </c>
      <c r="M118" s="200"/>
      <c r="N118" s="280">
        <f t="shared" si="87"/>
        <v>1000000</v>
      </c>
      <c r="O118" s="253" t="str">
        <f t="shared" si="88"/>
        <v>RECEIVER</v>
      </c>
      <c r="P118" s="256">
        <f t="shared" ca="1" si="89"/>
        <v>42523</v>
      </c>
      <c r="Q118" s="256" t="str">
        <f t="shared" si="90"/>
        <v>7Y</v>
      </c>
      <c r="R118" s="250" t="s">
        <v>26</v>
      </c>
      <c r="S118" s="255" t="s">
        <v>20</v>
      </c>
      <c r="T118" s="250" t="s">
        <v>22</v>
      </c>
      <c r="U118" s="250" t="s">
        <v>2</v>
      </c>
      <c r="V118" s="256"/>
      <c r="W118" s="256"/>
      <c r="X118" s="257">
        <f t="shared" ca="1" si="91"/>
        <v>2</v>
      </c>
      <c r="Y118" s="258" t="s">
        <v>177</v>
      </c>
      <c r="Z118" s="255" t="s">
        <v>178</v>
      </c>
      <c r="AA118" s="253" t="str">
        <f t="shared" si="85"/>
        <v>EUR12ML</v>
      </c>
      <c r="AB118" s="257" t="str">
        <f t="shared" si="92"/>
        <v>Annual</v>
      </c>
      <c r="AC118" s="255" t="s">
        <v>6</v>
      </c>
      <c r="AD118" s="250" t="s">
        <v>22</v>
      </c>
      <c r="AE118" s="250" t="s">
        <v>2</v>
      </c>
      <c r="AF118" s="256"/>
      <c r="AG118" s="256"/>
      <c r="AH118" s="257">
        <f t="shared" ca="1" si="93"/>
        <v>2</v>
      </c>
      <c r="AI118" s="258" t="s">
        <v>177</v>
      </c>
      <c r="AJ118" s="259">
        <f t="shared" si="94"/>
        <v>-1.4999999999999999E-4</v>
      </c>
      <c r="AK118" s="260"/>
      <c r="AL118" s="258" t="s">
        <v>177</v>
      </c>
      <c r="AM118" s="255" t="s">
        <v>178</v>
      </c>
      <c r="AN118" s="256" t="str">
        <f t="shared" si="95"/>
        <v>EURYC</v>
      </c>
      <c r="AO118" s="253" t="str">
        <f t="shared" si="96"/>
        <v>EURDF_NOCSA</v>
      </c>
      <c r="AP118" s="261">
        <f t="shared" si="86"/>
        <v>0</v>
      </c>
      <c r="AQ118" s="272">
        <f t="shared" si="97"/>
        <v>0</v>
      </c>
      <c r="AR118" s="224" t="s">
        <v>4</v>
      </c>
      <c r="AS118" s="181">
        <f ca="1">IF(AND(NOW(),isEUR12MLLoaded),IF(OR($D118="",$D118=0),"",_xll.meProductSwapParRate(_xll.meUtilityLVBFromKeysValues($P$5:$AP$5,$P118:$AP118))),"Please Load Yield Curves")</f>
        <v>3.7219208342064358E-3</v>
      </c>
      <c r="AT118" s="139">
        <f ca="1">IF(AND(NOW(),isEUR12MLLoaded),IF(OR($D118="",$D118=0),"",_xll.meProductSwapPV(_xll.meUtilityLVBFromKeysValues($N$5:$AP$5,$N118:$AP118))),"Please Load Yield Curves")</f>
        <v>-26304.820499020338</v>
      </c>
      <c r="AU118" s="139">
        <f ca="1">IF(AND(NOW(),isEUR12MLLoaded),IF(OR($D118="",$D118=0),"",_xll.meProductSwapPV01(_xll.meUtilityLVBFromKeysValues($N$5:$AO$5,$N118:$AO118))),"Please Load Yield Curves")</f>
        <v>706.75389592559361</v>
      </c>
      <c r="AV118" s="196">
        <f ca="1">IF(AND(NOW(),isEUR12MLLoaded),IF(OR($D118="",$D118=0),"",_xll.meProductSwapDV01(_xll.meUtilityLVBFromKeysValues($N$5:$AQ$5,$N118:$AQ118))),"Please Load Yield Curves")</f>
        <v>691.22429124129019</v>
      </c>
      <c r="AW118" s="48"/>
    </row>
    <row r="119" spans="2:49" hidden="1" outlineLevel="1" x14ac:dyDescent="0.25">
      <c r="B119" s="132">
        <f ca="1">IF(OR(D119="",D119=0),"",_xll.meDateFromTenor(COB,C119,$T119,$U119))</f>
        <v>42523</v>
      </c>
      <c r="C119" s="140" t="s">
        <v>191</v>
      </c>
      <c r="D119" s="134">
        <v>1000000</v>
      </c>
      <c r="E119" s="134" t="s">
        <v>17</v>
      </c>
      <c r="F119" s="135" t="s">
        <v>229</v>
      </c>
      <c r="G119" s="136" t="s">
        <v>57</v>
      </c>
      <c r="H119" s="137">
        <v>0</v>
      </c>
      <c r="I119" s="167" t="s">
        <v>240</v>
      </c>
      <c r="J119" s="138">
        <v>0</v>
      </c>
      <c r="K119" s="137">
        <f>'EUR SWAP 3ML'!$L$42</f>
        <v>-1.4999999999999999E-4</v>
      </c>
      <c r="L119" s="136" t="s">
        <v>193</v>
      </c>
      <c r="M119" s="200"/>
      <c r="N119" s="280">
        <f t="shared" si="87"/>
        <v>1000000</v>
      </c>
      <c r="O119" s="253" t="str">
        <f t="shared" si="88"/>
        <v>RECEIVER</v>
      </c>
      <c r="P119" s="256">
        <f t="shared" ca="1" si="89"/>
        <v>42523</v>
      </c>
      <c r="Q119" s="256" t="str">
        <f t="shared" si="90"/>
        <v>8Y</v>
      </c>
      <c r="R119" s="250" t="s">
        <v>26</v>
      </c>
      <c r="S119" s="255" t="s">
        <v>20</v>
      </c>
      <c r="T119" s="250" t="s">
        <v>22</v>
      </c>
      <c r="U119" s="250" t="s">
        <v>2</v>
      </c>
      <c r="V119" s="256"/>
      <c r="W119" s="256"/>
      <c r="X119" s="257">
        <f t="shared" ca="1" si="91"/>
        <v>2</v>
      </c>
      <c r="Y119" s="258" t="s">
        <v>177</v>
      </c>
      <c r="Z119" s="255" t="s">
        <v>178</v>
      </c>
      <c r="AA119" s="253" t="str">
        <f t="shared" si="85"/>
        <v>EUR12ML</v>
      </c>
      <c r="AB119" s="257" t="str">
        <f t="shared" si="92"/>
        <v>Annual</v>
      </c>
      <c r="AC119" s="255" t="s">
        <v>6</v>
      </c>
      <c r="AD119" s="250" t="s">
        <v>22</v>
      </c>
      <c r="AE119" s="250" t="s">
        <v>2</v>
      </c>
      <c r="AF119" s="256"/>
      <c r="AG119" s="256"/>
      <c r="AH119" s="257">
        <f t="shared" ca="1" si="93"/>
        <v>2</v>
      </c>
      <c r="AI119" s="258" t="s">
        <v>177</v>
      </c>
      <c r="AJ119" s="259">
        <f t="shared" si="94"/>
        <v>-1.4999999999999999E-4</v>
      </c>
      <c r="AK119" s="260"/>
      <c r="AL119" s="258" t="s">
        <v>177</v>
      </c>
      <c r="AM119" s="255" t="s">
        <v>178</v>
      </c>
      <c r="AN119" s="256" t="str">
        <f t="shared" si="95"/>
        <v>EURYC</v>
      </c>
      <c r="AO119" s="253" t="str">
        <f t="shared" si="96"/>
        <v>EURDF_NOCSA</v>
      </c>
      <c r="AP119" s="261">
        <f t="shared" si="86"/>
        <v>0</v>
      </c>
      <c r="AQ119" s="272">
        <f t="shared" si="97"/>
        <v>0</v>
      </c>
      <c r="AR119" s="224" t="s">
        <v>4</v>
      </c>
      <c r="AS119" s="181">
        <f ca="1">IF(AND(NOW(),isEUR12MLLoaded),IF(OR($D119="",$D119=0),"",_xll.meProductSwapParRate(_xll.meUtilityLVBFromKeysValues($P$5:$AP$5,$P119:$AP119))),"Please Load Yield Curves")</f>
        <v>4.8321399635868562E-3</v>
      </c>
      <c r="AT119" s="139">
        <f ca="1">IF(AND(NOW(),isEUR12MLLoaded),IF(OR($D119="",$D119=0),"",_xll.meProductSwapPV(_xll.meUtilityLVBFromKeysValues($N$5:$AP$5,$N119:$AP119))),"Please Load Yield Curves")</f>
        <v>-38975.036164853795</v>
      </c>
      <c r="AU119" s="139">
        <f ca="1">IF(AND(NOW(),isEUR12MLLoaded),IF(OR($D119="",$D119=0),"",_xll.meProductSwapPV01(_xll.meUtilityLVBFromKeysValues($N$5:$AO$5,$N119:$AO119))),"Please Load Yield Curves")</f>
        <v>806.57920628447516</v>
      </c>
      <c r="AV119" s="196">
        <f ca="1">IF(AND(NOW(),isEUR12MLLoaded),IF(OR($D119="",$D119=0),"",_xll.meProductSwapDV01(_xll.meUtilityLVBFromKeysValues($N$5:$AQ$5,$N119:$AQ119))),"Please Load Yield Curves")</f>
        <v>780.96899580713</v>
      </c>
      <c r="AW119" s="48"/>
    </row>
    <row r="120" spans="2:49" hidden="1" outlineLevel="1" x14ac:dyDescent="0.25">
      <c r="B120" s="132">
        <f ca="1">IF(OR(D120="",D120=0),"",_xll.meDateFromTenor(COB,C120,$T120,$U120))</f>
        <v>42523</v>
      </c>
      <c r="C120" s="140" t="s">
        <v>191</v>
      </c>
      <c r="D120" s="134">
        <v>1000000</v>
      </c>
      <c r="E120" s="134" t="s">
        <v>17</v>
      </c>
      <c r="F120" s="135" t="s">
        <v>229</v>
      </c>
      <c r="G120" s="136" t="s">
        <v>59</v>
      </c>
      <c r="H120" s="137">
        <v>0</v>
      </c>
      <c r="I120" s="167" t="s">
        <v>240</v>
      </c>
      <c r="J120" s="138">
        <v>0</v>
      </c>
      <c r="K120" s="137">
        <f>'EUR SWAP 3ML'!$L$42</f>
        <v>-1.4999999999999999E-4</v>
      </c>
      <c r="L120" s="136" t="s">
        <v>193</v>
      </c>
      <c r="M120" s="200"/>
      <c r="N120" s="280">
        <f t="shared" si="87"/>
        <v>1000000</v>
      </c>
      <c r="O120" s="253" t="str">
        <f t="shared" si="88"/>
        <v>RECEIVER</v>
      </c>
      <c r="P120" s="256">
        <f t="shared" ca="1" si="89"/>
        <v>42523</v>
      </c>
      <c r="Q120" s="256" t="str">
        <f t="shared" si="90"/>
        <v>9Y</v>
      </c>
      <c r="R120" s="250" t="s">
        <v>26</v>
      </c>
      <c r="S120" s="255" t="s">
        <v>20</v>
      </c>
      <c r="T120" s="250" t="s">
        <v>22</v>
      </c>
      <c r="U120" s="250" t="s">
        <v>2</v>
      </c>
      <c r="V120" s="256"/>
      <c r="W120" s="256"/>
      <c r="X120" s="257">
        <f t="shared" ca="1" si="91"/>
        <v>2</v>
      </c>
      <c r="Y120" s="258" t="s">
        <v>177</v>
      </c>
      <c r="Z120" s="255" t="s">
        <v>178</v>
      </c>
      <c r="AA120" s="253" t="str">
        <f t="shared" si="85"/>
        <v>EUR12ML</v>
      </c>
      <c r="AB120" s="257" t="str">
        <f t="shared" si="92"/>
        <v>Annual</v>
      </c>
      <c r="AC120" s="255" t="s">
        <v>6</v>
      </c>
      <c r="AD120" s="250" t="s">
        <v>22</v>
      </c>
      <c r="AE120" s="250" t="s">
        <v>2</v>
      </c>
      <c r="AF120" s="256"/>
      <c r="AG120" s="256"/>
      <c r="AH120" s="257">
        <f t="shared" ca="1" si="93"/>
        <v>2</v>
      </c>
      <c r="AI120" s="258" t="s">
        <v>177</v>
      </c>
      <c r="AJ120" s="259">
        <f t="shared" si="94"/>
        <v>-1.4999999999999999E-4</v>
      </c>
      <c r="AK120" s="260"/>
      <c r="AL120" s="258" t="s">
        <v>177</v>
      </c>
      <c r="AM120" s="255" t="s">
        <v>178</v>
      </c>
      <c r="AN120" s="256" t="str">
        <f t="shared" si="95"/>
        <v>EURYC</v>
      </c>
      <c r="AO120" s="253" t="str">
        <f t="shared" si="96"/>
        <v>EURDF_NOCSA</v>
      </c>
      <c r="AP120" s="261">
        <f t="shared" si="86"/>
        <v>0</v>
      </c>
      <c r="AQ120" s="272">
        <f t="shared" si="97"/>
        <v>0</v>
      </c>
      <c r="AR120" s="224" t="s">
        <v>4</v>
      </c>
      <c r="AS120" s="181">
        <f ca="1">IF(AND(NOW(),isEUR12MLLoaded),IF(OR($D120="",$D120=0),"",_xll.meProductSwapParRate(_xll.meUtilityLVBFromKeysValues($P$5:$AP$5,$P120:$AP120))),"Please Load Yield Curves")</f>
        <v>5.9010789354615465E-3</v>
      </c>
      <c r="AT120" s="139">
        <f ca="1">IF(AND(NOW(),isEUR12MLLoaded),IF(OR($D120="",$D120=0),"",_xll.meProductSwapPV(_xll.meUtilityLVBFromKeysValues($N$5:$AP$5,$N120:$AP120))),"Please Load Yield Curves")</f>
        <v>-53387.347851283579</v>
      </c>
      <c r="AU120" s="139">
        <f ca="1">IF(AND(NOW(),isEUR12MLLoaded),IF(OR($D120="",$D120=0),"",_xll.meProductSwapPV01(_xll.meUtilityLVBFromKeysValues($N$5:$AO$5,$N120:$AO120))),"Please Load Yield Curves")</f>
        <v>904.70485880914498</v>
      </c>
      <c r="AV120" s="196">
        <f ca="1">IF(AND(NOW(),isEUR12MLLoaded),IF(OR($D120="",$D120=0),"",_xll.meProductSwapDV01(_xll.meUtilityLVBFromKeysValues($N$5:$AQ$5,$N120:$AQ120))),"Please Load Yield Curves")</f>
        <v>866.22132165756545</v>
      </c>
      <c r="AW120" s="48"/>
    </row>
    <row r="121" spans="2:49" hidden="1" outlineLevel="1" x14ac:dyDescent="0.25">
      <c r="B121" s="132">
        <f ca="1">IF(OR(D121="",D121=0),"",_xll.meDateFromTenor(COB,C121,$T121,$U121))</f>
        <v>42523</v>
      </c>
      <c r="C121" s="140" t="s">
        <v>191</v>
      </c>
      <c r="D121" s="134">
        <v>1000000</v>
      </c>
      <c r="E121" s="134" t="s">
        <v>17</v>
      </c>
      <c r="F121" s="135" t="s">
        <v>229</v>
      </c>
      <c r="G121" s="136" t="s">
        <v>60</v>
      </c>
      <c r="H121" s="137">
        <v>0</v>
      </c>
      <c r="I121" s="167" t="s">
        <v>240</v>
      </c>
      <c r="J121" s="138">
        <v>0</v>
      </c>
      <c r="K121" s="137">
        <f>'EUR SWAP 3ML'!$L$42</f>
        <v>-1.4999999999999999E-4</v>
      </c>
      <c r="L121" s="136" t="s">
        <v>193</v>
      </c>
      <c r="M121" s="200"/>
      <c r="N121" s="280">
        <f t="shared" si="87"/>
        <v>1000000</v>
      </c>
      <c r="O121" s="253" t="str">
        <f t="shared" si="88"/>
        <v>RECEIVER</v>
      </c>
      <c r="P121" s="256">
        <f t="shared" ca="1" si="89"/>
        <v>42523</v>
      </c>
      <c r="Q121" s="256" t="str">
        <f t="shared" si="90"/>
        <v>10Y</v>
      </c>
      <c r="R121" s="250" t="s">
        <v>26</v>
      </c>
      <c r="S121" s="255" t="s">
        <v>20</v>
      </c>
      <c r="T121" s="250" t="s">
        <v>22</v>
      </c>
      <c r="U121" s="250" t="s">
        <v>2</v>
      </c>
      <c r="V121" s="256"/>
      <c r="W121" s="256"/>
      <c r="X121" s="257">
        <f t="shared" ca="1" si="91"/>
        <v>2</v>
      </c>
      <c r="Y121" s="258" t="s">
        <v>177</v>
      </c>
      <c r="Z121" s="255" t="s">
        <v>178</v>
      </c>
      <c r="AA121" s="253" t="str">
        <f t="shared" si="85"/>
        <v>EUR12ML</v>
      </c>
      <c r="AB121" s="257" t="str">
        <f t="shared" si="92"/>
        <v>Annual</v>
      </c>
      <c r="AC121" s="255" t="s">
        <v>6</v>
      </c>
      <c r="AD121" s="250" t="s">
        <v>22</v>
      </c>
      <c r="AE121" s="250" t="s">
        <v>2</v>
      </c>
      <c r="AF121" s="256"/>
      <c r="AG121" s="256"/>
      <c r="AH121" s="257">
        <f t="shared" ca="1" si="93"/>
        <v>2</v>
      </c>
      <c r="AI121" s="258" t="s">
        <v>177</v>
      </c>
      <c r="AJ121" s="259">
        <f t="shared" si="94"/>
        <v>-1.4999999999999999E-4</v>
      </c>
      <c r="AK121" s="260"/>
      <c r="AL121" s="258" t="s">
        <v>177</v>
      </c>
      <c r="AM121" s="255" t="s">
        <v>178</v>
      </c>
      <c r="AN121" s="256" t="str">
        <f t="shared" si="95"/>
        <v>EURYC</v>
      </c>
      <c r="AO121" s="253" t="str">
        <f t="shared" si="96"/>
        <v>EURDF_NOCSA</v>
      </c>
      <c r="AP121" s="261">
        <f t="shared" si="86"/>
        <v>0</v>
      </c>
      <c r="AQ121" s="272">
        <f t="shared" si="97"/>
        <v>0</v>
      </c>
      <c r="AR121" s="224" t="s">
        <v>4</v>
      </c>
      <c r="AS121" s="181">
        <f ca="1">IF(AND(NOW(),isEUR12MLLoaded),IF(OR($D121="",$D121=0),"",_xll.meProductSwapParRate(_xll.meUtilityLVBFromKeysValues($P$5:$AP$5,$P121:$AP121))),"Please Load Yield Curves")</f>
        <v>6.8897933626022242E-3</v>
      </c>
      <c r="AT121" s="139">
        <f ca="1">IF(AND(NOW(),isEUR12MLLoaded),IF(OR($D121="",$D121=0),"",_xll.meProductSwapPV(_xll.meUtilityLVBFromKeysValues($N$5:$AP$5,$N121:$AP121))),"Please Load Yield Curves")</f>
        <v>-69023.329546008259</v>
      </c>
      <c r="AU121" s="139">
        <f ca="1">IF(AND(NOW(),isEUR12MLLoaded),IF(OR($D121="",$D121=0),"",_xll.meProductSwapPV01(_xll.meUtilityLVBFromKeysValues($N$5:$AO$5,$N121:$AO121))),"Please Load Yield Curves")</f>
        <v>1001.8200243953131</v>
      </c>
      <c r="AV121" s="196">
        <f ca="1">IF(AND(NOW(),isEUR12MLLoaded),IF(OR($D121="",$D121=0),"",_xll.meProductSwapDV01(_xll.meUtilityLVBFromKeysValues($N$5:$AQ$5,$N121:$AQ121))),"Please Load Yield Curves")</f>
        <v>947.83926453178663</v>
      </c>
      <c r="AW121" s="48"/>
    </row>
    <row r="122" spans="2:49" hidden="1" outlineLevel="1" x14ac:dyDescent="0.25">
      <c r="B122" s="132">
        <f ca="1">IF(OR(D122="",D122=0),"",_xll.meDateFromTenor(COB,C122,$T122,$U122))</f>
        <v>42523</v>
      </c>
      <c r="C122" s="140" t="s">
        <v>191</v>
      </c>
      <c r="D122" s="134">
        <v>1000000</v>
      </c>
      <c r="E122" s="134" t="s">
        <v>17</v>
      </c>
      <c r="F122" s="135" t="s">
        <v>229</v>
      </c>
      <c r="G122" s="136" t="s">
        <v>63</v>
      </c>
      <c r="H122" s="137">
        <v>0</v>
      </c>
      <c r="I122" s="167" t="s">
        <v>240</v>
      </c>
      <c r="J122" s="138">
        <v>0</v>
      </c>
      <c r="K122" s="137">
        <f>'EUR SWAP 3ML'!$L$42</f>
        <v>-1.4999999999999999E-4</v>
      </c>
      <c r="L122" s="136" t="s">
        <v>193</v>
      </c>
      <c r="M122" s="200"/>
      <c r="N122" s="280">
        <f t="shared" si="87"/>
        <v>1000000</v>
      </c>
      <c r="O122" s="253" t="str">
        <f t="shared" si="88"/>
        <v>RECEIVER</v>
      </c>
      <c r="P122" s="256">
        <f t="shared" ca="1" si="89"/>
        <v>42523</v>
      </c>
      <c r="Q122" s="256" t="str">
        <f t="shared" si="90"/>
        <v>15Y</v>
      </c>
      <c r="R122" s="250" t="s">
        <v>26</v>
      </c>
      <c r="S122" s="255" t="s">
        <v>20</v>
      </c>
      <c r="T122" s="250" t="s">
        <v>22</v>
      </c>
      <c r="U122" s="250" t="s">
        <v>2</v>
      </c>
      <c r="V122" s="256"/>
      <c r="W122" s="256"/>
      <c r="X122" s="257">
        <f t="shared" ca="1" si="91"/>
        <v>2</v>
      </c>
      <c r="Y122" s="258" t="s">
        <v>177</v>
      </c>
      <c r="Z122" s="255" t="s">
        <v>178</v>
      </c>
      <c r="AA122" s="253" t="str">
        <f t="shared" si="85"/>
        <v>EUR12ML</v>
      </c>
      <c r="AB122" s="257" t="str">
        <f t="shared" si="92"/>
        <v>Annual</v>
      </c>
      <c r="AC122" s="255" t="s">
        <v>6</v>
      </c>
      <c r="AD122" s="250" t="s">
        <v>22</v>
      </c>
      <c r="AE122" s="250" t="s">
        <v>2</v>
      </c>
      <c r="AF122" s="256"/>
      <c r="AG122" s="256"/>
      <c r="AH122" s="257">
        <f t="shared" ca="1" si="93"/>
        <v>2</v>
      </c>
      <c r="AI122" s="258" t="s">
        <v>177</v>
      </c>
      <c r="AJ122" s="259">
        <f t="shared" si="94"/>
        <v>-1.4999999999999999E-4</v>
      </c>
      <c r="AK122" s="260"/>
      <c r="AL122" s="258" t="s">
        <v>177</v>
      </c>
      <c r="AM122" s="255" t="s">
        <v>178</v>
      </c>
      <c r="AN122" s="256" t="str">
        <f t="shared" si="95"/>
        <v>EURYC</v>
      </c>
      <c r="AO122" s="253" t="str">
        <f t="shared" si="96"/>
        <v>EURDF_NOCSA</v>
      </c>
      <c r="AP122" s="261">
        <f t="shared" si="86"/>
        <v>0</v>
      </c>
      <c r="AQ122" s="272">
        <f t="shared" si="97"/>
        <v>0</v>
      </c>
      <c r="AR122" s="224" t="s">
        <v>4</v>
      </c>
      <c r="AS122" s="181">
        <f ca="1">IF(AND(NOW(),isEUR12MLLoaded),IF(OR($D122="",$D122=0),"",_xll.meProductSwapParRate(_xll.meUtilityLVBFromKeysValues($P$5:$AP$5,$P122:$AP122))),"Please Load Yield Curves")</f>
        <v>1.0303309960632535E-2</v>
      </c>
      <c r="AT122" s="139">
        <f ca="1">IF(AND(NOW(),isEUR12MLLoaded),IF(OR($D122="",$D122=0),"",_xll.meProductSwapPV(_xll.meUtilityLVBFromKeysValues($N$5:$AP$5,$N122:$AP122))),"Please Load Yield Curves")</f>
        <v>-151004.84324656439</v>
      </c>
      <c r="AU122" s="139">
        <f ca="1">IF(AND(NOW(),isEUR12MLLoaded),IF(OR($D122="",$D122=0),"",_xll.meProductSwapPV01(_xll.meUtilityLVBFromKeysValues($N$5:$AO$5,$N122:$AO122))),"Please Load Yield Curves")</f>
        <v>1465.5954622692336</v>
      </c>
      <c r="AV122" s="196">
        <f ca="1">IF(AND(NOW(),isEUR12MLLoaded),IF(OR($D122="",$D122=0),"",_xll.meProductSwapDV01(_xll.meUtilityLVBFromKeysValues($N$5:$AQ$5,$N122:$AQ122))),"Please Load Yield Curves")</f>
        <v>1306.3361556661268</v>
      </c>
      <c r="AW122" s="48"/>
    </row>
    <row r="123" spans="2:49" hidden="1" outlineLevel="1" x14ac:dyDescent="0.25">
      <c r="B123" s="132">
        <f ca="1">IF(OR(D123="",D123=0),"",_xll.meDateFromTenor(COB,C123,$T123,$U123))</f>
        <v>42523</v>
      </c>
      <c r="C123" s="140" t="s">
        <v>191</v>
      </c>
      <c r="D123" s="134">
        <v>1000000</v>
      </c>
      <c r="E123" s="134" t="s">
        <v>17</v>
      </c>
      <c r="F123" s="135" t="s">
        <v>229</v>
      </c>
      <c r="G123" s="136" t="s">
        <v>64</v>
      </c>
      <c r="H123" s="137">
        <v>0</v>
      </c>
      <c r="I123" s="167" t="s">
        <v>240</v>
      </c>
      <c r="J123" s="138">
        <v>0</v>
      </c>
      <c r="K123" s="137">
        <f>'EUR SWAP 3ML'!$L$42</f>
        <v>-1.4999999999999999E-4</v>
      </c>
      <c r="L123" s="136" t="s">
        <v>193</v>
      </c>
      <c r="M123" s="200"/>
      <c r="N123" s="280">
        <f t="shared" si="87"/>
        <v>1000000</v>
      </c>
      <c r="O123" s="253" t="str">
        <f t="shared" si="88"/>
        <v>RECEIVER</v>
      </c>
      <c r="P123" s="256">
        <f t="shared" ca="1" si="89"/>
        <v>42523</v>
      </c>
      <c r="Q123" s="256" t="str">
        <f t="shared" si="90"/>
        <v>20Y</v>
      </c>
      <c r="R123" s="250" t="s">
        <v>26</v>
      </c>
      <c r="S123" s="255" t="s">
        <v>20</v>
      </c>
      <c r="T123" s="250" t="s">
        <v>22</v>
      </c>
      <c r="U123" s="250" t="s">
        <v>2</v>
      </c>
      <c r="V123" s="256"/>
      <c r="W123" s="256"/>
      <c r="X123" s="257">
        <f t="shared" ca="1" si="91"/>
        <v>2</v>
      </c>
      <c r="Y123" s="258" t="s">
        <v>177</v>
      </c>
      <c r="Z123" s="255" t="s">
        <v>178</v>
      </c>
      <c r="AA123" s="253" t="str">
        <f t="shared" si="85"/>
        <v>EUR12ML</v>
      </c>
      <c r="AB123" s="257" t="str">
        <f t="shared" si="92"/>
        <v>Annual</v>
      </c>
      <c r="AC123" s="255" t="s">
        <v>6</v>
      </c>
      <c r="AD123" s="250" t="s">
        <v>22</v>
      </c>
      <c r="AE123" s="250" t="s">
        <v>2</v>
      </c>
      <c r="AF123" s="256"/>
      <c r="AG123" s="256"/>
      <c r="AH123" s="257">
        <f t="shared" ca="1" si="93"/>
        <v>2</v>
      </c>
      <c r="AI123" s="258" t="s">
        <v>177</v>
      </c>
      <c r="AJ123" s="259">
        <f t="shared" si="94"/>
        <v>-1.4999999999999999E-4</v>
      </c>
      <c r="AK123" s="260"/>
      <c r="AL123" s="258" t="s">
        <v>177</v>
      </c>
      <c r="AM123" s="255" t="s">
        <v>178</v>
      </c>
      <c r="AN123" s="256" t="str">
        <f t="shared" si="95"/>
        <v>EURYC</v>
      </c>
      <c r="AO123" s="253" t="str">
        <f t="shared" si="96"/>
        <v>EURDF_NOCSA</v>
      </c>
      <c r="AP123" s="261">
        <f t="shared" si="86"/>
        <v>0</v>
      </c>
      <c r="AQ123" s="272">
        <f t="shared" si="97"/>
        <v>0</v>
      </c>
      <c r="AR123" s="224" t="s">
        <v>4</v>
      </c>
      <c r="AS123" s="181">
        <f ca="1">IF(AND(NOW(),isEUR12MLLoaded),IF(OR($D123="",$D123=0),"",_xll.meProductSwapParRate(_xll.meUtilityLVBFromKeysValues($P$5:$AP$5,$P123:$AP123))),"Please Load Yield Curves")</f>
        <v>1.1683433301071475E-2</v>
      </c>
      <c r="AT123" s="139">
        <f ca="1">IF(AND(NOW(),isEUR12MLLoaded),IF(OR($D123="",$D123=0),"",_xll.meProductSwapPV(_xll.meUtilityLVBFromKeysValues($N$5:$AP$5,$N123:$AP123))),"Please Load Yield Curves")</f>
        <v>-221315.64385783751</v>
      </c>
      <c r="AU123" s="139">
        <f ca="1">IF(AND(NOW(),isEUR12MLLoaded),IF(OR($D123="",$D123=0),"",_xll.meProductSwapPV01(_xll.meUtilityLVBFromKeysValues($N$5:$AO$5,$N123:$AO123))),"Please Load Yield Curves")</f>
        <v>1894.2689032815456</v>
      </c>
      <c r="AV123" s="196">
        <f ca="1">IF(AND(NOW(),isEUR12MLLoaded),IF(OR($D123="",$D123=0),"",_xll.meProductSwapDV01(_xll.meUtilityLVBFromKeysValues($N$5:$AQ$5,$N123:$AQ123))),"Please Load Yield Curves")</f>
        <v>1610.7769537591305</v>
      </c>
      <c r="AW123" s="48"/>
    </row>
    <row r="124" spans="2:49" hidden="1" outlineLevel="1" x14ac:dyDescent="0.25">
      <c r="B124" s="132">
        <f ca="1">IF(OR(D124="",D124=0),"",_xll.meDateFromTenor(COB,C124,$T124,$U124))</f>
        <v>42523</v>
      </c>
      <c r="C124" s="140" t="s">
        <v>191</v>
      </c>
      <c r="D124" s="134">
        <v>1000000</v>
      </c>
      <c r="E124" s="134" t="s">
        <v>17</v>
      </c>
      <c r="F124" s="135" t="s">
        <v>229</v>
      </c>
      <c r="G124" s="136" t="s">
        <v>65</v>
      </c>
      <c r="H124" s="137">
        <v>0</v>
      </c>
      <c r="I124" s="167" t="s">
        <v>240</v>
      </c>
      <c r="J124" s="138">
        <v>0</v>
      </c>
      <c r="K124" s="137">
        <f>'EUR SWAP 3ML'!$L$42</f>
        <v>-1.4999999999999999E-4</v>
      </c>
      <c r="L124" s="136" t="s">
        <v>193</v>
      </c>
      <c r="M124" s="200"/>
      <c r="N124" s="280">
        <f t="shared" si="87"/>
        <v>1000000</v>
      </c>
      <c r="O124" s="253" t="str">
        <f t="shared" si="88"/>
        <v>RECEIVER</v>
      </c>
      <c r="P124" s="256">
        <f t="shared" ca="1" si="89"/>
        <v>42523</v>
      </c>
      <c r="Q124" s="256" t="str">
        <f t="shared" si="90"/>
        <v>25Y</v>
      </c>
      <c r="R124" s="250" t="s">
        <v>26</v>
      </c>
      <c r="S124" s="255" t="s">
        <v>20</v>
      </c>
      <c r="T124" s="250" t="s">
        <v>22</v>
      </c>
      <c r="U124" s="250" t="s">
        <v>2</v>
      </c>
      <c r="V124" s="256"/>
      <c r="W124" s="256"/>
      <c r="X124" s="257">
        <f t="shared" ca="1" si="91"/>
        <v>2</v>
      </c>
      <c r="Y124" s="258" t="s">
        <v>177</v>
      </c>
      <c r="Z124" s="255" t="s">
        <v>178</v>
      </c>
      <c r="AA124" s="253" t="str">
        <f t="shared" si="85"/>
        <v>EUR12ML</v>
      </c>
      <c r="AB124" s="257" t="str">
        <f t="shared" si="92"/>
        <v>Annual</v>
      </c>
      <c r="AC124" s="255" t="s">
        <v>6</v>
      </c>
      <c r="AD124" s="250" t="s">
        <v>22</v>
      </c>
      <c r="AE124" s="250" t="s">
        <v>2</v>
      </c>
      <c r="AF124" s="256"/>
      <c r="AG124" s="256"/>
      <c r="AH124" s="257">
        <f t="shared" ca="1" si="93"/>
        <v>2</v>
      </c>
      <c r="AI124" s="258" t="s">
        <v>177</v>
      </c>
      <c r="AJ124" s="259">
        <f t="shared" si="94"/>
        <v>-1.4999999999999999E-4</v>
      </c>
      <c r="AK124" s="260"/>
      <c r="AL124" s="258" t="s">
        <v>177</v>
      </c>
      <c r="AM124" s="255" t="s">
        <v>178</v>
      </c>
      <c r="AN124" s="256" t="str">
        <f t="shared" si="95"/>
        <v>EURYC</v>
      </c>
      <c r="AO124" s="253" t="str">
        <f t="shared" si="96"/>
        <v>EURDF_NOCSA</v>
      </c>
      <c r="AP124" s="261">
        <f t="shared" si="86"/>
        <v>0</v>
      </c>
      <c r="AQ124" s="272">
        <f t="shared" si="97"/>
        <v>0</v>
      </c>
      <c r="AR124" s="224" t="s">
        <v>4</v>
      </c>
      <c r="AS124" s="181">
        <f ca="1">IF(AND(NOW(),isEUR12MLLoaded),IF(OR($D124="",$D124=0),"",_xll.meProductSwapParRate(_xll.meUtilityLVBFromKeysValues($P$5:$AP$5,$P124:$AP124))),"Please Load Yield Curves")</f>
        <v>1.2001668242521852E-2</v>
      </c>
      <c r="AT124" s="139">
        <f ca="1">IF(AND(NOW(),isEUR12MLLoaded),IF(OR($D124="",$D124=0),"",_xll.meProductSwapPV(_xll.meUtilityLVBFromKeysValues($N$5:$AP$5,$N124:$AP124))),"Please Load Yield Curves")</f>
        <v>-275450.76719703677</v>
      </c>
      <c r="AU124" s="139">
        <f ca="1">IF(AND(NOW(),isEUR12MLLoaded),IF(OR($D124="",$D124=0),"",_xll.meProductSwapPV01(_xll.meUtilityLVBFromKeysValues($N$5:$AO$5,$N124:$AO124))),"Please Load Yield Curves")</f>
        <v>2295.1039941357158</v>
      </c>
      <c r="AV124" s="196">
        <f ca="1">IF(AND(NOW(),isEUR12MLLoaded),IF(OR($D124="",$D124=0),"",_xll.meProductSwapDV01(_xll.meUtilityLVBFromKeysValues($N$5:$AQ$5,$N124:$AQ124))),"Please Load Yield Curves")</f>
        <v>1889.1367861542053</v>
      </c>
      <c r="AW124" s="48"/>
    </row>
    <row r="125" spans="2:49" hidden="1" outlineLevel="1" x14ac:dyDescent="0.25">
      <c r="B125" s="141">
        <f ca="1">IF(OR(D125="",D125=0),"",_xll.meDateFromTenor(COB,C125,$T125,$U125))</f>
        <v>42523</v>
      </c>
      <c r="C125" s="142" t="s">
        <v>191</v>
      </c>
      <c r="D125" s="143">
        <v>1000000</v>
      </c>
      <c r="E125" s="143" t="s">
        <v>17</v>
      </c>
      <c r="F125" s="144" t="s">
        <v>229</v>
      </c>
      <c r="G125" s="145" t="s">
        <v>66</v>
      </c>
      <c r="H125" s="146">
        <v>0</v>
      </c>
      <c r="I125" s="168" t="s">
        <v>240</v>
      </c>
      <c r="J125" s="147">
        <v>0</v>
      </c>
      <c r="K125" s="146">
        <f>'EUR SWAP 3ML'!$L$42</f>
        <v>-1.4999999999999999E-4</v>
      </c>
      <c r="L125" s="145" t="s">
        <v>193</v>
      </c>
      <c r="M125" s="200"/>
      <c r="N125" s="281">
        <f t="shared" si="87"/>
        <v>1000000</v>
      </c>
      <c r="O125" s="254" t="str">
        <f t="shared" si="88"/>
        <v>RECEIVER</v>
      </c>
      <c r="P125" s="148">
        <f t="shared" ca="1" si="89"/>
        <v>42523</v>
      </c>
      <c r="Q125" s="148" t="str">
        <f t="shared" si="90"/>
        <v>30Y</v>
      </c>
      <c r="R125" s="273" t="s">
        <v>26</v>
      </c>
      <c r="S125" s="274" t="s">
        <v>20</v>
      </c>
      <c r="T125" s="273" t="s">
        <v>22</v>
      </c>
      <c r="U125" s="273" t="s">
        <v>2</v>
      </c>
      <c r="V125" s="148"/>
      <c r="W125" s="148"/>
      <c r="X125" s="265">
        <f t="shared" ca="1" si="91"/>
        <v>2</v>
      </c>
      <c r="Y125" s="275" t="s">
        <v>177</v>
      </c>
      <c r="Z125" s="274" t="s">
        <v>178</v>
      </c>
      <c r="AA125" s="254" t="str">
        <f t="shared" si="85"/>
        <v>EUR12ML</v>
      </c>
      <c r="AB125" s="265" t="str">
        <f t="shared" si="92"/>
        <v>Annual</v>
      </c>
      <c r="AC125" s="274" t="s">
        <v>6</v>
      </c>
      <c r="AD125" s="273" t="s">
        <v>22</v>
      </c>
      <c r="AE125" s="273" t="s">
        <v>2</v>
      </c>
      <c r="AF125" s="148"/>
      <c r="AG125" s="148"/>
      <c r="AH125" s="265">
        <f t="shared" ca="1" si="93"/>
        <v>2</v>
      </c>
      <c r="AI125" s="275" t="s">
        <v>177</v>
      </c>
      <c r="AJ125" s="276">
        <f t="shared" si="94"/>
        <v>-1.4999999999999999E-4</v>
      </c>
      <c r="AK125" s="277"/>
      <c r="AL125" s="275" t="s">
        <v>177</v>
      </c>
      <c r="AM125" s="274" t="s">
        <v>178</v>
      </c>
      <c r="AN125" s="148" t="str">
        <f t="shared" si="95"/>
        <v>EURYC</v>
      </c>
      <c r="AO125" s="254" t="str">
        <f t="shared" si="96"/>
        <v>EURDF_NOCSA</v>
      </c>
      <c r="AP125" s="263">
        <f t="shared" si="86"/>
        <v>0</v>
      </c>
      <c r="AQ125" s="278">
        <f t="shared" si="97"/>
        <v>0</v>
      </c>
      <c r="AR125" s="224" t="s">
        <v>4</v>
      </c>
      <c r="AS125" s="182">
        <f ca="1">IF(AND(NOW(),isEUR12MLLoaded),IF(OR($D125="",$D125=0),"",_xll.meProductSwapParRate(_xll.meUtilityLVBFromKeysValues($P$5:$AP$5,$P125:$AP125))),"Please Load Yield Curves")</f>
        <v>1.2017354897163084E-2</v>
      </c>
      <c r="AT125" s="149">
        <f ca="1">IF(AND(NOW(),isEUR12MLLoaded),IF(OR($D125="",$D125=0),"",_xll.meProductSwapPV(_xll.meUtilityLVBFromKeysValues($N$5:$AP$5,$N125:$AP125))),"Please Load Yield Curves")</f>
        <v>-321269.48522327375</v>
      </c>
      <c r="AU125" s="149">
        <f ca="1">IF(AND(NOW(),isEUR12MLLoaded),IF(OR($D125="",$D125=0),"",_xll.meProductSwapPV01(_xll.meUtilityLVBFromKeysValues($N$5:$AO$5,$N125:$AO125))),"Please Load Yield Curves")</f>
        <v>2673.3793582073149</v>
      </c>
      <c r="AV125" s="197">
        <f ca="1">IF(AND(NOW(),isEUR12MLLoaded),IF(OR($D125="",$D125=0),"",_xll.meProductSwapDV01(_xll.meUtilityLVBFromKeysValues($N$5:$AQ$5,$N125:$AQ125))),"Please Load Yield Curves")</f>
        <v>2140.8040291141133</v>
      </c>
      <c r="AW125" s="48"/>
    </row>
    <row r="126" spans="2:49" collapsed="1" x14ac:dyDescent="0.25"/>
  </sheetData>
  <mergeCells count="5">
    <mergeCell ref="AT2:AU2"/>
    <mergeCell ref="AT3:AU3"/>
    <mergeCell ref="AT21:AU21"/>
    <mergeCell ref="AT57:AU57"/>
    <mergeCell ref="AT93:AU93"/>
  </mergeCells>
  <dataValidations count="8">
    <dataValidation type="list" allowBlank="1" showInputMessage="1" showErrorMessage="1" sqref="I42:I55 I6:I19 I25:I38 I78:I91 I61:I74 I97:I109 I113:I125">
      <formula1>"1ML,3ML,6ML,12ML"</formula1>
    </dataValidation>
    <dataValidation type="list" allowBlank="1" showInputMessage="1" showErrorMessage="1" sqref="AE6:AE19 U6:U19 AE97:AE109 U97:U109 AE25:AE38 U25:U38 AE42:AE55 U42:U55 AE61:AE74 U61:U74 AE78:AE91 U78:U91 AE113:AE125 U113:U125">
      <formula1>"TGT,NYB:LNB,LNB,TKB:LNB"</formula1>
    </dataValidation>
    <dataValidation type="list" allowBlank="1" showInputMessage="1" showErrorMessage="1" sqref="Z6:Z19 AM6:AM19 Z97:Z109 AM97:AM109 Z25:Z38 AM25:AM38 Z42:Z55 AM42:AM55 Z61:Z74 AM61:AM74 Z78:Z91 AM78:AM91 Z113:Z125 AM113:AM125">
      <formula1>"None,ShortStart,ShortEnd,LongStart,LongEnd"</formula1>
    </dataValidation>
    <dataValidation type="list" allowBlank="1" showInputMessage="1" showErrorMessage="1" sqref="S6:S19 AC6:AC19 S97:S109 AC97:AC109 S25:S38 AC25:AC38 S42:S55 AC42:AC55 S61:S74 AC61:AC74 S78:S91 AC78:AC91 S113:S125 AC113:AC125">
      <formula1>"30/360,ACT/360,ACT/365"</formula1>
    </dataValidation>
    <dataValidation type="list" allowBlank="1" showInputMessage="1" showErrorMessage="1" sqref="R6:R19 AB6:AB19 R97:R109 AB97:AB109 R25:R38 AB25:AB38 R42:R55 AB42:AB55 R61:R74 AB61:AB74 R78:R91 AB78:AB91 R113:R125 AB113:AB125">
      <formula1>"Annual,Semi-Annual,Quarterly,Monthly"</formula1>
    </dataValidation>
    <dataValidation type="list" allowBlank="1" showInputMessage="1" showErrorMessage="1" sqref="AD6:AD19 T6:T19 AD97:AD109 T97:T109 AD25:AD38 T25:T38 AD42:AD55 T42:T55 AD61:AD74 T61:T74 AD78:AD91 T78:T91 AD113:AD125 T113:T125">
      <formula1>"MOD_FOLLOWING,FOLLOWING,MOD_PRECEDING,PRECEDING,NO_CHANGE"</formula1>
    </dataValidation>
    <dataValidation type="list" allowBlank="1" showInputMessage="1" showErrorMessage="1" sqref="F42:F55 F6:F19 F25:F38 F78:F91 F61:F74 F97:F109 F113:F125">
      <formula1>"PAYER,RECEIVER"</formula1>
    </dataValidation>
    <dataValidation type="list" allowBlank="1" showInputMessage="1" showErrorMessage="1" sqref="L6:L19 L42:L55 L25:L38 L78:L91 L61:L74 L97:L109 L113:L125">
      <formula1>"NOCSA,EURCSA,GBPCSA"</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3"/>
  </sheetPr>
  <dimension ref="A2:K116"/>
  <sheetViews>
    <sheetView showGridLines="0" workbookViewId="0"/>
  </sheetViews>
  <sheetFormatPr defaultRowHeight="15" outlineLevelRow="1" x14ac:dyDescent="0.25"/>
  <cols>
    <col min="1" max="1" width="12.140625" style="203" bestFit="1" customWidth="1"/>
    <col min="2" max="2" width="37.5703125" style="203" customWidth="1"/>
    <col min="3" max="9" width="25.7109375" style="203" customWidth="1"/>
    <col min="10" max="16384" width="9.140625" style="203"/>
  </cols>
  <sheetData>
    <row r="2" spans="2:11" ht="23.25" x14ac:dyDescent="0.35">
      <c r="B2" s="354" t="s">
        <v>374</v>
      </c>
      <c r="K2" s="354"/>
    </row>
    <row r="3" spans="2:11" s="366" customFormat="1" x14ac:dyDescent="0.25"/>
    <row r="4" spans="2:11" x14ac:dyDescent="0.25">
      <c r="B4" s="386" t="s">
        <v>384</v>
      </c>
    </row>
    <row r="5" spans="2:11" x14ac:dyDescent="0.25">
      <c r="B5" s="383" t="s">
        <v>388</v>
      </c>
      <c r="C5" s="394">
        <v>1</v>
      </c>
      <c r="D5" s="394">
        <v>1</v>
      </c>
      <c r="E5" s="394">
        <v>1</v>
      </c>
      <c r="F5" s="394">
        <v>1</v>
      </c>
      <c r="G5" s="394">
        <v>1</v>
      </c>
      <c r="H5" s="394">
        <v>1</v>
      </c>
      <c r="I5" s="394">
        <v>1</v>
      </c>
    </row>
    <row r="6" spans="2:11" x14ac:dyDescent="0.25">
      <c r="B6" s="384" t="s">
        <v>379</v>
      </c>
      <c r="C6" s="355" t="s">
        <v>229</v>
      </c>
      <c r="D6" s="355" t="s">
        <v>229</v>
      </c>
      <c r="E6" s="355" t="s">
        <v>229</v>
      </c>
      <c r="F6" s="355" t="s">
        <v>229</v>
      </c>
      <c r="G6" s="355" t="s">
        <v>229</v>
      </c>
      <c r="H6" s="355" t="s">
        <v>229</v>
      </c>
      <c r="I6" s="355" t="s">
        <v>229</v>
      </c>
    </row>
    <row r="7" spans="2:11" x14ac:dyDescent="0.25">
      <c r="B7" s="384" t="s">
        <v>382</v>
      </c>
      <c r="C7" s="392">
        <v>0.01</v>
      </c>
      <c r="D7" s="392">
        <v>0.01</v>
      </c>
      <c r="E7" s="392">
        <v>0.01</v>
      </c>
      <c r="F7" s="392">
        <v>0.01</v>
      </c>
      <c r="G7" s="392">
        <v>0.01</v>
      </c>
      <c r="H7" s="392">
        <v>0.01</v>
      </c>
      <c r="I7" s="392">
        <v>0.01</v>
      </c>
    </row>
    <row r="8" spans="2:11" x14ac:dyDescent="0.25">
      <c r="B8" s="384" t="s">
        <v>380</v>
      </c>
      <c r="C8" s="379" t="s">
        <v>159</v>
      </c>
      <c r="D8" s="379" t="s">
        <v>47</v>
      </c>
      <c r="E8" s="379" t="s">
        <v>43</v>
      </c>
      <c r="F8" s="379" t="s">
        <v>50</v>
      </c>
      <c r="G8" s="379" t="s">
        <v>52</v>
      </c>
      <c r="H8" s="379" t="s">
        <v>60</v>
      </c>
      <c r="I8" s="379" t="s">
        <v>64</v>
      </c>
    </row>
    <row r="9" spans="2:11" x14ac:dyDescent="0.25">
      <c r="B9" s="384" t="s">
        <v>381</v>
      </c>
      <c r="C9" s="356" t="s">
        <v>174</v>
      </c>
      <c r="D9" s="356" t="s">
        <v>174</v>
      </c>
      <c r="E9" s="356" t="s">
        <v>174</v>
      </c>
      <c r="F9" s="356" t="s">
        <v>174</v>
      </c>
      <c r="G9" s="356" t="s">
        <v>174</v>
      </c>
      <c r="H9" s="356" t="s">
        <v>174</v>
      </c>
      <c r="I9" s="356" t="s">
        <v>174</v>
      </c>
    </row>
    <row r="10" spans="2:11" x14ac:dyDescent="0.25">
      <c r="B10" s="384" t="s">
        <v>383</v>
      </c>
      <c r="C10" s="405">
        <v>0</v>
      </c>
      <c r="D10" s="405">
        <v>0</v>
      </c>
      <c r="E10" s="405">
        <v>0</v>
      </c>
      <c r="F10" s="405">
        <v>0</v>
      </c>
      <c r="G10" s="405">
        <v>0</v>
      </c>
      <c r="H10" s="405">
        <v>0</v>
      </c>
      <c r="I10" s="405">
        <v>0</v>
      </c>
    </row>
    <row r="11" spans="2:11" x14ac:dyDescent="0.25">
      <c r="B11" s="385" t="s">
        <v>187</v>
      </c>
      <c r="C11" s="393" t="s">
        <v>373</v>
      </c>
      <c r="D11" s="393" t="s">
        <v>373</v>
      </c>
      <c r="E11" s="393" t="s">
        <v>373</v>
      </c>
      <c r="F11" s="393" t="s">
        <v>373</v>
      </c>
      <c r="G11" s="393" t="s">
        <v>373</v>
      </c>
      <c r="H11" s="393" t="s">
        <v>373</v>
      </c>
      <c r="I11" s="393" t="s">
        <v>373</v>
      </c>
    </row>
    <row r="12" spans="2:11" s="366" customFormat="1" x14ac:dyDescent="0.25"/>
    <row r="13" spans="2:11" s="366" customFormat="1" hidden="1" x14ac:dyDescent="0.25">
      <c r="B13" s="224" t="s">
        <v>385</v>
      </c>
      <c r="C13" s="420"/>
      <c r="D13" s="420"/>
      <c r="E13" s="420"/>
      <c r="F13" s="420"/>
      <c r="G13" s="420"/>
      <c r="H13" s="420"/>
      <c r="I13" s="420"/>
    </row>
    <row r="14" spans="2:11" s="366" customFormat="1" hidden="1" x14ac:dyDescent="0.25">
      <c r="B14" s="395" t="s">
        <v>401</v>
      </c>
      <c r="C14" s="390" t="str">
        <f>"IRS_"&amp;C19</f>
        <v>IRS_1Y</v>
      </c>
      <c r="D14" s="390" t="str">
        <f t="shared" ref="D14:I14" si="0">"IRS_"&amp;D19</f>
        <v>IRS_2Y</v>
      </c>
      <c r="E14" s="390" t="str">
        <f t="shared" si="0"/>
        <v>IRS_3Y</v>
      </c>
      <c r="F14" s="390" t="str">
        <f t="shared" si="0"/>
        <v>IRS_4Y</v>
      </c>
      <c r="G14" s="390" t="str">
        <f t="shared" si="0"/>
        <v>IRS_5Y</v>
      </c>
      <c r="H14" s="390" t="str">
        <f t="shared" si="0"/>
        <v>IRS_10Y</v>
      </c>
      <c r="I14" s="390" t="str">
        <f t="shared" si="0"/>
        <v>IRS_20Y</v>
      </c>
    </row>
    <row r="15" spans="2:11" s="366" customFormat="1" hidden="1" x14ac:dyDescent="0.25">
      <c r="B15" s="397" t="s">
        <v>399</v>
      </c>
      <c r="C15" s="398" t="s">
        <v>400</v>
      </c>
      <c r="D15" s="398" t="s">
        <v>400</v>
      </c>
      <c r="E15" s="398" t="s">
        <v>400</v>
      </c>
      <c r="F15" s="398" t="s">
        <v>400</v>
      </c>
      <c r="G15" s="398" t="s">
        <v>400</v>
      </c>
      <c r="H15" s="398" t="s">
        <v>400</v>
      </c>
      <c r="I15" s="398" t="s">
        <v>400</v>
      </c>
    </row>
    <row r="16" spans="2:11" hidden="1" x14ac:dyDescent="0.25">
      <c r="B16" s="357" t="s">
        <v>175</v>
      </c>
      <c r="C16" s="396">
        <f>C5*1000000</f>
        <v>1000000</v>
      </c>
      <c r="D16" s="396">
        <f t="shared" ref="D16:I16" si="1">D5*1000000</f>
        <v>1000000</v>
      </c>
      <c r="E16" s="396">
        <f t="shared" si="1"/>
        <v>1000000</v>
      </c>
      <c r="F16" s="396">
        <f t="shared" si="1"/>
        <v>1000000</v>
      </c>
      <c r="G16" s="396">
        <f t="shared" si="1"/>
        <v>1000000</v>
      </c>
      <c r="H16" s="396">
        <f t="shared" si="1"/>
        <v>1000000</v>
      </c>
      <c r="I16" s="396">
        <f t="shared" si="1"/>
        <v>1000000</v>
      </c>
    </row>
    <row r="17" spans="1:9" hidden="1" x14ac:dyDescent="0.25">
      <c r="A17" s="373" t="s">
        <v>386</v>
      </c>
      <c r="B17" s="357" t="s">
        <v>249</v>
      </c>
      <c r="C17" s="380" t="str">
        <f t="shared" ref="C17:I17" si="2">C6</f>
        <v>RECEIVER</v>
      </c>
      <c r="D17" s="380" t="str">
        <f t="shared" si="2"/>
        <v>RECEIVER</v>
      </c>
      <c r="E17" s="380" t="str">
        <f t="shared" si="2"/>
        <v>RECEIVER</v>
      </c>
      <c r="F17" s="380" t="str">
        <f t="shared" si="2"/>
        <v>RECEIVER</v>
      </c>
      <c r="G17" s="380" t="str">
        <f t="shared" si="2"/>
        <v>RECEIVER</v>
      </c>
      <c r="H17" s="380" t="str">
        <f t="shared" si="2"/>
        <v>RECEIVER</v>
      </c>
      <c r="I17" s="380" t="str">
        <f t="shared" si="2"/>
        <v>RECEIVER</v>
      </c>
    </row>
    <row r="18" spans="1:9" hidden="1" x14ac:dyDescent="0.25">
      <c r="A18" s="374" t="s">
        <v>191</v>
      </c>
      <c r="B18" s="357" t="s">
        <v>250</v>
      </c>
      <c r="C18" s="375">
        <f ca="1">_xll.meDateFromTenor(COB,$A$18,C24,C25)</f>
        <v>42523</v>
      </c>
      <c r="D18" s="375">
        <f ca="1">_xll.meDateFromTenor(COB,$A$18,D24,D25)</f>
        <v>42523</v>
      </c>
      <c r="E18" s="375">
        <f ca="1">_xll.meDateFromTenor(COB,$A$18,E24,E25)</f>
        <v>42523</v>
      </c>
      <c r="F18" s="375">
        <f ca="1">_xll.meDateFromTenor(COB,$A$18,F24,F25)</f>
        <v>42523</v>
      </c>
      <c r="G18" s="375">
        <f ca="1">_xll.meDateFromTenor(COB,$A$18,G24,G25)</f>
        <v>42523</v>
      </c>
      <c r="H18" s="375">
        <f ca="1">_xll.meDateFromTenor(COB,$A$18,H24,H25)</f>
        <v>42523</v>
      </c>
      <c r="I18" s="375">
        <f ca="1">_xll.meDateFromTenor(COB,$A$18,I24,I25)</f>
        <v>42523</v>
      </c>
    </row>
    <row r="19" spans="1:9" hidden="1" x14ac:dyDescent="0.25">
      <c r="B19" s="357" t="s">
        <v>251</v>
      </c>
      <c r="C19" s="391" t="str">
        <f t="shared" ref="C19:I19" si="3">C8</f>
        <v>1Y</v>
      </c>
      <c r="D19" s="391" t="str">
        <f t="shared" si="3"/>
        <v>2Y</v>
      </c>
      <c r="E19" s="391" t="str">
        <f t="shared" si="3"/>
        <v>3Y</v>
      </c>
      <c r="F19" s="391" t="str">
        <f t="shared" si="3"/>
        <v>4Y</v>
      </c>
      <c r="G19" s="391" t="str">
        <f t="shared" si="3"/>
        <v>5Y</v>
      </c>
      <c r="H19" s="391" t="str">
        <f t="shared" si="3"/>
        <v>10Y</v>
      </c>
      <c r="I19" s="391" t="str">
        <f t="shared" si="3"/>
        <v>20Y</v>
      </c>
    </row>
    <row r="20" spans="1:9" s="224" customFormat="1" hidden="1" x14ac:dyDescent="0.25">
      <c r="B20" s="357" t="s">
        <v>253</v>
      </c>
      <c r="C20" s="376" t="s">
        <v>26</v>
      </c>
      <c r="D20" s="376" t="s">
        <v>26</v>
      </c>
      <c r="E20" s="376" t="s">
        <v>26</v>
      </c>
      <c r="F20" s="376" t="s">
        <v>26</v>
      </c>
      <c r="G20" s="376" t="s">
        <v>26</v>
      </c>
      <c r="H20" s="376" t="s">
        <v>26</v>
      </c>
      <c r="I20" s="376" t="s">
        <v>26</v>
      </c>
    </row>
    <row r="21" spans="1:9" hidden="1" x14ac:dyDescent="0.25">
      <c r="B21" s="357" t="s">
        <v>254</v>
      </c>
      <c r="C21" s="377" t="s">
        <v>20</v>
      </c>
      <c r="D21" s="377" t="s">
        <v>20</v>
      </c>
      <c r="E21" s="377" t="s">
        <v>20</v>
      </c>
      <c r="F21" s="377" t="s">
        <v>20</v>
      </c>
      <c r="G21" s="377" t="s">
        <v>20</v>
      </c>
      <c r="H21" s="377" t="s">
        <v>20</v>
      </c>
      <c r="I21" s="377" t="s">
        <v>20</v>
      </c>
    </row>
    <row r="22" spans="1:9" hidden="1" x14ac:dyDescent="0.25">
      <c r="B22" s="357" t="s">
        <v>389</v>
      </c>
      <c r="C22" s="378" t="s">
        <v>22</v>
      </c>
      <c r="D22" s="378" t="s">
        <v>22</v>
      </c>
      <c r="E22" s="378" t="s">
        <v>22</v>
      </c>
      <c r="F22" s="378" t="s">
        <v>22</v>
      </c>
      <c r="G22" s="378" t="s">
        <v>22</v>
      </c>
      <c r="H22" s="378" t="s">
        <v>22</v>
      </c>
      <c r="I22" s="378" t="s">
        <v>22</v>
      </c>
    </row>
    <row r="23" spans="1:9" hidden="1" x14ac:dyDescent="0.25">
      <c r="B23" s="357" t="s">
        <v>391</v>
      </c>
      <c r="C23" s="378" t="s">
        <v>2</v>
      </c>
      <c r="D23" s="378" t="s">
        <v>2</v>
      </c>
      <c r="E23" s="378" t="s">
        <v>2</v>
      </c>
      <c r="F23" s="378" t="s">
        <v>2</v>
      </c>
      <c r="G23" s="378" t="s">
        <v>2</v>
      </c>
      <c r="H23" s="378" t="s">
        <v>2</v>
      </c>
      <c r="I23" s="378" t="s">
        <v>2</v>
      </c>
    </row>
    <row r="24" spans="1:9" hidden="1" x14ac:dyDescent="0.25">
      <c r="B24" s="357" t="s">
        <v>390</v>
      </c>
      <c r="C24" s="378" t="s">
        <v>22</v>
      </c>
      <c r="D24" s="378" t="s">
        <v>22</v>
      </c>
      <c r="E24" s="378" t="s">
        <v>22</v>
      </c>
      <c r="F24" s="378" t="s">
        <v>22</v>
      </c>
      <c r="G24" s="378" t="s">
        <v>22</v>
      </c>
      <c r="H24" s="378" t="s">
        <v>22</v>
      </c>
      <c r="I24" s="378" t="s">
        <v>22</v>
      </c>
    </row>
    <row r="25" spans="1:9" hidden="1" x14ac:dyDescent="0.25">
      <c r="B25" s="357" t="s">
        <v>392</v>
      </c>
      <c r="C25" s="378" t="s">
        <v>2</v>
      </c>
      <c r="D25" s="378" t="s">
        <v>2</v>
      </c>
      <c r="E25" s="378" t="s">
        <v>2</v>
      </c>
      <c r="F25" s="378" t="s">
        <v>2</v>
      </c>
      <c r="G25" s="378" t="s">
        <v>2</v>
      </c>
      <c r="H25" s="378" t="s">
        <v>2</v>
      </c>
      <c r="I25" s="378" t="s">
        <v>2</v>
      </c>
    </row>
    <row r="26" spans="1:9" hidden="1" x14ac:dyDescent="0.25">
      <c r="B26" s="357" t="s">
        <v>283</v>
      </c>
      <c r="C26" s="379"/>
      <c r="D26" s="379"/>
      <c r="E26" s="379"/>
      <c r="F26" s="379"/>
      <c r="G26" s="379"/>
      <c r="H26" s="379"/>
      <c r="I26" s="379"/>
    </row>
    <row r="27" spans="1:9" hidden="1" x14ac:dyDescent="0.25">
      <c r="B27" s="357" t="s">
        <v>284</v>
      </c>
      <c r="C27" s="379"/>
      <c r="D27" s="379"/>
      <c r="E27" s="379"/>
      <c r="F27" s="379"/>
      <c r="G27" s="379"/>
      <c r="H27" s="379"/>
      <c r="I27" s="379"/>
    </row>
    <row r="28" spans="1:9" hidden="1" x14ac:dyDescent="0.25">
      <c r="B28" s="357" t="s">
        <v>257</v>
      </c>
      <c r="C28" s="378">
        <v>2</v>
      </c>
      <c r="D28" s="378">
        <v>2</v>
      </c>
      <c r="E28" s="378">
        <v>2</v>
      </c>
      <c r="F28" s="378">
        <v>2</v>
      </c>
      <c r="G28" s="378">
        <v>2</v>
      </c>
      <c r="H28" s="378">
        <v>2</v>
      </c>
      <c r="I28" s="378">
        <v>2</v>
      </c>
    </row>
    <row r="29" spans="1:9" hidden="1" x14ac:dyDescent="0.25">
      <c r="B29" s="357" t="s">
        <v>258</v>
      </c>
      <c r="C29" s="377" t="s">
        <v>177</v>
      </c>
      <c r="D29" s="377" t="s">
        <v>177</v>
      </c>
      <c r="E29" s="377" t="s">
        <v>177</v>
      </c>
      <c r="F29" s="377" t="s">
        <v>177</v>
      </c>
      <c r="G29" s="377" t="s">
        <v>177</v>
      </c>
      <c r="H29" s="377" t="s">
        <v>177</v>
      </c>
      <c r="I29" s="377" t="s">
        <v>177</v>
      </c>
    </row>
    <row r="30" spans="1:9" hidden="1" x14ac:dyDescent="0.25">
      <c r="B30" s="357" t="s">
        <v>259</v>
      </c>
      <c r="C30" s="377" t="s">
        <v>178</v>
      </c>
      <c r="D30" s="377" t="s">
        <v>178</v>
      </c>
      <c r="E30" s="377" t="s">
        <v>178</v>
      </c>
      <c r="F30" s="377" t="s">
        <v>178</v>
      </c>
      <c r="G30" s="377" t="s">
        <v>178</v>
      </c>
      <c r="H30" s="377" t="s">
        <v>178</v>
      </c>
      <c r="I30" s="377" t="s">
        <v>178</v>
      </c>
    </row>
    <row r="31" spans="1:9" hidden="1" x14ac:dyDescent="0.25">
      <c r="B31" s="357" t="s">
        <v>252</v>
      </c>
      <c r="C31" s="387">
        <f t="shared" ref="C31:I31" si="4">C7</f>
        <v>0.01</v>
      </c>
      <c r="D31" s="387">
        <f t="shared" si="4"/>
        <v>0.01</v>
      </c>
      <c r="E31" s="387">
        <f t="shared" si="4"/>
        <v>0.01</v>
      </c>
      <c r="F31" s="387">
        <f t="shared" si="4"/>
        <v>0.01</v>
      </c>
      <c r="G31" s="387">
        <f t="shared" si="4"/>
        <v>0.01</v>
      </c>
      <c r="H31" s="387">
        <f t="shared" si="4"/>
        <v>0.01</v>
      </c>
      <c r="I31" s="387">
        <f t="shared" si="4"/>
        <v>0.01</v>
      </c>
    </row>
    <row r="32" spans="1:9" hidden="1" x14ac:dyDescent="0.25">
      <c r="B32" s="357" t="s">
        <v>271</v>
      </c>
      <c r="C32" s="388" t="str">
        <f t="shared" ref="C32:I32" si="5">VLOOKUP(C9,Settings.LookupTable.ForecastCurve,2,0)</f>
        <v>STD</v>
      </c>
      <c r="D32" s="388" t="str">
        <f t="shared" si="5"/>
        <v>STD</v>
      </c>
      <c r="E32" s="388" t="str">
        <f t="shared" si="5"/>
        <v>STD</v>
      </c>
      <c r="F32" s="388" t="str">
        <f t="shared" si="5"/>
        <v>STD</v>
      </c>
      <c r="G32" s="388" t="str">
        <f t="shared" si="5"/>
        <v>STD</v>
      </c>
      <c r="H32" s="388" t="str">
        <f t="shared" si="5"/>
        <v>STD</v>
      </c>
      <c r="I32" s="388" t="str">
        <f t="shared" si="5"/>
        <v>STD</v>
      </c>
    </row>
    <row r="33" spans="2:9" hidden="1" x14ac:dyDescent="0.25">
      <c r="B33" s="357" t="s">
        <v>269</v>
      </c>
      <c r="C33" s="389">
        <f t="shared" ref="C33:I33" si="6">C10</f>
        <v>0</v>
      </c>
      <c r="D33" s="389">
        <f t="shared" si="6"/>
        <v>0</v>
      </c>
      <c r="E33" s="389">
        <f t="shared" si="6"/>
        <v>0</v>
      </c>
      <c r="F33" s="389">
        <f t="shared" si="6"/>
        <v>0</v>
      </c>
      <c r="G33" s="389">
        <f t="shared" si="6"/>
        <v>0</v>
      </c>
      <c r="H33" s="389">
        <f t="shared" si="6"/>
        <v>0</v>
      </c>
      <c r="I33" s="389">
        <f t="shared" si="6"/>
        <v>0</v>
      </c>
    </row>
    <row r="34" spans="2:9" hidden="1" x14ac:dyDescent="0.25">
      <c r="B34" s="357" t="s">
        <v>260</v>
      </c>
      <c r="C34" s="380" t="str">
        <f>IF($C$32="EUR1ML","Monthly",IF($C$32="EUR3ML","Quarterly",IF($C$32="EUR6ML","Semi-Annual","Annual")))</f>
        <v>Annual</v>
      </c>
      <c r="D34" s="380" t="str">
        <f t="shared" ref="D34:I34" si="7">IF($C$32="EUR1ML","Monthly",IF($C$32="EUR3ML","Quarterly",IF($C$32="EUR6ML","Semi-Annual","Annual")))</f>
        <v>Annual</v>
      </c>
      <c r="E34" s="380" t="str">
        <f t="shared" si="7"/>
        <v>Annual</v>
      </c>
      <c r="F34" s="380" t="str">
        <f t="shared" si="7"/>
        <v>Annual</v>
      </c>
      <c r="G34" s="380" t="str">
        <f t="shared" si="7"/>
        <v>Annual</v>
      </c>
      <c r="H34" s="380" t="str">
        <f t="shared" si="7"/>
        <v>Annual</v>
      </c>
      <c r="I34" s="380" t="str">
        <f t="shared" si="7"/>
        <v>Annual</v>
      </c>
    </row>
    <row r="35" spans="2:9" hidden="1" x14ac:dyDescent="0.25">
      <c r="B35" s="357" t="s">
        <v>261</v>
      </c>
      <c r="C35" s="377" t="s">
        <v>6</v>
      </c>
      <c r="D35" s="377" t="s">
        <v>6</v>
      </c>
      <c r="E35" s="377" t="s">
        <v>6</v>
      </c>
      <c r="F35" s="377" t="s">
        <v>6</v>
      </c>
      <c r="G35" s="377" t="s">
        <v>6</v>
      </c>
      <c r="H35" s="377" t="s">
        <v>6</v>
      </c>
      <c r="I35" s="377" t="s">
        <v>6</v>
      </c>
    </row>
    <row r="36" spans="2:9" hidden="1" x14ac:dyDescent="0.25">
      <c r="B36" s="357" t="s">
        <v>397</v>
      </c>
      <c r="C36" s="378" t="s">
        <v>22</v>
      </c>
      <c r="D36" s="378" t="s">
        <v>22</v>
      </c>
      <c r="E36" s="378" t="s">
        <v>22</v>
      </c>
      <c r="F36" s="378" t="s">
        <v>22</v>
      </c>
      <c r="G36" s="378" t="s">
        <v>22</v>
      </c>
      <c r="H36" s="378" t="s">
        <v>22</v>
      </c>
      <c r="I36" s="378" t="s">
        <v>22</v>
      </c>
    </row>
    <row r="37" spans="2:9" hidden="1" x14ac:dyDescent="0.25">
      <c r="B37" s="357" t="s">
        <v>398</v>
      </c>
      <c r="C37" s="378" t="s">
        <v>2</v>
      </c>
      <c r="D37" s="378" t="s">
        <v>2</v>
      </c>
      <c r="E37" s="378" t="s">
        <v>2</v>
      </c>
      <c r="F37" s="378" t="s">
        <v>2</v>
      </c>
      <c r="G37" s="378" t="s">
        <v>2</v>
      </c>
      <c r="H37" s="378" t="s">
        <v>2</v>
      </c>
      <c r="I37" s="378" t="s">
        <v>2</v>
      </c>
    </row>
    <row r="38" spans="2:9" hidden="1" x14ac:dyDescent="0.25">
      <c r="B38" s="357" t="s">
        <v>393</v>
      </c>
      <c r="C38" s="378" t="s">
        <v>22</v>
      </c>
      <c r="D38" s="378" t="s">
        <v>22</v>
      </c>
      <c r="E38" s="378" t="s">
        <v>22</v>
      </c>
      <c r="F38" s="378" t="s">
        <v>22</v>
      </c>
      <c r="G38" s="378" t="s">
        <v>22</v>
      </c>
      <c r="H38" s="378" t="s">
        <v>22</v>
      </c>
      <c r="I38" s="378" t="s">
        <v>22</v>
      </c>
    </row>
    <row r="39" spans="2:9" hidden="1" x14ac:dyDescent="0.25">
      <c r="B39" s="357" t="s">
        <v>394</v>
      </c>
      <c r="C39" s="378" t="s">
        <v>2</v>
      </c>
      <c r="D39" s="378" t="s">
        <v>2</v>
      </c>
      <c r="E39" s="378" t="s">
        <v>2</v>
      </c>
      <c r="F39" s="378" t="s">
        <v>2</v>
      </c>
      <c r="G39" s="378" t="s">
        <v>2</v>
      </c>
      <c r="H39" s="378" t="s">
        <v>2</v>
      </c>
      <c r="I39" s="378" t="s">
        <v>2</v>
      </c>
    </row>
    <row r="40" spans="2:9" hidden="1" x14ac:dyDescent="0.25">
      <c r="B40" s="357" t="s">
        <v>395</v>
      </c>
      <c r="C40" s="378" t="s">
        <v>22</v>
      </c>
      <c r="D40" s="378" t="s">
        <v>22</v>
      </c>
      <c r="E40" s="378" t="s">
        <v>22</v>
      </c>
      <c r="F40" s="378" t="s">
        <v>22</v>
      </c>
      <c r="G40" s="378" t="s">
        <v>22</v>
      </c>
      <c r="H40" s="378" t="s">
        <v>22</v>
      </c>
      <c r="I40" s="378" t="s">
        <v>22</v>
      </c>
    </row>
    <row r="41" spans="2:9" hidden="1" x14ac:dyDescent="0.25">
      <c r="B41" s="357" t="s">
        <v>396</v>
      </c>
      <c r="C41" s="378" t="s">
        <v>2</v>
      </c>
      <c r="D41" s="378" t="s">
        <v>2</v>
      </c>
      <c r="E41" s="378" t="s">
        <v>2</v>
      </c>
      <c r="F41" s="378" t="s">
        <v>2</v>
      </c>
      <c r="G41" s="378" t="s">
        <v>2</v>
      </c>
      <c r="H41" s="378" t="s">
        <v>2</v>
      </c>
      <c r="I41" s="378" t="s">
        <v>2</v>
      </c>
    </row>
    <row r="42" spans="2:9" hidden="1" x14ac:dyDescent="0.25">
      <c r="B42" s="357" t="s">
        <v>285</v>
      </c>
      <c r="C42" s="379"/>
      <c r="D42" s="379"/>
      <c r="E42" s="379"/>
      <c r="F42" s="379"/>
      <c r="G42" s="379"/>
      <c r="H42" s="379"/>
      <c r="I42" s="379"/>
    </row>
    <row r="43" spans="2:9" hidden="1" x14ac:dyDescent="0.25">
      <c r="B43" s="357" t="s">
        <v>286</v>
      </c>
      <c r="C43" s="379"/>
      <c r="D43" s="379"/>
      <c r="E43" s="379"/>
      <c r="F43" s="379"/>
      <c r="G43" s="379"/>
      <c r="H43" s="379"/>
      <c r="I43" s="379"/>
    </row>
    <row r="44" spans="2:9" hidden="1" x14ac:dyDescent="0.25">
      <c r="B44" s="357" t="s">
        <v>264</v>
      </c>
      <c r="C44" s="378">
        <v>2</v>
      </c>
      <c r="D44" s="378">
        <v>2</v>
      </c>
      <c r="E44" s="378">
        <v>2</v>
      </c>
      <c r="F44" s="378">
        <v>2</v>
      </c>
      <c r="G44" s="378">
        <v>2</v>
      </c>
      <c r="H44" s="378">
        <v>2</v>
      </c>
      <c r="I44" s="378">
        <v>2</v>
      </c>
    </row>
    <row r="45" spans="2:9" hidden="1" x14ac:dyDescent="0.25">
      <c r="B45" s="357" t="s">
        <v>265</v>
      </c>
      <c r="C45" s="377" t="s">
        <v>177</v>
      </c>
      <c r="D45" s="377" t="s">
        <v>177</v>
      </c>
      <c r="E45" s="377" t="s">
        <v>177</v>
      </c>
      <c r="F45" s="377" t="s">
        <v>177</v>
      </c>
      <c r="G45" s="377" t="s">
        <v>177</v>
      </c>
      <c r="H45" s="377" t="s">
        <v>177</v>
      </c>
      <c r="I45" s="377" t="s">
        <v>177</v>
      </c>
    </row>
    <row r="46" spans="2:9" hidden="1" x14ac:dyDescent="0.25">
      <c r="B46" s="357" t="s">
        <v>266</v>
      </c>
      <c r="C46" s="381"/>
      <c r="D46" s="381"/>
      <c r="E46" s="381"/>
      <c r="F46" s="381"/>
      <c r="G46" s="381"/>
      <c r="H46" s="381"/>
      <c r="I46" s="381"/>
    </row>
    <row r="47" spans="2:9" hidden="1" x14ac:dyDescent="0.25">
      <c r="B47" s="357" t="s">
        <v>267</v>
      </c>
      <c r="C47" s="381"/>
      <c r="D47" s="381"/>
      <c r="E47" s="381"/>
      <c r="F47" s="381"/>
      <c r="G47" s="381"/>
      <c r="H47" s="381"/>
      <c r="I47" s="381"/>
    </row>
    <row r="48" spans="2:9" hidden="1" x14ac:dyDescent="0.25">
      <c r="B48" s="357" t="s">
        <v>268</v>
      </c>
      <c r="C48" s="377" t="s">
        <v>177</v>
      </c>
      <c r="D48" s="377" t="s">
        <v>177</v>
      </c>
      <c r="E48" s="377" t="s">
        <v>177</v>
      </c>
      <c r="F48" s="377" t="s">
        <v>177</v>
      </c>
      <c r="G48" s="377" t="s">
        <v>177</v>
      </c>
      <c r="H48" s="377" t="s">
        <v>177</v>
      </c>
      <c r="I48" s="377" t="s">
        <v>177</v>
      </c>
    </row>
    <row r="49" spans="2:9" hidden="1" x14ac:dyDescent="0.25">
      <c r="B49" s="357" t="s">
        <v>270</v>
      </c>
      <c r="C49" s="377" t="s">
        <v>178</v>
      </c>
      <c r="D49" s="377" t="s">
        <v>178</v>
      </c>
      <c r="E49" s="377" t="s">
        <v>178</v>
      </c>
      <c r="F49" s="377" t="s">
        <v>178</v>
      </c>
      <c r="G49" s="377" t="s">
        <v>178</v>
      </c>
      <c r="H49" s="377" t="s">
        <v>178</v>
      </c>
      <c r="I49" s="377" t="s">
        <v>178</v>
      </c>
    </row>
    <row r="50" spans="2:9" hidden="1" x14ac:dyDescent="0.25">
      <c r="B50" s="357" t="s">
        <v>80</v>
      </c>
      <c r="C50" s="359" t="s">
        <v>78</v>
      </c>
      <c r="D50" s="359" t="s">
        <v>78</v>
      </c>
      <c r="E50" s="359" t="s">
        <v>78</v>
      </c>
      <c r="F50" s="359" t="s">
        <v>78</v>
      </c>
      <c r="G50" s="359" t="s">
        <v>78</v>
      </c>
      <c r="H50" s="359" t="s">
        <v>78</v>
      </c>
      <c r="I50" s="359" t="s">
        <v>78</v>
      </c>
    </row>
    <row r="51" spans="2:9" hidden="1" x14ac:dyDescent="0.25">
      <c r="B51" s="358" t="s">
        <v>272</v>
      </c>
      <c r="C51" s="406" t="str">
        <f t="shared" ref="C51:I51" si="8">VLOOKUP(C11,Settings.LookupTable.DiscountCurve,2,0)</f>
        <v>OIS</v>
      </c>
      <c r="D51" s="406" t="str">
        <f t="shared" si="8"/>
        <v>OIS</v>
      </c>
      <c r="E51" s="406" t="str">
        <f t="shared" si="8"/>
        <v>OIS</v>
      </c>
      <c r="F51" s="406" t="str">
        <f t="shared" si="8"/>
        <v>OIS</v>
      </c>
      <c r="G51" s="406" t="str">
        <f t="shared" si="8"/>
        <v>OIS</v>
      </c>
      <c r="H51" s="406" t="str">
        <f t="shared" si="8"/>
        <v>OIS</v>
      </c>
      <c r="I51" s="406" t="str">
        <f t="shared" si="8"/>
        <v>OIS</v>
      </c>
    </row>
    <row r="52" spans="2:9" hidden="1" x14ac:dyDescent="0.25"/>
    <row r="54" spans="2:9" x14ac:dyDescent="0.25">
      <c r="B54" s="386" t="s">
        <v>387</v>
      </c>
      <c r="C54" s="382"/>
    </row>
    <row r="55" spans="2:9" x14ac:dyDescent="0.25">
      <c r="B55" s="360" t="s">
        <v>375</v>
      </c>
      <c r="C55" s="361">
        <f ca="1">_xll.meProductSwapParRate($B$14:$C$51,FALSE)</f>
        <v>-2.6462499999998172E-3</v>
      </c>
      <c r="D55" s="361">
        <f ca="1">IF(NOW(),_xll.meProductSwapParRate(_xll.meUtilityLVBFromKeysValues($B$15:$B$51,D15:D51),FALSE),"")</f>
        <v>-2.8943000854354411E-3</v>
      </c>
      <c r="E55" s="361">
        <f ca="1">IF(NOW(),_xll.meProductSwapParRate(_xll.meUtilityLVBFromKeysValues($B$15:$B$51,E15:E51),FALSE),"")</f>
        <v>-3.0239424197584714E-3</v>
      </c>
      <c r="F55" s="361">
        <f ca="1">IF(NOW(),_xll.meProductSwapParRate(_xll.meUtilityLVBFromKeysValues($B$15:$B$51,F15:F51),FALSE),"")</f>
        <v>-2.4729957791922992E-3</v>
      </c>
      <c r="G55" s="361">
        <f ca="1">IF(NOW(),_xll.meProductSwapParRate(_xll.meUtilityLVBFromKeysValues($B$15:$B$51,G15:G51),FALSE),"")</f>
        <v>-1.7776228755997784E-3</v>
      </c>
      <c r="H55" s="361">
        <f ca="1">IF(NOW(),_xll.meProductSwapParRate(_xll.meUtilityLVBFromKeysValues($B$15:$B$51,H15:H51),FALSE),"")</f>
        <v>3.7023214907124105E-3</v>
      </c>
      <c r="I55" s="361">
        <f ca="1">IF(NOW(),_xll.meProductSwapParRate(_xll.meUtilityLVBFromKeysValues($B$15:$B$51,I15:I51),FALSE),"")</f>
        <v>9.739639689118413E-3</v>
      </c>
    </row>
    <row r="56" spans="2:9" x14ac:dyDescent="0.25">
      <c r="B56" s="362" t="s">
        <v>376</v>
      </c>
      <c r="C56" s="364">
        <f ca="1">_xll.meProductSwapPV(B14:C51,FALSE)</f>
        <v>12695.663399066967</v>
      </c>
      <c r="D56" s="364">
        <f ca="1">IF(NOW(),_xll.meProductSwapPV(_xll.meUtilityLVBFromKeysValues($B$15:$B$51,D15:D51),FALSE))</f>
        <v>26017.228018385962</v>
      </c>
      <c r="E56" s="364">
        <f ca="1">IF(NOW(),_xll.meProductSwapPV(_xll.meUtilityLVBFromKeysValues($B$15:$B$51,E15:E51),FALSE))</f>
        <v>39420.002598190404</v>
      </c>
      <c r="F56" s="364">
        <f ca="1">IF(NOW(),_xll.meProductSwapPV(_xll.meUtilityLVBFromKeysValues($B$15:$B$51,F15:F51),FALSE))</f>
        <v>50365.934097279729</v>
      </c>
      <c r="G56" s="364">
        <f ca="1">IF(NOW(),_xll.meProductSwapPV(_xll.meUtilityLVBFromKeysValues($B$15:$B$51,G15:G51),FALSE))</f>
        <v>59499.90746027002</v>
      </c>
      <c r="H56" s="364">
        <f ca="1">IF(NOW(),_xll.meProductSwapPV(_xll.meUtilityLVBFromKeysValues($B$15:$B$51,H15:H51),FALSE))</f>
        <v>63091.404378083316</v>
      </c>
      <c r="I56" s="364">
        <f ca="1">IF(NOW(),_xll.meProductSwapPV(_xll.meUtilityLVBFromKeysValues($B$15:$B$51,I15:I51),FALSE))</f>
        <v>4931.9244055170684</v>
      </c>
    </row>
    <row r="57" spans="2:9" x14ac:dyDescent="0.25">
      <c r="B57" s="362" t="s">
        <v>377</v>
      </c>
      <c r="C57" s="364">
        <f ca="1">_xll.meProductSwapPV01(B15:C51,FALSE)</f>
        <v>100.39073558617891</v>
      </c>
      <c r="D57" s="364">
        <f ca="1">IF(NOW(),_xll.meProductSwapPV01(_xll.meUtilityLVBFromKeysValues($B$15:$B$51,D15:D51),FALSE))</f>
        <v>201.77309234313017</v>
      </c>
      <c r="E57" s="364">
        <f ca="1">IF(NOW(),_xll.meProductSwapPV01(_xll.meUtilityLVBFromKeysValues($B$15:$B$51,E15:E51),FALSE))</f>
        <v>302.67577749280463</v>
      </c>
      <c r="F57" s="364">
        <f ca="1">IF(NOW(),_xll.meProductSwapPV01(_xll.meUtilityLVBFromKeysValues($B$15:$B$51,F15:F51),FALSE))</f>
        <v>403.79981673128748</v>
      </c>
      <c r="G57" s="364">
        <f ca="1">IF(NOW(),_xll.meProductSwapPV01(_xll.meUtilityLVBFromKeysValues($B$15:$B$51,G15:G51),FALSE))</f>
        <v>505.19453788538783</v>
      </c>
      <c r="H57" s="364">
        <f ca="1">IF(NOW(),_xll.meProductSwapPV01(_xll.meUtilityLVBFromKeysValues($B$15:$B$51,H15:H51),FALSE))</f>
        <v>1001.8200243953131</v>
      </c>
      <c r="I57" s="364">
        <f ca="1">IF(NOW(),_xll.meProductSwapPV01(_xll.meUtilityLVBFromKeysValues($B$15:$B$51,I15:I51),FALSE))</f>
        <v>1894.2689032815456</v>
      </c>
    </row>
    <row r="58" spans="2:9" x14ac:dyDescent="0.25">
      <c r="B58" s="363" t="s">
        <v>378</v>
      </c>
      <c r="C58" s="365">
        <f ca="1">_xll.meProductSwapDV01(B15:C51,FALSE)</f>
        <v>101.66860628027183</v>
      </c>
      <c r="D58" s="365">
        <f ca="1">IF(NOW(),_xll.meProductSwapDV01(_xll.meUtilityLVBFromKeysValues($B$15:$B$51,D15:D51),FALSE))</f>
        <v>205.6651500811231</v>
      </c>
      <c r="E58" s="365">
        <f ca="1">IF(NOW(),_xll.meProductSwapDV01(_xll.meUtilityLVBFromKeysValues($B$15:$B$51,E15:E51),FALSE))</f>
        <v>310.49639972229244</v>
      </c>
      <c r="F58" s="365">
        <f ca="1">IF(NOW(),_xll.meProductSwapDV01(_xll.meUtilityLVBFromKeysValues($B$15:$B$51,F15:F51),FALSE))</f>
        <v>416.91178736033055</v>
      </c>
      <c r="G58" s="365">
        <f ca="1">IF(NOW(),_xll.meProductSwapDV01(_xll.meUtilityLVBFromKeysValues($B$15:$B$51,G15:G51),FALSE))</f>
        <v>524.52291725241207</v>
      </c>
      <c r="H58" s="365">
        <f ca="1">IF(NOW(),_xll.meProductSwapDV01(_xll.meUtilityLVBFromKeysValues($B$15:$B$51,H15:H51),FALSE))</f>
        <v>1044.2134820461201</v>
      </c>
      <c r="I58" s="365">
        <f ca="1">IF(NOW(),_xll.meProductSwapDV01(_xll.meUtilityLVBFromKeysValues($B$15:$B$51,I15:I51),FALSE))</f>
        <v>1900.2231253510565</v>
      </c>
    </row>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row r="115" outlineLevel="1" x14ac:dyDescent="0.25"/>
    <row r="116" collapsed="1" x14ac:dyDescent="0.25"/>
  </sheetData>
  <dataValidations count="8">
    <dataValidation type="list" allowBlank="1" showInputMessage="1" showErrorMessage="1" sqref="C36:I36 C22:I22 C24:I24 C38:I38 C40:I40">
      <formula1>"MOD_FOLLOWING,FOLLOWING,MOD_PRECEDING,PRECEDING,NO_CHANGE"</formula1>
    </dataValidation>
    <dataValidation type="list" allowBlank="1" showInputMessage="1" showErrorMessage="1" sqref="C20:I20 C34:I34">
      <formula1>"Annual,Semi-Annual,Quarterly,Monthly"</formula1>
    </dataValidation>
    <dataValidation type="list" allowBlank="1" showInputMessage="1" showErrorMessage="1" sqref="C35:I35 C21:I21">
      <formula1>"30/360,ACT/360,ACT/365"</formula1>
    </dataValidation>
    <dataValidation type="list" allowBlank="1" showInputMessage="1" showErrorMessage="1" sqref="C49:I49 C30:I30">
      <formula1>"None,ShortStart,ShortEnd,LongStart,LongEnd"</formula1>
    </dataValidation>
    <dataValidation type="list" allowBlank="1" showInputMessage="1" showErrorMessage="1" sqref="C25:I25 C23:I23 C37:I37 C39:I39 C41:I41">
      <formula1>"TGT,NYB:LNB,LNB,TKB:LNB"</formula1>
    </dataValidation>
    <dataValidation type="list" allowBlank="1" showInputMessage="1" showErrorMessage="1" sqref="C17:I17 C6:I6">
      <formula1>"PAYER,RECEIVER"</formula1>
    </dataValidation>
    <dataValidation type="list" allowBlank="1" showInputMessage="1" showErrorMessage="1" sqref="D32:I32">
      <formula1>"EUROIS,EUR1ML,EUR3ML,EUR6ML,EUR12ML"</formula1>
    </dataValidation>
    <dataValidation type="list" allowBlank="1" showInputMessage="1" showErrorMessage="1" sqref="C9:I9">
      <formula1>"EUR1ML,EUR3ML,EUR6ML,EUR12ML"</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sheetPr>
  <dimension ref="B2:K114"/>
  <sheetViews>
    <sheetView showGridLines="0" tabSelected="1" workbookViewId="0"/>
  </sheetViews>
  <sheetFormatPr defaultRowHeight="15" outlineLevelRow="1" x14ac:dyDescent="0.25"/>
  <cols>
    <col min="1" max="1" width="9.140625" style="412"/>
    <col min="2" max="2" width="35.5703125" style="415" customWidth="1"/>
    <col min="3" max="9" width="15.7109375" style="414" customWidth="1"/>
    <col min="10" max="10" width="15.7109375" style="416" customWidth="1"/>
    <col min="11" max="16384" width="9.140625" style="412"/>
  </cols>
  <sheetData>
    <row r="2" spans="2:11" ht="23.25" x14ac:dyDescent="0.25">
      <c r="B2" s="417" t="s">
        <v>414</v>
      </c>
    </row>
    <row r="3" spans="2:11" ht="23.25" x14ac:dyDescent="0.25">
      <c r="B3" s="418" t="s">
        <v>413</v>
      </c>
    </row>
    <row r="4" spans="2:11" x14ac:dyDescent="0.25">
      <c r="B4" s="419"/>
    </row>
    <row r="5" spans="2:11" x14ac:dyDescent="0.25">
      <c r="B5" s="419"/>
      <c r="C5" s="413"/>
      <c r="D5" s="413"/>
      <c r="E5" s="413"/>
      <c r="F5" s="413"/>
      <c r="G5" s="413"/>
      <c r="H5" s="413"/>
      <c r="I5" s="413"/>
    </row>
    <row r="6" spans="2:11" x14ac:dyDescent="0.25">
      <c r="B6" s="427" t="s">
        <v>416</v>
      </c>
      <c r="C6" s="430">
        <f t="shared" ref="C6:I6" ca="1" si="0">SUBTOTAL(9,C9:C77)</f>
        <v>-103.08430853454502</v>
      </c>
      <c r="D6" s="430">
        <f t="shared" ca="1" si="0"/>
        <v>-208.63421692517659</v>
      </c>
      <c r="E6" s="430">
        <f t="shared" ca="1" si="0"/>
        <v>-462.91103933187333</v>
      </c>
      <c r="F6" s="430">
        <f t="shared" ca="1" si="0"/>
        <v>-777.20439615028226</v>
      </c>
      <c r="G6" s="430">
        <f t="shared" ca="1" si="0"/>
        <v>-949.66840490610412</v>
      </c>
      <c r="H6" s="430">
        <f t="shared" ca="1" si="0"/>
        <v>-1944.3089986555824</v>
      </c>
      <c r="I6" s="430">
        <f t="shared" ca="1" si="0"/>
        <v>-3717.8393576823269</v>
      </c>
      <c r="J6" s="431" t="s">
        <v>415</v>
      </c>
    </row>
    <row r="8" spans="2:11" x14ac:dyDescent="0.25">
      <c r="B8" s="427" t="str">
        <f t="array" aca="1" ref="B8:J77" ca="1">_xll.meProductSwapDeltaLadder(EURSwaps.Portfolio,Curve.CollectionName,Settings.ForecastCurveSet,Settings.Risk.BumpSize,Settings.Risk.BumpMode)</f>
        <v>Pillars</v>
      </c>
      <c r="C8" s="428" t="str">
        <f ca="1"/>
        <v>IRS_1Y</v>
      </c>
      <c r="D8" s="428" t="str">
        <f ca="1"/>
        <v>IRS_2Y</v>
      </c>
      <c r="E8" s="428" t="str">
        <f ca="1"/>
        <v>IRS_3Y</v>
      </c>
      <c r="F8" s="428" t="str">
        <f ca="1"/>
        <v>IRS_4Y</v>
      </c>
      <c r="G8" s="428" t="str">
        <f ca="1"/>
        <v>IRS_5Y</v>
      </c>
      <c r="H8" s="428" t="str">
        <f ca="1"/>
        <v>IRS_10Y</v>
      </c>
      <c r="I8" s="428" t="str">
        <f ca="1"/>
        <v>IRS_20Y</v>
      </c>
      <c r="J8" s="429" t="str">
        <f ca="1"/>
        <v>Total</v>
      </c>
      <c r="K8" s="412" t="s">
        <v>4</v>
      </c>
    </row>
    <row r="9" spans="2:11" x14ac:dyDescent="0.25">
      <c r="B9" s="421" t="str">
        <f ca="1"/>
        <v>EURYC_STD_O_N</v>
      </c>
      <c r="C9" s="422">
        <f ca="1"/>
        <v>1.255102688446641E-10</v>
      </c>
      <c r="D9" s="422">
        <f ca="1"/>
        <v>-5.1477400120347738E-10</v>
      </c>
      <c r="E9" s="422">
        <f ca="1"/>
        <v>-2.7066562324762344E-9</v>
      </c>
      <c r="F9" s="422">
        <f ca="1"/>
        <v>-2.1464074961841106E-9</v>
      </c>
      <c r="G9" s="422">
        <f ca="1"/>
        <v>-2.2264430299401283E-9</v>
      </c>
      <c r="H9" s="422">
        <f ca="1"/>
        <v>-2.2191670723259449E-9</v>
      </c>
      <c r="I9" s="422">
        <f ca="1"/>
        <v>-2.0677362044807523E-9</v>
      </c>
      <c r="J9" s="423">
        <f ca="1"/>
        <v>-1.1755673767765984E-8</v>
      </c>
      <c r="K9" s="412" t="s">
        <v>4</v>
      </c>
    </row>
    <row r="10" spans="2:11" x14ac:dyDescent="0.25">
      <c r="B10" s="421" t="str">
        <f ca="1"/>
        <v>EURYC_STD_T_N</v>
      </c>
      <c r="C10" s="422">
        <f ca="1"/>
        <v>1.255102688446641E-10</v>
      </c>
      <c r="D10" s="422">
        <f ca="1"/>
        <v>-5.1477400120347738E-10</v>
      </c>
      <c r="E10" s="422">
        <f ca="1"/>
        <v>-2.7066562324762344E-9</v>
      </c>
      <c r="F10" s="422">
        <f ca="1"/>
        <v>-2.1464074961841106E-9</v>
      </c>
      <c r="G10" s="422">
        <f ca="1"/>
        <v>-2.2264430299401283E-9</v>
      </c>
      <c r="H10" s="422">
        <f ca="1"/>
        <v>-2.2191670723259449E-9</v>
      </c>
      <c r="I10" s="422">
        <f ca="1"/>
        <v>-2.0677362044807523E-9</v>
      </c>
      <c r="J10" s="423">
        <f ca="1"/>
        <v>-1.1755673767765984E-8</v>
      </c>
      <c r="K10" s="412" t="s">
        <v>4</v>
      </c>
    </row>
    <row r="11" spans="2:11" x14ac:dyDescent="0.25">
      <c r="B11" s="421" t="str">
        <f ca="1"/>
        <v>EURYC_STD_LIBOR_1M</v>
      </c>
      <c r="C11" s="422">
        <f ca="1"/>
        <v>0</v>
      </c>
      <c r="D11" s="422">
        <f ca="1"/>
        <v>0</v>
      </c>
      <c r="E11" s="422">
        <f ca="1"/>
        <v>0</v>
      </c>
      <c r="F11" s="422">
        <f ca="1"/>
        <v>0</v>
      </c>
      <c r="G11" s="422">
        <f ca="1"/>
        <v>0</v>
      </c>
      <c r="H11" s="422">
        <f ca="1"/>
        <v>0</v>
      </c>
      <c r="I11" s="422">
        <f ca="1"/>
        <v>0</v>
      </c>
      <c r="J11" s="423">
        <f ca="1"/>
        <v>0</v>
      </c>
      <c r="K11" s="412" t="s">
        <v>4</v>
      </c>
    </row>
    <row r="12" spans="2:11" x14ac:dyDescent="0.25">
      <c r="B12" s="421" t="str">
        <f ca="1"/>
        <v>EURYC_STD_LIBOR_3M</v>
      </c>
      <c r="C12" s="422">
        <f ca="1"/>
        <v>-101.78505135800242</v>
      </c>
      <c r="D12" s="422">
        <f ca="1"/>
        <v>-81.679102715870613</v>
      </c>
      <c r="E12" s="422">
        <f ca="1"/>
        <v>246.83437088116261</v>
      </c>
      <c r="F12" s="422">
        <f ca="1"/>
        <v>189.62884603907878</v>
      </c>
      <c r="G12" s="422">
        <f ca="1"/>
        <v>204.8351516082912</v>
      </c>
      <c r="H12" s="422">
        <f ca="1"/>
        <v>201.60379062599532</v>
      </c>
      <c r="I12" s="422">
        <f ca="1"/>
        <v>201.60219735292094</v>
      </c>
      <c r="J12" s="423">
        <f ca="1"/>
        <v>861.04020243357581</v>
      </c>
      <c r="K12" s="412" t="s">
        <v>4</v>
      </c>
    </row>
    <row r="13" spans="2:11" x14ac:dyDescent="0.25">
      <c r="B13" s="421" t="str">
        <f ca="1"/>
        <v>EURYC_STD_LIBOR_6M</v>
      </c>
      <c r="C13" s="422">
        <f ca="1"/>
        <v>0</v>
      </c>
      <c r="D13" s="422">
        <f ca="1"/>
        <v>0</v>
      </c>
      <c r="E13" s="422">
        <f ca="1"/>
        <v>0</v>
      </c>
      <c r="F13" s="422">
        <f ca="1"/>
        <v>0</v>
      </c>
      <c r="G13" s="422">
        <f ca="1"/>
        <v>0</v>
      </c>
      <c r="H13" s="422">
        <f ca="1"/>
        <v>0</v>
      </c>
      <c r="I13" s="422">
        <f ca="1"/>
        <v>0</v>
      </c>
      <c r="J13" s="423">
        <f ca="1"/>
        <v>0</v>
      </c>
      <c r="K13" s="412" t="s">
        <v>4</v>
      </c>
    </row>
    <row r="14" spans="2:11" x14ac:dyDescent="0.25">
      <c r="B14" s="421" t="str">
        <f ca="1"/>
        <v>EURYC_STD_LIBOR_12M</v>
      </c>
      <c r="C14" s="422">
        <f ca="1"/>
        <v>0</v>
      </c>
      <c r="D14" s="422">
        <f ca="1"/>
        <v>0</v>
      </c>
      <c r="E14" s="422">
        <f ca="1"/>
        <v>0</v>
      </c>
      <c r="F14" s="422">
        <f ca="1"/>
        <v>0</v>
      </c>
      <c r="G14" s="422">
        <f ca="1"/>
        <v>0</v>
      </c>
      <c r="H14" s="422">
        <f ca="1"/>
        <v>0</v>
      </c>
      <c r="I14" s="422">
        <f ca="1"/>
        <v>0</v>
      </c>
      <c r="J14" s="423">
        <f ca="1"/>
        <v>0</v>
      </c>
      <c r="K14" s="412" t="s">
        <v>4</v>
      </c>
    </row>
    <row r="15" spans="2:11" x14ac:dyDescent="0.25">
      <c r="B15" s="421" t="str">
        <f ca="1"/>
        <v>EURYC_STD_FUTURE_ERU6 COMDTY_20160921_20161221</v>
      </c>
      <c r="C15" s="422">
        <f ca="1"/>
        <v>0</v>
      </c>
      <c r="D15" s="422">
        <f ca="1"/>
        <v>-11.634552222356433</v>
      </c>
      <c r="E15" s="422">
        <f ca="1"/>
        <v>-273.20098002568193</v>
      </c>
      <c r="F15" s="422">
        <f ca="1"/>
        <v>-197.252255767311</v>
      </c>
      <c r="G15" s="422">
        <f ca="1"/>
        <v>-217.44074381663086</v>
      </c>
      <c r="H15" s="422">
        <f ca="1"/>
        <v>-213.16060790689517</v>
      </c>
      <c r="I15" s="422">
        <f ca="1"/>
        <v>-213.15954479397851</v>
      </c>
      <c r="J15" s="423">
        <f ca="1"/>
        <v>-1125.8486845328539</v>
      </c>
      <c r="K15" s="412" t="s">
        <v>4</v>
      </c>
    </row>
    <row r="16" spans="2:11" x14ac:dyDescent="0.25">
      <c r="B16" s="421" t="str">
        <f ca="1"/>
        <v>EURYC_STD_FUTURE_ERV6 COMDTY_20161019_20170118</v>
      </c>
      <c r="C16" s="422">
        <f ca="1"/>
        <v>0</v>
      </c>
      <c r="D16" s="422">
        <f ca="1"/>
        <v>-4.1392826263181632</v>
      </c>
      <c r="E16" s="422">
        <f ca="1"/>
        <v>-72.266213829447224</v>
      </c>
      <c r="F16" s="422">
        <f ca="1"/>
        <v>-56.504918215716316</v>
      </c>
      <c r="G16" s="422">
        <f ca="1"/>
        <v>-60.69413841675123</v>
      </c>
      <c r="H16" s="422">
        <f ca="1"/>
        <v>-59.806857064399082</v>
      </c>
      <c r="I16" s="422">
        <f ca="1"/>
        <v>-59.81896788970198</v>
      </c>
      <c r="J16" s="423">
        <f ca="1"/>
        <v>-313.230378042334</v>
      </c>
      <c r="K16" s="412" t="s">
        <v>4</v>
      </c>
    </row>
    <row r="17" spans="2:11" x14ac:dyDescent="0.25">
      <c r="B17" s="421" t="str">
        <f ca="1"/>
        <v>EURYC_STD_FUTURE_ERX6 COMDTY_20161116_20170215</v>
      </c>
      <c r="C17" s="422">
        <f ca="1"/>
        <v>0</v>
      </c>
      <c r="D17" s="422">
        <f ca="1"/>
        <v>-11.361755843334322</v>
      </c>
      <c r="E17" s="422">
        <f ca="1"/>
        <v>69.233253585964121</v>
      </c>
      <c r="F17" s="422">
        <f ca="1"/>
        <v>50.560749701195164</v>
      </c>
      <c r="G17" s="422">
        <f ca="1"/>
        <v>55.523591684872372</v>
      </c>
      <c r="H17" s="422">
        <f ca="1"/>
        <v>54.473655567093374</v>
      </c>
      <c r="I17" s="422">
        <f ca="1"/>
        <v>54.482321820564721</v>
      </c>
      <c r="J17" s="423">
        <f ca="1"/>
        <v>272.91181651635543</v>
      </c>
      <c r="K17" s="412" t="s">
        <v>4</v>
      </c>
    </row>
    <row r="18" spans="2:11" x14ac:dyDescent="0.25">
      <c r="B18" s="421" t="str">
        <f ca="1"/>
        <v>EURYC_STD_FUTURE_ERZ6 COMDTY_20161221_20170315</v>
      </c>
      <c r="C18" s="422">
        <f ca="1"/>
        <v>0</v>
      </c>
      <c r="D18" s="422">
        <f ca="1"/>
        <v>6.9907722146745073</v>
      </c>
      <c r="E18" s="422">
        <f ca="1"/>
        <v>-29.942359085740463</v>
      </c>
      <c r="F18" s="422">
        <f ca="1"/>
        <v>-7.1290124957122316</v>
      </c>
      <c r="G18" s="422">
        <f ca="1"/>
        <v>-13.193429148293944</v>
      </c>
      <c r="H18" s="422">
        <f ca="1"/>
        <v>-11.905031251779292</v>
      </c>
      <c r="I18" s="422">
        <f ca="1"/>
        <v>-11.904627077299665</v>
      </c>
      <c r="J18" s="423">
        <f ca="1"/>
        <v>-67.083686844151089</v>
      </c>
      <c r="K18" s="412" t="s">
        <v>4</v>
      </c>
    </row>
    <row r="19" spans="2:11" x14ac:dyDescent="0.25">
      <c r="B19" s="421" t="str">
        <f ca="1"/>
        <v>EURYC_STD_FUTURE_ERH7 COMDTY_20170315_20170621</v>
      </c>
      <c r="C19" s="422">
        <f ca="1"/>
        <v>0</v>
      </c>
      <c r="D19" s="422">
        <f ca="1"/>
        <v>-20.774086597897622</v>
      </c>
      <c r="E19" s="422">
        <f ca="1"/>
        <v>-3.4993232363012794</v>
      </c>
      <c r="F19" s="422">
        <f ca="1"/>
        <v>9.1521410386194475</v>
      </c>
      <c r="G19" s="422">
        <f ca="1"/>
        <v>5.7895640006754547</v>
      </c>
      <c r="H19" s="422">
        <f ca="1"/>
        <v>6.5073287538980367</v>
      </c>
      <c r="I19" s="422">
        <f ca="1"/>
        <v>6.5009438231509193</v>
      </c>
      <c r="J19" s="423">
        <f ca="1"/>
        <v>3.6765677821449572</v>
      </c>
      <c r="K19" s="412" t="s">
        <v>4</v>
      </c>
    </row>
    <row r="20" spans="2:11" x14ac:dyDescent="0.25">
      <c r="B20" s="421" t="str">
        <f ca="1"/>
        <v>EURYC_STD_FUTURE_ERM7 COMDTY_20170621_20170920</v>
      </c>
      <c r="C20" s="422">
        <f ca="1"/>
        <v>0</v>
      </c>
      <c r="D20" s="422">
        <f ca="1"/>
        <v>-82.010010962854722</v>
      </c>
      <c r="E20" s="422">
        <f ca="1"/>
        <v>-70.806684251514525</v>
      </c>
      <c r="F20" s="422">
        <f ca="1"/>
        <v>-57.924417898386309</v>
      </c>
      <c r="G20" s="422">
        <f ca="1"/>
        <v>-61.34881687005327</v>
      </c>
      <c r="H20" s="422">
        <f ca="1"/>
        <v>-60.623894596697937</v>
      </c>
      <c r="I20" s="422">
        <f ca="1"/>
        <v>-60.618061532027696</v>
      </c>
      <c r="J20" s="423">
        <f ca="1"/>
        <v>-393.33188611153446</v>
      </c>
      <c r="K20" s="412" t="s">
        <v>4</v>
      </c>
    </row>
    <row r="21" spans="2:11" x14ac:dyDescent="0.25">
      <c r="B21" s="421" t="str">
        <f ca="1"/>
        <v>EURYC_STD_FUTURE_ERU7 COMDTY_20170920_20171220</v>
      </c>
      <c r="C21" s="422">
        <f ca="1"/>
        <v>0</v>
      </c>
      <c r="D21" s="422">
        <f ca="1"/>
        <v>4.1270432120654732E-6</v>
      </c>
      <c r="E21" s="422">
        <f ca="1"/>
        <v>5.3833681089454331</v>
      </c>
      <c r="F21" s="422">
        <f ca="1"/>
        <v>19.628185906647559</v>
      </c>
      <c r="G21" s="422">
        <f ca="1"/>
        <v>15.84144895026111</v>
      </c>
      <c r="H21" s="422">
        <f ca="1"/>
        <v>16.644680446846905</v>
      </c>
      <c r="I21" s="422">
        <f ca="1"/>
        <v>16.650294612438756</v>
      </c>
      <c r="J21" s="423">
        <f ca="1"/>
        <v>74.147982152182976</v>
      </c>
      <c r="K21" s="412" t="s">
        <v>4</v>
      </c>
    </row>
    <row r="22" spans="2:11" x14ac:dyDescent="0.25">
      <c r="B22" s="421" t="str">
        <f ca="1"/>
        <v>EURYC_STD_FUTURE_ERZ7 COMDTY_20171220_20180321</v>
      </c>
      <c r="C22" s="422">
        <f ca="1"/>
        <v>0</v>
      </c>
      <c r="D22" s="422">
        <f ca="1"/>
        <v>0</v>
      </c>
      <c r="E22" s="422">
        <f ca="1"/>
        <v>38.969875728140323</v>
      </c>
      <c r="F22" s="422">
        <f ca="1"/>
        <v>45.457395348981663</v>
      </c>
      <c r="G22" s="422">
        <f ca="1"/>
        <v>43.733227588138107</v>
      </c>
      <c r="H22" s="422">
        <f ca="1"/>
        <v>44.098509486939292</v>
      </c>
      <c r="I22" s="422">
        <f ca="1"/>
        <v>44.099077911488621</v>
      </c>
      <c r="J22" s="423">
        <f ca="1"/>
        <v>216.35808606368801</v>
      </c>
      <c r="K22" s="412" t="s">
        <v>4</v>
      </c>
    </row>
    <row r="23" spans="2:11" x14ac:dyDescent="0.25">
      <c r="B23" s="421" t="str">
        <f ca="1"/>
        <v>EURYC_STD_FUTURE_ERH8 COMDTY_20180321_20180620</v>
      </c>
      <c r="C23" s="422">
        <f ca="1"/>
        <v>0</v>
      </c>
      <c r="D23" s="422">
        <f ca="1"/>
        <v>0</v>
      </c>
      <c r="E23" s="422">
        <f ca="1"/>
        <v>-62.779957960847241</v>
      </c>
      <c r="F23" s="422">
        <f ca="1"/>
        <v>-32.848480515964184</v>
      </c>
      <c r="G23" s="422">
        <f ca="1"/>
        <v>-40.804747774975112</v>
      </c>
      <c r="H23" s="422">
        <f ca="1"/>
        <v>-39.124272581284458</v>
      </c>
      <c r="I23" s="422">
        <f ca="1"/>
        <v>-39.126200686398533</v>
      </c>
      <c r="J23" s="423">
        <f ca="1"/>
        <v>-214.68365951946953</v>
      </c>
      <c r="K23" s="412" t="s">
        <v>4</v>
      </c>
    </row>
    <row r="24" spans="2:11" x14ac:dyDescent="0.25">
      <c r="B24" s="421" t="str">
        <f ca="1"/>
        <v>EURYC_STD_3MLIBORSWAP_3Y</v>
      </c>
      <c r="C24" s="422">
        <f ca="1"/>
        <v>0</v>
      </c>
      <c r="D24" s="422">
        <f ca="1"/>
        <v>0</v>
      </c>
      <c r="E24" s="422">
        <f ca="1"/>
        <v>-201.43163976530195</v>
      </c>
      <c r="F24" s="422">
        <f ca="1"/>
        <v>-94.124568491675745</v>
      </c>
      <c r="G24" s="422">
        <f ca="1"/>
        <v>63.939138187248318</v>
      </c>
      <c r="H24" s="422">
        <f ca="1"/>
        <v>30.414683745650109</v>
      </c>
      <c r="I24" s="422">
        <f ca="1"/>
        <v>30.470245030251135</v>
      </c>
      <c r="J24" s="423">
        <f ca="1"/>
        <v>-170.73214129382814</v>
      </c>
      <c r="K24" s="412" t="s">
        <v>4</v>
      </c>
    </row>
    <row r="25" spans="2:11" x14ac:dyDescent="0.25">
      <c r="B25" s="421" t="str">
        <f ca="1"/>
        <v>EURYC_STD_3MLIBORSWAP_4Y</v>
      </c>
      <c r="C25" s="422">
        <f ca="1"/>
        <v>0</v>
      </c>
      <c r="D25" s="422">
        <f ca="1"/>
        <v>0</v>
      </c>
      <c r="E25" s="422">
        <f ca="1"/>
        <v>64.22136582085659</v>
      </c>
      <c r="F25" s="422">
        <f ca="1"/>
        <v>-358.24240989191094</v>
      </c>
      <c r="G25" s="422">
        <f ca="1"/>
        <v>-169.92234454036588</v>
      </c>
      <c r="H25" s="422">
        <f ca="1"/>
        <v>-12.55501401143556</v>
      </c>
      <c r="I25" s="422">
        <f ca="1"/>
        <v>-12.77593863265065</v>
      </c>
      <c r="J25" s="423">
        <f ca="1"/>
        <v>-489.27434125550644</v>
      </c>
      <c r="K25" s="412" t="s">
        <v>4</v>
      </c>
    </row>
    <row r="26" spans="2:11" x14ac:dyDescent="0.25">
      <c r="B26" s="421" t="str">
        <f ca="1"/>
        <v>EURYC_STD_3MLIBORSWAP_5Y</v>
      </c>
      <c r="C26" s="422">
        <f ca="1"/>
        <v>0</v>
      </c>
      <c r="D26" s="422">
        <f ca="1"/>
        <v>0</v>
      </c>
      <c r="E26" s="422">
        <f ca="1"/>
        <v>-21.488735156661278</v>
      </c>
      <c r="F26" s="422">
        <f ca="1"/>
        <v>111.36810255671662</v>
      </c>
      <c r="G26" s="422">
        <f ca="1"/>
        <v>-430.37026657817114</v>
      </c>
      <c r="H26" s="422">
        <f ca="1"/>
        <v>2.6969196746249509</v>
      </c>
      <c r="I26" s="422">
        <f ca="1"/>
        <v>3.7056245019566632</v>
      </c>
      <c r="J26" s="423">
        <f ca="1"/>
        <v>-334.08835500153418</v>
      </c>
      <c r="K26" s="412" t="s">
        <v>4</v>
      </c>
    </row>
    <row r="27" spans="2:11" x14ac:dyDescent="0.25">
      <c r="B27" s="421" t="str">
        <f ca="1"/>
        <v>EURYC_STD_3MLIBORSWAP_6Y</v>
      </c>
      <c r="C27" s="422">
        <f ca="1"/>
        <v>0</v>
      </c>
      <c r="D27" s="422">
        <f ca="1"/>
        <v>0</v>
      </c>
      <c r="E27" s="422">
        <f ca="1"/>
        <v>6.8864841138820339</v>
      </c>
      <c r="F27" s="422">
        <f ca="1"/>
        <v>-35.632913317524071</v>
      </c>
      <c r="G27" s="422">
        <f ca="1"/>
        <v>127.52287109375175</v>
      </c>
      <c r="H27" s="422">
        <f ca="1"/>
        <v>0.61204792213538894</v>
      </c>
      <c r="I27" s="422">
        <f ca="1"/>
        <v>-3.9006190524355588</v>
      </c>
      <c r="J27" s="423">
        <f ca="1"/>
        <v>95.487870759809539</v>
      </c>
      <c r="K27" s="412" t="s">
        <v>4</v>
      </c>
    </row>
    <row r="28" spans="2:11" x14ac:dyDescent="0.25">
      <c r="B28" s="421" t="str">
        <f ca="1"/>
        <v>EURYC_STD_3MLIBORSWAP_7Y</v>
      </c>
      <c r="C28" s="422">
        <f ca="1"/>
        <v>0</v>
      </c>
      <c r="D28" s="422">
        <f ca="1"/>
        <v>0</v>
      </c>
      <c r="E28" s="422">
        <f ca="1"/>
        <v>-2.1448546353385609</v>
      </c>
      <c r="F28" s="422">
        <f ca="1"/>
        <v>11.068994454333733</v>
      </c>
      <c r="G28" s="422">
        <f ca="1"/>
        <v>-39.632070825999108</v>
      </c>
      <c r="H28" s="422">
        <f ca="1"/>
        <v>-18.060515924429637</v>
      </c>
      <c r="I28" s="422">
        <f ca="1"/>
        <v>1.3597360524199757</v>
      </c>
      <c r="J28" s="423">
        <f ca="1"/>
        <v>-47.408710879013597</v>
      </c>
      <c r="K28" s="412" t="s">
        <v>4</v>
      </c>
    </row>
    <row r="29" spans="2:11" x14ac:dyDescent="0.25">
      <c r="B29" s="421" t="str">
        <f ca="1"/>
        <v>EURYC_STD_3MLIBORSWAP_8Y</v>
      </c>
      <c r="C29" s="422">
        <f ca="1"/>
        <v>0</v>
      </c>
      <c r="D29" s="422">
        <f ca="1"/>
        <v>0</v>
      </c>
      <c r="E29" s="422">
        <f ca="1"/>
        <v>0.65413796449865913</v>
      </c>
      <c r="F29" s="422">
        <f ca="1"/>
        <v>-3.3637891589678475</v>
      </c>
      <c r="G29" s="422">
        <f ca="1"/>
        <v>12.050850567782618</v>
      </c>
      <c r="H29" s="422">
        <f ca="1"/>
        <v>78.441759635687049</v>
      </c>
      <c r="I29" s="422">
        <f ca="1"/>
        <v>-4.6284743916021398</v>
      </c>
      <c r="J29" s="423">
        <f ca="1"/>
        <v>83.154484617398339</v>
      </c>
      <c r="K29" s="412" t="s">
        <v>4</v>
      </c>
    </row>
    <row r="30" spans="2:11" x14ac:dyDescent="0.25">
      <c r="B30" s="421" t="str">
        <f ca="1"/>
        <v>EURYC_STD_3MLIBORSWAP_9Y</v>
      </c>
      <c r="C30" s="422">
        <f ca="1"/>
        <v>0</v>
      </c>
      <c r="D30" s="422">
        <f ca="1"/>
        <v>0</v>
      </c>
      <c r="E30" s="422">
        <f ca="1"/>
        <v>-0.19811448946711607</v>
      </c>
      <c r="F30" s="422">
        <f ca="1"/>
        <v>1.0129866593124461</v>
      </c>
      <c r="G30" s="422">
        <f ca="1"/>
        <v>-3.6329268689187302</v>
      </c>
      <c r="H30" s="422">
        <f ca="1"/>
        <v>-346.28206277128629</v>
      </c>
      <c r="I30" s="422">
        <f ca="1"/>
        <v>-0.52753215763777916</v>
      </c>
      <c r="J30" s="423">
        <f ca="1"/>
        <v>-349.62764962799747</v>
      </c>
      <c r="K30" s="412" t="s">
        <v>4</v>
      </c>
    </row>
    <row r="31" spans="2:11" x14ac:dyDescent="0.25">
      <c r="B31" s="421" t="str">
        <f ca="1"/>
        <v>EURYC_STD_3MLIBORSWAP_10Y</v>
      </c>
      <c r="C31" s="422">
        <f ca="1"/>
        <v>0</v>
      </c>
      <c r="D31" s="422">
        <f ca="1"/>
        <v>0</v>
      </c>
      <c r="E31" s="422">
        <f ca="1"/>
        <v>5.8212309897498926E-2</v>
      </c>
      <c r="F31" s="422">
        <f ca="1"/>
        <v>-0.29656143558167969</v>
      </c>
      <c r="G31" s="422">
        <f ca="1"/>
        <v>1.065213393412705</v>
      </c>
      <c r="H31" s="422">
        <f ca="1"/>
        <v>-854.07529830408021</v>
      </c>
      <c r="I31" s="422">
        <f ca="1"/>
        <v>9.9770241578644345</v>
      </c>
      <c r="J31" s="423">
        <f ca="1"/>
        <v>-843.27140987848725</v>
      </c>
      <c r="K31" s="412" t="s">
        <v>4</v>
      </c>
    </row>
    <row r="32" spans="2:11" x14ac:dyDescent="0.25">
      <c r="B32" s="421" t="str">
        <f ca="1"/>
        <v>EURYC_STD_3MLIBORSWAP_11Y</v>
      </c>
      <c r="C32" s="422">
        <f ca="1"/>
        <v>0</v>
      </c>
      <c r="D32" s="422">
        <f ca="1"/>
        <v>0</v>
      </c>
      <c r="E32" s="422">
        <f ca="1"/>
        <v>-1.6542149805900408E-2</v>
      </c>
      <c r="F32" s="422">
        <f ca="1"/>
        <v>8.3377633840427734E-2</v>
      </c>
      <c r="G32" s="422">
        <f ca="1"/>
        <v>-0.30141749113681726</v>
      </c>
      <c r="H32" s="422">
        <f ca="1"/>
        <v>223.3418704673204</v>
      </c>
      <c r="I32" s="422">
        <f ca="1"/>
        <v>-44.547499494576641</v>
      </c>
      <c r="J32" s="423">
        <f ca="1"/>
        <v>178.55978896564147</v>
      </c>
      <c r="K32" s="412" t="s">
        <v>4</v>
      </c>
    </row>
    <row r="33" spans="2:11" x14ac:dyDescent="0.25">
      <c r="B33" s="421" t="str">
        <f ca="1"/>
        <v>EURYC_STD_3MLIBORSWAP_12Y</v>
      </c>
      <c r="C33" s="422">
        <f ca="1"/>
        <v>0</v>
      </c>
      <c r="D33" s="422">
        <f ca="1"/>
        <v>0</v>
      </c>
      <c r="E33" s="422">
        <f ca="1"/>
        <v>3.5938134678872302E-3</v>
      </c>
      <c r="F33" s="422">
        <f ca="1"/>
        <v>-1.8180303599365288E-2</v>
      </c>
      <c r="G33" s="422">
        <f ca="1"/>
        <v>6.4575961794616887E-2</v>
      </c>
      <c r="H33" s="422">
        <f ca="1"/>
        <v>-47.985387593678752</v>
      </c>
      <c r="I33" s="422">
        <f ca="1"/>
        <v>70.162234823298149</v>
      </c>
      <c r="J33" s="423">
        <f ca="1"/>
        <v>22.226836701282537</v>
      </c>
      <c r="K33" s="412" t="s">
        <v>4</v>
      </c>
    </row>
    <row r="34" spans="2:11" x14ac:dyDescent="0.25">
      <c r="B34" s="421" t="str">
        <f ca="1"/>
        <v>EURYC_STD_3MLIBORSWAP_15Y</v>
      </c>
      <c r="C34" s="422">
        <f ca="1"/>
        <v>0</v>
      </c>
      <c r="D34" s="422">
        <f ca="1"/>
        <v>0</v>
      </c>
      <c r="E34" s="422">
        <f ca="1"/>
        <v>-2.7844032956636511E-4</v>
      </c>
      <c r="F34" s="422">
        <f ca="1"/>
        <v>1.3464439180097543E-3</v>
      </c>
      <c r="G34" s="422">
        <f ca="1"/>
        <v>-4.1760223684832454E-3</v>
      </c>
      <c r="H34" s="422">
        <f ca="1"/>
        <v>3.1251676715983194</v>
      </c>
      <c r="I34" s="422">
        <f ca="1"/>
        <v>-115.69827171006864</v>
      </c>
      <c r="J34" s="423">
        <f ca="1"/>
        <v>-112.57621205725036</v>
      </c>
      <c r="K34" s="412" t="s">
        <v>4</v>
      </c>
    </row>
    <row r="35" spans="2:11" x14ac:dyDescent="0.25">
      <c r="B35" s="421" t="str">
        <f ca="1"/>
        <v>EURYC_STD_3MLIBORSWAP_20Y</v>
      </c>
      <c r="C35" s="422">
        <f ca="1"/>
        <v>0</v>
      </c>
      <c r="D35" s="422">
        <f ca="1"/>
        <v>0</v>
      </c>
      <c r="E35" s="422">
        <f ca="1"/>
        <v>1.0406311048427597E-5</v>
      </c>
      <c r="F35" s="422">
        <f ca="1"/>
        <v>-9.7143405582755804E-5</v>
      </c>
      <c r="G35" s="422">
        <f ca="1"/>
        <v>1.1633925932983402E-3</v>
      </c>
      <c r="H35" s="422">
        <f ca="1"/>
        <v>-0.6125562455454201</v>
      </c>
      <c r="I35" s="422">
        <f ca="1"/>
        <v>-1859.0962234250749</v>
      </c>
      <c r="J35" s="423">
        <f ca="1"/>
        <v>-1859.7077030151215</v>
      </c>
      <c r="K35" s="412" t="s">
        <v>4</v>
      </c>
    </row>
    <row r="36" spans="2:11" x14ac:dyDescent="0.25">
      <c r="B36" s="421" t="str">
        <f ca="1"/>
        <v>EURYC_STD_3MLIBORSWAP_25Y</v>
      </c>
      <c r="C36" s="422">
        <f ca="1"/>
        <v>0</v>
      </c>
      <c r="D36" s="422">
        <f ca="1"/>
        <v>0</v>
      </c>
      <c r="E36" s="422">
        <f ca="1"/>
        <v>-9.5116734883049503E-5</v>
      </c>
      <c r="F36" s="422">
        <f ca="1"/>
        <v>2.8040059260092676E-4</v>
      </c>
      <c r="G36" s="422">
        <f ca="1"/>
        <v>-3.4278007660759613E-4</v>
      </c>
      <c r="H36" s="422">
        <f ca="1"/>
        <v>0.19866791268214001</v>
      </c>
      <c r="I36" s="422">
        <f ca="1"/>
        <v>121.84167030872277</v>
      </c>
      <c r="J36" s="423">
        <f ca="1"/>
        <v>122.04018072518602</v>
      </c>
      <c r="K36" s="412" t="s">
        <v>4</v>
      </c>
    </row>
    <row r="37" spans="2:11" x14ac:dyDescent="0.25">
      <c r="B37" s="421" t="str">
        <f ca="1"/>
        <v>EURYC_STD_3MLIBORSWAP_30Y</v>
      </c>
      <c r="C37" s="422">
        <f ca="1"/>
        <v>0</v>
      </c>
      <c r="D37" s="422">
        <f ca="1"/>
        <v>0</v>
      </c>
      <c r="E37" s="422">
        <f ca="1"/>
        <v>-2.0058854715898633E-5</v>
      </c>
      <c r="F37" s="422">
        <f ca="1"/>
        <v>1.2665725080296397E-5</v>
      </c>
      <c r="G37" s="422">
        <f ca="1"/>
        <v>6.9408865238074213E-4</v>
      </c>
      <c r="H37" s="422">
        <f ca="1"/>
        <v>-3.4683716203289805E-2</v>
      </c>
      <c r="I37" s="422">
        <f ca="1"/>
        <v>-24.561241435211741</v>
      </c>
      <c r="J37" s="423">
        <f ca="1"/>
        <v>-24.595238455892286</v>
      </c>
      <c r="K37" s="412" t="s">
        <v>4</v>
      </c>
    </row>
    <row r="38" spans="2:11" x14ac:dyDescent="0.25">
      <c r="B38" s="421" t="str">
        <f ca="1"/>
        <v>EURYC_OIS_OUTRIGHTOISSWAP_ON</v>
      </c>
      <c r="C38" s="422">
        <f ca="1"/>
        <v>-7.0532139279748662E-3</v>
      </c>
      <c r="D38" s="422">
        <f ca="1"/>
        <v>-1.4454154084887705E-2</v>
      </c>
      <c r="E38" s="422">
        <f ca="1"/>
        <v>-2.1900211319007212E-2</v>
      </c>
      <c r="F38" s="422">
        <f ca="1"/>
        <v>-2.7981342653220054E-2</v>
      </c>
      <c r="G38" s="422">
        <f ca="1"/>
        <v>-3.3055820924346335E-2</v>
      </c>
      <c r="H38" s="422">
        <f ca="1"/>
        <v>-3.5051116108661518E-2</v>
      </c>
      <c r="I38" s="422">
        <f ca="1"/>
        <v>-2.7399842256272677E-3</v>
      </c>
      <c r="J38" s="423">
        <f ca="1"/>
        <v>-0.14223584324372496</v>
      </c>
      <c r="K38" s="412" t="s">
        <v>4</v>
      </c>
    </row>
    <row r="39" spans="2:11" x14ac:dyDescent="0.25">
      <c r="B39" s="421" t="str">
        <f ca="1"/>
        <v>EURYC_OIS_CBRate_EUSF1A</v>
      </c>
      <c r="C39" s="422">
        <f ca="1"/>
        <v>0</v>
      </c>
      <c r="D39" s="422">
        <f ca="1"/>
        <v>0</v>
      </c>
      <c r="E39" s="422">
        <f ca="1"/>
        <v>1.1735895783203887E-2</v>
      </c>
      <c r="F39" s="422">
        <f ca="1"/>
        <v>2.208887704910012E-2</v>
      </c>
      <c r="G39" s="422">
        <f ca="1"/>
        <v>2.0264097838662565E-2</v>
      </c>
      <c r="H39" s="422">
        <f ca="1"/>
        <v>2.4271006761409808E-2</v>
      </c>
      <c r="I39" s="422">
        <f ca="1"/>
        <v>3.2110905060108053E-2</v>
      </c>
      <c r="J39" s="423">
        <f ca="1"/>
        <v>0.11047078249248443</v>
      </c>
      <c r="K39" s="412" t="s">
        <v>4</v>
      </c>
    </row>
    <row r="40" spans="2:11" x14ac:dyDescent="0.25">
      <c r="B40" s="421" t="str">
        <f ca="1"/>
        <v>EURYC_OIS_CBRate_EUSF2A</v>
      </c>
      <c r="C40" s="422">
        <f ca="1"/>
        <v>0</v>
      </c>
      <c r="D40" s="422">
        <f ca="1"/>
        <v>0</v>
      </c>
      <c r="E40" s="422">
        <f ca="1"/>
        <v>1.1052948033466237E-2</v>
      </c>
      <c r="F40" s="422">
        <f ca="1"/>
        <v>2.1217012577835703E-2</v>
      </c>
      <c r="G40" s="422">
        <f ca="1"/>
        <v>1.9250346002081642E-2</v>
      </c>
      <c r="H40" s="422">
        <f ca="1"/>
        <v>2.2972670521994587E-2</v>
      </c>
      <c r="I40" s="422">
        <f ca="1"/>
        <v>2.7806131633496989E-2</v>
      </c>
      <c r="J40" s="423">
        <f ca="1"/>
        <v>0.10229910876887516</v>
      </c>
      <c r="K40" s="412" t="s">
        <v>4</v>
      </c>
    </row>
    <row r="41" spans="2:11" x14ac:dyDescent="0.25">
      <c r="B41" s="421" t="str">
        <f ca="1"/>
        <v>EURYC_OIS_CBRate_EUSF3A</v>
      </c>
      <c r="C41" s="422">
        <f ca="1"/>
        <v>0</v>
      </c>
      <c r="D41" s="422">
        <f ca="1"/>
        <v>0</v>
      </c>
      <c r="E41" s="422">
        <f ca="1"/>
        <v>5.8821774946409278E-3</v>
      </c>
      <c r="F41" s="422">
        <f ca="1"/>
        <v>1.1473909115011338E-2</v>
      </c>
      <c r="G41" s="422">
        <f ca="1"/>
        <v>1.0362966768298065E-2</v>
      </c>
      <c r="H41" s="422">
        <f ca="1"/>
        <v>1.9640471728052944E-2</v>
      </c>
      <c r="I41" s="422">
        <f ca="1"/>
        <v>3.0734365941043507E-2</v>
      </c>
      <c r="J41" s="423">
        <f ca="1"/>
        <v>7.8093891047046782E-2</v>
      </c>
      <c r="K41" s="412" t="s">
        <v>4</v>
      </c>
    </row>
    <row r="42" spans="2:11" x14ac:dyDescent="0.25">
      <c r="B42" s="421" t="str">
        <f ca="1"/>
        <v>EURYC_OIS_CBRate_EUSF4A</v>
      </c>
      <c r="C42" s="422">
        <f ca="1"/>
        <v>0</v>
      </c>
      <c r="D42" s="422">
        <f ca="1"/>
        <v>0</v>
      </c>
      <c r="E42" s="422">
        <f ca="1"/>
        <v>7.5865440521738492E-3</v>
      </c>
      <c r="F42" s="422">
        <f ca="1"/>
        <v>1.4874429965857416E-2</v>
      </c>
      <c r="G42" s="422">
        <f ca="1"/>
        <v>1.469168498806539E-2</v>
      </c>
      <c r="H42" s="422">
        <f ca="1"/>
        <v>1.894135325710522E-2</v>
      </c>
      <c r="I42" s="422">
        <f ca="1"/>
        <v>2.0008066578611761E-2</v>
      </c>
      <c r="J42" s="423">
        <f ca="1"/>
        <v>7.6102078841813636E-2</v>
      </c>
      <c r="K42" s="412" t="s">
        <v>4</v>
      </c>
    </row>
    <row r="43" spans="2:11" x14ac:dyDescent="0.25">
      <c r="B43" s="421" t="str">
        <f ca="1"/>
        <v>EURYC_OIS_OUTRIGHTOISSWAP_12M</v>
      </c>
      <c r="C43" s="422">
        <f ca="1"/>
        <v>-1.2922039628656421</v>
      </c>
      <c r="D43" s="422">
        <f ca="1"/>
        <v>-1.2977156173965341</v>
      </c>
      <c r="E43" s="422">
        <f ca="1"/>
        <v>-1.3521803225667099</v>
      </c>
      <c r="F43" s="422">
        <f ca="1"/>
        <v>-1.3583781121924403</v>
      </c>
      <c r="G43" s="422">
        <f ca="1"/>
        <v>-1.2857052279687196</v>
      </c>
      <c r="H43" s="422">
        <f ca="1"/>
        <v>-0.70602953568959492</v>
      </c>
      <c r="I43" s="422">
        <f ca="1"/>
        <v>-9.7312095672805299E-2</v>
      </c>
      <c r="J43" s="423">
        <f ca="1"/>
        <v>-7.3895248743524462</v>
      </c>
      <c r="K43" s="412" t="s">
        <v>4</v>
      </c>
    </row>
    <row r="44" spans="2:11" x14ac:dyDescent="0.25">
      <c r="B44" s="421" t="str">
        <f ca="1"/>
        <v>EURYC_OIS_OUTRIGHTOISSWAP_18M</v>
      </c>
      <c r="C44" s="422">
        <f ca="1"/>
        <v>0</v>
      </c>
      <c r="D44" s="422">
        <f ca="1"/>
        <v>0</v>
      </c>
      <c r="E44" s="422">
        <f ca="1"/>
        <v>6.4302756669349037E-2</v>
      </c>
      <c r="F44" s="422">
        <f ca="1"/>
        <v>0.12872478300050716</v>
      </c>
      <c r="G44" s="422">
        <f ca="1"/>
        <v>0.15983323174805264</v>
      </c>
      <c r="H44" s="422">
        <f ca="1"/>
        <v>0.13729423257973394</v>
      </c>
      <c r="I44" s="422">
        <f ca="1"/>
        <v>0.14382289716104424</v>
      </c>
      <c r="J44" s="423">
        <f ca="1"/>
        <v>0.63397790115868702</v>
      </c>
      <c r="K44" s="412" t="s">
        <v>4</v>
      </c>
    </row>
    <row r="45" spans="2:11" x14ac:dyDescent="0.25">
      <c r="B45" s="421" t="str">
        <f ca="1"/>
        <v>EURYC_OIS_OUTRIGHTOISSWAP_2Y</v>
      </c>
      <c r="C45" s="422">
        <f ca="1"/>
        <v>0</v>
      </c>
      <c r="D45" s="422">
        <f ca="1"/>
        <v>-2.7140325257514633</v>
      </c>
      <c r="E45" s="422">
        <f ca="1"/>
        <v>-2.7035898835674743</v>
      </c>
      <c r="F45" s="422">
        <f ca="1"/>
        <v>-2.6174331913061906</v>
      </c>
      <c r="G45" s="422">
        <f ca="1"/>
        <v>-2.5674985517034656</v>
      </c>
      <c r="H45" s="422">
        <f ca="1"/>
        <v>-1.3591627470304957</v>
      </c>
      <c r="I45" s="422">
        <f ca="1"/>
        <v>-0.12370919991190021</v>
      </c>
      <c r="J45" s="423">
        <f ca="1"/>
        <v>-12.08542609927099</v>
      </c>
      <c r="K45" s="412" t="s">
        <v>4</v>
      </c>
    </row>
    <row r="46" spans="2:11" x14ac:dyDescent="0.25">
      <c r="B46" s="421" t="str">
        <f ca="1"/>
        <v>EURYC_OIS_BASISRATE_3Y</v>
      </c>
      <c r="C46" s="422">
        <f ca="1"/>
        <v>0</v>
      </c>
      <c r="D46" s="422">
        <f ca="1"/>
        <v>0</v>
      </c>
      <c r="E46" s="422">
        <f ca="1"/>
        <v>4.4086164182772336</v>
      </c>
      <c r="F46" s="422">
        <f ca="1"/>
        <v>4.5299896124852239</v>
      </c>
      <c r="G46" s="422">
        <f ca="1"/>
        <v>4.0173482131540368</v>
      </c>
      <c r="H46" s="422">
        <f ca="1"/>
        <v>2.4174754446103179</v>
      </c>
      <c r="I46" s="422">
        <f ca="1"/>
        <v>0.58554044993206844</v>
      </c>
      <c r="J46" s="423">
        <f ca="1"/>
        <v>15.958970138458881</v>
      </c>
      <c r="K46" s="412" t="s">
        <v>4</v>
      </c>
    </row>
    <row r="47" spans="2:11" x14ac:dyDescent="0.25">
      <c r="B47" s="421" t="str">
        <f ca="1"/>
        <v>EURYC_OIS_3MLIBORSWAP_3Y</v>
      </c>
      <c r="C47" s="422">
        <f ca="1"/>
        <v>0</v>
      </c>
      <c r="D47" s="422">
        <f ca="1"/>
        <v>0</v>
      </c>
      <c r="E47" s="422">
        <f ca="1"/>
        <v>-205.78620020539529</v>
      </c>
      <c r="F47" s="422">
        <f ca="1"/>
        <v>-98.598393040472729</v>
      </c>
      <c r="G47" s="422">
        <f ca="1"/>
        <v>59.971234768843715</v>
      </c>
      <c r="H47" s="422">
        <f ca="1"/>
        <v>28.029043846829154</v>
      </c>
      <c r="I47" s="422">
        <f ca="1"/>
        <v>29.878008336717357</v>
      </c>
      <c r="J47" s="423">
        <f ca="1"/>
        <v>-186.50630629347779</v>
      </c>
      <c r="K47" s="412" t="s">
        <v>4</v>
      </c>
    </row>
    <row r="48" spans="2:11" x14ac:dyDescent="0.25">
      <c r="B48" s="421" t="str">
        <f ca="1"/>
        <v>EURYC_OIS_BASISRATE_4Y</v>
      </c>
      <c r="C48" s="422">
        <f ca="1"/>
        <v>0</v>
      </c>
      <c r="D48" s="422">
        <f ca="1"/>
        <v>0</v>
      </c>
      <c r="E48" s="422">
        <f ca="1"/>
        <v>-9.5844469986332115E-2</v>
      </c>
      <c r="F48" s="422">
        <f ca="1"/>
        <v>4.9799868201298523</v>
      </c>
      <c r="G48" s="422">
        <f ca="1"/>
        <v>5.5890790211087733</v>
      </c>
      <c r="H48" s="422">
        <f ca="1"/>
        <v>3.0132631446249434</v>
      </c>
      <c r="I48" s="422">
        <f ca="1"/>
        <v>0.59019010834072105</v>
      </c>
      <c r="J48" s="423">
        <f ca="1"/>
        <v>14.076674624217958</v>
      </c>
      <c r="K48" s="412" t="s">
        <v>4</v>
      </c>
    </row>
    <row r="49" spans="2:11" x14ac:dyDescent="0.25">
      <c r="B49" s="421" t="str">
        <f ca="1"/>
        <v>EURYC_OIS_3MLIBORSWAP_4Y</v>
      </c>
      <c r="C49" s="422">
        <f ca="1"/>
        <v>0</v>
      </c>
      <c r="D49" s="422">
        <f ca="1"/>
        <v>0</v>
      </c>
      <c r="E49" s="422">
        <f ca="1"/>
        <v>64.316178486922581</v>
      </c>
      <c r="F49" s="422">
        <f ca="1"/>
        <v>-363.15677831216453</v>
      </c>
      <c r="G49" s="422">
        <f ca="1"/>
        <v>-175.4383620252047</v>
      </c>
      <c r="H49" s="422">
        <f ca="1"/>
        <v>-15.514661386678199</v>
      </c>
      <c r="I49" s="422">
        <f ca="1"/>
        <v>-13.333469602708192</v>
      </c>
      <c r="J49" s="423">
        <f ca="1"/>
        <v>-503.12709283983304</v>
      </c>
      <c r="K49" s="412" t="s">
        <v>4</v>
      </c>
    </row>
    <row r="50" spans="2:11" x14ac:dyDescent="0.25">
      <c r="B50" s="421" t="str">
        <f ca="1"/>
        <v>EURYC_OIS_BASISRATE_5Y</v>
      </c>
      <c r="C50" s="422">
        <f ca="1"/>
        <v>0</v>
      </c>
      <c r="D50" s="422">
        <f ca="1"/>
        <v>0</v>
      </c>
      <c r="E50" s="422">
        <f ca="1"/>
        <v>3.0695865261805011E-2</v>
      </c>
      <c r="F50" s="422">
        <f ca="1"/>
        <v>-0.1592916765694099</v>
      </c>
      <c r="G50" s="422">
        <f ca="1"/>
        <v>5.2737352165640914</v>
      </c>
      <c r="H50" s="422">
        <f ca="1"/>
        <v>4.0626266650178877</v>
      </c>
      <c r="I50" s="422">
        <f ca="1"/>
        <v>1.0506023708639987</v>
      </c>
      <c r="J50" s="423">
        <f ca="1"/>
        <v>10.258368441138373</v>
      </c>
      <c r="K50" s="412" t="s">
        <v>4</v>
      </c>
    </row>
    <row r="51" spans="2:11" x14ac:dyDescent="0.25">
      <c r="B51" s="421" t="str">
        <f ca="1"/>
        <v>EURYC_OIS_3MLIBORSWAP_5Y</v>
      </c>
      <c r="C51" s="422">
        <f ca="1"/>
        <v>0</v>
      </c>
      <c r="D51" s="422">
        <f ca="1"/>
        <v>0</v>
      </c>
      <c r="E51" s="422">
        <f ca="1"/>
        <v>-21.519137063824019</v>
      </c>
      <c r="F51" s="422">
        <f ca="1"/>
        <v>111.52510646603332</v>
      </c>
      <c r="G51" s="422">
        <f ca="1"/>
        <v>-435.57407026462897</v>
      </c>
      <c r="H51" s="422">
        <f ca="1"/>
        <v>-1.3164149331532826</v>
      </c>
      <c r="I51" s="422">
        <f ca="1"/>
        <v>2.6721421517859199</v>
      </c>
      <c r="J51" s="423">
        <f ca="1"/>
        <v>-344.21237364378703</v>
      </c>
      <c r="K51" s="412" t="s">
        <v>4</v>
      </c>
    </row>
    <row r="52" spans="2:11" x14ac:dyDescent="0.25">
      <c r="B52" s="421" t="str">
        <f ca="1"/>
        <v>EURYC_OIS_BASISRATE_6Y</v>
      </c>
      <c r="C52" s="422">
        <f ca="1"/>
        <v>0</v>
      </c>
      <c r="D52" s="422">
        <f ca="1"/>
        <v>0</v>
      </c>
      <c r="E52" s="422">
        <f ca="1"/>
        <v>-9.6389652135258075E-3</v>
      </c>
      <c r="F52" s="422">
        <f ca="1"/>
        <v>4.9124480483442312E-2</v>
      </c>
      <c r="G52" s="422">
        <f ca="1"/>
        <v>-0.17678803321905434</v>
      </c>
      <c r="H52" s="422">
        <f ca="1"/>
        <v>5.0822129671832954</v>
      </c>
      <c r="I52" s="422">
        <f ca="1"/>
        <v>1.41619521040775</v>
      </c>
      <c r="J52" s="423">
        <f ca="1"/>
        <v>6.3611056596419076</v>
      </c>
      <c r="K52" s="412" t="s">
        <v>4</v>
      </c>
    </row>
    <row r="53" spans="2:11" x14ac:dyDescent="0.25">
      <c r="B53" s="421" t="str">
        <f ca="1"/>
        <v>EURYC_OIS_3MLIBORSWAP_6Y</v>
      </c>
      <c r="C53" s="422">
        <f ca="1"/>
        <v>0</v>
      </c>
      <c r="D53" s="422">
        <f ca="1"/>
        <v>0</v>
      </c>
      <c r="E53" s="422">
        <f ca="1"/>
        <v>6.8958814306279237</v>
      </c>
      <c r="F53" s="422">
        <f ca="1"/>
        <v>-35.681899735584011</v>
      </c>
      <c r="G53" s="422">
        <f ca="1"/>
        <v>127.69561698092366</v>
      </c>
      <c r="H53" s="422">
        <f ca="1"/>
        <v>-4.4119875411015528</v>
      </c>
      <c r="I53" s="422">
        <f ca="1"/>
        <v>-5.303219359778268</v>
      </c>
      <c r="J53" s="423">
        <f ca="1"/>
        <v>89.194391775087752</v>
      </c>
      <c r="K53" s="412" t="s">
        <v>4</v>
      </c>
    </row>
    <row r="54" spans="2:11" x14ac:dyDescent="0.25">
      <c r="B54" s="421" t="str">
        <f ca="1"/>
        <v>EURYC_OIS_BASISRATE_7Y</v>
      </c>
      <c r="C54" s="422">
        <f ca="1"/>
        <v>0</v>
      </c>
      <c r="D54" s="422">
        <f ca="1"/>
        <v>0</v>
      </c>
      <c r="E54" s="422">
        <f ca="1"/>
        <v>2.7188353560632095E-3</v>
      </c>
      <c r="F54" s="422">
        <f ca="1"/>
        <v>-1.4529855081491405E-2</v>
      </c>
      <c r="G54" s="422">
        <f ca="1"/>
        <v>5.3028615893708775E-2</v>
      </c>
      <c r="H54" s="422">
        <f ca="1"/>
        <v>5.8581357227922126</v>
      </c>
      <c r="I54" s="422">
        <f ca="1"/>
        <v>1.6613849978116377</v>
      </c>
      <c r="J54" s="423">
        <f ca="1"/>
        <v>7.5607383167721309</v>
      </c>
      <c r="K54" s="412" t="s">
        <v>4</v>
      </c>
    </row>
    <row r="55" spans="2:11" x14ac:dyDescent="0.25">
      <c r="B55" s="421" t="str">
        <f ca="1"/>
        <v>EURYC_OIS_3MLIBORSWAP_7Y</v>
      </c>
      <c r="C55" s="422">
        <f ca="1"/>
        <v>0</v>
      </c>
      <c r="D55" s="422">
        <f ca="1"/>
        <v>0</v>
      </c>
      <c r="E55" s="422">
        <f ca="1"/>
        <v>-2.14770296567076</v>
      </c>
      <c r="F55" s="422">
        <f ca="1"/>
        <v>11.083813102955901</v>
      </c>
      <c r="G55" s="422">
        <f ca="1"/>
        <v>-39.683586227332853</v>
      </c>
      <c r="H55" s="422">
        <f ca="1"/>
        <v>-23.83205732580609</v>
      </c>
      <c r="I55" s="422">
        <f ca="1"/>
        <v>-0.26988421623900649</v>
      </c>
      <c r="J55" s="423">
        <f ca="1"/>
        <v>-54.849417632092809</v>
      </c>
      <c r="K55" s="412" t="s">
        <v>4</v>
      </c>
    </row>
    <row r="56" spans="2:11" x14ac:dyDescent="0.25">
      <c r="B56" s="421" t="str">
        <f ca="1"/>
        <v>EURYC_OIS_BASISRATE_8Y</v>
      </c>
      <c r="C56" s="422">
        <f ca="1"/>
        <v>0</v>
      </c>
      <c r="D56" s="422">
        <f ca="1"/>
        <v>0</v>
      </c>
      <c r="E56" s="422">
        <f ca="1"/>
        <v>-7.6704032835550606E-4</v>
      </c>
      <c r="F56" s="422">
        <f ca="1"/>
        <v>3.755665326025337E-3</v>
      </c>
      <c r="G56" s="422">
        <f ca="1"/>
        <v>-1.4722752031957498E-2</v>
      </c>
      <c r="H56" s="422">
        <f ca="1"/>
        <v>6.5282509646094695</v>
      </c>
      <c r="I56" s="422">
        <f ca="1"/>
        <v>1.7863052765992506</v>
      </c>
      <c r="J56" s="423">
        <f ca="1"/>
        <v>8.3028221141744325</v>
      </c>
      <c r="K56" s="412" t="s">
        <v>4</v>
      </c>
    </row>
    <row r="57" spans="2:11" x14ac:dyDescent="0.25">
      <c r="B57" s="421" t="str">
        <f ca="1"/>
        <v>EURYC_OIS_3MLIBORSWAP_8Y</v>
      </c>
      <c r="C57" s="422">
        <f ca="1"/>
        <v>0</v>
      </c>
      <c r="D57" s="422">
        <f ca="1"/>
        <v>0</v>
      </c>
      <c r="E57" s="422">
        <f ca="1"/>
        <v>0.65501302175835008</v>
      </c>
      <c r="F57" s="422">
        <f ca="1"/>
        <v>-3.3676757015855401</v>
      </c>
      <c r="G57" s="422">
        <f ca="1"/>
        <v>12.064692455493059</v>
      </c>
      <c r="H57" s="422">
        <f ca="1"/>
        <v>71.999332353851059</v>
      </c>
      <c r="I57" s="422">
        <f ca="1"/>
        <v>-6.3929407646128311</v>
      </c>
      <c r="J57" s="423">
        <f ca="1"/>
        <v>74.958421364904098</v>
      </c>
      <c r="K57" s="412" t="s">
        <v>4</v>
      </c>
    </row>
    <row r="58" spans="2:11" x14ac:dyDescent="0.25">
      <c r="B58" s="421" t="str">
        <f ca="1"/>
        <v>EURYC_OIS_BASISRATE_9Y</v>
      </c>
      <c r="C58" s="422">
        <f ca="1"/>
        <v>0</v>
      </c>
      <c r="D58" s="422">
        <f ca="1"/>
        <v>0</v>
      </c>
      <c r="E58" s="422">
        <f ca="1"/>
        <v>2.3305756985791959E-4</v>
      </c>
      <c r="F58" s="422">
        <f ca="1"/>
        <v>-9.9705253160209395E-4</v>
      </c>
      <c r="G58" s="422">
        <f ca="1"/>
        <v>3.2141497540578712E-3</v>
      </c>
      <c r="H58" s="422">
        <f ca="1"/>
        <v>7.3245567044832569</v>
      </c>
      <c r="I58" s="422">
        <f ca="1"/>
        <v>0.81831863829620488</v>
      </c>
      <c r="J58" s="423">
        <f ca="1"/>
        <v>8.1453254975717755</v>
      </c>
      <c r="K58" s="412" t="s">
        <v>4</v>
      </c>
    </row>
    <row r="59" spans="2:11" x14ac:dyDescent="0.25">
      <c r="B59" s="421" t="str">
        <f ca="1"/>
        <v>EURYC_OIS_3MLIBORSWAP_9Y</v>
      </c>
      <c r="C59" s="422">
        <f ca="1"/>
        <v>0</v>
      </c>
      <c r="D59" s="422">
        <f ca="1"/>
        <v>0</v>
      </c>
      <c r="E59" s="422">
        <f ca="1"/>
        <v>-0.19809629543306073</v>
      </c>
      <c r="F59" s="422">
        <f ca="1"/>
        <v>1.0141040392918512</v>
      </c>
      <c r="G59" s="422">
        <f ca="1"/>
        <v>-3.6355505997707951</v>
      </c>
      <c r="H59" s="422">
        <f ca="1"/>
        <v>-353.50153303778643</v>
      </c>
      <c r="I59" s="422">
        <f ca="1"/>
        <v>-1.3426223864635176</v>
      </c>
      <c r="J59" s="423">
        <f ca="1"/>
        <v>-357.66369828016195</v>
      </c>
      <c r="K59" s="412" t="s">
        <v>4</v>
      </c>
    </row>
    <row r="60" spans="2:11" x14ac:dyDescent="0.25">
      <c r="B60" s="421" t="str">
        <f ca="1"/>
        <v>EURYC_OIS_BASISRATE_10Y</v>
      </c>
      <c r="C60" s="422">
        <f ca="1"/>
        <v>0</v>
      </c>
      <c r="D60" s="422">
        <f ca="1"/>
        <v>0</v>
      </c>
      <c r="E60" s="422">
        <f ca="1"/>
        <v>-6.0013873735442758E-5</v>
      </c>
      <c r="F60" s="422">
        <f ca="1"/>
        <v>1.1618172356975265E-4</v>
      </c>
      <c r="G60" s="422">
        <f ca="1"/>
        <v>-4.0550728226662613E-4</v>
      </c>
      <c r="H60" s="422">
        <f ca="1"/>
        <v>-3.7116683717613341</v>
      </c>
      <c r="I60" s="422">
        <f ca="1"/>
        <v>2.3484524765831338</v>
      </c>
      <c r="J60" s="423">
        <f ca="1"/>
        <v>-1.3635652346106326</v>
      </c>
      <c r="K60" s="412" t="s">
        <v>4</v>
      </c>
    </row>
    <row r="61" spans="2:11" x14ac:dyDescent="0.25">
      <c r="B61" s="421" t="str">
        <f ca="1"/>
        <v>EURYC_OIS_3MLIBORSWAP_10Y</v>
      </c>
      <c r="C61" s="422">
        <f ca="1"/>
        <v>0</v>
      </c>
      <c r="D61" s="422">
        <f ca="1"/>
        <v>0</v>
      </c>
      <c r="E61" s="422">
        <f ca="1"/>
        <v>5.8289568038162543E-2</v>
      </c>
      <c r="F61" s="422">
        <f ca="1"/>
        <v>-0.29742222967615817</v>
      </c>
      <c r="G61" s="422">
        <f ca="1"/>
        <v>1.0657514162739972</v>
      </c>
      <c r="H61" s="422">
        <f ca="1"/>
        <v>-850.43029418048536</v>
      </c>
      <c r="I61" s="422">
        <f ca="1"/>
        <v>7.6471349456651296</v>
      </c>
      <c r="J61" s="423">
        <f ca="1"/>
        <v>-841.95654048018423</v>
      </c>
      <c r="K61" s="412" t="s">
        <v>4</v>
      </c>
    </row>
    <row r="62" spans="2:11" x14ac:dyDescent="0.25">
      <c r="B62" s="421" t="str">
        <f ca="1"/>
        <v>EURYC_OIS_BASISRATE_11Y</v>
      </c>
      <c r="C62" s="422">
        <f ca="1"/>
        <v>0</v>
      </c>
      <c r="D62" s="422">
        <f ca="1"/>
        <v>0</v>
      </c>
      <c r="E62" s="422">
        <f ca="1"/>
        <v>-1.874396184575744E-5</v>
      </c>
      <c r="F62" s="422">
        <f ca="1"/>
        <v>-3.1392916935146786E-4</v>
      </c>
      <c r="G62" s="422">
        <f ca="1"/>
        <v>-3.1837883943808265E-4</v>
      </c>
      <c r="H62" s="422">
        <f ca="1"/>
        <v>-4.7819378138228785E-2</v>
      </c>
      <c r="I62" s="422">
        <f ca="1"/>
        <v>-2.9695833335531461</v>
      </c>
      <c r="J62" s="423">
        <f ca="1"/>
        <v>-3.0180537636620102</v>
      </c>
      <c r="K62" s="412" t="s">
        <v>4</v>
      </c>
    </row>
    <row r="63" spans="2:11" x14ac:dyDescent="0.25">
      <c r="B63" s="421" t="str">
        <f ca="1"/>
        <v>EURYC_OIS_3MLIBORSWAP_11Y</v>
      </c>
      <c r="C63" s="422">
        <f ca="1"/>
        <v>0</v>
      </c>
      <c r="D63" s="422">
        <f ca="1"/>
        <v>0</v>
      </c>
      <c r="E63" s="422">
        <f ca="1"/>
        <v>-1.6595105804299237E-2</v>
      </c>
      <c r="F63" s="422">
        <f ca="1"/>
        <v>8.3856490873586154E-2</v>
      </c>
      <c r="G63" s="422">
        <f ca="1"/>
        <v>-0.30102398641975014</v>
      </c>
      <c r="H63" s="422">
        <f ca="1"/>
        <v>223.40502324920453</v>
      </c>
      <c r="I63" s="422">
        <f ca="1"/>
        <v>-41.599534603031771</v>
      </c>
      <c r="J63" s="423">
        <f ca="1"/>
        <v>181.5717260448223</v>
      </c>
      <c r="K63" s="412" t="s">
        <v>4</v>
      </c>
    </row>
    <row r="64" spans="2:11" x14ac:dyDescent="0.25">
      <c r="B64" s="421" t="str">
        <f ca="1"/>
        <v>EURYC_OIS_BASISRATE_12Y</v>
      </c>
      <c r="C64" s="422">
        <f ca="1"/>
        <v>0</v>
      </c>
      <c r="D64" s="422">
        <f ca="1"/>
        <v>0</v>
      </c>
      <c r="E64" s="422">
        <f ca="1"/>
        <v>2.4247565306723118E-5</v>
      </c>
      <c r="F64" s="422">
        <f ca="1"/>
        <v>-1.0611889229039662E-4</v>
      </c>
      <c r="G64" s="422">
        <f ca="1"/>
        <v>-2.6165878080064431E-4</v>
      </c>
      <c r="H64" s="422">
        <f ca="1"/>
        <v>2.2722310659446521E-2</v>
      </c>
      <c r="I64" s="422">
        <f ca="1"/>
        <v>5.1132793410511113</v>
      </c>
      <c r="J64" s="423">
        <f ca="1"/>
        <v>5.1356581216027735</v>
      </c>
      <c r="K64" s="412" t="s">
        <v>4</v>
      </c>
    </row>
    <row r="65" spans="2:11" x14ac:dyDescent="0.25">
      <c r="B65" s="421" t="str">
        <f ca="1"/>
        <v>EURYC_OIS_3MLIBORSWAP_12Y</v>
      </c>
      <c r="C65" s="422">
        <f ca="1"/>
        <v>0</v>
      </c>
      <c r="D65" s="422">
        <f ca="1"/>
        <v>0</v>
      </c>
      <c r="E65" s="422">
        <f ca="1"/>
        <v>3.553471509803785E-3</v>
      </c>
      <c r="F65" s="422">
        <f ca="1"/>
        <v>-1.7566994953085668E-2</v>
      </c>
      <c r="G65" s="422">
        <f ca="1"/>
        <v>6.5341419485775987E-2</v>
      </c>
      <c r="H65" s="422">
        <f ca="1"/>
        <v>-48.015859482184169</v>
      </c>
      <c r="I65" s="422">
        <f ca="1"/>
        <v>65.137970301318546</v>
      </c>
      <c r="J65" s="423">
        <f ca="1"/>
        <v>17.173438715176871</v>
      </c>
      <c r="K65" s="412" t="s">
        <v>4</v>
      </c>
    </row>
    <row r="66" spans="2:11" x14ac:dyDescent="0.25">
      <c r="B66" s="421" t="str">
        <f ca="1"/>
        <v>EURYC_OIS_BASISRATE_15Y</v>
      </c>
      <c r="C66" s="422">
        <f ca="1"/>
        <v>0</v>
      </c>
      <c r="D66" s="422">
        <f ca="1"/>
        <v>0</v>
      </c>
      <c r="E66" s="422">
        <f ca="1"/>
        <v>1.6825732382130809E-4</v>
      </c>
      <c r="F66" s="422">
        <f ca="1"/>
        <v>3.9527072658529505E-5</v>
      </c>
      <c r="G66" s="422">
        <f ca="1"/>
        <v>1.1152042134199291E-4</v>
      </c>
      <c r="H66" s="422">
        <f ca="1"/>
        <v>-5.1234533020760864E-3</v>
      </c>
      <c r="I66" s="422">
        <f ca="1"/>
        <v>-4.5459234713634942</v>
      </c>
      <c r="J66" s="423">
        <f ca="1"/>
        <v>-4.5507276198477484</v>
      </c>
      <c r="K66" s="412" t="s">
        <v>4</v>
      </c>
    </row>
    <row r="67" spans="2:11" x14ac:dyDescent="0.25">
      <c r="B67" s="421" t="str">
        <f ca="1"/>
        <v>EURYC_OIS_3MLIBORSWAP_15Y</v>
      </c>
      <c r="C67" s="422">
        <f ca="1"/>
        <v>0</v>
      </c>
      <c r="D67" s="422">
        <f ca="1"/>
        <v>0</v>
      </c>
      <c r="E67" s="422">
        <f ca="1"/>
        <v>-2.5275385632994585E-4</v>
      </c>
      <c r="F67" s="422">
        <f ca="1"/>
        <v>9.4107680342858657E-4</v>
      </c>
      <c r="G67" s="422">
        <f ca="1"/>
        <v>-4.676347740314668E-3</v>
      </c>
      <c r="H67" s="422">
        <f ca="1"/>
        <v>3.1327363739146676</v>
      </c>
      <c r="I67" s="422">
        <f ca="1"/>
        <v>-111.2312398633544</v>
      </c>
      <c r="J67" s="423">
        <f ca="1"/>
        <v>-108.10249151423295</v>
      </c>
      <c r="K67" s="412" t="s">
        <v>4</v>
      </c>
    </row>
    <row r="68" spans="2:11" x14ac:dyDescent="0.25">
      <c r="B68" s="421" t="str">
        <f ca="1"/>
        <v>EURYC_OIS_BASISRATE_20Y</v>
      </c>
      <c r="C68" s="422">
        <f ca="1"/>
        <v>0</v>
      </c>
      <c r="D68" s="422">
        <f ca="1"/>
        <v>0</v>
      </c>
      <c r="E68" s="422">
        <f ca="1"/>
        <v>1.2908803910249844E-4</v>
      </c>
      <c r="F68" s="422">
        <f ca="1"/>
        <v>2.7703674277290702E-4</v>
      </c>
      <c r="G68" s="422">
        <f ca="1"/>
        <v>-2.4570118330302648E-4</v>
      </c>
      <c r="H68" s="422">
        <f ca="1"/>
        <v>-8.6288370948750526E-4</v>
      </c>
      <c r="I68" s="422">
        <f ca="1"/>
        <v>-15.691792886546409</v>
      </c>
      <c r="J68" s="423">
        <f ca="1"/>
        <v>-15.692495346657324</v>
      </c>
      <c r="K68" s="412" t="s">
        <v>4</v>
      </c>
    </row>
    <row r="69" spans="2:11" x14ac:dyDescent="0.25">
      <c r="B69" s="421" t="str">
        <f ca="1"/>
        <v>EURYC_OIS_3MLIBORSWAP_20Y</v>
      </c>
      <c r="C69" s="422">
        <f ca="1"/>
        <v>0</v>
      </c>
      <c r="D69" s="422">
        <f ca="1"/>
        <v>0</v>
      </c>
      <c r="E69" s="422">
        <f ca="1"/>
        <v>4.0169557905755937E-5</v>
      </c>
      <c r="F69" s="422">
        <f ca="1"/>
        <v>1.8182394342147745E-4</v>
      </c>
      <c r="G69" s="422">
        <f ca="1"/>
        <v>9.4834061746951193E-4</v>
      </c>
      <c r="H69" s="422">
        <f ca="1"/>
        <v>-0.61416791650481173</v>
      </c>
      <c r="I69" s="422">
        <f ca="1"/>
        <v>-1843.6916966592248</v>
      </c>
      <c r="J69" s="423">
        <f ca="1"/>
        <v>-1844.3046942416108</v>
      </c>
      <c r="K69" s="412" t="s">
        <v>4</v>
      </c>
    </row>
    <row r="70" spans="2:11" x14ac:dyDescent="0.25">
      <c r="B70" s="421" t="str">
        <f ca="1"/>
        <v>EURYC_OIS_BASISRATE_25Y</v>
      </c>
      <c r="C70" s="422">
        <f ca="1"/>
        <v>0</v>
      </c>
      <c r="D70" s="422">
        <f ca="1"/>
        <v>0</v>
      </c>
      <c r="E70" s="422">
        <f ca="1"/>
        <v>-1.099688743124716E-4</v>
      </c>
      <c r="F70" s="422">
        <f ca="1"/>
        <v>-2.3378496916848235E-4</v>
      </c>
      <c r="G70" s="422">
        <f ca="1"/>
        <v>3.266532403358724E-4</v>
      </c>
      <c r="H70" s="422">
        <f ca="1"/>
        <v>8.7444433702330571E-3</v>
      </c>
      <c r="I70" s="422">
        <f ca="1"/>
        <v>0.23669818911821494</v>
      </c>
      <c r="J70" s="423">
        <f ca="1"/>
        <v>0.24542553188530292</v>
      </c>
      <c r="K70" s="412" t="s">
        <v>4</v>
      </c>
    </row>
    <row r="71" spans="2:11" x14ac:dyDescent="0.25">
      <c r="B71" s="421" t="str">
        <f ca="1"/>
        <v>EURYC_OIS_3MLIBORSWAP_25Y</v>
      </c>
      <c r="C71" s="422">
        <f ca="1"/>
        <v>0</v>
      </c>
      <c r="D71" s="422">
        <f ca="1"/>
        <v>0</v>
      </c>
      <c r="E71" s="422">
        <f ca="1"/>
        <v>1.1430911399656907E-4</v>
      </c>
      <c r="F71" s="422">
        <f ca="1"/>
        <v>2.2665347933070734E-4</v>
      </c>
      <c r="G71" s="422">
        <f ca="1"/>
        <v>1.2286132550798357E-4</v>
      </c>
      <c r="H71" s="422">
        <f ca="1"/>
        <v>0.19515039967154735</v>
      </c>
      <c r="I71" s="422">
        <f ca="1"/>
        <v>121.62037571636392</v>
      </c>
      <c r="J71" s="423">
        <f ca="1"/>
        <v>121.81598993995431</v>
      </c>
      <c r="K71" s="412" t="s">
        <v>4</v>
      </c>
    </row>
    <row r="72" spans="2:11" x14ac:dyDescent="0.25">
      <c r="B72" s="421" t="str">
        <f ca="1"/>
        <v>EURYC_OIS_BASISRATE_30Y</v>
      </c>
      <c r="C72" s="422">
        <f ca="1"/>
        <v>0</v>
      </c>
      <c r="D72" s="422">
        <f ca="1"/>
        <v>0</v>
      </c>
      <c r="E72" s="422">
        <f ca="1"/>
        <v>1.8979641026817262E-5</v>
      </c>
      <c r="F72" s="422">
        <f ca="1"/>
        <v>-6.1173373978817835E-5</v>
      </c>
      <c r="G72" s="422">
        <f ca="1"/>
        <v>2.3636660989723168E-4</v>
      </c>
      <c r="H72" s="422">
        <f ca="1"/>
        <v>-3.3073019876610488E-3</v>
      </c>
      <c r="I72" s="422">
        <f ca="1"/>
        <v>-5.9143013250832155E-2</v>
      </c>
      <c r="J72" s="423">
        <f ca="1"/>
        <v>-6.2256142361547973E-2</v>
      </c>
      <c r="K72" s="412" t="s">
        <v>4</v>
      </c>
    </row>
    <row r="73" spans="2:11" x14ac:dyDescent="0.25">
      <c r="B73" s="421" t="str">
        <f ca="1"/>
        <v>EURYC_OIS_3MLIBORSWAP_30Y</v>
      </c>
      <c r="C73" s="422">
        <f ca="1"/>
        <v>0</v>
      </c>
      <c r="D73" s="422">
        <f ca="1"/>
        <v>0</v>
      </c>
      <c r="E73" s="422">
        <f ca="1"/>
        <v>-5.5376480304403231E-5</v>
      </c>
      <c r="F73" s="422">
        <f ca="1"/>
        <v>-4.609707320923917E-5</v>
      </c>
      <c r="G73" s="422">
        <f ca="1"/>
        <v>6.0647059217444621E-4</v>
      </c>
      <c r="H73" s="422">
        <f ca="1"/>
        <v>-3.8292328143143095E-2</v>
      </c>
      <c r="I73" s="422">
        <f ca="1"/>
        <v>-24.489795231896551</v>
      </c>
      <c r="J73" s="423">
        <f ca="1"/>
        <v>-24.527582563001033</v>
      </c>
      <c r="K73" s="412" t="s">
        <v>4</v>
      </c>
    </row>
    <row r="74" spans="2:11" x14ac:dyDescent="0.25">
      <c r="B74" s="421" t="str">
        <f ca="1"/>
        <v>EURYC_OIS_BASISRATE_40Y</v>
      </c>
      <c r="C74" s="422">
        <f ca="1"/>
        <v>0</v>
      </c>
      <c r="D74" s="422">
        <f ca="1"/>
        <v>0</v>
      </c>
      <c r="E74" s="422">
        <f ca="1"/>
        <v>0</v>
      </c>
      <c r="F74" s="422">
        <f ca="1"/>
        <v>0</v>
      </c>
      <c r="G74" s="422">
        <f ca="1"/>
        <v>0</v>
      </c>
      <c r="H74" s="422">
        <f ca="1"/>
        <v>0</v>
      </c>
      <c r="I74" s="422">
        <f ca="1"/>
        <v>0</v>
      </c>
      <c r="J74" s="423">
        <f ca="1"/>
        <v>0</v>
      </c>
      <c r="K74" s="412" t="s">
        <v>4</v>
      </c>
    </row>
    <row r="75" spans="2:11" x14ac:dyDescent="0.25">
      <c r="B75" s="421" t="str">
        <f ca="1"/>
        <v>EURYC_OIS_3MLIBORSWAP_40Y</v>
      </c>
      <c r="C75" s="422">
        <f ca="1"/>
        <v>0</v>
      </c>
      <c r="D75" s="422">
        <f ca="1"/>
        <v>0</v>
      </c>
      <c r="E75" s="422">
        <f ca="1"/>
        <v>0</v>
      </c>
      <c r="F75" s="422">
        <f ca="1"/>
        <v>0</v>
      </c>
      <c r="G75" s="422">
        <f ca="1"/>
        <v>0</v>
      </c>
      <c r="H75" s="422">
        <f ca="1"/>
        <v>0</v>
      </c>
      <c r="I75" s="422">
        <f ca="1"/>
        <v>0</v>
      </c>
      <c r="J75" s="423">
        <f ca="1"/>
        <v>0</v>
      </c>
      <c r="K75" s="412" t="s">
        <v>4</v>
      </c>
    </row>
    <row r="76" spans="2:11" x14ac:dyDescent="0.25">
      <c r="B76" s="421" t="str">
        <f ca="1"/>
        <v>EURYC_OIS_BASISRATE_50Y</v>
      </c>
      <c r="C76" s="422">
        <f ca="1"/>
        <v>0</v>
      </c>
      <c r="D76" s="422">
        <f ca="1"/>
        <v>0</v>
      </c>
      <c r="E76" s="422">
        <f ca="1"/>
        <v>0</v>
      </c>
      <c r="F76" s="422">
        <f ca="1"/>
        <v>0</v>
      </c>
      <c r="G76" s="422">
        <f ca="1"/>
        <v>0</v>
      </c>
      <c r="H76" s="422">
        <f ca="1"/>
        <v>0</v>
      </c>
      <c r="I76" s="422">
        <f ca="1"/>
        <v>0</v>
      </c>
      <c r="J76" s="423">
        <f ca="1"/>
        <v>0</v>
      </c>
      <c r="K76" s="412" t="s">
        <v>4</v>
      </c>
    </row>
    <row r="77" spans="2:11" x14ac:dyDescent="0.25">
      <c r="B77" s="424" t="str">
        <f ca="1"/>
        <v>EURYC_OIS_3MLIBORSWAP_50Y</v>
      </c>
      <c r="C77" s="425">
        <f ca="1"/>
        <v>0</v>
      </c>
      <c r="D77" s="425">
        <f ca="1"/>
        <v>0</v>
      </c>
      <c r="E77" s="425">
        <f ca="1"/>
        <v>0</v>
      </c>
      <c r="F77" s="425">
        <f ca="1"/>
        <v>0</v>
      </c>
      <c r="G77" s="425">
        <f ca="1"/>
        <v>0</v>
      </c>
      <c r="H77" s="425">
        <f ca="1"/>
        <v>0</v>
      </c>
      <c r="I77" s="425">
        <f ca="1"/>
        <v>0</v>
      </c>
      <c r="J77" s="426">
        <f ca="1"/>
        <v>0</v>
      </c>
      <c r="K77" s="412" t="s">
        <v>4</v>
      </c>
    </row>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collapsed="1" x14ac:dyDescent="0.25"/>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72</vt:i4>
      </vt:variant>
    </vt:vector>
  </HeadingPairs>
  <TitlesOfParts>
    <vt:vector size="82" baseType="lpstr">
      <vt:lpstr>Settings</vt:lpstr>
      <vt:lpstr>EUR OIS</vt:lpstr>
      <vt:lpstr>EUR SWAP 3ML</vt:lpstr>
      <vt:lpstr>EUR BASIS 6ML</vt:lpstr>
      <vt:lpstr>EUR BASIS 1ML</vt:lpstr>
      <vt:lpstr>EUR BASIS 12ML</vt:lpstr>
      <vt:lpstr>EUR Forwards</vt:lpstr>
      <vt:lpstr>EUR Calibration</vt:lpstr>
      <vt:lpstr>EUR Swaps</vt:lpstr>
      <vt:lpstr>EUR Numerical Risk</vt:lpstr>
      <vt:lpstr>ApplyTension</vt:lpstr>
      <vt:lpstr>COB</vt:lpstr>
      <vt:lpstr>Curve.BuildProperties</vt:lpstr>
      <vt:lpstr>Curve.CollectionName</vt:lpstr>
      <vt:lpstr>Curve.MarketDataTable</vt:lpstr>
      <vt:lpstr>Curve.OISIndexName</vt:lpstr>
      <vt:lpstr>EURNumericalRisk.RiskFormula</vt:lpstr>
      <vt:lpstr>EURNumericalRisk.Totals</vt:lpstr>
      <vt:lpstr>EURSwaps.Portfolio</vt:lpstr>
      <vt:lpstr>'EUR Forwards'!ForwardCurves.CurveID</vt:lpstr>
      <vt:lpstr>'EUR Forwards'!ForwardCurves.Interpolation</vt:lpstr>
      <vt:lpstr>'EUR Forwards'!ForwardCurves.Periodicity</vt:lpstr>
      <vt:lpstr>'EUR Forwards'!Forwards.EUR1ML</vt:lpstr>
      <vt:lpstr>'EUR Forwards'!Forwards.OIS</vt:lpstr>
      <vt:lpstr>'EUR Forwards'!Forwards.StartDate</vt:lpstr>
      <vt:lpstr>FRA.Conventions</vt:lpstr>
      <vt:lpstr>FRA.MarketDataX3</vt:lpstr>
      <vt:lpstr>FRA.MarketDataX6</vt:lpstr>
      <vt:lpstr>Futures.Conventions</vt:lpstr>
      <vt:lpstr>Futures.MarketData</vt:lpstr>
      <vt:lpstr>'EUR BASIS 12ML'!Info</vt:lpstr>
      <vt:lpstr>'EUR BASIS 1ML'!Info</vt:lpstr>
      <vt:lpstr>'EUR BASIS 6ML'!Info</vt:lpstr>
      <vt:lpstr>'EUR OIS'!Info</vt:lpstr>
      <vt:lpstr>'EUR SWAP 3ML'!Info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SwapDealInfo</vt:lpstr>
      <vt:lpstr>'EUR BASIS 12ML'!TenorBasisCurve.EUR12ML.ForwardStarting</vt:lpstr>
      <vt:lpstr>'EUR BASIS 1ML'!TenorBasisCurve.EUR1ML.ForwardStarting</vt:lpstr>
      <vt:lpstr>TenorBasisCurve.EUR3ML.ForwardStarting</vt:lpstr>
      <vt:lpstr>'EUR BASIS 1ML'!TenorBasisCurve1M3M.BuildProperties</vt:lpstr>
      <vt:lpstr>'EUR BASIS 1ML'!TenorBasisCurve1M3M.CollectionName</vt:lpstr>
      <vt:lpstr>'EUR BASIS 1ML'!TenorBasisCurve1M3M.IndexName</vt:lpstr>
      <vt:lpstr>'EUR BASIS 1ML'!TenorBasisCurve1M3M.StaticDataTable</vt:lpstr>
      <vt:lpstr>TenorBasisCurve3M6M.CollectionName</vt:lpstr>
      <vt:lpstr>TenorBasisCurve3M6M.IndexName</vt:lpstr>
      <vt:lpstr>TenorBasisCurve3M6M.StaticDataTable</vt:lpstr>
      <vt:lpstr>'EUR BASIS 12ML'!TenorBasisCurve6M12M.BuildProperties</vt:lpstr>
      <vt:lpstr>'EUR BASIS 12ML'!TenorBasisCurve6M12M.CollectionName</vt:lpstr>
      <vt:lpstr>'EUR BASIS 12ML'!TenorBasisCurve6M12M.IndexName</vt:lpstr>
      <vt:lpstr>'EUR BASIS 12ML'!TenorBasisCurve6M12M.StaticDataTable</vt:lpstr>
      <vt:lpstr>TenorBasisCurve6M6M.BuildProperties</vt:lpstr>
      <vt:lpstr>'EUR BASIS 1ML'!TenorBasisSwap1M3M.Conventions</vt:lpstr>
      <vt:lpstr>TenorBasisSwap3M6M.Conventions</vt:lpstr>
      <vt:lpstr>'EUR BASIS 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2016-10-10T16:02:57Z</dcterms:modified>
</cp:coreProperties>
</file>