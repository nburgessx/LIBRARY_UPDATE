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8"/>
  </bookViews>
  <sheets>
    <sheet name="Settings" sheetId="26" r:id="rId1"/>
    <sheet name="EUR OIS" sheetId="2" r:id="rId2"/>
    <sheet name="EUR SWAP 6ML" sheetId="3" r:id="rId3"/>
    <sheet name="EUR BASIS 3ML" sheetId="4" r:id="rId4"/>
    <sheet name="Create Schedule" sheetId="27" r:id="rId5"/>
    <sheet name="Display Schedule" sheetId="29" r:id="rId6"/>
    <sheet name="Custom Fixed Schedule" sheetId="31" r:id="rId7"/>
    <sheet name="Custom Float Schedule" sheetId="33" r:id="rId8"/>
    <sheet name="VariableNotionalSwap" sheetId="28" r:id="rId9"/>
  </sheets>
  <definedNames>
    <definedName name="COB">Settings!$C$3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stomFixedSchedule">'Custom Fixed Schedule'!$C$6</definedName>
    <definedName name="CustomFloatSchedule">'Custom Float Schedule'!$C$6</definedName>
    <definedName name="FixedSchedule1">'Create Schedule'!$C$7</definedName>
    <definedName name="FloatSchedule1">'Create Schedule'!$F$7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  <definedName name="VanillaIRS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E27" i="28" l="1" a="1"/>
  <c r="E27" i="28"/>
  <c r="F27" i="28"/>
  <c r="G27" i="28"/>
  <c r="H27" i="28"/>
  <c r="I27" i="28"/>
  <c r="J27" i="28"/>
  <c r="K27" i="28"/>
  <c r="L27" i="28"/>
  <c r="M27" i="28"/>
  <c r="N27" i="28"/>
  <c r="O27" i="28"/>
  <c r="P27" i="28"/>
  <c r="Q27" i="28"/>
  <c r="E28" i="28"/>
  <c r="F28" i="28"/>
  <c r="G28" i="28"/>
  <c r="H28" i="28"/>
  <c r="I28" i="28"/>
  <c r="J28" i="28"/>
  <c r="K28" i="28"/>
  <c r="L28" i="28"/>
  <c r="M28" i="28"/>
  <c r="N28" i="28"/>
  <c r="O28" i="28"/>
  <c r="P28" i="28"/>
  <c r="Q28" i="28"/>
  <c r="E29" i="28"/>
  <c r="F29" i="28"/>
  <c r="G29" i="28"/>
  <c r="H29" i="28"/>
  <c r="I29" i="28"/>
  <c r="J29" i="28"/>
  <c r="K29" i="28"/>
  <c r="L29" i="28"/>
  <c r="M29" i="28"/>
  <c r="N29" i="28"/>
  <c r="O29" i="28"/>
  <c r="P29" i="28"/>
  <c r="Q29" i="28"/>
  <c r="E30" i="28"/>
  <c r="F30" i="28"/>
  <c r="G30" i="28"/>
  <c r="H30" i="28"/>
  <c r="I30" i="28"/>
  <c r="J30" i="28"/>
  <c r="K30" i="28"/>
  <c r="L30" i="28"/>
  <c r="M30" i="28"/>
  <c r="N30" i="28"/>
  <c r="O30" i="28"/>
  <c r="P30" i="28"/>
  <c r="Q30" i="28"/>
  <c r="E31" i="28"/>
  <c r="F31" i="28"/>
  <c r="G31" i="28"/>
  <c r="H31" i="28"/>
  <c r="I31" i="28"/>
  <c r="J31" i="28"/>
  <c r="K31" i="28"/>
  <c r="L31" i="28"/>
  <c r="M31" i="28"/>
  <c r="N31" i="28"/>
  <c r="O31" i="28"/>
  <c r="P31" i="28"/>
  <c r="Q31" i="28"/>
  <c r="E32" i="28"/>
  <c r="F32" i="28"/>
  <c r="G32" i="28"/>
  <c r="H32" i="28"/>
  <c r="I32" i="28"/>
  <c r="J32" i="28"/>
  <c r="K32" i="28"/>
  <c r="L32" i="28"/>
  <c r="M32" i="28"/>
  <c r="N32" i="28"/>
  <c r="O32" i="28"/>
  <c r="P32" i="28"/>
  <c r="Q32" i="28"/>
  <c r="E33" i="28"/>
  <c r="F33" i="28"/>
  <c r="G33" i="28"/>
  <c r="H33" i="28"/>
  <c r="I33" i="28"/>
  <c r="J33" i="28"/>
  <c r="K33" i="28"/>
  <c r="L33" i="28"/>
  <c r="M33" i="28"/>
  <c r="N33" i="28"/>
  <c r="O33" i="28"/>
  <c r="P33" i="28"/>
  <c r="Q33" i="28"/>
  <c r="E34" i="28"/>
  <c r="F34" i="28"/>
  <c r="G34" i="28"/>
  <c r="H34" i="28"/>
  <c r="I34" i="28"/>
  <c r="J34" i="28"/>
  <c r="K34" i="28"/>
  <c r="L34" i="28"/>
  <c r="M34" i="28"/>
  <c r="N34" i="28"/>
  <c r="O34" i="28"/>
  <c r="P34" i="28"/>
  <c r="Q34" i="28"/>
  <c r="E35" i="28"/>
  <c r="F35" i="28"/>
  <c r="G35" i="28"/>
  <c r="H35" i="28"/>
  <c r="I35" i="28"/>
  <c r="J35" i="28"/>
  <c r="K35" i="28"/>
  <c r="L35" i="28"/>
  <c r="M35" i="28"/>
  <c r="N35" i="28"/>
  <c r="O35" i="28"/>
  <c r="P35" i="28"/>
  <c r="Q35" i="28"/>
  <c r="E36" i="28"/>
  <c r="F36" i="28"/>
  <c r="G36" i="28"/>
  <c r="H36" i="28"/>
  <c r="I36" i="28"/>
  <c r="J36" i="28"/>
  <c r="K36" i="28"/>
  <c r="L36" i="28"/>
  <c r="M36" i="28"/>
  <c r="N36" i="28"/>
  <c r="O36" i="28"/>
  <c r="P36" i="28"/>
  <c r="Q36" i="28"/>
  <c r="E37" i="28"/>
  <c r="F37" i="28"/>
  <c r="G37" i="28"/>
  <c r="H37" i="28"/>
  <c r="I37" i="28"/>
  <c r="J37" i="28"/>
  <c r="K37" i="28"/>
  <c r="L37" i="28"/>
  <c r="M37" i="28"/>
  <c r="N37" i="28"/>
  <c r="O37" i="28"/>
  <c r="P37" i="28"/>
  <c r="Q37" i="28"/>
  <c r="E38" i="28"/>
  <c r="F38" i="28"/>
  <c r="G38" i="28"/>
  <c r="H38" i="28"/>
  <c r="I38" i="28"/>
  <c r="J38" i="28"/>
  <c r="K38" i="28"/>
  <c r="L38" i="28"/>
  <c r="M38" i="28"/>
  <c r="N38" i="28"/>
  <c r="O38" i="28"/>
  <c r="P38" i="28"/>
  <c r="Q38" i="28"/>
  <c r="E39" i="28"/>
  <c r="F39" i="28"/>
  <c r="G39" i="28"/>
  <c r="H39" i="28"/>
  <c r="I39" i="28"/>
  <c r="J39" i="28"/>
  <c r="K39" i="28"/>
  <c r="L39" i="28"/>
  <c r="M39" i="28"/>
  <c r="N39" i="28"/>
  <c r="O39" i="28"/>
  <c r="P39" i="28"/>
  <c r="Q39" i="28"/>
  <c r="E11" i="28" a="1"/>
  <c r="E11" i="28"/>
  <c r="F11" i="28"/>
  <c r="G11" i="28"/>
  <c r="H11" i="28"/>
  <c r="I11" i="28"/>
  <c r="J11" i="28"/>
  <c r="K11" i="28"/>
  <c r="L11" i="28"/>
  <c r="M11" i="28"/>
  <c r="N11" i="28"/>
  <c r="O11" i="28"/>
  <c r="P11" i="28"/>
  <c r="Q11" i="28"/>
  <c r="E12" i="28"/>
  <c r="F12" i="28"/>
  <c r="G12" i="28"/>
  <c r="H12" i="28"/>
  <c r="I12" i="28"/>
  <c r="J12" i="28"/>
  <c r="K12" i="28"/>
  <c r="L12" i="28"/>
  <c r="M12" i="28"/>
  <c r="N12" i="28"/>
  <c r="O12" i="28"/>
  <c r="P12" i="28"/>
  <c r="Q12" i="28"/>
  <c r="E13" i="28"/>
  <c r="F13" i="28"/>
  <c r="G13" i="28"/>
  <c r="H13" i="28"/>
  <c r="I13" i="28"/>
  <c r="J13" i="28"/>
  <c r="K13" i="28"/>
  <c r="L13" i="28"/>
  <c r="M13" i="28"/>
  <c r="N13" i="28"/>
  <c r="O13" i="28"/>
  <c r="P13" i="28"/>
  <c r="Q13" i="28"/>
  <c r="E14" i="28"/>
  <c r="F14" i="28"/>
  <c r="G14" i="28"/>
  <c r="H14" i="28"/>
  <c r="I14" i="28"/>
  <c r="J14" i="28"/>
  <c r="K14" i="28"/>
  <c r="L14" i="28"/>
  <c r="M14" i="28"/>
  <c r="N14" i="28"/>
  <c r="O14" i="28"/>
  <c r="P14" i="28"/>
  <c r="Q14" i="28"/>
  <c r="E15" i="28"/>
  <c r="F15" i="28"/>
  <c r="G15" i="28"/>
  <c r="H15" i="28"/>
  <c r="I15" i="28"/>
  <c r="J15" i="28"/>
  <c r="K15" i="28"/>
  <c r="L15" i="28"/>
  <c r="M15" i="28"/>
  <c r="N15" i="28"/>
  <c r="O15" i="28"/>
  <c r="P15" i="28"/>
  <c r="Q15" i="28"/>
  <c r="E16" i="28"/>
  <c r="F16" i="28"/>
  <c r="G16" i="28"/>
  <c r="H16" i="28"/>
  <c r="I16" i="28"/>
  <c r="J16" i="28"/>
  <c r="K16" i="28"/>
  <c r="L16" i="28"/>
  <c r="M16" i="28"/>
  <c r="N16" i="28"/>
  <c r="O16" i="28"/>
  <c r="P16" i="28"/>
  <c r="Q16" i="28"/>
  <c r="E17" i="28"/>
  <c r="F17" i="28"/>
  <c r="G17" i="28"/>
  <c r="H17" i="28"/>
  <c r="I17" i="28"/>
  <c r="J17" i="28"/>
  <c r="K17" i="28"/>
  <c r="L17" i="28"/>
  <c r="M17" i="28"/>
  <c r="N17" i="28"/>
  <c r="O17" i="28"/>
  <c r="P17" i="28"/>
  <c r="Q17" i="28"/>
  <c r="E18" i="28"/>
  <c r="F18" i="28"/>
  <c r="G18" i="28"/>
  <c r="H18" i="28"/>
  <c r="I18" i="28"/>
  <c r="J18" i="28"/>
  <c r="K18" i="28"/>
  <c r="L18" i="28"/>
  <c r="M18" i="28"/>
  <c r="N18" i="28"/>
  <c r="O18" i="28"/>
  <c r="P18" i="28"/>
  <c r="Q18" i="28"/>
  <c r="E19" i="28"/>
  <c r="F19" i="28"/>
  <c r="G19" i="28"/>
  <c r="H19" i="28"/>
  <c r="I19" i="28"/>
  <c r="J19" i="28"/>
  <c r="K19" i="28"/>
  <c r="L19" i="28"/>
  <c r="M19" i="28"/>
  <c r="N19" i="28"/>
  <c r="O19" i="28"/>
  <c r="P19" i="28"/>
  <c r="Q19" i="28"/>
  <c r="E20" i="28"/>
  <c r="F20" i="28"/>
  <c r="G20" i="28"/>
  <c r="H20" i="28"/>
  <c r="I20" i="28"/>
  <c r="J20" i="28"/>
  <c r="K20" i="28"/>
  <c r="L20" i="28"/>
  <c r="M20" i="28"/>
  <c r="N20" i="28"/>
  <c r="O20" i="28"/>
  <c r="P20" i="28"/>
  <c r="Q20" i="28"/>
  <c r="E21" i="28"/>
  <c r="F21" i="28"/>
  <c r="G21" i="28"/>
  <c r="H21" i="28"/>
  <c r="I21" i="28"/>
  <c r="J21" i="28"/>
  <c r="K21" i="28"/>
  <c r="L21" i="28"/>
  <c r="M21" i="28"/>
  <c r="N21" i="28"/>
  <c r="O21" i="28"/>
  <c r="P21" i="28"/>
  <c r="Q21" i="28"/>
  <c r="E22" i="28"/>
  <c r="F22" i="28"/>
  <c r="G22" i="28"/>
  <c r="H22" i="28"/>
  <c r="I22" i="28"/>
  <c r="J22" i="28"/>
  <c r="K22" i="28"/>
  <c r="L22" i="28"/>
  <c r="M22" i="28"/>
  <c r="N22" i="28"/>
  <c r="O22" i="28"/>
  <c r="P22" i="28"/>
  <c r="Q22" i="28"/>
  <c r="E23" i="28"/>
  <c r="F23" i="28"/>
  <c r="G23" i="28"/>
  <c r="H23" i="28"/>
  <c r="I23" i="28"/>
  <c r="J23" i="28"/>
  <c r="K23" i="28"/>
  <c r="L23" i="28"/>
  <c r="M23" i="28"/>
  <c r="N23" i="28"/>
  <c r="O23" i="28"/>
  <c r="P23" i="28"/>
  <c r="Q23" i="28"/>
  <c r="F7" i="28"/>
  <c r="F6" i="28"/>
  <c r="F5" i="28"/>
  <c r="I20" i="31" l="1"/>
  <c r="I21" i="31" s="1"/>
  <c r="I22" i="31" s="1"/>
  <c r="I23" i="31" s="1"/>
  <c r="G20" i="31"/>
  <c r="G21" i="31" s="1"/>
  <c r="G22" i="31" s="1"/>
  <c r="G23" i="31" s="1"/>
  <c r="C6" i="31"/>
  <c r="J20" i="33" l="1"/>
  <c r="J21" i="33" s="1"/>
  <c r="J22" i="33" s="1"/>
  <c r="J23" i="33" s="1"/>
  <c r="J24" i="33" s="1"/>
  <c r="J25" i="33" s="1"/>
  <c r="J26" i="33" s="1"/>
  <c r="J27" i="33" s="1"/>
  <c r="J28" i="33" s="1"/>
  <c r="C6" i="33"/>
  <c r="C11" i="28" l="1"/>
  <c r="C27" i="28"/>
  <c r="C6" i="28"/>
  <c r="B34" i="33" a="1"/>
  <c r="B41" i="33" l="1"/>
  <c r="B34" i="33"/>
  <c r="C41" i="33"/>
  <c r="C34" i="33"/>
  <c r="D41" i="33"/>
  <c r="D34" i="33"/>
  <c r="E41" i="33"/>
  <c r="E34" i="33"/>
  <c r="F41" i="33"/>
  <c r="F34" i="33"/>
  <c r="J39" i="33"/>
  <c r="D38" i="33"/>
  <c r="F43" i="33"/>
  <c r="I34" i="33"/>
  <c r="J41" i="33"/>
  <c r="J34" i="33"/>
  <c r="B42" i="33"/>
  <c r="B35" i="33"/>
  <c r="C42" i="33"/>
  <c r="C35" i="33"/>
  <c r="D42" i="33"/>
  <c r="D35" i="33"/>
  <c r="E42" i="33"/>
  <c r="E35" i="33"/>
  <c r="D46" i="33"/>
  <c r="F42" i="33"/>
  <c r="G34" i="33"/>
  <c r="I40" i="33"/>
  <c r="B46" i="33"/>
  <c r="H35" i="33"/>
  <c r="I42" i="33"/>
  <c r="I35" i="33"/>
  <c r="J42" i="33"/>
  <c r="J35" i="33"/>
  <c r="B43" i="33"/>
  <c r="B36" i="33"/>
  <c r="C43" i="33"/>
  <c r="C36" i="33"/>
  <c r="D43" i="33"/>
  <c r="D36" i="33"/>
  <c r="F36" i="33"/>
  <c r="F44" i="33"/>
  <c r="C38" i="33"/>
  <c r="E43" i="33"/>
  <c r="G35" i="33"/>
  <c r="G36" i="33"/>
  <c r="H43" i="33"/>
  <c r="H36" i="33"/>
  <c r="I43" i="33"/>
  <c r="I36" i="33"/>
  <c r="J43" i="33"/>
  <c r="J36" i="33"/>
  <c r="B44" i="33"/>
  <c r="B37" i="33"/>
  <c r="C44" i="33"/>
  <c r="C37" i="33"/>
  <c r="I39" i="33"/>
  <c r="B47" i="33"/>
  <c r="H40" i="33"/>
  <c r="E45" i="33"/>
  <c r="B39" i="33"/>
  <c r="D44" i="33"/>
  <c r="C47" i="33"/>
  <c r="F37" i="33"/>
  <c r="G44" i="33"/>
  <c r="G37" i="33"/>
  <c r="H44" i="33"/>
  <c r="H37" i="33"/>
  <c r="I44" i="33"/>
  <c r="I37" i="33"/>
  <c r="J44" i="33"/>
  <c r="J37" i="33"/>
  <c r="B45" i="33"/>
  <c r="B38" i="33"/>
  <c r="I41" i="33"/>
  <c r="E37" i="33"/>
  <c r="H42" i="33"/>
  <c r="J47" i="33"/>
  <c r="G41" i="33"/>
  <c r="E38" i="33"/>
  <c r="F45" i="33"/>
  <c r="F38" i="33"/>
  <c r="G45" i="33"/>
  <c r="G38" i="33"/>
  <c r="H45" i="33"/>
  <c r="H38" i="33"/>
  <c r="I45" i="33"/>
  <c r="I38" i="33"/>
  <c r="J45" i="33"/>
  <c r="E36" i="33"/>
  <c r="E44" i="33"/>
  <c r="B40" i="33"/>
  <c r="D45" i="33"/>
  <c r="F35" i="33"/>
  <c r="G43" i="33"/>
  <c r="D39" i="33"/>
  <c r="E46" i="33"/>
  <c r="E39" i="33"/>
  <c r="F46" i="33"/>
  <c r="F39" i="33"/>
  <c r="G46" i="33"/>
  <c r="G39" i="33"/>
  <c r="H46" i="33"/>
  <c r="H39" i="33"/>
  <c r="I46" i="33"/>
  <c r="C39" i="33"/>
  <c r="J46" i="33"/>
  <c r="G42" i="33"/>
  <c r="I47" i="33"/>
  <c r="J38" i="33"/>
  <c r="C46" i="33"/>
  <c r="C40" i="33"/>
  <c r="D47" i="33"/>
  <c r="D40" i="33"/>
  <c r="E47" i="33"/>
  <c r="E40" i="33"/>
  <c r="F47" i="33"/>
  <c r="F40" i="33"/>
  <c r="G47" i="33"/>
  <c r="G40" i="33"/>
  <c r="H47" i="33"/>
  <c r="H41" i="33"/>
  <c r="D37" i="33"/>
  <c r="C45" i="33"/>
  <c r="H34" i="33"/>
  <c r="J40" i="33"/>
  <c r="E21" i="4"/>
  <c r="D22" i="3"/>
  <c r="D20" i="2"/>
  <c r="B34" i="31" a="1"/>
  <c r="D7" i="2"/>
  <c r="C15" i="27"/>
  <c r="F15" i="27"/>
  <c r="I40" i="31" l="1"/>
  <c r="J47" i="31"/>
  <c r="J40" i="31"/>
  <c r="B34" i="31"/>
  <c r="E47" i="31"/>
  <c r="D42" i="31"/>
  <c r="C43" i="31"/>
  <c r="C40" i="31"/>
  <c r="D47" i="31"/>
  <c r="B35" i="31"/>
  <c r="G47" i="31"/>
  <c r="G40" i="31"/>
  <c r="H47" i="31"/>
  <c r="H40" i="31"/>
  <c r="I47" i="31"/>
  <c r="G34" i="31"/>
  <c r="H41" i="31"/>
  <c r="H34" i="31"/>
  <c r="I41" i="31"/>
  <c r="I35" i="31"/>
  <c r="C34" i="31"/>
  <c r="I45" i="31"/>
  <c r="H46" i="31"/>
  <c r="B41" i="31"/>
  <c r="J34" i="31"/>
  <c r="H37" i="31"/>
  <c r="E34" i="31"/>
  <c r="F41" i="31"/>
  <c r="F34" i="31"/>
  <c r="G41" i="31"/>
  <c r="G38" i="31"/>
  <c r="F35" i="31"/>
  <c r="G42" i="31"/>
  <c r="G35" i="31"/>
  <c r="H42" i="31"/>
  <c r="G37" i="31"/>
  <c r="I36" i="31"/>
  <c r="J35" i="31"/>
  <c r="I34" i="31"/>
  <c r="J41" i="31"/>
  <c r="H36" i="31"/>
  <c r="D41" i="31"/>
  <c r="D35" i="31"/>
  <c r="E42" i="31"/>
  <c r="E35" i="31"/>
  <c r="F42" i="31"/>
  <c r="I44" i="31"/>
  <c r="E36" i="31"/>
  <c r="F43" i="31"/>
  <c r="F36" i="31"/>
  <c r="G43" i="31"/>
  <c r="E39" i="31"/>
  <c r="F39" i="31"/>
  <c r="E40" i="31"/>
  <c r="H35" i="31"/>
  <c r="I42" i="31"/>
  <c r="F38" i="31"/>
  <c r="J43" i="31"/>
  <c r="C36" i="31"/>
  <c r="D43" i="31"/>
  <c r="D36" i="31"/>
  <c r="E43" i="31"/>
  <c r="D34" i="31"/>
  <c r="D37" i="31"/>
  <c r="E44" i="31"/>
  <c r="E37" i="31"/>
  <c r="C41" i="31"/>
  <c r="C42" i="31"/>
  <c r="B43" i="31"/>
  <c r="H43" i="31"/>
  <c r="F47" i="31"/>
  <c r="C44" i="31"/>
  <c r="D44" i="31"/>
  <c r="C38" i="31"/>
  <c r="D45" i="31"/>
  <c r="D38" i="31"/>
  <c r="E45" i="31"/>
  <c r="B42" i="31"/>
  <c r="H45" i="31"/>
  <c r="G46" i="31"/>
  <c r="F37" i="31"/>
  <c r="G44" i="31"/>
  <c r="J42" i="31"/>
  <c r="J36" i="31"/>
  <c r="J37" i="31"/>
  <c r="B45" i="31"/>
  <c r="B38" i="31"/>
  <c r="C45" i="31"/>
  <c r="E41" i="31"/>
  <c r="B39" i="31"/>
  <c r="C46" i="31"/>
  <c r="C39" i="31"/>
  <c r="D46" i="31"/>
  <c r="I43" i="31"/>
  <c r="B36" i="31"/>
  <c r="C35" i="31"/>
  <c r="E38" i="31"/>
  <c r="F45" i="31"/>
  <c r="H44" i="31"/>
  <c r="F40" i="31"/>
  <c r="I38" i="31"/>
  <c r="J45" i="31"/>
  <c r="J38" i="31"/>
  <c r="B46" i="31"/>
  <c r="J44" i="31"/>
  <c r="J39" i="31"/>
  <c r="B47" i="31"/>
  <c r="B40" i="31"/>
  <c r="C47" i="31"/>
  <c r="G45" i="31"/>
  <c r="H38" i="31"/>
  <c r="G39" i="31"/>
  <c r="D39" i="31"/>
  <c r="E46" i="31"/>
  <c r="F46" i="31"/>
  <c r="B44" i="31"/>
  <c r="H39" i="31"/>
  <c r="I46" i="31"/>
  <c r="I39" i="31"/>
  <c r="J46" i="31"/>
  <c r="F44" i="31"/>
  <c r="G36" i="31"/>
  <c r="D40" i="31"/>
  <c r="B37" i="31"/>
  <c r="C37" i="31"/>
  <c r="I37" i="31"/>
  <c r="C7" i="27"/>
  <c r="D8" i="2"/>
  <c r="F7" i="27"/>
  <c r="B5" i="29" l="1"/>
  <c r="B21" i="29"/>
  <c r="B22" i="29" a="1"/>
  <c r="B6" i="29" a="1"/>
  <c r="H22" i="29" l="1"/>
  <c r="G23" i="29"/>
  <c r="F24" i="29"/>
  <c r="E25" i="29"/>
  <c r="D26" i="29"/>
  <c r="C27" i="29"/>
  <c r="B28" i="29"/>
  <c r="J28" i="29"/>
  <c r="I29" i="29"/>
  <c r="H30" i="29"/>
  <c r="G31" i="29"/>
  <c r="F32" i="29"/>
  <c r="E33" i="29"/>
  <c r="D34" i="29"/>
  <c r="C23" i="29"/>
  <c r="H26" i="29"/>
  <c r="F28" i="29"/>
  <c r="D30" i="29"/>
  <c r="J32" i="29"/>
  <c r="H34" i="29"/>
  <c r="I22" i="29"/>
  <c r="H23" i="29"/>
  <c r="G24" i="29"/>
  <c r="F25" i="29"/>
  <c r="E26" i="29"/>
  <c r="D27" i="29"/>
  <c r="C28" i="29"/>
  <c r="B29" i="29"/>
  <c r="J29" i="29"/>
  <c r="I30" i="29"/>
  <c r="H31" i="29"/>
  <c r="G32" i="29"/>
  <c r="F33" i="29"/>
  <c r="E34" i="29"/>
  <c r="D23" i="29"/>
  <c r="J25" i="29"/>
  <c r="G28" i="29"/>
  <c r="E30" i="29"/>
  <c r="B33" i="29"/>
  <c r="I34" i="29"/>
  <c r="B22" i="29"/>
  <c r="J22" i="29"/>
  <c r="I23" i="29"/>
  <c r="H24" i="29"/>
  <c r="G25" i="29"/>
  <c r="F26" i="29"/>
  <c r="E27" i="29"/>
  <c r="D28" i="29"/>
  <c r="C29" i="29"/>
  <c r="B30" i="29"/>
  <c r="J30" i="29"/>
  <c r="I31" i="29"/>
  <c r="H32" i="29"/>
  <c r="G33" i="29"/>
  <c r="F34" i="29"/>
  <c r="D22" i="29"/>
  <c r="J24" i="29"/>
  <c r="I25" i="29"/>
  <c r="G27" i="29"/>
  <c r="E29" i="29"/>
  <c r="C31" i="29"/>
  <c r="I33" i="29"/>
  <c r="E22" i="29"/>
  <c r="B25" i="29"/>
  <c r="I26" i="29"/>
  <c r="F29" i="29"/>
  <c r="D31" i="29"/>
  <c r="J33" i="29"/>
  <c r="C22" i="29"/>
  <c r="B23" i="29"/>
  <c r="J23" i="29"/>
  <c r="I24" i="29"/>
  <c r="H25" i="29"/>
  <c r="G26" i="29"/>
  <c r="F27" i="29"/>
  <c r="E28" i="29"/>
  <c r="D29" i="29"/>
  <c r="C30" i="29"/>
  <c r="B31" i="29"/>
  <c r="J31" i="29"/>
  <c r="I32" i="29"/>
  <c r="H33" i="29"/>
  <c r="G34" i="29"/>
  <c r="B24" i="29"/>
  <c r="B32" i="29"/>
  <c r="C24" i="29"/>
  <c r="H27" i="29"/>
  <c r="C32" i="29"/>
  <c r="G22" i="29"/>
  <c r="F23" i="29"/>
  <c r="E24" i="29"/>
  <c r="D25" i="29"/>
  <c r="C26" i="29"/>
  <c r="B27" i="29"/>
  <c r="J27" i="29"/>
  <c r="I28" i="29"/>
  <c r="H29" i="29"/>
  <c r="G30" i="29"/>
  <c r="F31" i="29"/>
  <c r="E32" i="29"/>
  <c r="D33" i="29"/>
  <c r="C34" i="29"/>
  <c r="F22" i="29"/>
  <c r="G29" i="29"/>
  <c r="E23" i="29"/>
  <c r="F30" i="29"/>
  <c r="E31" i="29"/>
  <c r="D32" i="29"/>
  <c r="B26" i="29"/>
  <c r="J26" i="29"/>
  <c r="B34" i="29"/>
  <c r="J34" i="29"/>
  <c r="D24" i="29"/>
  <c r="C25" i="29"/>
  <c r="C33" i="29"/>
  <c r="I27" i="29"/>
  <c r="H28" i="29"/>
  <c r="B6" i="29"/>
  <c r="J6" i="29"/>
  <c r="I7" i="29"/>
  <c r="H8" i="29"/>
  <c r="G9" i="29"/>
  <c r="F10" i="29"/>
  <c r="E11" i="29"/>
  <c r="D12" i="29"/>
  <c r="C13" i="29"/>
  <c r="B14" i="29"/>
  <c r="J14" i="29"/>
  <c r="I15" i="29"/>
  <c r="H16" i="29"/>
  <c r="G17" i="29"/>
  <c r="F18" i="29"/>
  <c r="E7" i="29"/>
  <c r="B10" i="29"/>
  <c r="I11" i="29"/>
  <c r="F14" i="29"/>
  <c r="C17" i="29"/>
  <c r="J18" i="29"/>
  <c r="C6" i="29"/>
  <c r="B7" i="29"/>
  <c r="J7" i="29"/>
  <c r="I8" i="29"/>
  <c r="H9" i="29"/>
  <c r="G10" i="29"/>
  <c r="F11" i="29"/>
  <c r="E12" i="29"/>
  <c r="D13" i="29"/>
  <c r="C14" i="29"/>
  <c r="B15" i="29"/>
  <c r="J15" i="29"/>
  <c r="I16" i="29"/>
  <c r="H17" i="29"/>
  <c r="G18" i="29"/>
  <c r="H12" i="29"/>
  <c r="F7" i="29"/>
  <c r="C10" i="29"/>
  <c r="I12" i="29"/>
  <c r="F15" i="29"/>
  <c r="D17" i="29"/>
  <c r="D6" i="29"/>
  <c r="C7" i="29"/>
  <c r="B8" i="29"/>
  <c r="J8" i="29"/>
  <c r="I9" i="29"/>
  <c r="H10" i="29"/>
  <c r="G11" i="29"/>
  <c r="F12" i="29"/>
  <c r="E13" i="29"/>
  <c r="D14" i="29"/>
  <c r="C15" i="29"/>
  <c r="B16" i="29"/>
  <c r="J16" i="29"/>
  <c r="I17" i="29"/>
  <c r="H18" i="29"/>
  <c r="F6" i="29"/>
  <c r="C9" i="29"/>
  <c r="J10" i="29"/>
  <c r="G13" i="29"/>
  <c r="D16" i="29"/>
  <c r="B18" i="29"/>
  <c r="G6" i="29"/>
  <c r="D9" i="29"/>
  <c r="B11" i="29"/>
  <c r="J11" i="29"/>
  <c r="G14" i="29"/>
  <c r="E16" i="29"/>
  <c r="E6" i="29"/>
  <c r="D7" i="29"/>
  <c r="C8" i="29"/>
  <c r="B9" i="29"/>
  <c r="J9" i="29"/>
  <c r="I10" i="29"/>
  <c r="H11" i="29"/>
  <c r="G12" i="29"/>
  <c r="F13" i="29"/>
  <c r="E14" i="29"/>
  <c r="D15" i="29"/>
  <c r="C16" i="29"/>
  <c r="B17" i="29"/>
  <c r="J17" i="29"/>
  <c r="I18" i="29"/>
  <c r="D8" i="29"/>
  <c r="E15" i="29"/>
  <c r="E8" i="29"/>
  <c r="H13" i="29"/>
  <c r="C18" i="29"/>
  <c r="I6" i="29"/>
  <c r="H7" i="29"/>
  <c r="G8" i="29"/>
  <c r="F9" i="29"/>
  <c r="E10" i="29"/>
  <c r="D11" i="29"/>
  <c r="C12" i="29"/>
  <c r="B13" i="29"/>
  <c r="J13" i="29"/>
  <c r="I14" i="29"/>
  <c r="H15" i="29"/>
  <c r="G16" i="29"/>
  <c r="F17" i="29"/>
  <c r="E18" i="29"/>
  <c r="G7" i="29"/>
  <c r="H14" i="29"/>
  <c r="F8" i="29"/>
  <c r="G15" i="29"/>
  <c r="E9" i="29"/>
  <c r="F16" i="29"/>
  <c r="D10" i="29"/>
  <c r="E17" i="29"/>
  <c r="C11" i="29"/>
  <c r="D18" i="29"/>
  <c r="B12" i="29"/>
  <c r="J12" i="29"/>
  <c r="H6" i="29"/>
  <c r="I13" i="29"/>
  <c r="D8" i="3"/>
  <c r="C68" i="4" l="1"/>
  <c r="D9" i="3"/>
  <c r="E7" i="4" l="1"/>
  <c r="E8" i="4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<sst xmlns="http://schemas.openxmlformats.org/spreadsheetml/2006/main" count="871" uniqueCount="305">
  <si>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</si>
  <si>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</si>
  <si>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</si>
  <si>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</si>
  <si>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</si>
  <si>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</si>
  <si>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</si>
  <si>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</si>
  <si>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</si>
  <si>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</si>
  <si>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</si>
  <si>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</si>
  <si>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</si>
  <si>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</si>
  <si>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</si>
  <si>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</si>
  <si>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</si>
  <si>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</si>
  <si>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</si>
  <si>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</si>
  <si>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</si>
  <si>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</si>
  <si>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</si>
  <si>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</si>
  <si>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</si>
  <si>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</si>
  <si>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</si>
  <si>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</si>
  <si>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</si>
  <si>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</si>
  <si>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</si>
  <si>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</si>
  <si>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</si>
  <si>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</si>
  <si>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</si>
  <si>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</si>
  <si>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</si>
  <si>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</si>
  <si>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</si>
  <si>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</si>
  <si>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</si>
  <si>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</si>
  <si>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</si>
  <si>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</si>
  <si>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</si>
  <si>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</si>
  <si>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</si>
  <si>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</si>
  <si>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</si>
  <si>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</si>
  <si>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</si>
  <si>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</si>
  <si>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</si>
  <si>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</si>
  <si>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</si>
  <si>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</si>
  <si>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</si>
  <si>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</si>
  <si>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</si>
  <si>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</si>
  <si>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</si>
  <si>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</si>
  <si>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</si>
  <si>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</si>
  <si>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</si>
  <si>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</si>
  <si>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</si>
  <si>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</si>
  <si>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</si>
  <si>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</si>
  <si>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</si>
  <si>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</si>
  <si>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</si>
  <si>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</si>
  <si>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</si>
  <si>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</si>
  <si>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</si>
  <si>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</si>
  <si>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</si>
  <si>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</si>
  <si>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</si>
  <si>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</si>
  <si>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</si>
  <si>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</si>
  <si>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</si>
  <si>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</si>
  <si>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</si>
  <si>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</si>
  <si>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</si>
  <si>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</si>
  <si>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</si>
  <si>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</si>
  <si>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</si>
  <si>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</si>
  <si>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</si>
  <si>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</si>
  <si>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</si>
  <si>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</si>
  <si>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</si>
  <si>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</si>
  <si>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</si>
  <si>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</si>
  <si>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</si>
  <si>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</si>
  <si>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</si>
  <si>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</si>
  <si>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</si>
  <si>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</si>
  <si>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</si>
  <si>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</si>
  <si>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</si>
  <si>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</si>
  <si>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</si>
  <si>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</si>
  <si>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</si>
  <si>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</si>
  <si>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</si>
  <si>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</si>
  <si>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</si>
  <si>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</si>
  <si>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</si>
  <si>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</si>
  <si>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</si>
  <si>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</si>
  <si>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</si>
  <si>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</si>
  <si>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</si>
  <si>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</si>
  <si>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</si>
  <si>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</si>
  <si>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</si>
  <si>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</si>
  <si>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</si>
  <si>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</si>
  <si>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</si>
  <si>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</si>
  <si>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</si>
  <si>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</si>
  <si>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</si>
  <si>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</si>
  <si>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</si>
  <si>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</si>
  <si>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</si>
  <si>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</si>
  <si>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</si>
  <si>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</si>
  <si>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</si>
  <si>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</si>
  <si>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</si>
  <si>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</si>
  <si>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</si>
  <si>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</si>
  <si>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</si>
  <si>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</si>
  <si>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</si>
  <si>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</si>
  <si>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</si>
  <si>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</si>
  <si>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</si>
  <si>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</si>
  <si>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</si>
  <si>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</si>
  <si>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</si>
  <si>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</si>
  <si>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</si>
  <si>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</si>
  <si>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</si>
  <si>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</si>
  <si>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</si>
  <si>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</si>
  <si>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</si>
  <si>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</si>
  <si>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</si>
  <si>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</si>
  <si>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</si>
  <si>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</si>
  <si>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</si>
  <si>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</si>
  <si>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</si>
  <si>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</si>
  <si>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</si>
  <si>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</si>
  <si>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</si>
  <si>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</si>
  <si>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</si>
  <si>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</si>
  <si>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</si>
  <si>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</si>
  <si>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</si>
  <si>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</si>
  <si>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</si>
  <si>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</si>
  <si>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</si>
  <si>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Notional</t>
  </si>
  <si>
    <t>0D</t>
  </si>
  <si>
    <t>ShortStart</t>
  </si>
  <si>
    <t>PV</t>
  </si>
  <si>
    <t>PV01</t>
  </si>
  <si>
    <t>2D</t>
  </si>
  <si>
    <t>meCurveCalibrateOIS</t>
  </si>
  <si>
    <t>meCurveCalibrateSwap</t>
  </si>
  <si>
    <t>meCurveCalibrateBasis</t>
  </si>
  <si>
    <t>MaturityDate</t>
  </si>
  <si>
    <t>EffectiveDate</t>
  </si>
  <si>
    <t>FixedRate</t>
  </si>
  <si>
    <t>ForecastCurve</t>
  </si>
  <si>
    <t>FloatFirstFixing</t>
  </si>
  <si>
    <t>FixedFrequency</t>
  </si>
  <si>
    <t>FixedDaycount</t>
  </si>
  <si>
    <t>FixedFirstStubDate</t>
  </si>
  <si>
    <t>FixedLastStubDate</t>
  </si>
  <si>
    <t>FixedRollDay</t>
  </si>
  <si>
    <t>FixedPaymentLag</t>
  </si>
  <si>
    <t>FixedStubType</t>
  </si>
  <si>
    <t>FloatFrequency</t>
  </si>
  <si>
    <t>FloatDaycount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</si>
  <si>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</si>
  <si>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</si>
  <si>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</si>
  <si>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</si>
  <si>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</si>
  <si>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</si>
  <si>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</si>
  <si>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</si>
  <si>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</si>
  <si>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Libor Fixing Table</t>
  </si>
  <si>
    <t>Money Market O/N and T/N Conventions</t>
  </si>
  <si>
    <t>EomDay</t>
  </si>
  <si>
    <t>basis.interpolation</t>
  </si>
  <si>
    <t>isFwdBasis</t>
  </si>
  <si>
    <t>dfCurveName</t>
  </si>
  <si>
    <t>PaymentDate</t>
  </si>
  <si>
    <t>FixingDate</t>
  </si>
  <si>
    <t>AccrualDaycount</t>
  </si>
  <si>
    <t>AccrualBusinessDayAdjustment</t>
  </si>
  <si>
    <t>AccrualCalendar</t>
  </si>
  <si>
    <t>RollDay</t>
  </si>
  <si>
    <t>Settings</t>
  </si>
  <si>
    <t>FixedAccrualBusinessDayAdjustment</t>
  </si>
  <si>
    <t>FloatFixingBusinessDayAdjustment</t>
  </si>
  <si>
    <t>FixedAccrualCalendar</t>
  </si>
  <si>
    <t>FloatFixingCalendar</t>
  </si>
  <si>
    <t>FixedPaymentBusinessDayAdjustment</t>
  </si>
  <si>
    <t>FloatAccrualBusinessDayAdjustment</t>
  </si>
  <si>
    <t>FixedPaymentCalendar</t>
  </si>
  <si>
    <t>FloatAccrualCalendar</t>
  </si>
  <si>
    <t>FloatPaymentBusinessDayAdjustment</t>
  </si>
  <si>
    <t>FloatPaymentCalendar</t>
  </si>
  <si>
    <t>NORMAL</t>
  </si>
  <si>
    <t>Leverage</t>
  </si>
  <si>
    <t>ScheduleName</t>
  </si>
  <si>
    <t>FIXED_SCHEDULE</t>
  </si>
  <si>
    <t>FLOAT_SCHEDULE</t>
  </si>
  <si>
    <t>FIXED</t>
  </si>
  <si>
    <t>FLOAT</t>
  </si>
  <si>
    <t>SwapName</t>
  </si>
  <si>
    <t>CreateSwap</t>
  </si>
  <si>
    <t>CreateSchedule</t>
  </si>
  <si>
    <t>NotionalExchange</t>
  </si>
  <si>
    <t>NONE</t>
  </si>
  <si>
    <r>
      <rPr>
        <sz val="16"/>
        <color rgb="FF0000FF"/>
        <rFont val="Calibri"/>
        <family val="2"/>
        <scheme val="minor"/>
      </rPr>
      <t>meLWOScheduleCreate(</t>
    </r>
    <r>
      <rPr>
        <sz val="16"/>
        <color theme="1"/>
        <rFont val="Calibri"/>
        <family val="2"/>
        <scheme val="minor"/>
      </rPr>
      <t xml:space="preserve"> ScheduleName, ScheduleLVB, Validate=TRUE )</t>
    </r>
  </si>
  <si>
    <t>LEG1: SCHEDULE</t>
  </si>
  <si>
    <t>LEG2: SCHEDULE</t>
  </si>
  <si>
    <t>CREATE SWAP</t>
  </si>
  <si>
    <t>LEG1: CREATE SCHEDULE</t>
  </si>
  <si>
    <t>LEG2: CREATE SCHEDULE</t>
  </si>
  <si>
    <t>RESULTS</t>
  </si>
  <si>
    <t>ParRate</t>
  </si>
  <si>
    <t>Schedule</t>
  </si>
  <si>
    <t>LEG2: DEAL INFORMATION</t>
  </si>
  <si>
    <t>LEG1: DEAL INFORMATION</t>
  </si>
  <si>
    <r>
      <rPr>
        <sz val="14"/>
        <color rgb="FF0000FF"/>
        <rFont val="Calibri"/>
        <family val="2"/>
        <scheme val="minor"/>
      </rPr>
      <t>meLWOSwapPV(</t>
    </r>
    <r>
      <rPr>
        <sz val="14"/>
        <color theme="1"/>
        <rFont val="Calibri"/>
        <family val="2"/>
        <scheme val="minor"/>
      </rPr>
      <t xml:space="preserve"> SwapName)</t>
    </r>
  </si>
  <si>
    <r>
      <rPr>
        <sz val="14"/>
        <color rgb="FF0000FF"/>
        <rFont val="Calibri"/>
        <family val="2"/>
        <scheme val="minor"/>
      </rPr>
      <t>meLWOSwapParRate(</t>
    </r>
    <r>
      <rPr>
        <sz val="14"/>
        <color theme="1"/>
        <rFont val="Calibri"/>
        <family val="2"/>
        <scheme val="minor"/>
      </rPr>
      <t xml:space="preserve"> SwapName )</t>
    </r>
  </si>
  <si>
    <r>
      <rPr>
        <sz val="14"/>
        <color rgb="FF0000FF"/>
        <rFont val="Calibri"/>
        <family val="2"/>
        <scheme val="minor"/>
      </rPr>
      <t>meLWOSwapPV01(</t>
    </r>
    <r>
      <rPr>
        <sz val="14"/>
        <color theme="1"/>
        <rFont val="Calibri"/>
        <family val="2"/>
        <scheme val="minor"/>
      </rPr>
      <t xml:space="preserve"> SwapName )</t>
    </r>
  </si>
  <si>
    <r>
      <rPr>
        <sz val="16"/>
        <color rgb="FF0000FF"/>
        <rFont val="Calibri"/>
        <family val="2"/>
        <scheme val="minor"/>
      </rPr>
      <t>meLWOScheduleDisplay(</t>
    </r>
    <r>
      <rPr>
        <sz val="16"/>
        <color theme="1"/>
        <rFont val="Calibri"/>
        <family val="2"/>
        <scheme val="minor"/>
      </rPr>
      <t xml:space="preserve"> ScheduleName )</t>
    </r>
  </si>
  <si>
    <t>AccrualStart</t>
  </si>
  <si>
    <t>AccrualEnd</t>
  </si>
  <si>
    <t>AccrualDays</t>
  </si>
  <si>
    <t>AccrualYearFractions</t>
  </si>
  <si>
    <r>
      <t xml:space="preserve">meLWOScheduleCreateBespoke( </t>
    </r>
    <r>
      <rPr>
        <sz val="11"/>
        <rFont val="Calibri"/>
        <family val="2"/>
        <scheme val="minor"/>
      </rPr>
      <t>ScheduleName, Properties, ScheduleLVB )</t>
    </r>
  </si>
  <si>
    <t>Schedule Name</t>
  </si>
  <si>
    <t>Create Bespoke Schedule</t>
  </si>
  <si>
    <t>Display Bespoke Schedule</t>
  </si>
  <si>
    <t>ScheduleType</t>
  </si>
  <si>
    <t>LegType</t>
  </si>
  <si>
    <t>LEG1:FIXED</t>
  </si>
  <si>
    <t>LEG2:FLOAT</t>
  </si>
  <si>
    <t xml:space="preserve">Copy Schedule from Display Schedule &amp; Modify </t>
  </si>
  <si>
    <r>
      <t xml:space="preserve">Schedule Build Properties </t>
    </r>
    <r>
      <rPr>
        <b/>
        <sz val="11"/>
        <rFont val="Calibri"/>
        <family val="2"/>
        <scheme val="minor"/>
      </rPr>
      <t>( Needed to Re-Calculate Accrual Days &amp; Year Fractions )</t>
    </r>
  </si>
  <si>
    <r>
      <rPr>
        <sz val="14"/>
        <color rgb="FF0000FF"/>
        <rFont val="Calibri"/>
        <family val="2"/>
        <scheme val="minor"/>
      </rPr>
      <t>meLWOVariableNotionalSwapCreate(</t>
    </r>
    <r>
      <rPr>
        <sz val="14"/>
        <color theme="1"/>
        <rFont val="Calibri"/>
        <family val="2"/>
        <scheme val="minor"/>
      </rPr>
      <t xml:space="preserve"> SwapName, Leg1Schedule, Leg2Schedule, Leg1LVB, Leg2LVB )</t>
    </r>
  </si>
  <si>
    <t>VariableNotionalSwap</t>
  </si>
  <si>
    <r>
      <rPr>
        <sz val="14"/>
        <color rgb="FF0000FF"/>
        <rFont val="Calibri"/>
        <family val="2"/>
        <scheme val="minor"/>
      </rPr>
      <t>meLWOSwapDisplayCashflows(</t>
    </r>
    <r>
      <rPr>
        <sz val="14"/>
        <color theme="1"/>
        <rFont val="Calibri"/>
        <family val="2"/>
        <scheme val="minor"/>
      </rPr>
      <t xml:space="preserve"> SwapName, [ LegName ], [ DisplayHeaders ] )</t>
    </r>
  </si>
  <si>
    <r>
      <t>meLWOCurveCreateOIS</t>
    </r>
    <r>
      <rPr>
        <sz val="11"/>
        <rFont val="Calibri"/>
        <family val="2"/>
        <scheme val="minor"/>
      </rPr>
      <t>( LWOCurveName, Curve.CollectionName,Curve.MarketDataTable,Curve.OISIndexName,Curve.BuildProperties,OIS.Conventions,OIS.MarketData,OIS.FixingTable,LiborOISBasis.Conventions,LiborOISBasis.MarketData,LiborSwap.Conventions,LiborSwap.MarketData)</t>
    </r>
  </si>
  <si>
    <r>
      <t>meLWOCurveCreateSwap</t>
    </r>
    <r>
      <rPr>
        <sz val="11"/>
        <rFont val="Calibri"/>
        <family val="2"/>
        <scheme val="minor"/>
      </rPr>
      <t>( LWOCurveName, 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  </r>
  </si>
  <si>
    <r>
      <t>meLWOCurveCreateBasis</t>
    </r>
    <r>
      <rPr>
        <sz val="11"/>
        <rFont val="Calibri"/>
        <family val="2"/>
        <scheme val="minor"/>
      </rPr>
      <t>( LWOCurveName, TenorBasisCurve3M6M.CollectionName,TenorBasisCurve3M6M.StaticDataTable,TenorBasisCurve3M6M.IndexName,TenorBasisCurve3M6M.BuildProperties,TenorBasisSwap3M6M.Conventions,TenorBasisSwap3M6M.MarketData)</t>
    </r>
  </si>
  <si>
    <t>CustomFixedSchedule</t>
  </si>
  <si>
    <t>CustomFloatSchedule</t>
  </si>
  <si>
    <t>CompoundingMethod</t>
  </si>
  <si>
    <t>GEOMETRIC</t>
  </si>
  <si>
    <t>SmoothShortEnd</t>
  </si>
  <si>
    <t>IMM</t>
  </si>
  <si>
    <t>PayReceive</t>
  </si>
  <si>
    <t>EUROIS</t>
  </si>
  <si>
    <t>RECEIVE</t>
  </si>
  <si>
    <t>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</si>
</sst>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.000000"/>
    <numFmt numFmtId="169" formatCode="ddd\,\ d\-mmm\-yy"/>
    <numFmt numFmtId="170" formatCode="0.0000%"/>
  </numFmts>
  <fonts count="2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FF"/>
      <name val="Calibri"/>
      <family val="2"/>
      <scheme val="minor"/>
    </font>
    <font>
      <sz val="11"/>
      <color rgb="FFC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8458815271462"/>
      </right>
      <top style="thin">
        <color theme="0" tint="-0.1498764000366222"/>
      </top>
      <bottom/>
      <diagonal/>
    </border>
    <border>
      <left style="thin">
        <color theme="0" tint="-0.149845881527146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thin">
        <color theme="0" tint="-0.1498458815271462"/>
      </right>
      <top/>
      <bottom/>
      <diagonal/>
    </border>
    <border>
      <left style="thin">
        <color theme="0" tint="-0.1498458815271462"/>
      </left>
      <right style="thin">
        <color theme="0" tint="-0.1498764000366222"/>
      </right>
      <top/>
      <bottom/>
      <diagonal/>
    </border>
    <border>
      <left style="thin">
        <color theme="0" tint="-0.1498764000366222"/>
      </left>
      <right style="thin">
        <color theme="0" tint="-0.1498458815271462"/>
      </right>
      <top/>
      <bottom style="thin">
        <color theme="0" tint="-0.1498764000366222"/>
      </bottom>
      <diagonal/>
    </border>
    <border>
      <left style="thin">
        <color theme="0" tint="-0.1498458815271462"/>
      </left>
      <right style="thin">
        <color theme="0" tint="-0.1498764000366222"/>
      </right>
      <top/>
      <bottom style="thin">
        <color theme="0" tint="-0.14987640003662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300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6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7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1" xfId="0" applyFill="1" applyBorder="1"/>
    <xf numFmtId="0" fontId="0" fillId="2" borderId="9" xfId="0" applyFill="1" applyBorder="1"/>
    <xf numFmtId="0" fontId="0" fillId="2" borderId="10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1" xfId="0" applyFill="1" applyBorder="1"/>
    <xf numFmtId="0" fontId="0" fillId="0" borderId="10" xfId="0" applyFill="1" applyBorder="1"/>
    <xf numFmtId="0" fontId="0" fillId="0" borderId="9" xfId="0" applyFill="1" applyBorder="1"/>
    <xf numFmtId="0" fontId="9" fillId="0" borderId="6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4" fontId="9" fillId="0" borderId="9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8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7" xfId="0" applyNumberFormat="1" applyFont="1" applyFill="1" applyBorder="1" applyAlignment="1">
      <alignment horizontal="center" vertical="center"/>
    </xf>
    <xf numFmtId="0" fontId="9" fillId="0" borderId="7" xfId="0" applyFont="1" applyFill="1" applyBorder="1" applyAlignment="1"/>
    <xf numFmtId="11" fontId="9" fillId="0" borderId="7" xfId="0" applyNumberFormat="1" applyFont="1" applyFill="1" applyBorder="1" applyAlignment="1">
      <alignment horizontal="center" vertical="center"/>
    </xf>
    <xf numFmtId="0" fontId="9" fillId="0" borderId="7" xfId="0" applyFont="1" applyFill="1" applyBorder="1"/>
    <xf numFmtId="0" fontId="9" fillId="0" borderId="10" xfId="0" applyFont="1" applyFill="1" applyBorder="1"/>
    <xf numFmtId="15" fontId="9" fillId="0" borderId="7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0" xfId="0" applyNumberFormat="1" applyFont="1" applyFill="1" applyBorder="1" applyAlignment="1">
      <alignment horizontal="center" vertical="center"/>
    </xf>
    <xf numFmtId="0" fontId="6" fillId="0" borderId="8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7" fillId="2" borderId="9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7" xfId="0" applyNumberFormat="1" applyFont="1" applyFill="1" applyBorder="1" applyAlignment="1">
      <alignment horizontal="center" vertical="center"/>
    </xf>
    <xf numFmtId="164" fontId="9" fillId="0" borderId="10" xfId="0" applyNumberFormat="1" applyFont="1" applyFill="1" applyBorder="1" applyAlignment="1">
      <alignment horizontal="center" vertical="center"/>
    </xf>
    <xf numFmtId="15" fontId="9" fillId="0" borderId="6" xfId="0" applyNumberFormat="1" applyFont="1" applyFill="1" applyBorder="1" applyAlignment="1">
      <alignment horizontal="center" vertical="center"/>
    </xf>
    <xf numFmtId="15" fontId="9" fillId="0" borderId="11" xfId="0" applyNumberFormat="1" applyFont="1" applyFill="1" applyBorder="1" applyAlignment="1">
      <alignment horizontal="center" vertical="center"/>
    </xf>
    <xf numFmtId="0" fontId="6" fillId="2" borderId="7" xfId="0" applyFont="1" applyFill="1" applyBorder="1"/>
    <xf numFmtId="0" fontId="5" fillId="0" borderId="0" xfId="0" applyFont="1"/>
    <xf numFmtId="0" fontId="3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/>
    </xf>
    <xf numFmtId="0" fontId="9" fillId="0" borderId="1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10" fontId="9" fillId="0" borderId="7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7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6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7" xfId="2" quotePrefix="1" applyNumberFormat="1" applyFont="1" applyFill="1" applyBorder="1" applyAlignment="1">
      <alignment horizontal="center" vertical="center"/>
    </xf>
    <xf numFmtId="165" fontId="9" fillId="0" borderId="6" xfId="1" quotePrefix="1" applyNumberFormat="1" applyFont="1" applyFill="1" applyBorder="1" applyAlignment="1">
      <alignment horizontal="center" vertical="center"/>
    </xf>
    <xf numFmtId="165" fontId="9" fillId="0" borderId="6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7" xfId="2" applyNumberFormat="1" applyFont="1" applyFill="1" applyBorder="1" applyAlignment="1">
      <alignment horizontal="center" vertical="center"/>
    </xf>
    <xf numFmtId="0" fontId="9" fillId="0" borderId="6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7" xfId="0" applyNumberFormat="1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15" fontId="9" fillId="0" borderId="9" xfId="0" applyNumberFormat="1" applyFont="1" applyFill="1" applyBorder="1" applyAlignment="1">
      <alignment horizontal="center"/>
    </xf>
    <xf numFmtId="166" fontId="9" fillId="0" borderId="9" xfId="1" applyNumberFormat="1" applyFont="1" applyFill="1" applyBorder="1" applyAlignment="1">
      <alignment horizontal="center" vertical="center"/>
    </xf>
    <xf numFmtId="164" fontId="9" fillId="0" borderId="10" xfId="0" applyNumberFormat="1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9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8" xfId="0" applyFont="1" applyFill="1" applyBorder="1"/>
    <xf numFmtId="0" fontId="11" fillId="0" borderId="7" xfId="0" applyFont="1" applyFill="1" applyBorder="1" applyAlignment="1">
      <alignment horizontal="center" vertical="center"/>
    </xf>
    <xf numFmtId="3" fontId="9" fillId="0" borderId="7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8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vertical="center"/>
    </xf>
    <xf numFmtId="0" fontId="9" fillId="0" borderId="15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vertical="center"/>
    </xf>
    <xf numFmtId="0" fontId="5" fillId="0" borderId="16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3" fontId="0" fillId="0" borderId="0" xfId="0" applyNumberFormat="1"/>
    <xf numFmtId="0" fontId="12" fillId="0" borderId="0" xfId="0" applyFont="1"/>
    <xf numFmtId="0" fontId="13" fillId="0" borderId="12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2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0" fontId="11" fillId="0" borderId="12" xfId="0" applyFont="1" applyFill="1" applyBorder="1" applyAlignment="1">
      <alignment horizontal="center" vertical="center"/>
    </xf>
    <xf numFmtId="0" fontId="5" fillId="0" borderId="12" xfId="0" applyFont="1" applyBorder="1"/>
    <xf numFmtId="0" fontId="6" fillId="0" borderId="4" xfId="0" applyFont="1" applyFill="1" applyBorder="1" applyAlignment="1">
      <alignment horizontal="left" vertical="center"/>
    </xf>
    <xf numFmtId="0" fontId="9" fillId="0" borderId="0" xfId="0" applyFont="1"/>
    <xf numFmtId="0" fontId="9" fillId="2" borderId="5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68" fontId="9" fillId="2" borderId="0" xfId="0" applyNumberFormat="1" applyFont="1" applyFill="1" applyBorder="1" applyAlignment="1">
      <alignment horizontal="center" vertical="center"/>
    </xf>
    <xf numFmtId="168" fontId="9" fillId="2" borderId="9" xfId="0" applyNumberFormat="1" applyFont="1" applyFill="1" applyBorder="1" applyAlignment="1">
      <alignment horizontal="center" vertical="center"/>
    </xf>
    <xf numFmtId="0" fontId="2" fillId="0" borderId="0" xfId="0" applyFont="1"/>
    <xf numFmtId="0" fontId="0" fillId="2" borderId="1" xfId="0" applyFill="1" applyBorder="1"/>
    <xf numFmtId="0" fontId="0" fillId="2" borderId="4" xfId="0" applyFill="1" applyBorder="1"/>
    <xf numFmtId="0" fontId="0" fillId="2" borderId="8" xfId="0" applyFill="1" applyBorder="1"/>
    <xf numFmtId="0" fontId="23" fillId="0" borderId="0" xfId="0" applyFont="1"/>
    <xf numFmtId="169" fontId="9" fillId="2" borderId="0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0" fontId="0" fillId="2" borderId="19" xfId="0" applyFill="1" applyBorder="1"/>
    <xf numFmtId="169" fontId="0" fillId="3" borderId="12" xfId="0" applyNumberFormat="1" applyFill="1" applyBorder="1" applyAlignment="1">
      <alignment horizontal="center" vertical="center"/>
    </xf>
    <xf numFmtId="0" fontId="0" fillId="2" borderId="12" xfId="0" applyFill="1" applyBorder="1"/>
    <xf numFmtId="0" fontId="0" fillId="4" borderId="18" xfId="0" applyFill="1" applyBorder="1"/>
    <xf numFmtId="0" fontId="0" fillId="4" borderId="19" xfId="0" applyFill="1" applyBorder="1"/>
    <xf numFmtId="0" fontId="0" fillId="2" borderId="18" xfId="0" applyNumberFormat="1" applyFill="1" applyBorder="1" applyAlignment="1">
      <alignment horizontal="left" vertical="center" wrapText="1"/>
    </xf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167" fontId="6" fillId="4" borderId="18" xfId="0" applyNumberFormat="1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/>
    </xf>
    <xf numFmtId="0" fontId="6" fillId="4" borderId="18" xfId="0" quotePrefix="1" applyFont="1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 vertical="center"/>
    </xf>
    <xf numFmtId="10" fontId="6" fillId="4" borderId="18" xfId="0" applyNumberFormat="1" applyFont="1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/>
    </xf>
    <xf numFmtId="4" fontId="0" fillId="4" borderId="18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2" borderId="20" xfId="0" applyNumberFormat="1" applyFill="1" applyBorder="1" applyAlignment="1">
      <alignment horizontal="left" vertical="center" wrapText="1"/>
    </xf>
    <xf numFmtId="167" fontId="9" fillId="4" borderId="18" xfId="0" applyNumberFormat="1" applyFont="1" applyFill="1" applyBorder="1" applyAlignment="1">
      <alignment horizontal="center" vertical="center"/>
    </xf>
    <xf numFmtId="0" fontId="0" fillId="2" borderId="22" xfId="0" applyFont="1" applyFill="1" applyBorder="1"/>
    <xf numFmtId="0" fontId="0" fillId="4" borderId="23" xfId="0" applyFill="1" applyBorder="1" applyAlignment="1">
      <alignment horizontal="center" vertical="center"/>
    </xf>
    <xf numFmtId="0" fontId="0" fillId="2" borderId="24" xfId="0" applyFill="1" applyBorder="1"/>
    <xf numFmtId="0" fontId="6" fillId="0" borderId="25" xfId="0" applyFont="1" applyBorder="1" applyAlignment="1">
      <alignment horizontal="center" vertical="center"/>
    </xf>
    <xf numFmtId="0" fontId="0" fillId="2" borderId="26" xfId="0" applyFill="1" applyBorder="1"/>
    <xf numFmtId="0" fontId="6" fillId="0" borderId="27" xfId="0" applyFont="1" applyBorder="1" applyAlignment="1">
      <alignment horizontal="center" vertical="center"/>
    </xf>
    <xf numFmtId="0" fontId="0" fillId="2" borderId="28" xfId="0" applyFont="1" applyFill="1" applyBorder="1"/>
    <xf numFmtId="0" fontId="0" fillId="4" borderId="28" xfId="0" applyFill="1" applyBorder="1" applyAlignment="1">
      <alignment horizontal="center" vertical="center"/>
    </xf>
    <xf numFmtId="0" fontId="0" fillId="2" borderId="29" xfId="0" applyFill="1" applyBorder="1"/>
    <xf numFmtId="3" fontId="6" fillId="4" borderId="17" xfId="0" applyNumberFormat="1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165" fontId="6" fillId="4" borderId="4" xfId="0" applyNumberFormat="1" applyFont="1" applyFill="1" applyBorder="1" applyAlignment="1">
      <alignment horizontal="center" vertical="center"/>
    </xf>
    <xf numFmtId="0" fontId="0" fillId="4" borderId="0" xfId="0" applyFill="1" applyBorder="1"/>
    <xf numFmtId="0" fontId="25" fillId="0" borderId="0" xfId="0" applyFont="1"/>
    <xf numFmtId="0" fontId="0" fillId="2" borderId="17" xfId="0" applyFill="1" applyBorder="1"/>
    <xf numFmtId="0" fontId="0" fillId="2" borderId="18" xfId="0" applyFont="1" applyFill="1" applyBorder="1"/>
    <xf numFmtId="0" fontId="9" fillId="0" borderId="29" xfId="0" applyFont="1" applyBorder="1" applyAlignment="1">
      <alignment horizontal="center" vertical="center"/>
    </xf>
    <xf numFmtId="3" fontId="9" fillId="4" borderId="30" xfId="0" applyNumberFormat="1" applyFont="1" applyFill="1" applyBorder="1" applyAlignment="1">
      <alignment horizontal="center" vertical="center"/>
    </xf>
    <xf numFmtId="0" fontId="0" fillId="4" borderId="0" xfId="0" applyFont="1" applyFill="1" applyBorder="1"/>
    <xf numFmtId="0" fontId="0" fillId="0" borderId="0" xfId="0" applyFont="1"/>
    <xf numFmtId="0" fontId="0" fillId="2" borderId="30" xfId="0" applyNumberFormat="1" applyFont="1" applyFill="1" applyBorder="1" applyAlignment="1">
      <alignment horizontal="left" vertical="center" wrapText="1"/>
    </xf>
    <xf numFmtId="0" fontId="0" fillId="2" borderId="17" xfId="0" applyNumberFormat="1" applyFont="1" applyFill="1" applyBorder="1" applyAlignment="1">
      <alignment horizontal="left" vertical="center" wrapText="1"/>
    </xf>
    <xf numFmtId="0" fontId="0" fillId="2" borderId="18" xfId="0" applyNumberFormat="1" applyFont="1" applyFill="1" applyBorder="1" applyAlignment="1">
      <alignment horizontal="left" vertical="center" wrapText="1"/>
    </xf>
    <xf numFmtId="0" fontId="0" fillId="4" borderId="0" xfId="0" applyNumberFormat="1" applyFont="1" applyFill="1" applyBorder="1" applyAlignment="1">
      <alignment horizontal="left" vertical="center"/>
    </xf>
    <xf numFmtId="0" fontId="0" fillId="2" borderId="4" xfId="0" applyNumberFormat="1" applyFont="1" applyFill="1" applyBorder="1" applyAlignment="1">
      <alignment horizontal="left" vertical="center" wrapText="1"/>
    </xf>
    <xf numFmtId="0" fontId="0" fillId="2" borderId="32" xfId="0" applyNumberFormat="1" applyFont="1" applyFill="1" applyBorder="1" applyAlignment="1">
      <alignment horizontal="left" vertical="center" wrapText="1"/>
    </xf>
    <xf numFmtId="0" fontId="6" fillId="4" borderId="32" xfId="0" applyFont="1" applyFill="1" applyBorder="1" applyAlignment="1">
      <alignment horizontal="center"/>
    </xf>
    <xf numFmtId="0" fontId="0" fillId="2" borderId="21" xfId="0" applyNumberFormat="1" applyFont="1" applyFill="1" applyBorder="1" applyAlignment="1">
      <alignment horizontal="left" vertical="center" wrapText="1"/>
    </xf>
    <xf numFmtId="0" fontId="6" fillId="4" borderId="21" xfId="0" applyFont="1" applyFill="1" applyBorder="1" applyAlignment="1">
      <alignment horizontal="center"/>
    </xf>
    <xf numFmtId="0" fontId="0" fillId="2" borderId="4" xfId="0" applyFont="1" applyFill="1" applyBorder="1"/>
    <xf numFmtId="0" fontId="0" fillId="2" borderId="8" xfId="0" applyFont="1" applyFill="1" applyBorder="1"/>
    <xf numFmtId="169" fontId="9" fillId="2" borderId="6" xfId="0" applyNumberFormat="1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169" fontId="9" fillId="2" borderId="11" xfId="0" applyNumberFormat="1" applyFont="1" applyFill="1" applyBorder="1" applyAlignment="1">
      <alignment horizontal="center" vertical="center"/>
    </xf>
    <xf numFmtId="169" fontId="9" fillId="2" borderId="9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4" fontId="9" fillId="2" borderId="2" xfId="0" applyNumberFormat="1" applyFont="1" applyFill="1" applyBorder="1" applyAlignment="1">
      <alignment horizontal="center" vertical="center"/>
    </xf>
    <xf numFmtId="4" fontId="9" fillId="2" borderId="9" xfId="0" applyNumberFormat="1" applyFont="1" applyFill="1" applyBorder="1" applyAlignment="1">
      <alignment horizontal="center" vertical="center"/>
    </xf>
    <xf numFmtId="166" fontId="9" fillId="2" borderId="2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9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3" fontId="9" fillId="2" borderId="9" xfId="0" applyNumberFormat="1" applyFont="1" applyFill="1" applyBorder="1" applyAlignment="1">
      <alignment horizontal="center" vertical="center"/>
    </xf>
    <xf numFmtId="4" fontId="9" fillId="2" borderId="3" xfId="0" applyNumberFormat="1" applyFont="1" applyFill="1" applyBorder="1" applyAlignment="1">
      <alignment horizontal="center" vertical="center"/>
    </xf>
    <xf numFmtId="4" fontId="9" fillId="2" borderId="7" xfId="0" applyNumberFormat="1" applyFont="1" applyFill="1" applyBorder="1" applyAlignment="1">
      <alignment horizontal="center" vertical="center"/>
    </xf>
    <xf numFmtId="4" fontId="9" fillId="2" borderId="10" xfId="0" applyNumberFormat="1" applyFont="1" applyFill="1" applyBorder="1" applyAlignment="1">
      <alignment horizontal="center" vertical="center"/>
    </xf>
    <xf numFmtId="10" fontId="9" fillId="2" borderId="0" xfId="0" applyNumberFormat="1" applyFont="1" applyFill="1" applyBorder="1" applyAlignment="1">
      <alignment horizontal="center" vertical="center"/>
    </xf>
    <xf numFmtId="170" fontId="9" fillId="2" borderId="0" xfId="0" applyNumberFormat="1" applyFont="1" applyFill="1" applyBorder="1" applyAlignment="1">
      <alignment horizontal="center" vertical="center"/>
    </xf>
    <xf numFmtId="170" fontId="9" fillId="2" borderId="9" xfId="0" applyNumberFormat="1" applyFont="1" applyFill="1" applyBorder="1" applyAlignment="1">
      <alignment horizontal="center" vertical="center"/>
    </xf>
    <xf numFmtId="3" fontId="9" fillId="2" borderId="7" xfId="0" applyNumberFormat="1" applyFont="1" applyFill="1" applyBorder="1" applyAlignment="1">
      <alignment horizontal="center" vertical="center"/>
    </xf>
    <xf numFmtId="3" fontId="9" fillId="2" borderId="10" xfId="0" applyNumberFormat="1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0" fontId="0" fillId="7" borderId="20" xfId="0" applyNumberFormat="1" applyFill="1" applyBorder="1" applyAlignment="1">
      <alignment horizontal="center" vertical="center" wrapText="1"/>
    </xf>
    <xf numFmtId="3" fontId="6" fillId="7" borderId="18" xfId="0" applyNumberFormat="1" applyFont="1" applyFill="1" applyBorder="1" applyAlignment="1">
      <alignment horizontal="center" vertical="center"/>
    </xf>
    <xf numFmtId="167" fontId="6" fillId="7" borderId="18" xfId="0" applyNumberFormat="1" applyFont="1" applyFill="1" applyBorder="1" applyAlignment="1">
      <alignment horizontal="center" vertical="center"/>
    </xf>
    <xf numFmtId="170" fontId="6" fillId="7" borderId="18" xfId="0" applyNumberFormat="1" applyFont="1" applyFill="1" applyBorder="1" applyAlignment="1">
      <alignment horizontal="center" vertical="center"/>
    </xf>
    <xf numFmtId="4" fontId="0" fillId="7" borderId="18" xfId="0" applyNumberFormat="1" applyFill="1" applyBorder="1" applyAlignment="1">
      <alignment horizontal="center"/>
    </xf>
    <xf numFmtId="0" fontId="0" fillId="2" borderId="33" xfId="0" applyFill="1" applyBorder="1"/>
    <xf numFmtId="0" fontId="6" fillId="4" borderId="33" xfId="0" applyFont="1" applyFill="1" applyBorder="1" applyAlignment="1">
      <alignment horizontal="center" vertical="center"/>
    </xf>
    <xf numFmtId="0" fontId="0" fillId="2" borderId="31" xfId="0" applyFill="1" applyBorder="1"/>
    <xf numFmtId="3" fontId="9" fillId="4" borderId="31" xfId="0" applyNumberFormat="1" applyFont="1" applyFill="1" applyBorder="1" applyAlignment="1">
      <alignment horizontal="center" vertical="center"/>
    </xf>
    <xf numFmtId="0" fontId="5" fillId="0" borderId="0" xfId="0" quotePrefix="1" applyFont="1"/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6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9" fillId="6" borderId="19" xfId="0" applyFont="1" applyFill="1" applyBorder="1" applyAlignment="1">
      <alignment horizontal="center" vertical="center"/>
    </xf>
    <xf numFmtId="0" fontId="27" fillId="0" borderId="0" xfId="0" applyFont="1"/>
    <xf numFmtId="0" fontId="9" fillId="2" borderId="5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/>
    </xf>
    <xf numFmtId="166" fontId="9" fillId="2" borderId="0" xfId="0" applyNumberFormat="1" applyFont="1" applyFill="1" applyBorder="1" applyAlignment="1">
      <alignment horizontal="left" vertical="center"/>
    </xf>
    <xf numFmtId="4" fontId="9" fillId="2" borderId="0" xfId="0" applyNumberFormat="1" applyFont="1" applyFill="1" applyBorder="1" applyAlignment="1">
      <alignment horizontal="left" vertical="center"/>
    </xf>
    <xf numFmtId="0" fontId="9" fillId="2" borderId="9" xfId="0" applyFont="1" applyFill="1" applyBorder="1" applyAlignment="1">
      <alignment horizontal="left" vertical="center"/>
    </xf>
    <xf numFmtId="0" fontId="9" fillId="2" borderId="10" xfId="0" applyFont="1" applyFill="1" applyBorder="1" applyAlignment="1">
      <alignment horizontal="left" vertical="center"/>
    </xf>
    <xf numFmtId="0" fontId="9" fillId="3" borderId="5" xfId="0" applyFont="1" applyFill="1" applyBorder="1" applyAlignment="1">
      <alignment horizontal="center" vertical="center"/>
    </xf>
    <xf numFmtId="169" fontId="9" fillId="3" borderId="6" xfId="0" applyNumberFormat="1" applyFont="1" applyFill="1" applyBorder="1" applyAlignment="1">
      <alignment horizontal="center" vertical="center"/>
    </xf>
    <xf numFmtId="169" fontId="9" fillId="3" borderId="1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169" fontId="9" fillId="3" borderId="0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166" fontId="9" fillId="3" borderId="0" xfId="0" applyNumberFormat="1" applyFont="1" applyFill="1" applyBorder="1" applyAlignment="1">
      <alignment horizontal="center" vertical="center"/>
    </xf>
    <xf numFmtId="3" fontId="9" fillId="3" borderId="0" xfId="0" applyNumberFormat="1" applyFont="1" applyFill="1" applyBorder="1" applyAlignment="1">
      <alignment horizontal="center" vertical="center"/>
    </xf>
    <xf numFmtId="4" fontId="9" fillId="3" borderId="0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169" fontId="9" fillId="3" borderId="9" xfId="0" applyNumberFormat="1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166" fontId="9" fillId="3" borderId="9" xfId="0" applyNumberFormat="1" applyFont="1" applyFill="1" applyBorder="1" applyAlignment="1">
      <alignment horizontal="center" vertical="center"/>
    </xf>
    <xf numFmtId="3" fontId="9" fillId="3" borderId="9" xfId="0" applyNumberFormat="1" applyFont="1" applyFill="1" applyBorder="1" applyAlignment="1">
      <alignment horizontal="center" vertical="center"/>
    </xf>
    <xf numFmtId="4" fontId="9" fillId="3" borderId="9" xfId="0" applyNumberFormat="1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3" fontId="9" fillId="3" borderId="2" xfId="0" applyNumberFormat="1" applyFont="1" applyFill="1" applyBorder="1" applyAlignment="1">
      <alignment horizontal="center" vertical="center"/>
    </xf>
    <xf numFmtId="4" fontId="9" fillId="3" borderId="2" xfId="0" applyNumberFormat="1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169" fontId="9" fillId="5" borderId="0" xfId="0" applyNumberFormat="1" applyFont="1" applyFill="1" applyBorder="1" applyAlignment="1">
      <alignment horizontal="center" vertical="center"/>
    </xf>
    <xf numFmtId="3" fontId="9" fillId="5" borderId="0" xfId="0" applyNumberFormat="1" applyFont="1" applyFill="1" applyBorder="1" applyAlignment="1">
      <alignment horizontal="center" vertical="center"/>
    </xf>
    <xf numFmtId="164" fontId="9" fillId="5" borderId="0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4" fontId="9" fillId="3" borderId="9" xfId="0" applyNumberFormat="1" applyFont="1" applyFill="1" applyBorder="1" applyAlignment="1">
      <alignment horizontal="center" vertical="center"/>
    </xf>
    <xf numFmtId="4" fontId="9" fillId="3" borderId="7" xfId="0" applyNumberFormat="1" applyFont="1" applyFill="1" applyBorder="1" applyAlignment="1">
      <alignment horizontal="center" vertical="center"/>
    </xf>
    <xf numFmtId="4" fontId="9" fillId="3" borderId="10" xfId="0" applyNumberFormat="1" applyFont="1" applyFill="1" applyBorder="1" applyAlignment="1">
      <alignment horizontal="center" vertical="center"/>
    </xf>
    <xf numFmtId="4" fontId="9" fillId="5" borderId="7" xfId="0" applyNumberFormat="1" applyFont="1" applyFill="1" applyBorder="1" applyAlignment="1">
      <alignment horizontal="center" vertical="center"/>
    </xf>
    <xf numFmtId="4" fontId="9" fillId="2" borderId="7" xfId="0" applyNumberFormat="1" applyFont="1" applyFill="1" applyBorder="1" applyAlignment="1">
      <alignment horizontal="left" vertical="center"/>
    </xf>
    <xf numFmtId="4" fontId="9" fillId="2" borderId="10" xfId="0" applyNumberFormat="1" applyFont="1" applyFill="1" applyBorder="1" applyAlignment="1">
      <alignment horizontal="left" vertical="center"/>
    </xf>
    <xf numFmtId="169" fontId="9" fillId="2" borderId="6" xfId="0" applyNumberFormat="1" applyFont="1" applyFill="1" applyBorder="1" applyAlignment="1">
      <alignment horizontal="left" vertical="center"/>
    </xf>
    <xf numFmtId="169" fontId="9" fillId="2" borderId="0" xfId="0" applyNumberFormat="1" applyFont="1" applyFill="1" applyBorder="1" applyAlignment="1">
      <alignment horizontal="left" vertical="center"/>
    </xf>
    <xf numFmtId="169" fontId="9" fillId="2" borderId="11" xfId="0" applyNumberFormat="1" applyFont="1" applyFill="1" applyBorder="1" applyAlignment="1">
      <alignment horizontal="left" vertical="center"/>
    </xf>
    <xf numFmtId="169" fontId="9" fillId="2" borderId="9" xfId="0" applyNumberFormat="1" applyFont="1" applyFill="1" applyBorder="1" applyAlignment="1">
      <alignment horizontal="left" vertical="center"/>
    </xf>
    <xf numFmtId="3" fontId="9" fillId="2" borderId="9" xfId="0" applyNumberFormat="1" applyFont="1" applyFill="1" applyBorder="1" applyAlignment="1">
      <alignment horizontal="left" vertical="center"/>
    </xf>
    <xf numFmtId="166" fontId="9" fillId="2" borderId="9" xfId="0" applyNumberFormat="1" applyFont="1" applyFill="1" applyBorder="1" applyAlignment="1">
      <alignment horizontal="left" vertical="center"/>
    </xf>
    <xf numFmtId="4" fontId="9" fillId="2" borderId="9" xfId="0" applyNumberFormat="1" applyFont="1" applyFill="1" applyBorder="1" applyAlignment="1">
      <alignment horizontal="left" vertical="center"/>
    </xf>
    <xf numFmtId="164" fontId="9" fillId="2" borderId="0" xfId="0" applyNumberFormat="1" applyFont="1" applyFill="1" applyBorder="1" applyAlignment="1">
      <alignment horizontal="left" vertical="center"/>
    </xf>
    <xf numFmtId="164" fontId="9" fillId="2" borderId="9" xfId="0" applyNumberFormat="1" applyFont="1" applyFill="1" applyBorder="1" applyAlignment="1">
      <alignment horizontal="left" vertical="center"/>
    </xf>
    <xf numFmtId="10" fontId="9" fillId="5" borderId="0" xfId="0" applyNumberFormat="1" applyFont="1" applyFill="1" applyBorder="1" applyAlignment="1">
      <alignment horizontal="center" vertical="center"/>
    </xf>
    <xf numFmtId="10" fontId="9" fillId="2" borderId="9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65" fontId="9" fillId="2" borderId="9" xfId="0" applyNumberFormat="1" applyFont="1" applyFill="1" applyBorder="1" applyAlignment="1">
      <alignment horizontal="center" vertical="center"/>
    </xf>
    <xf numFmtId="0" fontId="22" fillId="0" borderId="13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4" xfId="0" applyFont="1" applyBorder="1" applyAlignment="1">
      <alignment horizontal="center" vertical="center" textRotation="90"/>
    </xf>
    <xf numFmtId="0" fontId="21" fillId="0" borderId="13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4" xfId="0" applyFont="1" applyBorder="1" applyAlignment="1">
      <alignment horizontal="center" vertical="center" textRotation="90"/>
    </xf>
    <xf numFmtId="0" fontId="22" fillId="0" borderId="13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8" xfId="0" applyFont="1" applyBorder="1" applyAlignment="1">
      <alignment horizontal="center" vertical="center" textRotation="90" wrapText="1"/>
    </xf>
    <xf numFmtId="0" fontId="0" fillId="0" borderId="0" xfId="0" applyAlignment="1">
      <alignment horizontal="center" vertical="center"/>
    </xf>
    <xf numFmtId="3" fontId="9" fillId="0" borderId="17" xfId="0" applyNumberFormat="1" applyFont="1" applyBorder="1" applyAlignment="1">
      <alignment horizontal="center" vertical="center"/>
    </xf>
    <xf numFmtId="170" fontId="9" fillId="4" borderId="18" xfId="0" applyNumberFormat="1" applyFont="1" applyFill="1" applyBorder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C3"/>
  <sheetViews>
    <sheetView showGridLines="0" workbookViewId="0"/>
  </sheetViews>
  <sheetFormatPr defaultRowHeight="15" x14ac:dyDescent="0.25"/>
  <cols>
    <col min="2" max="3" width="15.85546875" customWidth="1"/>
  </cols>
  <sheetData>
    <row r="2" spans="2:3" x14ac:dyDescent="0.25">
      <c r="B2" s="136" t="s">
        <v>237</v>
      </c>
    </row>
    <row r="3" spans="2:3" x14ac:dyDescent="0.25">
      <c r="B3" s="145" t="s">
        <v>10</v>
      </c>
      <c r="C3" s="144">
        <v>42419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22" t="s">
        <v>292</v>
      </c>
    </row>
    <row r="3" spans="2:14" x14ac:dyDescent="0.25">
      <c r="B3" s="61"/>
    </row>
    <row r="4" spans="2:14" x14ac:dyDescent="0.25">
      <c r="B4" s="61"/>
    </row>
    <row r="5" spans="2:14" x14ac:dyDescent="0.25">
      <c r="B5" s="117" t="s">
        <v>199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18" t="s">
        <v>199</v>
      </c>
      <c r="D7" s="127" t="str">
        <f ca="1">IF(NOW(),_xll.meLWOCurveCreateOIS("EUROIS_19FEB16",Curve.CollectionName,Curve.MarketDataTable,Curve.OISIndexName,Curve.BuildProperties,OIS.Conventions,OIS.MarketData,OIS.FixingTable,LiborOISBasis.Conventions,LiborOISBasis.MarketData,LiborSwap.Conventions,LiborSwap.MarketData),"Error Building OIS Curve")</f>
        <v>EUROIS_19FEB16:12</v>
      </c>
      <c r="E7" s="7" t="s">
        <v>4</v>
      </c>
      <c r="F7" s="7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4" t="s">
        <v>192</v>
      </c>
      <c r="D8" s="115" t="b">
        <f ca="1">_xll.meLWOExists(D7,"CURVE")</f>
        <v>1</v>
      </c>
      <c r="E8" s="7" t="s">
        <v>4</v>
      </c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3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4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6" t="s">
        <v>189</v>
      </c>
      <c r="E13" s="7"/>
      <c r="F13" s="7"/>
      <c r="G13" s="7"/>
      <c r="H13" s="7"/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1:14" x14ac:dyDescent="0.25">
      <c r="B17" s="56" t="s">
        <v>70</v>
      </c>
    </row>
    <row r="18" spans="1:14" x14ac:dyDescent="0.25">
      <c r="B18" s="2"/>
      <c r="C18" s="45"/>
      <c r="D18" s="46"/>
      <c r="E18" s="3"/>
      <c r="F18" s="3"/>
      <c r="G18" s="3"/>
      <c r="H18" s="62"/>
      <c r="I18" s="3"/>
      <c r="J18" s="3"/>
      <c r="K18" s="3"/>
      <c r="L18" s="3"/>
      <c r="M18" s="3"/>
      <c r="N18" s="4"/>
    </row>
    <row r="19" spans="1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1:14" x14ac:dyDescent="0.25">
      <c r="B20" s="5"/>
      <c r="C20" s="27" t="s">
        <v>10</v>
      </c>
      <c r="D20" s="103">
        <f>COB</f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1:14" x14ac:dyDescent="0.25">
      <c r="A21" s="28"/>
      <c r="B21" s="5"/>
      <c r="C21" s="28" t="s">
        <v>16</v>
      </c>
      <c r="D21" s="104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1:14" x14ac:dyDescent="0.25">
      <c r="B22" s="5"/>
      <c r="C22" s="28" t="s">
        <v>24</v>
      </c>
      <c r="D22" s="107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1:14" x14ac:dyDescent="0.25">
      <c r="B23" s="5"/>
      <c r="C23" s="29"/>
      <c r="D23" s="104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1:14" x14ac:dyDescent="0.25">
      <c r="B24" s="5"/>
      <c r="C24" s="44"/>
      <c r="D24" s="106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1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1:14" x14ac:dyDescent="0.25">
      <c r="F27" s="63"/>
    </row>
    <row r="28" spans="1:14" x14ac:dyDescent="0.25">
      <c r="B28" s="56" t="s">
        <v>79</v>
      </c>
    </row>
    <row r="29" spans="1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1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1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1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2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0" t="s">
        <v>297</v>
      </c>
      <c r="D46" s="35" t="s">
        <v>298</v>
      </c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 t="s">
        <v>299</v>
      </c>
      <c r="D47" s="35" t="b">
        <v>1</v>
      </c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19" t="s">
        <v>293</v>
      </c>
    </row>
    <row r="6" spans="2:12" x14ac:dyDescent="0.25">
      <c r="B6" s="120" t="s">
        <v>200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28" t="s">
        <v>200</v>
      </c>
      <c r="D8" s="127" t="str">
        <f ca="1">IF(AND(isEUROISLoaded,NOW()),_xll.meLWOCurveCreateSwap("EUR6ML_19FEB16",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EUR6ML_19FEB16:12</v>
      </c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114" t="s">
        <v>192</v>
      </c>
      <c r="D9" s="124" t="b">
        <f ca="1">_xll.meLWOExists(D8,"CURVE")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3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4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6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2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3">
        <f>COB</f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4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5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5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4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4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4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4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4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6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226</v>
      </c>
      <c r="D37" s="10"/>
      <c r="E37" s="10"/>
      <c r="F37" s="49" t="s">
        <v>103</v>
      </c>
      <c r="G37" s="10"/>
      <c r="H37" s="10"/>
      <c r="I37" s="49" t="s">
        <v>225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4" t="s">
        <v>11</v>
      </c>
      <c r="J38" s="74" t="s">
        <v>12</v>
      </c>
      <c r="K38" s="74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5" t="s">
        <v>6</v>
      </c>
      <c r="H39" s="10"/>
      <c r="I39" s="67" t="s">
        <v>185</v>
      </c>
      <c r="J39" s="71">
        <v>-2.8E-3</v>
      </c>
      <c r="K39" s="74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68" t="s">
        <v>169</v>
      </c>
      <c r="J40" s="72">
        <v>-2.2000000000000001E-3</v>
      </c>
      <c r="K40" s="74"/>
      <c r="L40" s="55"/>
    </row>
    <row r="41" spans="2:12" x14ac:dyDescent="0.25">
      <c r="B41" s="5"/>
      <c r="C41" s="28"/>
      <c r="D41" s="35"/>
      <c r="E41" s="9"/>
      <c r="F41" s="29" t="s">
        <v>101</v>
      </c>
      <c r="G41" s="65">
        <v>2</v>
      </c>
      <c r="H41" s="10"/>
      <c r="I41" s="68" t="s">
        <v>104</v>
      </c>
      <c r="J41" s="72">
        <v>-1.31E-3</v>
      </c>
      <c r="K41" s="74"/>
      <c r="L41" s="55"/>
    </row>
    <row r="42" spans="2:12" x14ac:dyDescent="0.25">
      <c r="B42" s="5"/>
      <c r="C42" s="28"/>
      <c r="D42" s="35"/>
      <c r="E42" s="9"/>
      <c r="F42" s="29" t="s">
        <v>21</v>
      </c>
      <c r="G42" s="65" t="s">
        <v>22</v>
      </c>
      <c r="H42" s="10"/>
      <c r="I42" s="68" t="s">
        <v>57</v>
      </c>
      <c r="J42" s="72">
        <v>-1E-4</v>
      </c>
      <c r="K42" s="74"/>
      <c r="L42" s="55"/>
    </row>
    <row r="43" spans="2:12" x14ac:dyDescent="0.25">
      <c r="B43" s="5"/>
      <c r="C43" s="33"/>
      <c r="D43" s="40"/>
      <c r="E43" s="9"/>
      <c r="F43" s="44"/>
      <c r="G43" s="66"/>
      <c r="H43" s="10"/>
      <c r="I43" s="69"/>
      <c r="J43" s="73"/>
      <c r="K43" s="74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4" t="s">
        <v>11</v>
      </c>
      <c r="G51" s="74" t="s">
        <v>12</v>
      </c>
      <c r="H51" s="10"/>
      <c r="I51" s="74" t="s">
        <v>11</v>
      </c>
      <c r="J51" s="74" t="s">
        <v>12</v>
      </c>
      <c r="K51" s="74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67"/>
      <c r="G52" s="71"/>
      <c r="H52" s="10"/>
      <c r="I52" s="67" t="s">
        <v>110</v>
      </c>
      <c r="J52" s="71">
        <v>-1.2900000000000001E-3</v>
      </c>
      <c r="K52" s="74"/>
      <c r="L52" s="55"/>
    </row>
    <row r="53" spans="2:12" x14ac:dyDescent="0.25">
      <c r="B53" s="5"/>
      <c r="C53" s="28" t="s">
        <v>107</v>
      </c>
      <c r="D53" s="35">
        <v>2</v>
      </c>
      <c r="E53" s="9"/>
      <c r="F53" s="68"/>
      <c r="G53" s="72"/>
      <c r="H53" s="10"/>
      <c r="I53" s="68" t="s">
        <v>111</v>
      </c>
      <c r="J53" s="72">
        <v>-1.2900000000000001E-3</v>
      </c>
      <c r="K53" s="74"/>
      <c r="L53" s="55"/>
    </row>
    <row r="54" spans="2:12" x14ac:dyDescent="0.25">
      <c r="B54" s="5"/>
      <c r="C54" s="28" t="s">
        <v>21</v>
      </c>
      <c r="D54" s="64" t="s">
        <v>22</v>
      </c>
      <c r="E54" s="9"/>
      <c r="F54" s="68"/>
      <c r="G54" s="72"/>
      <c r="H54" s="10"/>
      <c r="I54" s="68" t="s">
        <v>112</v>
      </c>
      <c r="J54" s="72">
        <v>-1.33E-3</v>
      </c>
      <c r="K54" s="74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68"/>
      <c r="G55" s="72"/>
      <c r="H55" s="10"/>
      <c r="I55" s="68" t="s">
        <v>113</v>
      </c>
      <c r="J55" s="72">
        <v>-1.3900000000000002E-3</v>
      </c>
      <c r="K55" s="74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68"/>
      <c r="G56" s="72"/>
      <c r="H56" s="10"/>
      <c r="I56" s="68" t="s">
        <v>114</v>
      </c>
      <c r="J56" s="72">
        <v>-1.4399999999999999E-3</v>
      </c>
      <c r="K56" s="74"/>
      <c r="L56" s="55"/>
    </row>
    <row r="57" spans="2:12" x14ac:dyDescent="0.25">
      <c r="B57" s="5"/>
      <c r="C57" s="28" t="s">
        <v>109</v>
      </c>
      <c r="D57" s="35">
        <v>2</v>
      </c>
      <c r="E57" s="9"/>
      <c r="F57" s="68"/>
      <c r="G57" s="72"/>
      <c r="H57" s="10"/>
      <c r="I57" s="68" t="s">
        <v>115</v>
      </c>
      <c r="J57" s="72">
        <v>-1.4399999999999999E-3</v>
      </c>
      <c r="K57" s="74"/>
      <c r="L57" s="55"/>
    </row>
    <row r="58" spans="2:12" x14ac:dyDescent="0.25">
      <c r="B58" s="5"/>
      <c r="C58" s="28"/>
      <c r="D58" s="35"/>
      <c r="E58" s="9"/>
      <c r="F58" s="68"/>
      <c r="G58" s="72"/>
      <c r="H58" s="10"/>
      <c r="I58" s="68" t="s">
        <v>116</v>
      </c>
      <c r="J58" s="72">
        <v>-1.4599999999999999E-3</v>
      </c>
      <c r="K58" s="74"/>
      <c r="L58" s="55"/>
    </row>
    <row r="59" spans="2:12" x14ac:dyDescent="0.25">
      <c r="B59" s="5"/>
      <c r="C59" s="28"/>
      <c r="D59" s="35"/>
      <c r="E59" s="9"/>
      <c r="F59" s="68"/>
      <c r="G59" s="72"/>
      <c r="H59" s="10"/>
      <c r="I59" s="68" t="s">
        <v>117</v>
      </c>
      <c r="J59" s="72">
        <v>-1.47E-3</v>
      </c>
      <c r="K59" s="74"/>
      <c r="L59" s="55"/>
    </row>
    <row r="60" spans="2:12" x14ac:dyDescent="0.25">
      <c r="B60" s="5"/>
      <c r="C60" s="28"/>
      <c r="D60" s="35"/>
      <c r="E60" s="9"/>
      <c r="F60" s="68"/>
      <c r="G60" s="72"/>
      <c r="H60" s="10"/>
      <c r="I60" s="68" t="s">
        <v>118</v>
      </c>
      <c r="J60" s="72">
        <v>-1.4599999999999999E-3</v>
      </c>
      <c r="K60" s="74"/>
      <c r="L60" s="55"/>
    </row>
    <row r="61" spans="2:12" x14ac:dyDescent="0.25">
      <c r="B61" s="5"/>
      <c r="C61" s="28"/>
      <c r="D61" s="35"/>
      <c r="E61" s="9"/>
      <c r="F61" s="68"/>
      <c r="G61" s="72"/>
      <c r="H61" s="10"/>
      <c r="I61" s="68" t="s">
        <v>119</v>
      </c>
      <c r="J61" s="72">
        <v>-1.4299999999999998E-3</v>
      </c>
      <c r="K61" s="74"/>
      <c r="L61" s="55"/>
    </row>
    <row r="62" spans="2:12" x14ac:dyDescent="0.25">
      <c r="B62" s="5"/>
      <c r="C62" s="28"/>
      <c r="D62" s="35"/>
      <c r="E62" s="9"/>
      <c r="F62" s="68"/>
      <c r="G62" s="72"/>
      <c r="H62" s="10"/>
      <c r="I62" s="68" t="s">
        <v>120</v>
      </c>
      <c r="J62" s="72">
        <v>-1.4099999999999998E-3</v>
      </c>
      <c r="K62" s="74"/>
      <c r="L62" s="55"/>
    </row>
    <row r="63" spans="2:12" x14ac:dyDescent="0.25">
      <c r="B63" s="5"/>
      <c r="C63" s="28"/>
      <c r="D63" s="35"/>
      <c r="E63" s="9"/>
      <c r="F63" s="68"/>
      <c r="G63" s="72"/>
      <c r="H63" s="10"/>
      <c r="I63" s="68"/>
      <c r="J63" s="72"/>
      <c r="K63" s="74"/>
      <c r="L63" s="55"/>
    </row>
    <row r="64" spans="2:12" x14ac:dyDescent="0.25">
      <c r="B64" s="5"/>
      <c r="C64" s="33"/>
      <c r="D64" s="40"/>
      <c r="E64" s="9"/>
      <c r="F64" s="69"/>
      <c r="G64" s="73"/>
      <c r="H64" s="10"/>
      <c r="I64" s="69"/>
      <c r="J64" s="73"/>
      <c r="K64" s="74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4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3" t="s">
        <v>139</v>
      </c>
      <c r="G72" s="93" t="s">
        <v>13</v>
      </c>
      <c r="H72" s="93" t="s">
        <v>14</v>
      </c>
      <c r="I72" s="93" t="s">
        <v>12</v>
      </c>
      <c r="J72" s="93" t="s">
        <v>124</v>
      </c>
      <c r="K72" s="10"/>
      <c r="L72" s="55"/>
    </row>
    <row r="73" spans="2:12" x14ac:dyDescent="0.25">
      <c r="B73" s="5"/>
      <c r="C73" s="28"/>
      <c r="D73" s="35"/>
      <c r="E73" s="9"/>
      <c r="F73" s="75"/>
      <c r="G73" s="76"/>
      <c r="H73" s="76"/>
      <c r="I73" s="77"/>
      <c r="J73" s="78"/>
      <c r="K73" s="10"/>
      <c r="L73" s="55"/>
    </row>
    <row r="74" spans="2:12" x14ac:dyDescent="0.25">
      <c r="B74" s="5"/>
      <c r="C74" s="28"/>
      <c r="D74" s="35"/>
      <c r="E74" s="9"/>
      <c r="F74" s="79"/>
      <c r="G74" s="76"/>
      <c r="H74" s="76"/>
      <c r="I74" s="77"/>
      <c r="J74" s="78"/>
      <c r="K74" s="10"/>
      <c r="L74" s="55"/>
    </row>
    <row r="75" spans="2:12" x14ac:dyDescent="0.25">
      <c r="B75" s="5"/>
      <c r="C75" s="28"/>
      <c r="D75" s="101"/>
      <c r="E75" s="9"/>
      <c r="F75" s="80"/>
      <c r="G75" s="81"/>
      <c r="H75" s="81"/>
      <c r="I75" s="82"/>
      <c r="J75" s="83"/>
      <c r="K75" s="10"/>
      <c r="L75" s="55"/>
    </row>
    <row r="76" spans="2:12" x14ac:dyDescent="0.25">
      <c r="B76" s="5"/>
      <c r="C76" s="28"/>
      <c r="D76" s="70"/>
      <c r="E76" s="9"/>
      <c r="F76" s="80"/>
      <c r="G76" s="81"/>
      <c r="H76" s="81"/>
      <c r="I76" s="82"/>
      <c r="J76" s="83"/>
      <c r="K76" s="10"/>
      <c r="L76" s="55"/>
    </row>
    <row r="77" spans="2:12" x14ac:dyDescent="0.25">
      <c r="B77" s="5"/>
      <c r="C77" s="28"/>
      <c r="D77" s="35"/>
      <c r="E77" s="9"/>
      <c r="F77" s="80"/>
      <c r="G77" s="81"/>
      <c r="H77" s="81"/>
      <c r="I77" s="82"/>
      <c r="J77" s="83"/>
      <c r="K77" s="10"/>
      <c r="L77" s="55"/>
    </row>
    <row r="78" spans="2:12" x14ac:dyDescent="0.25">
      <c r="B78" s="5"/>
      <c r="C78" s="28"/>
      <c r="D78" s="35"/>
      <c r="E78" s="9"/>
      <c r="F78" s="80"/>
      <c r="G78" s="81"/>
      <c r="H78" s="81"/>
      <c r="I78" s="82"/>
      <c r="J78" s="83"/>
      <c r="K78" s="10"/>
      <c r="L78" s="55"/>
    </row>
    <row r="79" spans="2:12" x14ac:dyDescent="0.25">
      <c r="B79" s="5"/>
      <c r="C79" s="28"/>
      <c r="D79" s="35"/>
      <c r="E79" s="9"/>
      <c r="F79" s="80"/>
      <c r="G79" s="81"/>
      <c r="H79" s="81"/>
      <c r="I79" s="82"/>
      <c r="J79" s="83"/>
      <c r="K79" s="10"/>
      <c r="L79" s="55"/>
    </row>
    <row r="80" spans="2:12" x14ac:dyDescent="0.25">
      <c r="B80" s="5"/>
      <c r="C80" s="28"/>
      <c r="D80" s="35"/>
      <c r="E80" s="9"/>
      <c r="F80" s="80"/>
      <c r="G80" s="81"/>
      <c r="H80" s="81"/>
      <c r="I80" s="82"/>
      <c r="J80" s="83"/>
      <c r="K80" s="10"/>
      <c r="L80" s="55"/>
    </row>
    <row r="81" spans="2:12" x14ac:dyDescent="0.25">
      <c r="B81" s="5"/>
      <c r="C81" s="28"/>
      <c r="D81" s="35"/>
      <c r="E81" s="9"/>
      <c r="F81" s="80"/>
      <c r="G81" s="81"/>
      <c r="H81" s="81"/>
      <c r="I81" s="82"/>
      <c r="J81" s="83"/>
      <c r="K81" s="10"/>
      <c r="L81" s="55"/>
    </row>
    <row r="82" spans="2:12" x14ac:dyDescent="0.25">
      <c r="B82" s="5"/>
      <c r="C82" s="28"/>
      <c r="D82" s="35"/>
      <c r="E82" s="9"/>
      <c r="F82" s="84"/>
      <c r="G82" s="81"/>
      <c r="H82" s="81"/>
      <c r="I82" s="85"/>
      <c r="J82" s="83"/>
      <c r="K82" s="10"/>
      <c r="L82" s="55"/>
    </row>
    <row r="83" spans="2:12" x14ac:dyDescent="0.25">
      <c r="B83" s="5"/>
      <c r="C83" s="28"/>
      <c r="D83" s="35"/>
      <c r="E83" s="9"/>
      <c r="F83" s="86"/>
      <c r="G83" s="87"/>
      <c r="H83" s="87"/>
      <c r="I83" s="85"/>
      <c r="J83" s="88"/>
      <c r="K83" s="10"/>
      <c r="L83" s="55"/>
    </row>
    <row r="84" spans="2:12" x14ac:dyDescent="0.25">
      <c r="B84" s="5"/>
      <c r="C84" s="28"/>
      <c r="D84" s="35"/>
      <c r="E84" s="9"/>
      <c r="F84" s="86"/>
      <c r="G84" s="87"/>
      <c r="H84" s="87"/>
      <c r="I84" s="85"/>
      <c r="J84" s="88"/>
      <c r="K84" s="10"/>
      <c r="L84" s="55"/>
    </row>
    <row r="85" spans="2:12" x14ac:dyDescent="0.25">
      <c r="B85" s="5"/>
      <c r="C85" s="33"/>
      <c r="D85" s="40"/>
      <c r="E85" s="9"/>
      <c r="F85" s="89"/>
      <c r="G85" s="90"/>
      <c r="H85" s="90"/>
      <c r="I85" s="91"/>
      <c r="J85" s="92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98" t="s">
        <v>1</v>
      </c>
      <c r="D93" s="34" t="s">
        <v>2</v>
      </c>
      <c r="E93" s="7"/>
      <c r="F93" s="74" t="s">
        <v>11</v>
      </c>
      <c r="G93" s="74" t="s">
        <v>12</v>
      </c>
      <c r="H93" s="74" t="s">
        <v>8</v>
      </c>
      <c r="I93" s="10"/>
      <c r="J93" s="10"/>
      <c r="K93" s="10"/>
      <c r="L93" s="55"/>
    </row>
    <row r="94" spans="2:12" x14ac:dyDescent="0.25">
      <c r="B94" s="5"/>
      <c r="C94" s="99" t="s">
        <v>97</v>
      </c>
      <c r="D94" s="35" t="s">
        <v>20</v>
      </c>
      <c r="E94" s="9"/>
      <c r="F94" s="97" t="s">
        <v>47</v>
      </c>
      <c r="G94" s="94">
        <v>-1.33E-3</v>
      </c>
      <c r="H94" s="71" t="b">
        <v>1</v>
      </c>
      <c r="I94" s="10"/>
      <c r="J94" s="10"/>
      <c r="K94" s="10"/>
      <c r="L94" s="55"/>
    </row>
    <row r="95" spans="2:12" x14ac:dyDescent="0.25">
      <c r="B95" s="5"/>
      <c r="C95" s="99" t="s">
        <v>129</v>
      </c>
      <c r="D95" s="35" t="s">
        <v>6</v>
      </c>
      <c r="E95" s="9"/>
      <c r="F95" s="24" t="s">
        <v>43</v>
      </c>
      <c r="G95" s="95">
        <v>-8.699999999999999E-4</v>
      </c>
      <c r="H95" s="72" t="b">
        <v>1</v>
      </c>
      <c r="I95" s="10"/>
      <c r="J95" s="10"/>
      <c r="K95" s="10"/>
      <c r="L95" s="55"/>
    </row>
    <row r="96" spans="2:12" x14ac:dyDescent="0.25">
      <c r="B96" s="5"/>
      <c r="C96" s="99" t="s">
        <v>27</v>
      </c>
      <c r="D96" s="35" t="s">
        <v>26</v>
      </c>
      <c r="E96" s="9"/>
      <c r="F96" s="24" t="s">
        <v>50</v>
      </c>
      <c r="G96" s="95">
        <v>-8.0000000000000007E-5</v>
      </c>
      <c r="H96" s="72" t="b">
        <v>1</v>
      </c>
      <c r="I96" s="10"/>
      <c r="J96" s="10"/>
      <c r="K96" s="10"/>
      <c r="L96" s="55"/>
    </row>
    <row r="97" spans="2:12" x14ac:dyDescent="0.25">
      <c r="B97" s="5"/>
      <c r="C97" s="99" t="s">
        <v>131</v>
      </c>
      <c r="D97" s="35" t="s">
        <v>130</v>
      </c>
      <c r="E97" s="9"/>
      <c r="F97" s="24" t="s">
        <v>52</v>
      </c>
      <c r="G97" s="95">
        <v>9.2999999999999995E-4</v>
      </c>
      <c r="H97" s="72" t="b">
        <v>1</v>
      </c>
      <c r="I97" s="10"/>
      <c r="J97" s="10"/>
      <c r="K97" s="10"/>
      <c r="L97" s="55"/>
    </row>
    <row r="98" spans="2:12" x14ac:dyDescent="0.25">
      <c r="B98" s="5"/>
      <c r="C98" s="99" t="s">
        <v>132</v>
      </c>
      <c r="D98" s="107" t="s">
        <v>84</v>
      </c>
      <c r="E98" s="9"/>
      <c r="F98" s="24" t="s">
        <v>54</v>
      </c>
      <c r="G98" s="95">
        <v>2.0200000000000001E-3</v>
      </c>
      <c r="H98" s="72" t="b">
        <v>1</v>
      </c>
      <c r="I98" s="10"/>
      <c r="J98" s="10"/>
      <c r="K98" s="10"/>
      <c r="L98" s="55"/>
    </row>
    <row r="99" spans="2:12" x14ac:dyDescent="0.25">
      <c r="B99" s="5"/>
      <c r="C99" s="99" t="s">
        <v>102</v>
      </c>
      <c r="D99" s="35" t="b">
        <v>1</v>
      </c>
      <c r="E99" s="9"/>
      <c r="F99" s="24" t="s">
        <v>56</v>
      </c>
      <c r="G99" s="95">
        <v>3.2100000000000002E-3</v>
      </c>
      <c r="H99" s="72" t="b">
        <v>1</v>
      </c>
      <c r="I99" s="10"/>
      <c r="J99" s="10"/>
      <c r="K99" s="10"/>
      <c r="L99" s="55"/>
    </row>
    <row r="100" spans="2:12" x14ac:dyDescent="0.25">
      <c r="B100" s="5"/>
      <c r="C100" s="99" t="s">
        <v>227</v>
      </c>
      <c r="D100" s="35">
        <v>31</v>
      </c>
      <c r="E100" s="9"/>
      <c r="F100" s="24" t="s">
        <v>58</v>
      </c>
      <c r="G100" s="95">
        <v>4.4400000000000004E-3</v>
      </c>
      <c r="H100" s="72" t="b">
        <v>1</v>
      </c>
      <c r="I100" s="10"/>
      <c r="J100" s="10"/>
      <c r="K100" s="10"/>
      <c r="L100" s="55"/>
    </row>
    <row r="101" spans="2:12" x14ac:dyDescent="0.25">
      <c r="B101" s="5"/>
      <c r="C101" s="99" t="s">
        <v>101</v>
      </c>
      <c r="D101" s="35">
        <v>2</v>
      </c>
      <c r="E101" s="9"/>
      <c r="F101" s="24" t="s">
        <v>60</v>
      </c>
      <c r="G101" s="95">
        <v>5.6100000000000004E-3</v>
      </c>
      <c r="H101" s="72" t="b">
        <v>1</v>
      </c>
      <c r="I101" s="10"/>
      <c r="J101" s="10"/>
      <c r="K101" s="10"/>
      <c r="L101" s="55"/>
    </row>
    <row r="102" spans="2:12" x14ac:dyDescent="0.25">
      <c r="B102" s="5"/>
      <c r="C102" s="99" t="s">
        <v>21</v>
      </c>
      <c r="D102" s="64" t="s">
        <v>22</v>
      </c>
      <c r="E102" s="9"/>
      <c r="F102" s="24" t="s">
        <v>61</v>
      </c>
      <c r="G102" s="95">
        <v>6.6700000000000006E-3</v>
      </c>
      <c r="H102" s="72" t="b">
        <v>1</v>
      </c>
      <c r="I102" s="10"/>
      <c r="J102" s="10"/>
      <c r="K102" s="10"/>
      <c r="L102" s="55"/>
    </row>
    <row r="103" spans="2:12" x14ac:dyDescent="0.25">
      <c r="B103" s="5"/>
      <c r="C103" s="99" t="s">
        <v>133</v>
      </c>
      <c r="D103" s="35" t="b">
        <v>1</v>
      </c>
      <c r="E103" s="9"/>
      <c r="F103" s="24" t="s">
        <v>62</v>
      </c>
      <c r="G103" s="95">
        <v>7.6300000000000005E-3</v>
      </c>
      <c r="H103" s="72" t="b">
        <v>1</v>
      </c>
      <c r="I103" s="10"/>
      <c r="J103" s="10"/>
      <c r="K103" s="10"/>
      <c r="L103" s="55"/>
    </row>
    <row r="104" spans="2:12" x14ac:dyDescent="0.25">
      <c r="B104" s="5"/>
      <c r="C104" s="99" t="s">
        <v>134</v>
      </c>
      <c r="D104" s="35" t="b">
        <v>1</v>
      </c>
      <c r="E104" s="9"/>
      <c r="F104" s="24" t="s">
        <v>63</v>
      </c>
      <c r="G104" s="95">
        <v>8.4700000000000001E-3</v>
      </c>
      <c r="H104" s="72" t="b">
        <v>1</v>
      </c>
      <c r="I104" s="10"/>
      <c r="J104" s="10"/>
      <c r="K104" s="10"/>
      <c r="L104" s="55"/>
    </row>
    <row r="105" spans="2:12" x14ac:dyDescent="0.25">
      <c r="B105" s="5"/>
      <c r="C105" s="99" t="s">
        <v>135</v>
      </c>
      <c r="D105" s="38">
        <v>1.0000000000000001E-9</v>
      </c>
      <c r="E105" s="9"/>
      <c r="F105" s="24" t="s">
        <v>64</v>
      </c>
      <c r="G105" s="95">
        <v>1.03E-2</v>
      </c>
      <c r="H105" s="72" t="b">
        <v>1</v>
      </c>
      <c r="I105" s="10"/>
      <c r="J105" s="10"/>
      <c r="K105" s="10"/>
      <c r="L105" s="55"/>
    </row>
    <row r="106" spans="2:12" x14ac:dyDescent="0.25">
      <c r="B106" s="5"/>
      <c r="C106" s="99" t="s">
        <v>136</v>
      </c>
      <c r="D106" s="102">
        <v>1000</v>
      </c>
      <c r="E106" s="9"/>
      <c r="F106" s="24" t="s">
        <v>65</v>
      </c>
      <c r="G106" s="95">
        <v>1.1659999999999998E-2</v>
      </c>
      <c r="H106" s="72" t="b">
        <v>1</v>
      </c>
      <c r="I106" s="10"/>
      <c r="J106" s="10"/>
      <c r="K106" s="10"/>
      <c r="L106" s="55"/>
    </row>
    <row r="107" spans="2:12" x14ac:dyDescent="0.25">
      <c r="B107" s="5"/>
      <c r="C107" s="99"/>
      <c r="D107" s="38"/>
      <c r="E107" s="9"/>
      <c r="F107" s="24" t="s">
        <v>66</v>
      </c>
      <c r="G107" s="95">
        <v>1.201E-2</v>
      </c>
      <c r="H107" s="72" t="b">
        <v>1</v>
      </c>
      <c r="I107" s="10"/>
      <c r="J107" s="10"/>
      <c r="K107" s="10"/>
      <c r="L107" s="55"/>
    </row>
    <row r="108" spans="2:12" x14ac:dyDescent="0.25">
      <c r="B108" s="5"/>
      <c r="C108" s="99"/>
      <c r="D108" s="35"/>
      <c r="E108" s="9"/>
      <c r="F108" s="24" t="s">
        <v>67</v>
      </c>
      <c r="G108" s="95">
        <v>1.204E-2</v>
      </c>
      <c r="H108" s="72" t="b">
        <v>1</v>
      </c>
      <c r="I108" s="10"/>
      <c r="J108" s="10"/>
      <c r="K108" s="10"/>
      <c r="L108" s="55"/>
    </row>
    <row r="109" spans="2:12" x14ac:dyDescent="0.25">
      <c r="B109" s="5"/>
      <c r="C109" s="99"/>
      <c r="D109" s="35"/>
      <c r="E109" s="9"/>
      <c r="F109" s="24" t="s">
        <v>68</v>
      </c>
      <c r="G109" s="95">
        <v>1.1859999999999999E-2</v>
      </c>
      <c r="H109" s="72" t="b">
        <v>1</v>
      </c>
      <c r="I109" s="10"/>
      <c r="J109" s="10"/>
      <c r="K109" s="10"/>
      <c r="L109" s="55"/>
    </row>
    <row r="110" spans="2:12" x14ac:dyDescent="0.25">
      <c r="B110" s="5"/>
      <c r="C110" s="99"/>
      <c r="D110" s="35"/>
      <c r="E110" s="9"/>
      <c r="F110" s="24" t="s">
        <v>69</v>
      </c>
      <c r="G110" s="95">
        <v>1.1200000000000002E-2</v>
      </c>
      <c r="H110" s="72" t="b">
        <v>1</v>
      </c>
      <c r="I110" s="10"/>
      <c r="J110" s="10"/>
      <c r="K110" s="10"/>
      <c r="L110" s="55"/>
    </row>
    <row r="111" spans="2:12" x14ac:dyDescent="0.25">
      <c r="B111" s="5"/>
      <c r="C111" s="100"/>
      <c r="D111" s="40"/>
      <c r="E111" s="9"/>
      <c r="F111" s="25"/>
      <c r="G111" s="96"/>
      <c r="H111" s="73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21" t="s">
        <v>294</v>
      </c>
    </row>
    <row r="5" spans="2:10" x14ac:dyDescent="0.25">
      <c r="B5" s="122" t="s">
        <v>201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23" t="s">
        <v>201</v>
      </c>
      <c r="E7" s="127" t="str">
        <f ca="1">IF(AND(isEUR6MLLoaded,NOW()),_xll.meLWOCurveCreateBasis("EUR3ML_19FEB16",TenorBasisCurve3M6M.CollectionName,TenorBasisCurve3M6M.StaticDataTable,TenorBasisCurve3M6M.IndexName,TenorBasisCurve3M6M.BuildProperties,TenorBasisSwap3M6M.Conventions,TenorBasisSwap3M6M.MarketData),"Error Building Tenor Basis Curve")</f>
        <v>EUR3ML_19FEB16:1</v>
      </c>
      <c r="F7" s="7"/>
      <c r="G7" s="7"/>
      <c r="H7" s="7"/>
      <c r="I7" s="7"/>
      <c r="J7" s="8"/>
    </row>
    <row r="8" spans="2:10" x14ac:dyDescent="0.25">
      <c r="B8" s="5"/>
      <c r="C8" s="7"/>
      <c r="D8" s="114" t="s">
        <v>192</v>
      </c>
      <c r="E8" s="124" t="b">
        <f ca="1">_xll.meLWOExists(E7,"CURVE")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 t="s">
        <v>4</v>
      </c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3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4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6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3">
        <f>COB</f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4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228</v>
      </c>
      <c r="E23" s="107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129" t="s">
        <v>229</v>
      </c>
      <c r="E24" s="104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129" t="s">
        <v>230</v>
      </c>
      <c r="E25" s="104" t="s">
        <v>9</v>
      </c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4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4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4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4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4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6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1"/>
      <c r="D38" s="27" t="s">
        <v>143</v>
      </c>
      <c r="E38" s="34" t="s">
        <v>144</v>
      </c>
      <c r="F38" s="7"/>
      <c r="G38" s="74" t="s">
        <v>11</v>
      </c>
      <c r="H38" s="74" t="s">
        <v>12</v>
      </c>
      <c r="I38" s="10"/>
      <c r="J38" s="55"/>
    </row>
    <row r="39" spans="2:10" x14ac:dyDescent="0.25">
      <c r="B39" s="5"/>
      <c r="C39" s="288" t="s">
        <v>190</v>
      </c>
      <c r="D39" s="108" t="s">
        <v>145</v>
      </c>
      <c r="E39" s="109" t="b">
        <v>0</v>
      </c>
      <c r="F39" s="9"/>
      <c r="G39" s="67" t="s">
        <v>183</v>
      </c>
      <c r="H39" s="71">
        <v>1.1300000000000001E-3</v>
      </c>
      <c r="I39" s="10"/>
      <c r="J39" s="55"/>
    </row>
    <row r="40" spans="2:10" x14ac:dyDescent="0.25">
      <c r="B40" s="5"/>
      <c r="C40" s="289"/>
      <c r="D40" s="28" t="s">
        <v>146</v>
      </c>
      <c r="E40" s="35" t="s">
        <v>2</v>
      </c>
      <c r="F40" s="9"/>
      <c r="G40" s="68" t="s">
        <v>47</v>
      </c>
      <c r="H40" s="72">
        <v>1.1925E-3</v>
      </c>
      <c r="I40" s="10"/>
      <c r="J40" s="55"/>
    </row>
    <row r="41" spans="2:10" x14ac:dyDescent="0.25">
      <c r="B41" s="5"/>
      <c r="C41" s="289"/>
      <c r="D41" s="28" t="s">
        <v>147</v>
      </c>
      <c r="E41" s="35" t="s">
        <v>148</v>
      </c>
      <c r="F41" s="9"/>
      <c r="G41" s="68" t="s">
        <v>43</v>
      </c>
      <c r="H41" s="72">
        <v>1.2425000000000001E-3</v>
      </c>
      <c r="I41" s="10"/>
      <c r="J41" s="55"/>
    </row>
    <row r="42" spans="2:10" x14ac:dyDescent="0.25">
      <c r="B42" s="5"/>
      <c r="C42" s="289"/>
      <c r="D42" s="28" t="s">
        <v>149</v>
      </c>
      <c r="E42" s="64" t="s">
        <v>130</v>
      </c>
      <c r="F42" s="9"/>
      <c r="G42" s="68" t="s">
        <v>50</v>
      </c>
      <c r="H42" s="72">
        <v>1.2975E-3</v>
      </c>
      <c r="I42" s="10"/>
      <c r="J42" s="55"/>
    </row>
    <row r="43" spans="2:10" x14ac:dyDescent="0.25">
      <c r="B43" s="5"/>
      <c r="C43" s="289"/>
      <c r="D43" s="28" t="s">
        <v>150</v>
      </c>
      <c r="E43" s="64" t="s">
        <v>22</v>
      </c>
      <c r="F43" s="9"/>
      <c r="G43" s="68" t="s">
        <v>52</v>
      </c>
      <c r="H43" s="72">
        <v>1.3324999999999999E-3</v>
      </c>
      <c r="I43" s="10"/>
      <c r="J43" s="55"/>
    </row>
    <row r="44" spans="2:10" x14ac:dyDescent="0.25">
      <c r="B44" s="5"/>
      <c r="C44" s="289"/>
      <c r="D44" s="28" t="s">
        <v>151</v>
      </c>
      <c r="E44" s="35" t="s">
        <v>123</v>
      </c>
      <c r="F44" s="9"/>
      <c r="G44" s="68" t="s">
        <v>54</v>
      </c>
      <c r="H44" s="72">
        <v>1.3074999999999999E-3</v>
      </c>
      <c r="I44" s="10"/>
      <c r="J44" s="55"/>
    </row>
    <row r="45" spans="2:10" x14ac:dyDescent="0.25">
      <c r="B45" s="5"/>
      <c r="C45" s="289"/>
      <c r="D45" s="28" t="s">
        <v>152</v>
      </c>
      <c r="E45" s="35" t="s">
        <v>9</v>
      </c>
      <c r="F45" s="9"/>
      <c r="G45" s="68" t="s">
        <v>56</v>
      </c>
      <c r="H45" s="72">
        <v>1.2725E-3</v>
      </c>
      <c r="I45" s="10"/>
      <c r="J45" s="55"/>
    </row>
    <row r="46" spans="2:10" x14ac:dyDescent="0.25">
      <c r="B46" s="5"/>
      <c r="C46" s="289"/>
      <c r="D46" s="28" t="s">
        <v>153</v>
      </c>
      <c r="E46" s="35" t="s">
        <v>188</v>
      </c>
      <c r="F46" s="9"/>
      <c r="G46" s="68" t="s">
        <v>58</v>
      </c>
      <c r="H46" s="72">
        <v>1.2275000000000001E-3</v>
      </c>
      <c r="I46" s="10"/>
      <c r="J46" s="55"/>
    </row>
    <row r="47" spans="2:10" x14ac:dyDescent="0.25">
      <c r="B47" s="5"/>
      <c r="C47" s="289"/>
      <c r="D47" s="28" t="s">
        <v>154</v>
      </c>
      <c r="E47" s="35" t="s">
        <v>104</v>
      </c>
      <c r="F47" s="9"/>
      <c r="G47" s="68" t="s">
        <v>60</v>
      </c>
      <c r="H47" s="72">
        <v>1.1675000000000001E-3</v>
      </c>
      <c r="I47" s="10"/>
      <c r="J47" s="55"/>
    </row>
    <row r="48" spans="2:10" x14ac:dyDescent="0.25">
      <c r="B48" s="5"/>
      <c r="C48" s="289"/>
      <c r="D48" s="28" t="s">
        <v>155</v>
      </c>
      <c r="E48" s="35" t="s">
        <v>148</v>
      </c>
      <c r="F48" s="9"/>
      <c r="G48" s="68" t="s">
        <v>61</v>
      </c>
      <c r="H48" s="72">
        <v>1.1025E-3</v>
      </c>
      <c r="I48" s="10"/>
      <c r="J48" s="55"/>
    </row>
    <row r="49" spans="2:10" x14ac:dyDescent="0.25">
      <c r="B49" s="5"/>
      <c r="C49" s="289"/>
      <c r="D49" s="28" t="s">
        <v>156</v>
      </c>
      <c r="E49" s="35" t="s">
        <v>2</v>
      </c>
      <c r="F49" s="9"/>
      <c r="G49" s="68" t="s">
        <v>62</v>
      </c>
      <c r="H49" s="72">
        <v>1.0425E-3</v>
      </c>
      <c r="I49" s="10"/>
      <c r="J49" s="55"/>
    </row>
    <row r="50" spans="2:10" x14ac:dyDescent="0.25">
      <c r="B50" s="5"/>
      <c r="C50" s="289"/>
      <c r="D50" s="28" t="s">
        <v>157</v>
      </c>
      <c r="E50" s="35" t="s">
        <v>100</v>
      </c>
      <c r="F50" s="9"/>
      <c r="G50" s="68" t="s">
        <v>63</v>
      </c>
      <c r="H50" s="72">
        <v>9.9250000000000011E-4</v>
      </c>
      <c r="I50" s="10"/>
      <c r="J50" s="55"/>
    </row>
    <row r="51" spans="2:10" x14ac:dyDescent="0.25">
      <c r="B51" s="5"/>
      <c r="C51" s="289"/>
      <c r="D51" s="28" t="s">
        <v>158</v>
      </c>
      <c r="E51" s="35" t="s">
        <v>2</v>
      </c>
      <c r="F51" s="9"/>
      <c r="G51" s="68" t="s">
        <v>64</v>
      </c>
      <c r="H51" s="72">
        <v>8.6249999999999999E-4</v>
      </c>
      <c r="I51" s="10"/>
      <c r="J51" s="55"/>
    </row>
    <row r="52" spans="2:10" x14ac:dyDescent="0.25">
      <c r="B52" s="5"/>
      <c r="C52" s="289"/>
      <c r="D52" s="28" t="s">
        <v>159</v>
      </c>
      <c r="E52" s="35" t="s">
        <v>123</v>
      </c>
      <c r="F52" s="9"/>
      <c r="G52" s="68" t="s">
        <v>65</v>
      </c>
      <c r="H52" s="72">
        <v>6.8749999999999996E-4</v>
      </c>
      <c r="I52" s="10"/>
      <c r="J52" s="55"/>
    </row>
    <row r="53" spans="2:10" x14ac:dyDescent="0.25">
      <c r="B53" s="5"/>
      <c r="C53" s="290"/>
      <c r="D53" s="110" t="s">
        <v>160</v>
      </c>
      <c r="E53" s="64" t="s">
        <v>22</v>
      </c>
      <c r="F53" s="9"/>
      <c r="G53" s="68" t="s">
        <v>66</v>
      </c>
      <c r="H53" s="72">
        <v>5.8250000000000001E-4</v>
      </c>
      <c r="I53" s="10"/>
      <c r="J53" s="55"/>
    </row>
    <row r="54" spans="2:10" x14ac:dyDescent="0.25">
      <c r="B54" s="5"/>
      <c r="C54" s="291" t="s">
        <v>191</v>
      </c>
      <c r="D54" s="108" t="s">
        <v>161</v>
      </c>
      <c r="E54" s="109" t="s">
        <v>2</v>
      </c>
      <c r="F54" s="9"/>
      <c r="G54" s="68" t="s">
        <v>67</v>
      </c>
      <c r="H54" s="72">
        <v>5.1250000000000004E-4</v>
      </c>
      <c r="I54" s="10"/>
      <c r="J54" s="55"/>
    </row>
    <row r="55" spans="2:10" x14ac:dyDescent="0.25">
      <c r="B55" s="5"/>
      <c r="C55" s="292"/>
      <c r="D55" s="28" t="s">
        <v>162</v>
      </c>
      <c r="E55" s="35" t="s">
        <v>148</v>
      </c>
      <c r="F55" s="9"/>
      <c r="G55" s="68"/>
      <c r="H55" s="72"/>
      <c r="I55" s="10"/>
      <c r="J55" s="55"/>
    </row>
    <row r="56" spans="2:10" x14ac:dyDescent="0.25">
      <c r="B56" s="5"/>
      <c r="C56" s="292"/>
      <c r="D56" s="28" t="s">
        <v>163</v>
      </c>
      <c r="E56" s="64" t="s">
        <v>28</v>
      </c>
      <c r="F56" s="9"/>
      <c r="G56" s="68"/>
      <c r="H56" s="72"/>
      <c r="I56" s="10"/>
      <c r="J56" s="55"/>
    </row>
    <row r="57" spans="2:10" x14ac:dyDescent="0.25">
      <c r="B57" s="5"/>
      <c r="C57" s="292"/>
      <c r="D57" s="28" t="s">
        <v>164</v>
      </c>
      <c r="E57" s="64" t="s">
        <v>22</v>
      </c>
      <c r="F57" s="9"/>
      <c r="G57" s="68"/>
      <c r="H57" s="72"/>
      <c r="I57" s="10"/>
      <c r="J57" s="55"/>
    </row>
    <row r="58" spans="2:10" x14ac:dyDescent="0.25">
      <c r="B58" s="5"/>
      <c r="C58" s="292"/>
      <c r="D58" s="28" t="s">
        <v>165</v>
      </c>
      <c r="E58" s="35" t="s">
        <v>123</v>
      </c>
      <c r="F58" s="9"/>
      <c r="G58" s="68"/>
      <c r="H58" s="72"/>
      <c r="I58" s="10"/>
      <c r="J58" s="55"/>
    </row>
    <row r="59" spans="2:10" x14ac:dyDescent="0.25">
      <c r="B59" s="5"/>
      <c r="C59" s="292"/>
      <c r="D59" s="28" t="s">
        <v>166</v>
      </c>
      <c r="E59" s="35" t="s">
        <v>9</v>
      </c>
      <c r="F59" s="9"/>
      <c r="G59" s="68"/>
      <c r="H59" s="72"/>
      <c r="I59" s="10"/>
      <c r="J59" s="55"/>
    </row>
    <row r="60" spans="2:10" x14ac:dyDescent="0.25">
      <c r="B60" s="5"/>
      <c r="C60" s="292"/>
      <c r="D60" s="28" t="s">
        <v>167</v>
      </c>
      <c r="E60" s="35" t="s">
        <v>90</v>
      </c>
      <c r="F60" s="9"/>
      <c r="G60" s="68"/>
      <c r="H60" s="72"/>
      <c r="I60" s="10"/>
      <c r="J60" s="55"/>
    </row>
    <row r="61" spans="2:10" x14ac:dyDescent="0.25">
      <c r="B61" s="5"/>
      <c r="C61" s="292"/>
      <c r="D61" s="28" t="s">
        <v>168</v>
      </c>
      <c r="E61" s="35" t="s">
        <v>169</v>
      </c>
      <c r="F61" s="9"/>
      <c r="G61" s="68"/>
      <c r="H61" s="72"/>
      <c r="I61" s="10"/>
      <c r="J61" s="55"/>
    </row>
    <row r="62" spans="2:10" x14ac:dyDescent="0.25">
      <c r="B62" s="5"/>
      <c r="C62" s="292"/>
      <c r="D62" s="28" t="s">
        <v>170</v>
      </c>
      <c r="E62" s="35" t="s">
        <v>148</v>
      </c>
      <c r="F62" s="9"/>
      <c r="G62" s="68"/>
      <c r="H62" s="72"/>
      <c r="I62" s="10"/>
      <c r="J62" s="55"/>
    </row>
    <row r="63" spans="2:10" x14ac:dyDescent="0.25">
      <c r="B63" s="5"/>
      <c r="C63" s="292"/>
      <c r="D63" s="28" t="s">
        <v>171</v>
      </c>
      <c r="E63" s="35" t="s">
        <v>2</v>
      </c>
      <c r="F63" s="9"/>
      <c r="G63" s="68"/>
      <c r="H63" s="72"/>
      <c r="I63" s="10"/>
      <c r="J63" s="55"/>
    </row>
    <row r="64" spans="2:10" x14ac:dyDescent="0.25">
      <c r="B64" s="5"/>
      <c r="C64" s="292"/>
      <c r="D64" s="28" t="s">
        <v>172</v>
      </c>
      <c r="E64" s="35" t="s">
        <v>100</v>
      </c>
      <c r="F64" s="9"/>
      <c r="G64" s="68"/>
      <c r="H64" s="72"/>
      <c r="I64" s="10"/>
      <c r="J64" s="55"/>
    </row>
    <row r="65" spans="2:10" x14ac:dyDescent="0.25">
      <c r="B65" s="5"/>
      <c r="C65" s="292"/>
      <c r="D65" s="28" t="s">
        <v>173</v>
      </c>
      <c r="E65" s="35" t="s">
        <v>2</v>
      </c>
      <c r="F65" s="9"/>
      <c r="G65" s="68"/>
      <c r="H65" s="72"/>
      <c r="I65" s="10"/>
      <c r="J65" s="55"/>
    </row>
    <row r="66" spans="2:10" x14ac:dyDescent="0.25">
      <c r="B66" s="5"/>
      <c r="C66" s="292"/>
      <c r="D66" s="28" t="s">
        <v>174</v>
      </c>
      <c r="E66" s="35" t="s">
        <v>123</v>
      </c>
      <c r="F66" s="9"/>
      <c r="G66" s="68"/>
      <c r="H66" s="72"/>
      <c r="I66" s="10"/>
      <c r="J66" s="55"/>
    </row>
    <row r="67" spans="2:10" x14ac:dyDescent="0.25">
      <c r="B67" s="5"/>
      <c r="C67" s="293"/>
      <c r="D67" s="110" t="s">
        <v>175</v>
      </c>
      <c r="E67" s="64" t="s">
        <v>22</v>
      </c>
      <c r="F67" s="9"/>
      <c r="G67" s="68"/>
      <c r="H67" s="72"/>
      <c r="I67" s="10"/>
      <c r="J67" s="55"/>
    </row>
    <row r="68" spans="2:10" x14ac:dyDescent="0.25">
      <c r="B68" s="5"/>
      <c r="C68" s="294" t="str">
        <f>"Solving For :"&amp;CHAR(32)&amp;$E$68</f>
        <v>Solving For : Leg2Forecast</v>
      </c>
      <c r="D68" s="113" t="s">
        <v>176</v>
      </c>
      <c r="E68" s="112" t="s">
        <v>177</v>
      </c>
      <c r="F68" s="9"/>
      <c r="G68" s="68"/>
      <c r="H68" s="72"/>
      <c r="I68" s="10"/>
      <c r="J68" s="55"/>
    </row>
    <row r="69" spans="2:10" x14ac:dyDescent="0.25">
      <c r="B69" s="5"/>
      <c r="C69" s="295"/>
      <c r="D69" s="28" t="s">
        <v>134</v>
      </c>
      <c r="E69" s="35" t="b">
        <v>1</v>
      </c>
      <c r="F69" s="9"/>
      <c r="G69" s="68"/>
      <c r="H69" s="72"/>
      <c r="I69" s="10"/>
      <c r="J69" s="55"/>
    </row>
    <row r="70" spans="2:10" x14ac:dyDescent="0.25">
      <c r="B70" s="5"/>
      <c r="C70" s="295"/>
      <c r="D70" s="28" t="s">
        <v>178</v>
      </c>
      <c r="E70" s="107" t="s">
        <v>84</v>
      </c>
      <c r="F70" s="9"/>
      <c r="G70" s="68"/>
      <c r="H70" s="72"/>
      <c r="I70" s="10"/>
      <c r="J70" s="55"/>
    </row>
    <row r="71" spans="2:10" x14ac:dyDescent="0.25">
      <c r="B71" s="5"/>
      <c r="C71" s="295"/>
      <c r="D71" s="28" t="s">
        <v>179</v>
      </c>
      <c r="E71" s="35" t="b">
        <v>1</v>
      </c>
      <c r="F71" s="9"/>
      <c r="G71" s="68"/>
      <c r="H71" s="72"/>
      <c r="I71" s="10"/>
      <c r="J71" s="55"/>
    </row>
    <row r="72" spans="2:10" x14ac:dyDescent="0.25">
      <c r="B72" s="5"/>
      <c r="C72" s="295"/>
      <c r="D72" s="28" t="s">
        <v>180</v>
      </c>
      <c r="E72" s="35" t="b">
        <v>1</v>
      </c>
      <c r="F72" s="9"/>
      <c r="G72" s="68"/>
      <c r="H72" s="72"/>
      <c r="I72" s="10"/>
      <c r="J72" s="55"/>
    </row>
    <row r="73" spans="2:10" x14ac:dyDescent="0.25">
      <c r="B73" s="5"/>
      <c r="C73" s="295"/>
      <c r="D73" s="28" t="s">
        <v>181</v>
      </c>
      <c r="E73" s="35" t="s">
        <v>169</v>
      </c>
      <c r="F73" s="9"/>
      <c r="G73" s="68"/>
      <c r="H73" s="72"/>
      <c r="I73" s="10"/>
      <c r="J73" s="55"/>
    </row>
    <row r="74" spans="2:10" x14ac:dyDescent="0.25">
      <c r="B74" s="5"/>
      <c r="C74" s="295"/>
      <c r="D74" s="28" t="s">
        <v>182</v>
      </c>
      <c r="E74" s="35" t="b">
        <v>0</v>
      </c>
      <c r="F74" s="9"/>
      <c r="G74" s="68"/>
      <c r="H74" s="72"/>
      <c r="I74" s="10"/>
      <c r="J74" s="55"/>
    </row>
    <row r="75" spans="2:10" x14ac:dyDescent="0.25">
      <c r="B75" s="5"/>
      <c r="C75" s="295"/>
      <c r="D75" s="28" t="s">
        <v>135</v>
      </c>
      <c r="E75" s="38">
        <v>1.0000000000000001E-9</v>
      </c>
      <c r="F75" s="9"/>
      <c r="G75" s="68"/>
      <c r="H75" s="72"/>
      <c r="I75" s="10"/>
      <c r="J75" s="55"/>
    </row>
    <row r="76" spans="2:10" x14ac:dyDescent="0.25">
      <c r="B76" s="5"/>
      <c r="C76" s="295"/>
      <c r="D76" s="28" t="s">
        <v>136</v>
      </c>
      <c r="E76" s="102">
        <v>1000</v>
      </c>
      <c r="F76" s="9"/>
      <c r="G76" s="68"/>
      <c r="H76" s="72"/>
      <c r="I76" s="10"/>
      <c r="J76" s="55"/>
    </row>
    <row r="77" spans="2:10" x14ac:dyDescent="0.25">
      <c r="B77" s="5"/>
      <c r="C77" s="295"/>
      <c r="D77" s="28"/>
      <c r="E77" s="35"/>
      <c r="F77" s="9"/>
      <c r="G77" s="68"/>
      <c r="H77" s="72"/>
      <c r="I77" s="10"/>
      <c r="J77" s="55"/>
    </row>
    <row r="78" spans="2:10" x14ac:dyDescent="0.25">
      <c r="B78" s="5"/>
      <c r="C78" s="295"/>
      <c r="D78" s="28"/>
      <c r="E78" s="35"/>
      <c r="F78" s="9"/>
      <c r="G78" s="68"/>
      <c r="H78" s="72"/>
      <c r="I78" s="10"/>
      <c r="J78" s="55"/>
    </row>
    <row r="79" spans="2:10" x14ac:dyDescent="0.25">
      <c r="B79" s="5"/>
      <c r="C79" s="295"/>
      <c r="D79" s="28"/>
      <c r="E79" s="35"/>
      <c r="F79" s="9"/>
      <c r="G79" s="68"/>
      <c r="H79" s="72"/>
      <c r="I79" s="10"/>
      <c r="J79" s="55"/>
    </row>
    <row r="80" spans="2:10" x14ac:dyDescent="0.25">
      <c r="B80" s="5"/>
      <c r="C80" s="296"/>
      <c r="D80" s="33"/>
      <c r="E80" s="40"/>
      <c r="F80" s="9"/>
      <c r="G80" s="69"/>
      <c r="H80" s="73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4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24">
      <formula1>"TRUE,FALSE"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B2:G35"/>
  <sheetViews>
    <sheetView showGridLines="0" workbookViewId="0"/>
  </sheetViews>
  <sheetFormatPr defaultRowHeight="15" customHeight="1" x14ac:dyDescent="0.25"/>
  <cols>
    <col min="2" max="2" width="35.7109375" customWidth="1"/>
    <col min="3" max="3" width="30.7109375" customWidth="1"/>
    <col min="5" max="5" width="35.7109375" customWidth="1"/>
    <col min="6" max="6" width="30.7109375" customWidth="1"/>
  </cols>
  <sheetData>
    <row r="2" spans="2:7" s="176" customFormat="1" ht="21" x14ac:dyDescent="0.35">
      <c r="B2" s="176" t="s">
        <v>260</v>
      </c>
    </row>
    <row r="5" spans="2:7" ht="15" customHeight="1" x14ac:dyDescent="0.25">
      <c r="B5" t="s">
        <v>264</v>
      </c>
      <c r="E5" t="s">
        <v>265</v>
      </c>
    </row>
    <row r="6" spans="2:7" ht="15" customHeight="1" x14ac:dyDescent="0.25">
      <c r="B6" s="162" t="s">
        <v>250</v>
      </c>
      <c r="C6" s="163" t="s">
        <v>251</v>
      </c>
      <c r="E6" s="162" t="s">
        <v>250</v>
      </c>
      <c r="F6" s="163" t="s">
        <v>252</v>
      </c>
    </row>
    <row r="7" spans="2:7" ht="15" customHeight="1" x14ac:dyDescent="0.25">
      <c r="B7" s="164" t="s">
        <v>257</v>
      </c>
      <c r="C7" s="215" t="str">
        <f ca="1">_xll.meLWOScheduleCreate(C6,B13:C35,TRUE)</f>
        <v>FIXED_SCHEDULE:1</v>
      </c>
      <c r="E7" s="164" t="s">
        <v>257</v>
      </c>
      <c r="F7" s="215" t="str">
        <f ca="1">_xll.meLWOScheduleCreate(F6,E13:F35,TRUE)</f>
        <v>FLOAT_SCHEDULE:1</v>
      </c>
    </row>
    <row r="8" spans="2:7" ht="15" customHeight="1" x14ac:dyDescent="0.25">
      <c r="B8" s="164"/>
      <c r="C8" s="165"/>
      <c r="E8" s="164"/>
      <c r="F8" s="165"/>
    </row>
    <row r="9" spans="2:7" ht="15" customHeight="1" x14ac:dyDescent="0.25">
      <c r="B9" s="166"/>
      <c r="C9" s="167"/>
      <c r="E9" s="166"/>
      <c r="F9" s="167"/>
    </row>
    <row r="12" spans="2:7" ht="15" customHeight="1" x14ac:dyDescent="0.25">
      <c r="B12" t="s">
        <v>261</v>
      </c>
      <c r="E12" t="s">
        <v>262</v>
      </c>
    </row>
    <row r="13" spans="2:7" ht="15" customHeight="1" x14ac:dyDescent="0.25">
      <c r="B13" s="160" t="s">
        <v>283</v>
      </c>
      <c r="C13" s="216" t="s">
        <v>253</v>
      </c>
      <c r="E13" s="160" t="s">
        <v>283</v>
      </c>
      <c r="F13" s="216" t="s">
        <v>254</v>
      </c>
    </row>
    <row r="14" spans="2:7" ht="15" customHeight="1" x14ac:dyDescent="0.25">
      <c r="B14" s="148" t="s">
        <v>193</v>
      </c>
      <c r="C14" s="217">
        <v>1000000</v>
      </c>
      <c r="E14" s="148" t="s">
        <v>193</v>
      </c>
      <c r="F14" s="217">
        <v>1000000</v>
      </c>
    </row>
    <row r="15" spans="2:7" ht="15" customHeight="1" x14ac:dyDescent="0.25">
      <c r="B15" s="148" t="s">
        <v>203</v>
      </c>
      <c r="C15" s="161">
        <f ca="1">_xll.meDateFromTenor(COB,D15,C21,C22)</f>
        <v>42423</v>
      </c>
      <c r="D15" s="122" t="s">
        <v>198</v>
      </c>
      <c r="E15" s="148" t="s">
        <v>203</v>
      </c>
      <c r="F15" s="161">
        <f ca="1">_xll.meDateFromTenor(COB,G15,F21,F22)</f>
        <v>42423</v>
      </c>
      <c r="G15" s="122" t="s">
        <v>198</v>
      </c>
    </row>
    <row r="16" spans="2:7" ht="15" customHeight="1" x14ac:dyDescent="0.25">
      <c r="B16" s="148" t="s">
        <v>202</v>
      </c>
      <c r="C16" s="218" t="s">
        <v>52</v>
      </c>
      <c r="E16" s="148" t="s">
        <v>202</v>
      </c>
      <c r="F16" s="218" t="s">
        <v>52</v>
      </c>
    </row>
    <row r="17" spans="2:6" ht="15" customHeight="1" x14ac:dyDescent="0.25">
      <c r="B17" s="148" t="s">
        <v>207</v>
      </c>
      <c r="C17" s="152" t="s">
        <v>26</v>
      </c>
      <c r="E17" s="148" t="s">
        <v>214</v>
      </c>
      <c r="F17" s="152" t="s">
        <v>130</v>
      </c>
    </row>
    <row r="18" spans="2:6" ht="15" customHeight="1" x14ac:dyDescent="0.25">
      <c r="B18" s="148" t="s">
        <v>208</v>
      </c>
      <c r="C18" s="153" t="s">
        <v>20</v>
      </c>
      <c r="E18" s="148" t="s">
        <v>215</v>
      </c>
      <c r="F18" s="153" t="s">
        <v>6</v>
      </c>
    </row>
    <row r="19" spans="2:6" ht="15" customHeight="1" x14ac:dyDescent="0.25">
      <c r="B19" s="148" t="s">
        <v>238</v>
      </c>
      <c r="C19" s="152" t="s">
        <v>22</v>
      </c>
      <c r="E19" s="148" t="s">
        <v>239</v>
      </c>
      <c r="F19" s="152" t="s">
        <v>22</v>
      </c>
    </row>
    <row r="20" spans="2:6" ht="15" customHeight="1" x14ac:dyDescent="0.25">
      <c r="B20" s="148" t="s">
        <v>240</v>
      </c>
      <c r="C20" s="152" t="s">
        <v>2</v>
      </c>
      <c r="E20" s="148" t="s">
        <v>241</v>
      </c>
      <c r="F20" s="152" t="s">
        <v>2</v>
      </c>
    </row>
    <row r="21" spans="2:6" ht="15" customHeight="1" x14ac:dyDescent="0.25">
      <c r="B21" s="148" t="s">
        <v>242</v>
      </c>
      <c r="C21" s="152" t="s">
        <v>22</v>
      </c>
      <c r="E21" s="148" t="s">
        <v>243</v>
      </c>
      <c r="F21" s="152" t="s">
        <v>22</v>
      </c>
    </row>
    <row r="22" spans="2:6" ht="15" customHeight="1" x14ac:dyDescent="0.25">
      <c r="B22" s="148" t="s">
        <v>244</v>
      </c>
      <c r="C22" s="152" t="s">
        <v>2</v>
      </c>
      <c r="E22" s="148" t="s">
        <v>245</v>
      </c>
      <c r="F22" s="152" t="s">
        <v>2</v>
      </c>
    </row>
    <row r="23" spans="2:6" ht="15" customHeight="1" x14ac:dyDescent="0.25">
      <c r="B23" s="148" t="s">
        <v>209</v>
      </c>
      <c r="C23" s="151"/>
      <c r="E23" s="148" t="s">
        <v>246</v>
      </c>
      <c r="F23" s="151" t="s">
        <v>22</v>
      </c>
    </row>
    <row r="24" spans="2:6" ht="15" customHeight="1" x14ac:dyDescent="0.25">
      <c r="B24" s="148" t="s">
        <v>210</v>
      </c>
      <c r="C24" s="151"/>
      <c r="E24" s="148" t="s">
        <v>247</v>
      </c>
      <c r="F24" s="151" t="s">
        <v>2</v>
      </c>
    </row>
    <row r="25" spans="2:6" ht="15" customHeight="1" x14ac:dyDescent="0.25">
      <c r="B25" s="148" t="s">
        <v>211</v>
      </c>
      <c r="C25" s="152" t="s">
        <v>300</v>
      </c>
      <c r="E25" s="148" t="s">
        <v>216</v>
      </c>
      <c r="F25" s="152"/>
    </row>
    <row r="26" spans="2:6" ht="15" customHeight="1" x14ac:dyDescent="0.25">
      <c r="B26" s="148" t="s">
        <v>212</v>
      </c>
      <c r="C26" s="153" t="s">
        <v>194</v>
      </c>
      <c r="E26" s="148" t="s">
        <v>217</v>
      </c>
      <c r="F26" s="153"/>
    </row>
    <row r="27" spans="2:6" ht="15" customHeight="1" x14ac:dyDescent="0.25">
      <c r="B27" s="148" t="s">
        <v>213</v>
      </c>
      <c r="C27" s="153" t="s">
        <v>195</v>
      </c>
      <c r="E27" s="148" t="s">
        <v>218</v>
      </c>
      <c r="F27" s="153" t="s">
        <v>300</v>
      </c>
    </row>
    <row r="28" spans="2:6" ht="15" customHeight="1" x14ac:dyDescent="0.25">
      <c r="B28" s="148" t="s">
        <v>249</v>
      </c>
      <c r="C28" s="154">
        <v>1</v>
      </c>
      <c r="E28" s="148" t="s">
        <v>219</v>
      </c>
      <c r="F28" s="156" t="s">
        <v>194</v>
      </c>
    </row>
    <row r="29" spans="2:6" ht="15" customHeight="1" x14ac:dyDescent="0.25">
      <c r="B29" s="148" t="s">
        <v>204</v>
      </c>
      <c r="C29" s="219">
        <v>0.01</v>
      </c>
      <c r="E29" s="148" t="s">
        <v>221</v>
      </c>
      <c r="F29" s="155" t="s">
        <v>194</v>
      </c>
    </row>
    <row r="30" spans="2:6" ht="15" customHeight="1" x14ac:dyDescent="0.25">
      <c r="B30" s="149"/>
      <c r="C30" s="146"/>
      <c r="E30" s="149" t="s">
        <v>222</v>
      </c>
      <c r="F30" s="157" t="s">
        <v>195</v>
      </c>
    </row>
    <row r="31" spans="2:6" ht="15" customHeight="1" x14ac:dyDescent="0.25">
      <c r="B31" s="149"/>
      <c r="C31" s="146"/>
      <c r="E31" s="149" t="s">
        <v>249</v>
      </c>
      <c r="F31" s="158">
        <v>1</v>
      </c>
    </row>
    <row r="32" spans="2:6" ht="15" customHeight="1" x14ac:dyDescent="0.25">
      <c r="B32" s="149"/>
      <c r="C32" s="146"/>
      <c r="E32" s="149" t="s">
        <v>224</v>
      </c>
      <c r="F32" s="220">
        <v>0</v>
      </c>
    </row>
    <row r="33" spans="2:6" ht="15" customHeight="1" x14ac:dyDescent="0.25">
      <c r="B33" s="149"/>
      <c r="C33" s="146"/>
      <c r="E33" s="149"/>
      <c r="F33" s="157"/>
    </row>
    <row r="34" spans="2:6" ht="15" customHeight="1" x14ac:dyDescent="0.25">
      <c r="B34" s="149"/>
      <c r="C34" s="146"/>
      <c r="E34" s="149"/>
      <c r="F34" s="157"/>
    </row>
    <row r="35" spans="2:6" ht="15" customHeight="1" x14ac:dyDescent="0.25">
      <c r="B35" s="150"/>
      <c r="C35" s="147"/>
      <c r="E35" s="150"/>
      <c r="F35" s="159"/>
    </row>
  </sheetData>
  <dataValidations count="6">
    <dataValidation type="list" allowBlank="1" showInputMessage="1" showErrorMessage="1" sqref="C20 C22 F20 F22 F24">
      <formula1>"TGT,NYB:LNB,LNB,TKB:LNB"</formula1>
    </dataValidation>
    <dataValidation type="list" allowBlank="1" showInputMessage="1" showErrorMessage="1" sqref="F30 C27">
      <formula1>"None,ShortStart,ShortEnd,LongStart,LongEnd"</formula1>
    </dataValidation>
    <dataValidation type="list" allowBlank="1" showInputMessage="1" showErrorMessage="1" sqref="C18 F18">
      <formula1>"30/360,ACT/360,ACT/365"</formula1>
    </dataValidation>
    <dataValidation type="list" allowBlank="1" showInputMessage="1" showErrorMessage="1" sqref="C17 F17">
      <formula1>"Annual,Semi-Annual,Quarterly,Monthly"</formula1>
    </dataValidation>
    <dataValidation type="list" allowBlank="1" showInputMessage="1" showErrorMessage="1" sqref="C19 C21 F21 F23 F19">
      <formula1>"MOD_FOLLOWING,FOLLOWING,MOD_PRECEDING,PRECEDING,NO_CHANGE"</formula1>
    </dataValidation>
    <dataValidation type="list" allowBlank="1" showInputMessage="1" showErrorMessage="1" sqref="C13 F13">
      <formula1>"FIXED,FLOAT"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A2:K34"/>
  <sheetViews>
    <sheetView showGridLines="0" workbookViewId="0"/>
  </sheetViews>
  <sheetFormatPr defaultRowHeight="15" customHeight="1" x14ac:dyDescent="0.25"/>
  <cols>
    <col min="2" max="10" width="20.7109375" customWidth="1"/>
  </cols>
  <sheetData>
    <row r="2" spans="1:11" s="176" customFormat="1" ht="21" x14ac:dyDescent="0.35">
      <c r="B2" s="176" t="s">
        <v>274</v>
      </c>
    </row>
    <row r="5" spans="1:11" ht="15" customHeight="1" x14ac:dyDescent="0.25">
      <c r="A5" t="s">
        <v>4</v>
      </c>
      <c r="B5" s="130" t="str">
        <f ca="1">[0]!FixedSchedule1</f>
        <v>FIXED_SCHEDULE:1</v>
      </c>
      <c r="K5" t="s">
        <v>4</v>
      </c>
    </row>
    <row r="6" spans="1:11" ht="15" customHeight="1" x14ac:dyDescent="0.25">
      <c r="A6" t="s">
        <v>4</v>
      </c>
      <c r="B6" s="131" t="str">
        <f t="array" aca="1" ref="B6:J18" ca="1">_xll.meUtilityResize(_xll.meLWOScheduleDisplay(B5,TRUE),50,50)</f>
        <v>ScheduleProperties</v>
      </c>
      <c r="C6" s="132" t="str">
        <f ca="1"/>
        <v/>
      </c>
      <c r="D6" s="132" t="str">
        <f ca="1"/>
        <v/>
      </c>
      <c r="E6" s="202" t="str">
        <f ca="1"/>
        <v/>
      </c>
      <c r="F6" s="132" t="str">
        <f ca="1"/>
        <v/>
      </c>
      <c r="G6" s="205" t="str">
        <f ca="1"/>
        <v/>
      </c>
      <c r="H6" s="200" t="str">
        <f ca="1"/>
        <v/>
      </c>
      <c r="I6" s="132" t="str">
        <f ca="1"/>
        <v/>
      </c>
      <c r="J6" s="133" t="str">
        <f ca="1"/>
        <v/>
      </c>
      <c r="K6" t="s">
        <v>4</v>
      </c>
    </row>
    <row r="7" spans="1:11" ht="15" customHeight="1" x14ac:dyDescent="0.25">
      <c r="A7" t="s">
        <v>4</v>
      </c>
      <c r="B7" s="194" t="str">
        <f ca="1"/>
        <v>ACCRUALBUSINESSDAYADJUSTMENT</v>
      </c>
      <c r="C7" s="141" t="str">
        <f ca="1"/>
        <v>MOD_FOLLOWING</v>
      </c>
      <c r="D7" s="125" t="str">
        <f ca="1"/>
        <v/>
      </c>
      <c r="E7" s="203" t="str">
        <f ca="1"/>
        <v/>
      </c>
      <c r="F7" s="141" t="str">
        <f ca="1"/>
        <v/>
      </c>
      <c r="G7" s="142" t="str">
        <f ca="1"/>
        <v/>
      </c>
      <c r="H7" s="126" t="str">
        <f ca="1"/>
        <v/>
      </c>
      <c r="I7" s="211" t="str">
        <f ca="1"/>
        <v/>
      </c>
      <c r="J7" s="195" t="str">
        <f ca="1"/>
        <v/>
      </c>
      <c r="K7" t="s">
        <v>4</v>
      </c>
    </row>
    <row r="8" spans="1:11" ht="15" customHeight="1" x14ac:dyDescent="0.25">
      <c r="A8" t="s">
        <v>4</v>
      </c>
      <c r="B8" s="194" t="str">
        <f ca="1"/>
        <v>ACCRUALCALENDAR</v>
      </c>
      <c r="C8" s="141" t="str">
        <f ca="1"/>
        <v>TGT</v>
      </c>
      <c r="D8" s="125" t="str">
        <f ca="1"/>
        <v/>
      </c>
      <c r="E8" s="203" t="str">
        <f ca="1"/>
        <v/>
      </c>
      <c r="F8" s="141" t="str">
        <f ca="1"/>
        <v/>
      </c>
      <c r="G8" s="142" t="str">
        <f ca="1"/>
        <v/>
      </c>
      <c r="H8" s="126" t="str">
        <f ca="1"/>
        <v/>
      </c>
      <c r="I8" s="211" t="str">
        <f ca="1"/>
        <v/>
      </c>
      <c r="J8" s="195" t="str">
        <f ca="1"/>
        <v/>
      </c>
      <c r="K8" t="s">
        <v>4</v>
      </c>
    </row>
    <row r="9" spans="1:11" ht="15" customHeight="1" x14ac:dyDescent="0.25">
      <c r="A9" t="s">
        <v>4</v>
      </c>
      <c r="B9" s="194" t="str">
        <f ca="1"/>
        <v>ACCRUALDAYCOUNT</v>
      </c>
      <c r="C9" s="141" t="str">
        <f ca="1"/>
        <v>30/360</v>
      </c>
      <c r="D9" s="125" t="str">
        <f ca="1"/>
        <v/>
      </c>
      <c r="E9" s="203" t="str">
        <f ca="1"/>
        <v/>
      </c>
      <c r="F9" s="141" t="str">
        <f ca="1"/>
        <v/>
      </c>
      <c r="G9" s="142" t="str">
        <f ca="1"/>
        <v/>
      </c>
      <c r="H9" s="126" t="str">
        <f ca="1"/>
        <v/>
      </c>
      <c r="I9" s="211" t="str">
        <f ca="1"/>
        <v/>
      </c>
      <c r="J9" s="195" t="str">
        <f ca="1"/>
        <v/>
      </c>
      <c r="K9" t="s">
        <v>4</v>
      </c>
    </row>
    <row r="10" spans="1:11" ht="15" customHeight="1" x14ac:dyDescent="0.25">
      <c r="A10" t="s">
        <v>4</v>
      </c>
      <c r="B10" s="194" t="str">
        <f ca="1"/>
        <v>ROLLDAY</v>
      </c>
      <c r="C10" s="141" t="str">
        <f ca="1"/>
        <v>IMM</v>
      </c>
      <c r="D10" s="125" t="str">
        <f ca="1"/>
        <v/>
      </c>
      <c r="E10" s="203" t="str">
        <f ca="1"/>
        <v/>
      </c>
      <c r="F10" s="141" t="str">
        <f ca="1"/>
        <v/>
      </c>
      <c r="G10" s="142" t="str">
        <f ca="1"/>
        <v/>
      </c>
      <c r="H10" s="126" t="str">
        <f ca="1"/>
        <v/>
      </c>
      <c r="I10" s="211" t="str">
        <f ca="1"/>
        <v/>
      </c>
      <c r="J10" s="195" t="str">
        <f ca="1"/>
        <v/>
      </c>
      <c r="K10" t="s">
        <v>4</v>
      </c>
    </row>
    <row r="11" spans="1:11" ht="15" customHeight="1" x14ac:dyDescent="0.25">
      <c r="A11" t="s">
        <v>4</v>
      </c>
      <c r="B11" s="194" t="str">
        <f ca="1"/>
        <v>SCHEDULETYPE</v>
      </c>
      <c r="C11" s="141" t="str">
        <f ca="1"/>
        <v>FIXED</v>
      </c>
      <c r="D11" s="125" t="str">
        <f ca="1"/>
        <v/>
      </c>
      <c r="E11" s="203" t="str">
        <f ca="1"/>
        <v/>
      </c>
      <c r="F11" s="141" t="str">
        <f ca="1"/>
        <v/>
      </c>
      <c r="G11" s="142" t="str">
        <f ca="1"/>
        <v/>
      </c>
      <c r="H11" s="126" t="str">
        <f ca="1"/>
        <v/>
      </c>
      <c r="I11" s="211" t="str">
        <f ca="1"/>
        <v/>
      </c>
      <c r="J11" s="195" t="str">
        <f ca="1"/>
        <v/>
      </c>
      <c r="K11" t="s">
        <v>4</v>
      </c>
    </row>
    <row r="12" spans="1:11" ht="15" customHeight="1" x14ac:dyDescent="0.25">
      <c r="A12" t="s">
        <v>4</v>
      </c>
      <c r="B12" s="194" t="str">
        <f ca="1"/>
        <v>Schedule</v>
      </c>
      <c r="C12" s="141" t="str">
        <f ca="1"/>
        <v/>
      </c>
      <c r="D12" s="125" t="str">
        <f ca="1"/>
        <v/>
      </c>
      <c r="E12" s="203" t="str">
        <f ca="1"/>
        <v/>
      </c>
      <c r="F12" s="141" t="str">
        <f ca="1"/>
        <v/>
      </c>
      <c r="G12" s="142" t="str">
        <f ca="1"/>
        <v/>
      </c>
      <c r="H12" s="126" t="str">
        <f ca="1"/>
        <v/>
      </c>
      <c r="I12" s="211" t="str">
        <f ca="1"/>
        <v/>
      </c>
      <c r="J12" s="195" t="str">
        <f ca="1"/>
        <v/>
      </c>
      <c r="K12" t="s">
        <v>4</v>
      </c>
    </row>
    <row r="13" spans="1:11" ht="15" customHeight="1" x14ac:dyDescent="0.25">
      <c r="A13" t="s">
        <v>4</v>
      </c>
      <c r="B13" s="194" t="str">
        <f ca="1"/>
        <v>AccrualStart</v>
      </c>
      <c r="C13" s="141" t="str">
        <f ca="1"/>
        <v>AccrualEnd</v>
      </c>
      <c r="D13" s="125" t="str">
        <f ca="1"/>
        <v>AccrualDays</v>
      </c>
      <c r="E13" s="203" t="str">
        <f ca="1"/>
        <v>AccrualYearFractions</v>
      </c>
      <c r="F13" s="141" t="str">
        <f ca="1"/>
        <v>PaymentDate</v>
      </c>
      <c r="G13" s="142" t="str">
        <f ca="1"/>
        <v>Notional</v>
      </c>
      <c r="H13" s="126" t="str">
        <f ca="1"/>
        <v>Leverage</v>
      </c>
      <c r="I13" s="211" t="str">
        <f ca="1"/>
        <v>FixedRate</v>
      </c>
      <c r="J13" s="195" t="str">
        <f ca="1"/>
        <v/>
      </c>
      <c r="K13" t="s">
        <v>4</v>
      </c>
    </row>
    <row r="14" spans="1:11" ht="15" customHeight="1" x14ac:dyDescent="0.25">
      <c r="A14" t="s">
        <v>4</v>
      </c>
      <c r="B14" s="194">
        <f ca="1"/>
        <v>42423</v>
      </c>
      <c r="C14" s="141">
        <f ca="1"/>
        <v>42781</v>
      </c>
      <c r="D14" s="125">
        <f ca="1"/>
        <v>358</v>
      </c>
      <c r="E14" s="203">
        <f ca="1"/>
        <v>0.97777800000000004</v>
      </c>
      <c r="F14" s="141">
        <f ca="1"/>
        <v>42781</v>
      </c>
      <c r="G14" s="142">
        <f ca="1"/>
        <v>1000000</v>
      </c>
      <c r="H14" s="126">
        <f ca="1"/>
        <v>1</v>
      </c>
      <c r="I14" s="211">
        <f ca="1"/>
        <v>0.01</v>
      </c>
      <c r="J14" s="195" t="str">
        <f ca="1"/>
        <v/>
      </c>
      <c r="K14" t="s">
        <v>4</v>
      </c>
    </row>
    <row r="15" spans="1:11" ht="15" customHeight="1" x14ac:dyDescent="0.25">
      <c r="A15" t="s">
        <v>4</v>
      </c>
      <c r="B15" s="194">
        <f ca="1"/>
        <v>42781</v>
      </c>
      <c r="C15" s="141">
        <f ca="1"/>
        <v>43152</v>
      </c>
      <c r="D15" s="125">
        <f ca="1"/>
        <v>371</v>
      </c>
      <c r="E15" s="203">
        <f ca="1"/>
        <v>1.016667</v>
      </c>
      <c r="F15" s="141">
        <f ca="1"/>
        <v>43152</v>
      </c>
      <c r="G15" s="142">
        <f ca="1"/>
        <v>1000000</v>
      </c>
      <c r="H15" s="126">
        <f ca="1"/>
        <v>1</v>
      </c>
      <c r="I15" s="211">
        <f ca="1"/>
        <v>0.01</v>
      </c>
      <c r="J15" s="195" t="str">
        <f ca="1"/>
        <v/>
      </c>
      <c r="K15" t="s">
        <v>4</v>
      </c>
    </row>
    <row r="16" spans="1:11" ht="15" customHeight="1" x14ac:dyDescent="0.25">
      <c r="A16" t="s">
        <v>4</v>
      </c>
      <c r="B16" s="194">
        <f ca="1"/>
        <v>43152</v>
      </c>
      <c r="C16" s="141">
        <f ca="1"/>
        <v>43516</v>
      </c>
      <c r="D16" s="125">
        <f ca="1"/>
        <v>364</v>
      </c>
      <c r="E16" s="203">
        <f ca="1"/>
        <v>0.99722200000000005</v>
      </c>
      <c r="F16" s="141">
        <f ca="1"/>
        <v>43516</v>
      </c>
      <c r="G16" s="142">
        <f ca="1"/>
        <v>1000000</v>
      </c>
      <c r="H16" s="126">
        <f ca="1"/>
        <v>1</v>
      </c>
      <c r="I16" s="211">
        <f ca="1"/>
        <v>0.01</v>
      </c>
      <c r="J16" s="195" t="str">
        <f ca="1"/>
        <v/>
      </c>
      <c r="K16" t="s">
        <v>4</v>
      </c>
    </row>
    <row r="17" spans="1:11" ht="15" customHeight="1" x14ac:dyDescent="0.25">
      <c r="A17" t="s">
        <v>4</v>
      </c>
      <c r="B17" s="194">
        <f ca="1"/>
        <v>43516</v>
      </c>
      <c r="C17" s="141">
        <f ca="1"/>
        <v>43880</v>
      </c>
      <c r="D17" s="125">
        <f ca="1"/>
        <v>364</v>
      </c>
      <c r="E17" s="203">
        <f ca="1"/>
        <v>0.99722200000000005</v>
      </c>
      <c r="F17" s="141">
        <f ca="1"/>
        <v>43880</v>
      </c>
      <c r="G17" s="142">
        <f ca="1"/>
        <v>1000000</v>
      </c>
      <c r="H17" s="126">
        <f ca="1"/>
        <v>1</v>
      </c>
      <c r="I17" s="211">
        <f ca="1"/>
        <v>0.01</v>
      </c>
      <c r="J17" s="195" t="str">
        <f ca="1"/>
        <v/>
      </c>
      <c r="K17" t="s">
        <v>4</v>
      </c>
    </row>
    <row r="18" spans="1:11" ht="15" customHeight="1" x14ac:dyDescent="0.25">
      <c r="A18" t="s">
        <v>4</v>
      </c>
      <c r="B18" s="196">
        <f ca="1"/>
        <v>43880</v>
      </c>
      <c r="C18" s="197">
        <f ca="1"/>
        <v>44250</v>
      </c>
      <c r="D18" s="198">
        <f ca="1"/>
        <v>370</v>
      </c>
      <c r="E18" s="204">
        <f ca="1"/>
        <v>1.0111110000000001</v>
      </c>
      <c r="F18" s="197">
        <f ca="1"/>
        <v>44250</v>
      </c>
      <c r="G18" s="206">
        <f ca="1"/>
        <v>1000000</v>
      </c>
      <c r="H18" s="201">
        <f ca="1"/>
        <v>1</v>
      </c>
      <c r="I18" s="212">
        <f ca="1"/>
        <v>0.01</v>
      </c>
      <c r="J18" s="199" t="str">
        <f ca="1"/>
        <v/>
      </c>
      <c r="K18" t="s">
        <v>4</v>
      </c>
    </row>
    <row r="19" spans="1:11" ht="15" customHeight="1" x14ac:dyDescent="0.25">
      <c r="A19" t="s">
        <v>4</v>
      </c>
      <c r="B19" s="182"/>
      <c r="C19" s="182"/>
      <c r="D19" s="182"/>
      <c r="E19" s="182"/>
      <c r="F19" s="182"/>
      <c r="G19" s="182"/>
      <c r="H19" s="182"/>
      <c r="I19" s="182"/>
      <c r="J19" s="182"/>
      <c r="K19" t="s">
        <v>4</v>
      </c>
    </row>
    <row r="20" spans="1:11" ht="15" customHeight="1" x14ac:dyDescent="0.25">
      <c r="A20" t="s">
        <v>4</v>
      </c>
      <c r="B20" s="182"/>
      <c r="C20" s="182"/>
      <c r="D20" s="182"/>
      <c r="E20" s="182"/>
      <c r="F20" s="182"/>
      <c r="G20" s="182"/>
      <c r="H20" s="182"/>
      <c r="I20" s="182"/>
      <c r="J20" s="182"/>
      <c r="K20" t="s">
        <v>4</v>
      </c>
    </row>
    <row r="21" spans="1:11" ht="15" customHeight="1" x14ac:dyDescent="0.25">
      <c r="A21" t="s">
        <v>4</v>
      </c>
      <c r="B21" s="130" t="str">
        <f ca="1">FloatSchedule1</f>
        <v>FLOAT_SCHEDULE:1</v>
      </c>
      <c r="C21" s="182"/>
      <c r="D21" s="182"/>
      <c r="E21" s="182"/>
      <c r="F21" s="182"/>
      <c r="G21" s="182"/>
      <c r="H21" s="182"/>
      <c r="I21" s="182"/>
      <c r="J21" s="182"/>
      <c r="K21" t="s">
        <v>4</v>
      </c>
    </row>
    <row r="22" spans="1:11" ht="15" customHeight="1" x14ac:dyDescent="0.25">
      <c r="A22" t="s">
        <v>4</v>
      </c>
      <c r="B22" s="131" t="str">
        <f t="array" aca="1" ref="B22:J34" ca="1">_xll.meUtilityResize(_xll.meLWOScheduleDisplay(B21),50,50)</f>
        <v>FixingDate</v>
      </c>
      <c r="C22" s="132" t="str">
        <f ca="1"/>
        <v>AccrualStart</v>
      </c>
      <c r="D22" s="132" t="str">
        <f ca="1"/>
        <v>AccrualEnd</v>
      </c>
      <c r="E22" s="132" t="str">
        <f ca="1"/>
        <v>AccrualDays</v>
      </c>
      <c r="F22" s="202" t="str">
        <f ca="1"/>
        <v>AccrualYearFractions</v>
      </c>
      <c r="G22" s="132" t="str">
        <f ca="1"/>
        <v>PaymentDate</v>
      </c>
      <c r="H22" s="205" t="str">
        <f ca="1"/>
        <v>Notional</v>
      </c>
      <c r="I22" s="200" t="str">
        <f ca="1"/>
        <v>Leverage</v>
      </c>
      <c r="J22" s="207" t="str">
        <f ca="1"/>
        <v>FloatSpread</v>
      </c>
      <c r="K22" t="s">
        <v>4</v>
      </c>
    </row>
    <row r="23" spans="1:11" ht="15" customHeight="1" x14ac:dyDescent="0.25">
      <c r="A23" t="s">
        <v>4</v>
      </c>
      <c r="B23" s="194">
        <f ca="1"/>
        <v>42423</v>
      </c>
      <c r="C23" s="141">
        <f ca="1"/>
        <v>42423</v>
      </c>
      <c r="D23" s="141">
        <f ca="1"/>
        <v>42599</v>
      </c>
      <c r="E23" s="125">
        <f ca="1"/>
        <v>176</v>
      </c>
      <c r="F23" s="203">
        <f ca="1"/>
        <v>0.48888900000000002</v>
      </c>
      <c r="G23" s="141">
        <f ca="1"/>
        <v>42599</v>
      </c>
      <c r="H23" s="142">
        <f ca="1"/>
        <v>1000000</v>
      </c>
      <c r="I23" s="126">
        <f ca="1"/>
        <v>1</v>
      </c>
      <c r="J23" s="208">
        <f ca="1"/>
        <v>0</v>
      </c>
      <c r="K23" t="s">
        <v>4</v>
      </c>
    </row>
    <row r="24" spans="1:11" ht="15" customHeight="1" x14ac:dyDescent="0.25">
      <c r="A24" t="s">
        <v>4</v>
      </c>
      <c r="B24" s="194">
        <f ca="1"/>
        <v>42599</v>
      </c>
      <c r="C24" s="141">
        <f ca="1"/>
        <v>42599</v>
      </c>
      <c r="D24" s="141">
        <f ca="1"/>
        <v>42781</v>
      </c>
      <c r="E24" s="125">
        <f ca="1"/>
        <v>182</v>
      </c>
      <c r="F24" s="203">
        <f ca="1"/>
        <v>0.50555600000000001</v>
      </c>
      <c r="G24" s="141">
        <f ca="1"/>
        <v>42781</v>
      </c>
      <c r="H24" s="142">
        <f ca="1"/>
        <v>1000000</v>
      </c>
      <c r="I24" s="126">
        <f ca="1"/>
        <v>1</v>
      </c>
      <c r="J24" s="208">
        <f ca="1"/>
        <v>0</v>
      </c>
      <c r="K24" t="s">
        <v>4</v>
      </c>
    </row>
    <row r="25" spans="1:11" ht="15" customHeight="1" x14ac:dyDescent="0.25">
      <c r="A25" t="s">
        <v>4</v>
      </c>
      <c r="B25" s="194">
        <f ca="1"/>
        <v>42781</v>
      </c>
      <c r="C25" s="141">
        <f ca="1"/>
        <v>42781</v>
      </c>
      <c r="D25" s="141">
        <f ca="1"/>
        <v>42963</v>
      </c>
      <c r="E25" s="125">
        <f ca="1"/>
        <v>182</v>
      </c>
      <c r="F25" s="203">
        <f ca="1"/>
        <v>0.50555600000000001</v>
      </c>
      <c r="G25" s="141">
        <f ca="1"/>
        <v>42963</v>
      </c>
      <c r="H25" s="142">
        <f ca="1"/>
        <v>1000000</v>
      </c>
      <c r="I25" s="126">
        <f ca="1"/>
        <v>1</v>
      </c>
      <c r="J25" s="208">
        <f ca="1"/>
        <v>0</v>
      </c>
      <c r="K25" t="s">
        <v>4</v>
      </c>
    </row>
    <row r="26" spans="1:11" ht="15" customHeight="1" x14ac:dyDescent="0.25">
      <c r="A26" t="s">
        <v>4</v>
      </c>
      <c r="B26" s="194">
        <f ca="1"/>
        <v>42963</v>
      </c>
      <c r="C26" s="141">
        <f ca="1"/>
        <v>42963</v>
      </c>
      <c r="D26" s="141">
        <f ca="1"/>
        <v>43152</v>
      </c>
      <c r="E26" s="125">
        <f ca="1"/>
        <v>189</v>
      </c>
      <c r="F26" s="203">
        <f ca="1"/>
        <v>0.52500000000000002</v>
      </c>
      <c r="G26" s="141">
        <f ca="1"/>
        <v>43152</v>
      </c>
      <c r="H26" s="142">
        <f ca="1"/>
        <v>1000000</v>
      </c>
      <c r="I26" s="126">
        <f ca="1"/>
        <v>1</v>
      </c>
      <c r="J26" s="208">
        <f ca="1"/>
        <v>0</v>
      </c>
      <c r="K26" t="s">
        <v>4</v>
      </c>
    </row>
    <row r="27" spans="1:11" ht="15" customHeight="1" x14ac:dyDescent="0.25">
      <c r="A27" t="s">
        <v>4</v>
      </c>
      <c r="B27" s="194">
        <f ca="1"/>
        <v>43152</v>
      </c>
      <c r="C27" s="141">
        <f ca="1"/>
        <v>43152</v>
      </c>
      <c r="D27" s="141">
        <f ca="1"/>
        <v>43327</v>
      </c>
      <c r="E27" s="125">
        <f ca="1"/>
        <v>175</v>
      </c>
      <c r="F27" s="203">
        <f ca="1"/>
        <v>0.48611100000000002</v>
      </c>
      <c r="G27" s="141">
        <f ca="1"/>
        <v>43327</v>
      </c>
      <c r="H27" s="142">
        <f ca="1"/>
        <v>1000000</v>
      </c>
      <c r="I27" s="126">
        <f ca="1"/>
        <v>1</v>
      </c>
      <c r="J27" s="208">
        <f ca="1"/>
        <v>0</v>
      </c>
      <c r="K27" t="s">
        <v>4</v>
      </c>
    </row>
    <row r="28" spans="1:11" ht="15" customHeight="1" x14ac:dyDescent="0.25">
      <c r="A28" t="s">
        <v>4</v>
      </c>
      <c r="B28" s="194">
        <f ca="1"/>
        <v>43327</v>
      </c>
      <c r="C28" s="141">
        <f ca="1"/>
        <v>43327</v>
      </c>
      <c r="D28" s="141">
        <f ca="1"/>
        <v>43516</v>
      </c>
      <c r="E28" s="125">
        <f ca="1"/>
        <v>189</v>
      </c>
      <c r="F28" s="203">
        <f ca="1"/>
        <v>0.52500000000000002</v>
      </c>
      <c r="G28" s="141">
        <f ca="1"/>
        <v>43516</v>
      </c>
      <c r="H28" s="142">
        <f ca="1"/>
        <v>1000000</v>
      </c>
      <c r="I28" s="126">
        <f ca="1"/>
        <v>1</v>
      </c>
      <c r="J28" s="208">
        <f ca="1"/>
        <v>0</v>
      </c>
      <c r="K28" t="s">
        <v>4</v>
      </c>
    </row>
    <row r="29" spans="1:11" ht="15" customHeight="1" x14ac:dyDescent="0.25">
      <c r="A29" t="s">
        <v>4</v>
      </c>
      <c r="B29" s="194">
        <f ca="1"/>
        <v>43516</v>
      </c>
      <c r="C29" s="141">
        <f ca="1"/>
        <v>43516</v>
      </c>
      <c r="D29" s="141">
        <f ca="1"/>
        <v>43698</v>
      </c>
      <c r="E29" s="125">
        <f ca="1"/>
        <v>182</v>
      </c>
      <c r="F29" s="203">
        <f ca="1"/>
        <v>0.50555600000000001</v>
      </c>
      <c r="G29" s="141">
        <f ca="1"/>
        <v>43698</v>
      </c>
      <c r="H29" s="142">
        <f ca="1"/>
        <v>1000000</v>
      </c>
      <c r="I29" s="126">
        <f ca="1"/>
        <v>1</v>
      </c>
      <c r="J29" s="208">
        <f ca="1"/>
        <v>0</v>
      </c>
      <c r="K29" t="s">
        <v>4</v>
      </c>
    </row>
    <row r="30" spans="1:11" ht="15" customHeight="1" x14ac:dyDescent="0.25">
      <c r="A30" t="s">
        <v>4</v>
      </c>
      <c r="B30" s="194">
        <f ca="1"/>
        <v>43698</v>
      </c>
      <c r="C30" s="141">
        <f ca="1"/>
        <v>43698</v>
      </c>
      <c r="D30" s="141">
        <f ca="1"/>
        <v>43880</v>
      </c>
      <c r="E30" s="125">
        <f ca="1"/>
        <v>182</v>
      </c>
      <c r="F30" s="203">
        <f ca="1"/>
        <v>0.50555600000000001</v>
      </c>
      <c r="G30" s="141">
        <f ca="1"/>
        <v>43880</v>
      </c>
      <c r="H30" s="142">
        <f ca="1"/>
        <v>1000000</v>
      </c>
      <c r="I30" s="126">
        <f ca="1"/>
        <v>1</v>
      </c>
      <c r="J30" s="208">
        <f ca="1"/>
        <v>0</v>
      </c>
      <c r="K30" t="s">
        <v>4</v>
      </c>
    </row>
    <row r="31" spans="1:11" ht="15" customHeight="1" x14ac:dyDescent="0.25">
      <c r="A31" t="s">
        <v>4</v>
      </c>
      <c r="B31" s="194">
        <f ca="1"/>
        <v>43880</v>
      </c>
      <c r="C31" s="141">
        <f ca="1"/>
        <v>43880</v>
      </c>
      <c r="D31" s="141">
        <f ca="1"/>
        <v>44062</v>
      </c>
      <c r="E31" s="125">
        <f ca="1"/>
        <v>182</v>
      </c>
      <c r="F31" s="203">
        <f ca="1"/>
        <v>0.50555600000000001</v>
      </c>
      <c r="G31" s="141">
        <f ca="1"/>
        <v>44062</v>
      </c>
      <c r="H31" s="142">
        <f ca="1"/>
        <v>1000000</v>
      </c>
      <c r="I31" s="126">
        <f ca="1"/>
        <v>1</v>
      </c>
      <c r="J31" s="208">
        <f ca="1"/>
        <v>0</v>
      </c>
      <c r="K31" t="s">
        <v>4</v>
      </c>
    </row>
    <row r="32" spans="1:11" ht="15" customHeight="1" x14ac:dyDescent="0.25">
      <c r="A32" t="s">
        <v>4</v>
      </c>
      <c r="B32" s="194">
        <f ca="1"/>
        <v>44062</v>
      </c>
      <c r="C32" s="141">
        <f ca="1"/>
        <v>44062</v>
      </c>
      <c r="D32" s="141">
        <f ca="1"/>
        <v>44250</v>
      </c>
      <c r="E32" s="125">
        <f ca="1"/>
        <v>188</v>
      </c>
      <c r="F32" s="203">
        <f ca="1"/>
        <v>0.52222199999999996</v>
      </c>
      <c r="G32" s="141">
        <f ca="1"/>
        <v>44250</v>
      </c>
      <c r="H32" s="142">
        <f ca="1"/>
        <v>1000000</v>
      </c>
      <c r="I32" s="126">
        <f ca="1"/>
        <v>1</v>
      </c>
      <c r="J32" s="208">
        <f ca="1"/>
        <v>0</v>
      </c>
      <c r="K32" t="s">
        <v>4</v>
      </c>
    </row>
    <row r="33" spans="1:11" ht="15" customHeight="1" x14ac:dyDescent="0.25">
      <c r="A33" t="s">
        <v>4</v>
      </c>
      <c r="B33" s="194" t="str">
        <f ca="1"/>
        <v/>
      </c>
      <c r="C33" s="141" t="str">
        <f ca="1"/>
        <v/>
      </c>
      <c r="D33" s="141" t="str">
        <f ca="1"/>
        <v/>
      </c>
      <c r="E33" s="125" t="str">
        <f ca="1"/>
        <v/>
      </c>
      <c r="F33" s="203" t="str">
        <f ca="1"/>
        <v/>
      </c>
      <c r="G33" s="141" t="str">
        <f ca="1"/>
        <v/>
      </c>
      <c r="H33" s="142" t="str">
        <f ca="1"/>
        <v/>
      </c>
      <c r="I33" s="126" t="str">
        <f ca="1"/>
        <v/>
      </c>
      <c r="J33" s="208" t="str">
        <f ca="1"/>
        <v/>
      </c>
      <c r="K33" t="s">
        <v>4</v>
      </c>
    </row>
    <row r="34" spans="1:11" ht="15" customHeight="1" x14ac:dyDescent="0.25">
      <c r="A34" t="s">
        <v>4</v>
      </c>
      <c r="B34" s="196" t="str">
        <f ca="1"/>
        <v/>
      </c>
      <c r="C34" s="197" t="str">
        <f ca="1"/>
        <v/>
      </c>
      <c r="D34" s="197" t="str">
        <f ca="1"/>
        <v/>
      </c>
      <c r="E34" s="198" t="str">
        <f ca="1"/>
        <v/>
      </c>
      <c r="F34" s="204" t="str">
        <f ca="1"/>
        <v/>
      </c>
      <c r="G34" s="197" t="str">
        <f ca="1"/>
        <v/>
      </c>
      <c r="H34" s="206" t="str">
        <f ca="1"/>
        <v/>
      </c>
      <c r="I34" s="201" t="str">
        <f ca="1"/>
        <v/>
      </c>
      <c r="J34" s="209" t="str">
        <f ca="1"/>
        <v/>
      </c>
      <c r="K34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:J47"/>
  <sheetViews>
    <sheetView showGridLines="0" workbookViewId="0"/>
  </sheetViews>
  <sheetFormatPr defaultRowHeight="15" x14ac:dyDescent="0.25"/>
  <cols>
    <col min="2" max="2" width="31" customWidth="1"/>
    <col min="3" max="3" width="27.85546875" customWidth="1"/>
    <col min="4" max="4" width="15.7109375" customWidth="1"/>
    <col min="5" max="5" width="19.5703125" bestFit="1" customWidth="1"/>
    <col min="6" max="10" width="15.7109375" customWidth="1"/>
    <col min="11" max="11" width="10.140625" customWidth="1"/>
    <col min="12" max="12" width="20.7109375" customWidth="1"/>
    <col min="14" max="14" width="20.42578125" customWidth="1"/>
    <col min="15" max="15" width="17.42578125" bestFit="1" customWidth="1"/>
    <col min="16" max="16" width="11.5703125" bestFit="1" customWidth="1"/>
    <col min="17" max="18" width="19.5703125" bestFit="1" customWidth="1"/>
    <col min="19" max="19" width="13.140625" bestFit="1" customWidth="1"/>
    <col min="20" max="20" width="11.7109375" bestFit="1" customWidth="1"/>
    <col min="21" max="21" width="9.85546875" bestFit="1" customWidth="1"/>
    <col min="22" max="22" width="12.42578125" customWidth="1"/>
  </cols>
  <sheetData>
    <row r="2" spans="2:3" x14ac:dyDescent="0.25">
      <c r="B2" s="225" t="s">
        <v>279</v>
      </c>
    </row>
    <row r="4" spans="2:3" x14ac:dyDescent="0.25">
      <c r="B4" s="175" t="s">
        <v>281</v>
      </c>
    </row>
    <row r="5" spans="2:3" x14ac:dyDescent="0.25">
      <c r="B5" s="177" t="s">
        <v>280</v>
      </c>
      <c r="C5" s="230" t="s">
        <v>295</v>
      </c>
    </row>
    <row r="6" spans="2:3" x14ac:dyDescent="0.25">
      <c r="B6" s="143" t="s">
        <v>281</v>
      </c>
      <c r="C6" s="231" t="str">
        <f ca="1">_xll.meLWOScheduleCreateBespoke(C5,B10:C14,B18:I23)</f>
        <v>CUSTOMFIXEDSCHEDULE:1</v>
      </c>
    </row>
    <row r="7" spans="2:3" x14ac:dyDescent="0.25">
      <c r="B7" s="182"/>
      <c r="C7" s="182"/>
    </row>
    <row r="8" spans="2:3" x14ac:dyDescent="0.25">
      <c r="B8" s="182"/>
      <c r="C8" s="182"/>
    </row>
    <row r="9" spans="2:3" x14ac:dyDescent="0.25">
      <c r="B9" t="s">
        <v>288</v>
      </c>
    </row>
    <row r="10" spans="2:3" x14ac:dyDescent="0.25">
      <c r="B10" s="137" t="s">
        <v>283</v>
      </c>
      <c r="C10" s="226" t="s">
        <v>253</v>
      </c>
    </row>
    <row r="11" spans="2:3" x14ac:dyDescent="0.25">
      <c r="B11" s="138" t="s">
        <v>233</v>
      </c>
      <c r="C11" s="227" t="s">
        <v>20</v>
      </c>
    </row>
    <row r="12" spans="2:3" x14ac:dyDescent="0.25">
      <c r="B12" s="138" t="s">
        <v>234</v>
      </c>
      <c r="C12" s="227" t="s">
        <v>22</v>
      </c>
    </row>
    <row r="13" spans="2:3" x14ac:dyDescent="0.25">
      <c r="B13" s="138" t="s">
        <v>235</v>
      </c>
      <c r="C13" s="227" t="s">
        <v>2</v>
      </c>
    </row>
    <row r="14" spans="2:3" x14ac:dyDescent="0.25">
      <c r="B14" s="139" t="s">
        <v>236</v>
      </c>
      <c r="C14" s="228" t="s">
        <v>248</v>
      </c>
    </row>
    <row r="17" spans="2:10" x14ac:dyDescent="0.25">
      <c r="B17" s="232" t="s">
        <v>287</v>
      </c>
    </row>
    <row r="18" spans="2:10" x14ac:dyDescent="0.25">
      <c r="B18" s="243" t="s">
        <v>275</v>
      </c>
      <c r="C18" s="246" t="s">
        <v>276</v>
      </c>
      <c r="D18" s="246" t="s">
        <v>277</v>
      </c>
      <c r="E18" s="247" t="s">
        <v>278</v>
      </c>
      <c r="F18" s="246" t="s">
        <v>231</v>
      </c>
      <c r="G18" s="260" t="s">
        <v>193</v>
      </c>
      <c r="H18" s="261" t="s">
        <v>249</v>
      </c>
      <c r="I18" s="246" t="s">
        <v>204</v>
      </c>
      <c r="J18" s="262" t="s">
        <v>4</v>
      </c>
    </row>
    <row r="19" spans="2:10" x14ac:dyDescent="0.25">
      <c r="B19" s="244">
        <v>42423</v>
      </c>
      <c r="C19" s="248">
        <v>42781</v>
      </c>
      <c r="D19" s="249">
        <v>358</v>
      </c>
      <c r="E19" s="250">
        <v>0.97777800000000004</v>
      </c>
      <c r="F19" s="248">
        <v>42781</v>
      </c>
      <c r="G19" s="264">
        <v>10000000</v>
      </c>
      <c r="H19" s="252">
        <v>1</v>
      </c>
      <c r="I19" s="265">
        <v>0.1</v>
      </c>
      <c r="J19" s="253" t="s">
        <v>4</v>
      </c>
    </row>
    <row r="20" spans="2:10" x14ac:dyDescent="0.25">
      <c r="B20" s="244">
        <v>42781</v>
      </c>
      <c r="C20" s="248">
        <v>43152</v>
      </c>
      <c r="D20" s="249">
        <v>371</v>
      </c>
      <c r="E20" s="250">
        <v>1.016667</v>
      </c>
      <c r="F20" s="248">
        <v>43152</v>
      </c>
      <c r="G20" s="264">
        <f t="shared" ref="G20:G23" si="0">G19-1000000</f>
        <v>9000000</v>
      </c>
      <c r="H20" s="252">
        <v>1</v>
      </c>
      <c r="I20" s="284">
        <f t="shared" ref="I20:I23" si="1">I19-1%</f>
        <v>9.0000000000000011E-2</v>
      </c>
      <c r="J20" s="253" t="s">
        <v>4</v>
      </c>
    </row>
    <row r="21" spans="2:10" x14ac:dyDescent="0.25">
      <c r="B21" s="244">
        <v>43152</v>
      </c>
      <c r="C21" s="248">
        <v>43516</v>
      </c>
      <c r="D21" s="249">
        <v>364</v>
      </c>
      <c r="E21" s="250">
        <v>0.99722200000000005</v>
      </c>
      <c r="F21" s="248">
        <v>43516</v>
      </c>
      <c r="G21" s="264">
        <f t="shared" si="0"/>
        <v>8000000</v>
      </c>
      <c r="H21" s="252">
        <v>1</v>
      </c>
      <c r="I21" s="284">
        <f t="shared" si="1"/>
        <v>8.0000000000000016E-2</v>
      </c>
      <c r="J21" s="253" t="s">
        <v>4</v>
      </c>
    </row>
    <row r="22" spans="2:10" x14ac:dyDescent="0.25">
      <c r="B22" s="244">
        <v>43516</v>
      </c>
      <c r="C22" s="248">
        <v>43880</v>
      </c>
      <c r="D22" s="249">
        <v>364</v>
      </c>
      <c r="E22" s="250">
        <v>0.99722200000000005</v>
      </c>
      <c r="F22" s="248">
        <v>43880</v>
      </c>
      <c r="G22" s="264">
        <f t="shared" si="0"/>
        <v>7000000</v>
      </c>
      <c r="H22" s="252">
        <v>1</v>
      </c>
      <c r="I22" s="284">
        <f t="shared" si="1"/>
        <v>7.0000000000000021E-2</v>
      </c>
      <c r="J22" s="253" t="s">
        <v>4</v>
      </c>
    </row>
    <row r="23" spans="2:10" x14ac:dyDescent="0.25">
      <c r="B23" s="244">
        <v>43880</v>
      </c>
      <c r="C23" s="263">
        <v>46076</v>
      </c>
      <c r="D23" s="249">
        <v>370</v>
      </c>
      <c r="E23" s="250">
        <v>1.0111110000000001</v>
      </c>
      <c r="F23" s="263">
        <v>46076</v>
      </c>
      <c r="G23" s="264">
        <f t="shared" si="0"/>
        <v>6000000</v>
      </c>
      <c r="H23" s="252">
        <v>1</v>
      </c>
      <c r="I23" s="284">
        <f t="shared" si="1"/>
        <v>6.0000000000000019E-2</v>
      </c>
      <c r="J23" s="253" t="s">
        <v>4</v>
      </c>
    </row>
    <row r="24" spans="2:10" x14ac:dyDescent="0.25">
      <c r="B24" s="244" t="s">
        <v>4</v>
      </c>
      <c r="C24" s="248" t="s">
        <v>4</v>
      </c>
      <c r="D24" s="249" t="s">
        <v>4</v>
      </c>
      <c r="E24" s="250" t="s">
        <v>4</v>
      </c>
      <c r="F24" s="248" t="s">
        <v>4</v>
      </c>
      <c r="G24" s="251" t="s">
        <v>4</v>
      </c>
      <c r="H24" s="252" t="s">
        <v>4</v>
      </c>
      <c r="I24" s="268" t="s">
        <v>4</v>
      </c>
      <c r="J24" s="253" t="s">
        <v>4</v>
      </c>
    </row>
    <row r="25" spans="2:10" x14ac:dyDescent="0.25">
      <c r="B25" s="244" t="s">
        <v>4</v>
      </c>
      <c r="C25" s="248" t="s">
        <v>4</v>
      </c>
      <c r="D25" s="249" t="s">
        <v>4</v>
      </c>
      <c r="E25" s="250" t="s">
        <v>4</v>
      </c>
      <c r="F25" s="248" t="s">
        <v>4</v>
      </c>
      <c r="G25" s="251" t="s">
        <v>4</v>
      </c>
      <c r="H25" s="252" t="s">
        <v>4</v>
      </c>
      <c r="I25" s="268" t="s">
        <v>4</v>
      </c>
      <c r="J25" s="253" t="s">
        <v>4</v>
      </c>
    </row>
    <row r="26" spans="2:10" x14ac:dyDescent="0.25">
      <c r="B26" s="244" t="s">
        <v>4</v>
      </c>
      <c r="C26" s="248" t="s">
        <v>4</v>
      </c>
      <c r="D26" s="249" t="s">
        <v>4</v>
      </c>
      <c r="E26" s="250" t="s">
        <v>4</v>
      </c>
      <c r="F26" s="248" t="s">
        <v>4</v>
      </c>
      <c r="G26" s="251" t="s">
        <v>4</v>
      </c>
      <c r="H26" s="252" t="s">
        <v>4</v>
      </c>
      <c r="I26" s="268" t="s">
        <v>4</v>
      </c>
      <c r="J26" s="253" t="s">
        <v>4</v>
      </c>
    </row>
    <row r="27" spans="2:10" x14ac:dyDescent="0.25">
      <c r="B27" s="244" t="s">
        <v>4</v>
      </c>
      <c r="C27" s="248" t="s">
        <v>4</v>
      </c>
      <c r="D27" s="249" t="s">
        <v>4</v>
      </c>
      <c r="E27" s="250" t="s">
        <v>4</v>
      </c>
      <c r="F27" s="248" t="s">
        <v>4</v>
      </c>
      <c r="G27" s="251" t="s">
        <v>4</v>
      </c>
      <c r="H27" s="252" t="s">
        <v>4</v>
      </c>
      <c r="I27" s="268" t="s">
        <v>4</v>
      </c>
      <c r="J27" s="253" t="s">
        <v>4</v>
      </c>
    </row>
    <row r="28" spans="2:10" x14ac:dyDescent="0.25">
      <c r="B28" s="244" t="s">
        <v>4</v>
      </c>
      <c r="C28" s="248" t="s">
        <v>4</v>
      </c>
      <c r="D28" s="249" t="s">
        <v>4</v>
      </c>
      <c r="E28" s="250" t="s">
        <v>4</v>
      </c>
      <c r="F28" s="248" t="s">
        <v>4</v>
      </c>
      <c r="G28" s="251" t="s">
        <v>4</v>
      </c>
      <c r="H28" s="252" t="s">
        <v>4</v>
      </c>
      <c r="I28" s="268" t="s">
        <v>4</v>
      </c>
      <c r="J28" s="253" t="s">
        <v>4</v>
      </c>
    </row>
    <row r="29" spans="2:10" x14ac:dyDescent="0.25">
      <c r="B29" s="244" t="s">
        <v>4</v>
      </c>
      <c r="C29" s="248" t="s">
        <v>4</v>
      </c>
      <c r="D29" s="249" t="s">
        <v>4</v>
      </c>
      <c r="E29" s="250" t="s">
        <v>4</v>
      </c>
      <c r="F29" s="248" t="s">
        <v>4</v>
      </c>
      <c r="G29" s="251" t="s">
        <v>4</v>
      </c>
      <c r="H29" s="252" t="s">
        <v>4</v>
      </c>
      <c r="I29" s="268" t="s">
        <v>4</v>
      </c>
      <c r="J29" s="253" t="s">
        <v>4</v>
      </c>
    </row>
    <row r="30" spans="2:10" x14ac:dyDescent="0.25">
      <c r="B30" s="245" t="s">
        <v>4</v>
      </c>
      <c r="C30" s="254" t="s">
        <v>4</v>
      </c>
      <c r="D30" s="255" t="s">
        <v>4</v>
      </c>
      <c r="E30" s="256" t="s">
        <v>4</v>
      </c>
      <c r="F30" s="254" t="s">
        <v>4</v>
      </c>
      <c r="G30" s="257" t="s">
        <v>4</v>
      </c>
      <c r="H30" s="258" t="s">
        <v>4</v>
      </c>
      <c r="I30" s="269" t="s">
        <v>4</v>
      </c>
      <c r="J30" s="259" t="s">
        <v>4</v>
      </c>
    </row>
    <row r="33" spans="2:10" x14ac:dyDescent="0.25">
      <c r="B33" s="229" t="s">
        <v>282</v>
      </c>
    </row>
    <row r="34" spans="2:10" x14ac:dyDescent="0.25">
      <c r="B34" s="233" t="str">
        <f t="array" aca="1" ref="B34:J47" ca="1">_xll.meUtilityResize(_xll.meLWOScheduleDisplay(C6),50,50)</f>
        <v>AccrualStart</v>
      </c>
      <c r="C34" s="234" t="str">
        <f ca="1"/>
        <v>AccrualEnd</v>
      </c>
      <c r="D34" s="234" t="str">
        <f ca="1"/>
        <v>AccrualDays</v>
      </c>
      <c r="E34" s="234" t="str">
        <f ca="1"/>
        <v>AccrualYearFractions</v>
      </c>
      <c r="F34" s="234" t="str">
        <f ca="1"/>
        <v>PaymentDate</v>
      </c>
      <c r="G34" s="234" t="str">
        <f ca="1"/>
        <v>Notional</v>
      </c>
      <c r="H34" s="234" t="str">
        <f ca="1"/>
        <v>Leverage</v>
      </c>
      <c r="I34" s="234" t="str">
        <f ca="1"/>
        <v>FixedRate</v>
      </c>
      <c r="J34" s="235" t="str">
        <f ca="1"/>
        <v/>
      </c>
    </row>
    <row r="35" spans="2:10" x14ac:dyDescent="0.25">
      <c r="B35" s="236">
        <f ca="1"/>
        <v>42423</v>
      </c>
      <c r="C35" s="237">
        <f ca="1"/>
        <v>42781</v>
      </c>
      <c r="D35" s="237">
        <f ca="1"/>
        <v>358</v>
      </c>
      <c r="E35" s="237">
        <f ca="1"/>
        <v>0.97777800000000004</v>
      </c>
      <c r="F35" s="237">
        <f ca="1"/>
        <v>42781</v>
      </c>
      <c r="G35" s="237">
        <f ca="1"/>
        <v>10000000</v>
      </c>
      <c r="H35" s="237">
        <f ca="1"/>
        <v>1</v>
      </c>
      <c r="I35" s="237">
        <f ca="1"/>
        <v>0.1</v>
      </c>
      <c r="J35" s="238" t="str">
        <f ca="1"/>
        <v/>
      </c>
    </row>
    <row r="36" spans="2:10" x14ac:dyDescent="0.25">
      <c r="B36" s="236">
        <f ca="1"/>
        <v>42781</v>
      </c>
      <c r="C36" s="237">
        <f ca="1"/>
        <v>43152</v>
      </c>
      <c r="D36" s="237">
        <f ca="1"/>
        <v>371</v>
      </c>
      <c r="E36" s="237">
        <f ca="1"/>
        <v>1.016667</v>
      </c>
      <c r="F36" s="237">
        <f ca="1"/>
        <v>43152</v>
      </c>
      <c r="G36" s="237">
        <f ca="1"/>
        <v>9000000</v>
      </c>
      <c r="H36" s="237">
        <f ca="1"/>
        <v>1</v>
      </c>
      <c r="I36" s="237">
        <f ca="1"/>
        <v>0.09</v>
      </c>
      <c r="J36" s="238" t="str">
        <f ca="1"/>
        <v/>
      </c>
    </row>
    <row r="37" spans="2:10" x14ac:dyDescent="0.25">
      <c r="B37" s="236">
        <f ca="1"/>
        <v>43152</v>
      </c>
      <c r="C37" s="237">
        <f ca="1"/>
        <v>43516</v>
      </c>
      <c r="D37" s="237">
        <f ca="1"/>
        <v>364</v>
      </c>
      <c r="E37" s="237">
        <f ca="1"/>
        <v>0.99722200000000005</v>
      </c>
      <c r="F37" s="237">
        <f ca="1"/>
        <v>43516</v>
      </c>
      <c r="G37" s="237">
        <f ca="1"/>
        <v>8000000</v>
      </c>
      <c r="H37" s="237">
        <f ca="1"/>
        <v>1</v>
      </c>
      <c r="I37" s="237">
        <f ca="1"/>
        <v>0.08</v>
      </c>
      <c r="J37" s="238" t="str">
        <f ca="1"/>
        <v/>
      </c>
    </row>
    <row r="38" spans="2:10" x14ac:dyDescent="0.25">
      <c r="B38" s="236">
        <f ca="1"/>
        <v>43516</v>
      </c>
      <c r="C38" s="237">
        <f ca="1"/>
        <v>43880</v>
      </c>
      <c r="D38" s="237">
        <f ca="1"/>
        <v>364</v>
      </c>
      <c r="E38" s="237">
        <f ca="1"/>
        <v>0.99722200000000005</v>
      </c>
      <c r="F38" s="237">
        <f ca="1"/>
        <v>43880</v>
      </c>
      <c r="G38" s="237">
        <f ca="1"/>
        <v>7000000</v>
      </c>
      <c r="H38" s="237">
        <f ca="1"/>
        <v>1</v>
      </c>
      <c r="I38" s="237">
        <f ca="1"/>
        <v>7.0000000000000007E-2</v>
      </c>
      <c r="J38" s="238" t="str">
        <f ca="1"/>
        <v/>
      </c>
    </row>
    <row r="39" spans="2:10" x14ac:dyDescent="0.25">
      <c r="B39" s="236">
        <f ca="1"/>
        <v>43880</v>
      </c>
      <c r="C39" s="237">
        <f ca="1"/>
        <v>46076</v>
      </c>
      <c r="D39" s="237">
        <f ca="1"/>
        <v>2196</v>
      </c>
      <c r="E39" s="237">
        <f ca="1"/>
        <v>6.0111109999999996</v>
      </c>
      <c r="F39" s="237">
        <f ca="1"/>
        <v>46076</v>
      </c>
      <c r="G39" s="237">
        <f ca="1"/>
        <v>6000000</v>
      </c>
      <c r="H39" s="237">
        <f ca="1"/>
        <v>1</v>
      </c>
      <c r="I39" s="237">
        <f ca="1"/>
        <v>0.06</v>
      </c>
      <c r="J39" s="238" t="str">
        <f ca="1"/>
        <v/>
      </c>
    </row>
    <row r="40" spans="2:10" x14ac:dyDescent="0.25">
      <c r="B40" s="236" t="str">
        <f ca="1"/>
        <v/>
      </c>
      <c r="C40" s="237" t="str">
        <f ca="1"/>
        <v/>
      </c>
      <c r="D40" s="237" t="str">
        <f ca="1"/>
        <v/>
      </c>
      <c r="E40" s="237" t="str">
        <f ca="1"/>
        <v/>
      </c>
      <c r="F40" s="237" t="str">
        <f ca="1"/>
        <v/>
      </c>
      <c r="G40" s="237" t="str">
        <f ca="1"/>
        <v/>
      </c>
      <c r="H40" s="237" t="str">
        <f ca="1"/>
        <v/>
      </c>
      <c r="I40" s="237" t="str">
        <f ca="1"/>
        <v/>
      </c>
      <c r="J40" s="238" t="str">
        <f ca="1"/>
        <v/>
      </c>
    </row>
    <row r="41" spans="2:10" x14ac:dyDescent="0.25">
      <c r="B41" s="236" t="str">
        <f ca="1"/>
        <v/>
      </c>
      <c r="C41" s="237" t="str">
        <f ca="1"/>
        <v/>
      </c>
      <c r="D41" s="237" t="str">
        <f ca="1"/>
        <v/>
      </c>
      <c r="E41" s="237" t="str">
        <f ca="1"/>
        <v/>
      </c>
      <c r="F41" s="237" t="str">
        <f ca="1"/>
        <v/>
      </c>
      <c r="G41" s="237" t="str">
        <f ca="1"/>
        <v/>
      </c>
      <c r="H41" s="237" t="str">
        <f ca="1"/>
        <v/>
      </c>
      <c r="I41" s="237" t="str">
        <f ca="1"/>
        <v/>
      </c>
      <c r="J41" s="238" t="str">
        <f ca="1"/>
        <v/>
      </c>
    </row>
    <row r="42" spans="2:10" x14ac:dyDescent="0.25">
      <c r="B42" s="275" t="str">
        <f ca="1"/>
        <v/>
      </c>
      <c r="C42" s="276" t="str">
        <f ca="1"/>
        <v/>
      </c>
      <c r="D42" s="237" t="str">
        <f ca="1"/>
        <v/>
      </c>
      <c r="E42" s="239" t="str">
        <f ca="1"/>
        <v/>
      </c>
      <c r="F42" s="276" t="str">
        <f ca="1"/>
        <v/>
      </c>
      <c r="G42" s="266" t="str">
        <f ca="1"/>
        <v/>
      </c>
      <c r="H42" s="240" t="str">
        <f ca="1"/>
        <v/>
      </c>
      <c r="I42" s="282" t="str">
        <f ca="1"/>
        <v/>
      </c>
      <c r="J42" s="238" t="str">
        <f ca="1"/>
        <v/>
      </c>
    </row>
    <row r="43" spans="2:10" x14ac:dyDescent="0.25">
      <c r="B43" s="275" t="str">
        <f ca="1"/>
        <v/>
      </c>
      <c r="C43" s="276" t="str">
        <f ca="1"/>
        <v/>
      </c>
      <c r="D43" s="237" t="str">
        <f ca="1"/>
        <v/>
      </c>
      <c r="E43" s="239" t="str">
        <f ca="1"/>
        <v/>
      </c>
      <c r="F43" s="276" t="str">
        <f ca="1"/>
        <v/>
      </c>
      <c r="G43" s="266" t="str">
        <f ca="1"/>
        <v/>
      </c>
      <c r="H43" s="240" t="str">
        <f ca="1"/>
        <v/>
      </c>
      <c r="I43" s="282" t="str">
        <f ca="1"/>
        <v/>
      </c>
      <c r="J43" s="238" t="str">
        <f ca="1"/>
        <v/>
      </c>
    </row>
    <row r="44" spans="2:10" x14ac:dyDescent="0.25">
      <c r="B44" s="275" t="str">
        <f ca="1"/>
        <v/>
      </c>
      <c r="C44" s="276" t="str">
        <f ca="1"/>
        <v/>
      </c>
      <c r="D44" s="237" t="str">
        <f ca="1"/>
        <v/>
      </c>
      <c r="E44" s="239" t="str">
        <f ca="1"/>
        <v/>
      </c>
      <c r="F44" s="276" t="str">
        <f ca="1"/>
        <v/>
      </c>
      <c r="G44" s="266" t="str">
        <f ca="1"/>
        <v/>
      </c>
      <c r="H44" s="240" t="str">
        <f ca="1"/>
        <v/>
      </c>
      <c r="I44" s="282" t="str">
        <f ca="1"/>
        <v/>
      </c>
      <c r="J44" s="238" t="str">
        <f ca="1"/>
        <v/>
      </c>
    </row>
    <row r="45" spans="2:10" x14ac:dyDescent="0.25">
      <c r="B45" s="275" t="str">
        <f ca="1"/>
        <v/>
      </c>
      <c r="C45" s="276" t="str">
        <f ca="1"/>
        <v/>
      </c>
      <c r="D45" s="237" t="str">
        <f ca="1"/>
        <v/>
      </c>
      <c r="E45" s="239" t="str">
        <f ca="1"/>
        <v/>
      </c>
      <c r="F45" s="276" t="str">
        <f ca="1"/>
        <v/>
      </c>
      <c r="G45" s="266" t="str">
        <f ca="1"/>
        <v/>
      </c>
      <c r="H45" s="240" t="str">
        <f ca="1"/>
        <v/>
      </c>
      <c r="I45" s="282" t="str">
        <f ca="1"/>
        <v/>
      </c>
      <c r="J45" s="238" t="str">
        <f ca="1"/>
        <v/>
      </c>
    </row>
    <row r="46" spans="2:10" x14ac:dyDescent="0.25">
      <c r="B46" s="275" t="str">
        <f ca="1"/>
        <v/>
      </c>
      <c r="C46" s="276" t="str">
        <f ca="1"/>
        <v/>
      </c>
      <c r="D46" s="237" t="str">
        <f ca="1"/>
        <v/>
      </c>
      <c r="E46" s="239" t="str">
        <f ca="1"/>
        <v/>
      </c>
      <c r="F46" s="276" t="str">
        <f ca="1"/>
        <v/>
      </c>
      <c r="G46" s="266" t="str">
        <f ca="1"/>
        <v/>
      </c>
      <c r="H46" s="240" t="str">
        <f ca="1"/>
        <v/>
      </c>
      <c r="I46" s="282" t="str">
        <f ca="1"/>
        <v/>
      </c>
      <c r="J46" s="238" t="str">
        <f ca="1"/>
        <v/>
      </c>
    </row>
    <row r="47" spans="2:10" x14ac:dyDescent="0.25">
      <c r="B47" s="277" t="str">
        <f ca="1"/>
        <v/>
      </c>
      <c r="C47" s="278" t="str">
        <f ca="1"/>
        <v/>
      </c>
      <c r="D47" s="241" t="str">
        <f ca="1"/>
        <v/>
      </c>
      <c r="E47" s="280" t="str">
        <f ca="1"/>
        <v/>
      </c>
      <c r="F47" s="278" t="str">
        <f ca="1"/>
        <v/>
      </c>
      <c r="G47" s="279" t="str">
        <f ca="1"/>
        <v/>
      </c>
      <c r="H47" s="281" t="str">
        <f ca="1"/>
        <v/>
      </c>
      <c r="I47" s="283" t="str">
        <f ca="1"/>
        <v/>
      </c>
      <c r="J47" s="242" t="str">
        <f ca="1"/>
        <v/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:J47"/>
  <sheetViews>
    <sheetView showGridLines="0" workbookViewId="0"/>
  </sheetViews>
  <sheetFormatPr defaultRowHeight="15" x14ac:dyDescent="0.25"/>
  <cols>
    <col min="2" max="2" width="31" customWidth="1"/>
    <col min="3" max="3" width="24.5703125" customWidth="1"/>
    <col min="4" max="4" width="15.7109375" customWidth="1"/>
    <col min="5" max="6" width="19.5703125" bestFit="1" customWidth="1"/>
    <col min="7" max="10" width="15.7109375" customWidth="1"/>
    <col min="11" max="11" width="10.140625" customWidth="1"/>
    <col min="12" max="12" width="20.7109375" customWidth="1"/>
    <col min="14" max="14" width="20.42578125" customWidth="1"/>
    <col min="15" max="15" width="17.42578125" bestFit="1" customWidth="1"/>
    <col min="16" max="16" width="11.5703125" bestFit="1" customWidth="1"/>
    <col min="17" max="18" width="19.5703125" bestFit="1" customWidth="1"/>
    <col min="19" max="19" width="13.140625" bestFit="1" customWidth="1"/>
    <col min="20" max="20" width="11.7109375" bestFit="1" customWidth="1"/>
    <col min="21" max="21" width="9.85546875" bestFit="1" customWidth="1"/>
    <col min="22" max="22" width="12.42578125" customWidth="1"/>
  </cols>
  <sheetData>
    <row r="2" spans="2:3" x14ac:dyDescent="0.25">
      <c r="B2" s="225" t="s">
        <v>279</v>
      </c>
    </row>
    <row r="4" spans="2:3" x14ac:dyDescent="0.25">
      <c r="B4" s="175" t="s">
        <v>281</v>
      </c>
    </row>
    <row r="5" spans="2:3" x14ac:dyDescent="0.25">
      <c r="B5" s="177" t="s">
        <v>280</v>
      </c>
      <c r="C5" s="230" t="s">
        <v>296</v>
      </c>
    </row>
    <row r="6" spans="2:3" x14ac:dyDescent="0.25">
      <c r="B6" s="143" t="s">
        <v>281</v>
      </c>
      <c r="C6" s="231" t="str">
        <f ca="1">_xll.meLWOScheduleCreateBespoke(C5,B10:C14,B18:J28)</f>
        <v>CUSTOMFLOATSCHEDULE:1</v>
      </c>
    </row>
    <row r="7" spans="2:3" x14ac:dyDescent="0.25">
      <c r="B7" s="182"/>
      <c r="C7" s="182"/>
    </row>
    <row r="8" spans="2:3" x14ac:dyDescent="0.25">
      <c r="B8" s="182"/>
      <c r="C8" s="182"/>
    </row>
    <row r="9" spans="2:3" x14ac:dyDescent="0.25">
      <c r="B9" t="s">
        <v>288</v>
      </c>
    </row>
    <row r="10" spans="2:3" x14ac:dyDescent="0.25">
      <c r="B10" s="137" t="s">
        <v>283</v>
      </c>
      <c r="C10" s="226" t="s">
        <v>254</v>
      </c>
    </row>
    <row r="11" spans="2:3" x14ac:dyDescent="0.25">
      <c r="B11" s="138" t="s">
        <v>233</v>
      </c>
      <c r="C11" s="227" t="s">
        <v>20</v>
      </c>
    </row>
    <row r="12" spans="2:3" x14ac:dyDescent="0.25">
      <c r="B12" s="138" t="s">
        <v>234</v>
      </c>
      <c r="C12" s="227" t="s">
        <v>22</v>
      </c>
    </row>
    <row r="13" spans="2:3" x14ac:dyDescent="0.25">
      <c r="B13" s="138" t="s">
        <v>235</v>
      </c>
      <c r="C13" s="227" t="s">
        <v>2</v>
      </c>
    </row>
    <row r="14" spans="2:3" x14ac:dyDescent="0.25">
      <c r="B14" s="139" t="s">
        <v>236</v>
      </c>
      <c r="C14" s="228" t="s">
        <v>248</v>
      </c>
    </row>
    <row r="17" spans="2:10" x14ac:dyDescent="0.25">
      <c r="B17" s="232" t="s">
        <v>287</v>
      </c>
    </row>
    <row r="18" spans="2:10" x14ac:dyDescent="0.25">
      <c r="B18" s="243" t="s">
        <v>232</v>
      </c>
      <c r="C18" s="246" t="s">
        <v>275</v>
      </c>
      <c r="D18" s="246" t="s">
        <v>276</v>
      </c>
      <c r="E18" s="247" t="s">
        <v>277</v>
      </c>
      <c r="F18" s="246" t="s">
        <v>278</v>
      </c>
      <c r="G18" s="260" t="s">
        <v>231</v>
      </c>
      <c r="H18" s="261" t="s">
        <v>193</v>
      </c>
      <c r="I18" s="246" t="s">
        <v>249</v>
      </c>
      <c r="J18" s="262" t="s">
        <v>224</v>
      </c>
    </row>
    <row r="19" spans="2:10" x14ac:dyDescent="0.25">
      <c r="B19" s="244">
        <v>42423</v>
      </c>
      <c r="C19" s="248">
        <v>42423</v>
      </c>
      <c r="D19" s="248">
        <v>42583</v>
      </c>
      <c r="E19" s="251">
        <v>182</v>
      </c>
      <c r="F19" s="250">
        <v>0.50555600000000001</v>
      </c>
      <c r="G19" s="248">
        <v>42605</v>
      </c>
      <c r="H19" s="264">
        <v>10000000</v>
      </c>
      <c r="I19" s="252">
        <v>1</v>
      </c>
      <c r="J19" s="272">
        <v>10</v>
      </c>
    </row>
    <row r="20" spans="2:10" x14ac:dyDescent="0.25">
      <c r="B20" s="244">
        <v>42605</v>
      </c>
      <c r="C20" s="248">
        <v>42605</v>
      </c>
      <c r="D20" s="248">
        <v>42767</v>
      </c>
      <c r="E20" s="251">
        <v>184</v>
      </c>
      <c r="F20" s="250">
        <v>0.51111099999999998</v>
      </c>
      <c r="G20" s="248">
        <v>42789</v>
      </c>
      <c r="H20" s="264">
        <v>9000000</v>
      </c>
      <c r="I20" s="252">
        <v>1</v>
      </c>
      <c r="J20" s="272">
        <f>J19-1</f>
        <v>9</v>
      </c>
    </row>
    <row r="21" spans="2:10" x14ac:dyDescent="0.25">
      <c r="B21" s="244">
        <v>42789</v>
      </c>
      <c r="C21" s="248">
        <v>42789</v>
      </c>
      <c r="D21" s="248">
        <v>42948</v>
      </c>
      <c r="E21" s="251">
        <v>181</v>
      </c>
      <c r="F21" s="250">
        <v>0.50277799999999995</v>
      </c>
      <c r="G21" s="248">
        <v>42970</v>
      </c>
      <c r="H21" s="264">
        <v>8000000</v>
      </c>
      <c r="I21" s="252">
        <v>1</v>
      </c>
      <c r="J21" s="272">
        <f t="shared" ref="J21:J28" si="0">J20-1</f>
        <v>8</v>
      </c>
    </row>
    <row r="22" spans="2:10" x14ac:dyDescent="0.25">
      <c r="B22" s="244">
        <v>42970</v>
      </c>
      <c r="C22" s="248">
        <v>42970</v>
      </c>
      <c r="D22" s="248">
        <v>43132</v>
      </c>
      <c r="E22" s="251">
        <v>184</v>
      </c>
      <c r="F22" s="250">
        <v>0.51111099999999998</v>
      </c>
      <c r="G22" s="248">
        <v>43154</v>
      </c>
      <c r="H22" s="264">
        <v>7000000</v>
      </c>
      <c r="I22" s="252">
        <v>1</v>
      </c>
      <c r="J22" s="272">
        <f t="shared" si="0"/>
        <v>7</v>
      </c>
    </row>
    <row r="23" spans="2:10" x14ac:dyDescent="0.25">
      <c r="B23" s="244">
        <v>43154</v>
      </c>
      <c r="C23" s="248">
        <v>43154</v>
      </c>
      <c r="D23" s="248">
        <v>43313</v>
      </c>
      <c r="E23" s="251">
        <v>181</v>
      </c>
      <c r="F23" s="250">
        <v>0.50277799999999995</v>
      </c>
      <c r="G23" s="248">
        <v>43335</v>
      </c>
      <c r="H23" s="264">
        <v>6000000</v>
      </c>
      <c r="I23" s="252">
        <v>1</v>
      </c>
      <c r="J23" s="272">
        <f t="shared" si="0"/>
        <v>6</v>
      </c>
    </row>
    <row r="24" spans="2:10" x14ac:dyDescent="0.25">
      <c r="B24" s="244">
        <v>43335</v>
      </c>
      <c r="C24" s="248">
        <v>43335</v>
      </c>
      <c r="D24" s="248">
        <v>43497</v>
      </c>
      <c r="E24" s="251">
        <v>186</v>
      </c>
      <c r="F24" s="250">
        <v>0.51666699999999999</v>
      </c>
      <c r="G24" s="248">
        <v>43521</v>
      </c>
      <c r="H24" s="264">
        <v>5000000</v>
      </c>
      <c r="I24" s="252">
        <v>1</v>
      </c>
      <c r="J24" s="272">
        <f t="shared" si="0"/>
        <v>5</v>
      </c>
    </row>
    <row r="25" spans="2:10" x14ac:dyDescent="0.25">
      <c r="B25" s="244">
        <v>43521</v>
      </c>
      <c r="C25" s="248">
        <v>43521</v>
      </c>
      <c r="D25" s="248">
        <v>43678</v>
      </c>
      <c r="E25" s="251">
        <v>179</v>
      </c>
      <c r="F25" s="250">
        <v>0.497222</v>
      </c>
      <c r="G25" s="248">
        <v>43700</v>
      </c>
      <c r="H25" s="264">
        <v>4000000</v>
      </c>
      <c r="I25" s="252">
        <v>1</v>
      </c>
      <c r="J25" s="272">
        <f t="shared" si="0"/>
        <v>4</v>
      </c>
    </row>
    <row r="26" spans="2:10" x14ac:dyDescent="0.25">
      <c r="B26" s="244">
        <v>43700</v>
      </c>
      <c r="C26" s="248">
        <v>43700</v>
      </c>
      <c r="D26" s="248">
        <v>43862</v>
      </c>
      <c r="E26" s="251">
        <v>185</v>
      </c>
      <c r="F26" s="250">
        <v>0.51388900000000004</v>
      </c>
      <c r="G26" s="248">
        <v>43885</v>
      </c>
      <c r="H26" s="264">
        <v>3000000</v>
      </c>
      <c r="I26" s="252">
        <v>1</v>
      </c>
      <c r="J26" s="272">
        <f t="shared" si="0"/>
        <v>3</v>
      </c>
    </row>
    <row r="27" spans="2:10" x14ac:dyDescent="0.25">
      <c r="B27" s="244">
        <v>43885</v>
      </c>
      <c r="C27" s="248">
        <v>43885</v>
      </c>
      <c r="D27" s="248">
        <v>44044</v>
      </c>
      <c r="E27" s="251">
        <v>182</v>
      </c>
      <c r="F27" s="250">
        <v>0.50555600000000001</v>
      </c>
      <c r="G27" s="248">
        <v>44067</v>
      </c>
      <c r="H27" s="264">
        <v>2000000</v>
      </c>
      <c r="I27" s="252">
        <v>1</v>
      </c>
      <c r="J27" s="272">
        <f t="shared" si="0"/>
        <v>2</v>
      </c>
    </row>
    <row r="28" spans="2:10" x14ac:dyDescent="0.25">
      <c r="B28" s="244">
        <v>44067</v>
      </c>
      <c r="C28" s="248">
        <v>44067</v>
      </c>
      <c r="D28" s="263">
        <v>46054</v>
      </c>
      <c r="E28" s="251">
        <v>183</v>
      </c>
      <c r="F28" s="250">
        <v>0.50833300000000003</v>
      </c>
      <c r="G28" s="263">
        <v>46076</v>
      </c>
      <c r="H28" s="264">
        <v>1000000</v>
      </c>
      <c r="I28" s="252">
        <v>1</v>
      </c>
      <c r="J28" s="272">
        <f t="shared" si="0"/>
        <v>1</v>
      </c>
    </row>
    <row r="29" spans="2:10" x14ac:dyDescent="0.25">
      <c r="B29" s="244" t="s">
        <v>37</v>
      </c>
      <c r="C29" s="248" t="s">
        <v>37</v>
      </c>
      <c r="D29" s="248" t="s">
        <v>37</v>
      </c>
      <c r="E29" s="251" t="s">
        <v>37</v>
      </c>
      <c r="F29" s="250" t="s">
        <v>37</v>
      </c>
      <c r="G29" s="248" t="s">
        <v>37</v>
      </c>
      <c r="H29" s="251" t="s">
        <v>37</v>
      </c>
      <c r="I29" s="252" t="s">
        <v>37</v>
      </c>
      <c r="J29" s="270" t="s">
        <v>37</v>
      </c>
    </row>
    <row r="30" spans="2:10" x14ac:dyDescent="0.25">
      <c r="B30" s="245" t="s">
        <v>37</v>
      </c>
      <c r="C30" s="254" t="s">
        <v>37</v>
      </c>
      <c r="D30" s="254" t="s">
        <v>37</v>
      </c>
      <c r="E30" s="257" t="s">
        <v>37</v>
      </c>
      <c r="F30" s="256" t="s">
        <v>37</v>
      </c>
      <c r="G30" s="254" t="s">
        <v>37</v>
      </c>
      <c r="H30" s="257" t="s">
        <v>37</v>
      </c>
      <c r="I30" s="258" t="s">
        <v>37</v>
      </c>
      <c r="J30" s="271" t="s">
        <v>37</v>
      </c>
    </row>
    <row r="33" spans="2:10" x14ac:dyDescent="0.25">
      <c r="B33" s="229" t="s">
        <v>282</v>
      </c>
    </row>
    <row r="34" spans="2:10" x14ac:dyDescent="0.25">
      <c r="B34" s="233" t="str">
        <f t="array" aca="1" ref="B34:J47" ca="1">_xll.meUtilityResize(_xll.meLWOScheduleDisplay(C6),50,50)</f>
        <v>FixingDate</v>
      </c>
      <c r="C34" s="234" t="str">
        <f ca="1"/>
        <v>AccrualStart</v>
      </c>
      <c r="D34" s="234" t="str">
        <f ca="1"/>
        <v>AccrualEnd</v>
      </c>
      <c r="E34" s="234" t="str">
        <f ca="1"/>
        <v>AccrualDays</v>
      </c>
      <c r="F34" s="234" t="str">
        <f ca="1"/>
        <v>AccrualYearFractions</v>
      </c>
      <c r="G34" s="234" t="str">
        <f ca="1"/>
        <v>PaymentDate</v>
      </c>
      <c r="H34" s="234" t="str">
        <f ca="1"/>
        <v>Notional</v>
      </c>
      <c r="I34" s="234" t="str">
        <f ca="1"/>
        <v>Leverage</v>
      </c>
      <c r="J34" s="235" t="str">
        <f ca="1"/>
        <v>FloatSpread</v>
      </c>
    </row>
    <row r="35" spans="2:10" x14ac:dyDescent="0.25">
      <c r="B35" s="236">
        <f ca="1"/>
        <v>42423</v>
      </c>
      <c r="C35" s="237">
        <f ca="1"/>
        <v>42423</v>
      </c>
      <c r="D35" s="237">
        <f ca="1"/>
        <v>42583</v>
      </c>
      <c r="E35" s="237">
        <f ca="1"/>
        <v>160</v>
      </c>
      <c r="F35" s="237">
        <f ca="1"/>
        <v>0.43888899999999997</v>
      </c>
      <c r="G35" s="237">
        <f ca="1"/>
        <v>42605</v>
      </c>
      <c r="H35" s="237">
        <f ca="1"/>
        <v>10000000</v>
      </c>
      <c r="I35" s="237">
        <f ca="1"/>
        <v>1</v>
      </c>
      <c r="J35" s="238">
        <f ca="1"/>
        <v>10</v>
      </c>
    </row>
    <row r="36" spans="2:10" x14ac:dyDescent="0.25">
      <c r="B36" s="236">
        <f ca="1"/>
        <v>42605</v>
      </c>
      <c r="C36" s="237">
        <f ca="1"/>
        <v>42605</v>
      </c>
      <c r="D36" s="237">
        <f ca="1"/>
        <v>42767</v>
      </c>
      <c r="E36" s="237">
        <f ca="1"/>
        <v>162</v>
      </c>
      <c r="F36" s="237">
        <f ca="1"/>
        <v>0.43888899999999997</v>
      </c>
      <c r="G36" s="237">
        <f ca="1"/>
        <v>42789</v>
      </c>
      <c r="H36" s="237">
        <f ca="1"/>
        <v>9000000</v>
      </c>
      <c r="I36" s="237">
        <f ca="1"/>
        <v>1</v>
      </c>
      <c r="J36" s="238">
        <f ca="1"/>
        <v>9</v>
      </c>
    </row>
    <row r="37" spans="2:10" x14ac:dyDescent="0.25">
      <c r="B37" s="236">
        <f ca="1"/>
        <v>42789</v>
      </c>
      <c r="C37" s="237">
        <f ca="1"/>
        <v>42789</v>
      </c>
      <c r="D37" s="237">
        <f ca="1"/>
        <v>42948</v>
      </c>
      <c r="E37" s="237">
        <f ca="1"/>
        <v>159</v>
      </c>
      <c r="F37" s="237">
        <f ca="1"/>
        <v>0.43888899999999997</v>
      </c>
      <c r="G37" s="237">
        <f ca="1"/>
        <v>42970</v>
      </c>
      <c r="H37" s="237">
        <f ca="1"/>
        <v>8000000</v>
      </c>
      <c r="I37" s="237">
        <f ca="1"/>
        <v>1</v>
      </c>
      <c r="J37" s="238">
        <f ca="1"/>
        <v>8</v>
      </c>
    </row>
    <row r="38" spans="2:10" x14ac:dyDescent="0.25">
      <c r="B38" s="236">
        <f ca="1"/>
        <v>42970</v>
      </c>
      <c r="C38" s="237">
        <f ca="1"/>
        <v>42970</v>
      </c>
      <c r="D38" s="237">
        <f ca="1"/>
        <v>43132</v>
      </c>
      <c r="E38" s="237">
        <f ca="1"/>
        <v>162</v>
      </c>
      <c r="F38" s="237">
        <f ca="1"/>
        <v>0.43888899999999997</v>
      </c>
      <c r="G38" s="237">
        <f ca="1"/>
        <v>43154</v>
      </c>
      <c r="H38" s="237">
        <f ca="1"/>
        <v>7000000</v>
      </c>
      <c r="I38" s="237">
        <f ca="1"/>
        <v>1</v>
      </c>
      <c r="J38" s="238">
        <f ca="1"/>
        <v>7</v>
      </c>
    </row>
    <row r="39" spans="2:10" x14ac:dyDescent="0.25">
      <c r="B39" s="236">
        <f ca="1"/>
        <v>43154</v>
      </c>
      <c r="C39" s="237">
        <f ca="1"/>
        <v>43154</v>
      </c>
      <c r="D39" s="237">
        <f ca="1"/>
        <v>43313</v>
      </c>
      <c r="E39" s="237">
        <f ca="1"/>
        <v>159</v>
      </c>
      <c r="F39" s="237">
        <f ca="1"/>
        <v>0.43888899999999997</v>
      </c>
      <c r="G39" s="237">
        <f ca="1"/>
        <v>43335</v>
      </c>
      <c r="H39" s="237">
        <f ca="1"/>
        <v>6000000</v>
      </c>
      <c r="I39" s="237">
        <f ca="1"/>
        <v>1</v>
      </c>
      <c r="J39" s="238">
        <f ca="1"/>
        <v>6</v>
      </c>
    </row>
    <row r="40" spans="2:10" x14ac:dyDescent="0.25">
      <c r="B40" s="236">
        <f ca="1"/>
        <v>43335</v>
      </c>
      <c r="C40" s="237">
        <f ca="1"/>
        <v>43335</v>
      </c>
      <c r="D40" s="237">
        <f ca="1"/>
        <v>43497</v>
      </c>
      <c r="E40" s="237">
        <f ca="1"/>
        <v>162</v>
      </c>
      <c r="F40" s="237">
        <f ca="1"/>
        <v>0.43888899999999997</v>
      </c>
      <c r="G40" s="237">
        <f ca="1"/>
        <v>43521</v>
      </c>
      <c r="H40" s="237">
        <f ca="1"/>
        <v>5000000</v>
      </c>
      <c r="I40" s="237">
        <f ca="1"/>
        <v>1</v>
      </c>
      <c r="J40" s="238">
        <f ca="1"/>
        <v>5</v>
      </c>
    </row>
    <row r="41" spans="2:10" x14ac:dyDescent="0.25">
      <c r="B41" s="236">
        <f ca="1"/>
        <v>43521</v>
      </c>
      <c r="C41" s="237">
        <f ca="1"/>
        <v>43521</v>
      </c>
      <c r="D41" s="237">
        <f ca="1"/>
        <v>43678</v>
      </c>
      <c r="E41" s="237">
        <f ca="1"/>
        <v>157</v>
      </c>
      <c r="F41" s="237">
        <f ca="1"/>
        <v>0.43333300000000002</v>
      </c>
      <c r="G41" s="237">
        <f ca="1"/>
        <v>43700</v>
      </c>
      <c r="H41" s="237">
        <f ca="1"/>
        <v>4000000</v>
      </c>
      <c r="I41" s="237">
        <f ca="1"/>
        <v>1</v>
      </c>
      <c r="J41" s="238">
        <f ca="1"/>
        <v>4</v>
      </c>
    </row>
    <row r="42" spans="2:10" x14ac:dyDescent="0.25">
      <c r="B42" s="275">
        <f ca="1"/>
        <v>43700</v>
      </c>
      <c r="C42" s="276">
        <f ca="1"/>
        <v>43700</v>
      </c>
      <c r="D42" s="276">
        <f ca="1"/>
        <v>43862</v>
      </c>
      <c r="E42" s="266">
        <f ca="1"/>
        <v>162</v>
      </c>
      <c r="F42" s="239">
        <f ca="1"/>
        <v>0.43888899999999997</v>
      </c>
      <c r="G42" s="276">
        <f ca="1"/>
        <v>43885</v>
      </c>
      <c r="H42" s="266">
        <f ca="1"/>
        <v>3000000</v>
      </c>
      <c r="I42" s="240">
        <f ca="1"/>
        <v>1</v>
      </c>
      <c r="J42" s="273">
        <f ca="1"/>
        <v>3</v>
      </c>
    </row>
    <row r="43" spans="2:10" x14ac:dyDescent="0.25">
      <c r="B43" s="275">
        <f ca="1"/>
        <v>43885</v>
      </c>
      <c r="C43" s="276">
        <f ca="1"/>
        <v>43885</v>
      </c>
      <c r="D43" s="276">
        <f ca="1"/>
        <v>44044</v>
      </c>
      <c r="E43" s="266">
        <f ca="1"/>
        <v>159</v>
      </c>
      <c r="F43" s="239">
        <f ca="1"/>
        <v>0.43611100000000003</v>
      </c>
      <c r="G43" s="276">
        <f ca="1"/>
        <v>44067</v>
      </c>
      <c r="H43" s="266">
        <f ca="1"/>
        <v>2000000</v>
      </c>
      <c r="I43" s="240">
        <f ca="1"/>
        <v>1</v>
      </c>
      <c r="J43" s="273">
        <f ca="1"/>
        <v>2</v>
      </c>
    </row>
    <row r="44" spans="2:10" x14ac:dyDescent="0.25">
      <c r="B44" s="275">
        <f ca="1"/>
        <v>44067</v>
      </c>
      <c r="C44" s="276">
        <f ca="1"/>
        <v>44067</v>
      </c>
      <c r="D44" s="276">
        <f ca="1"/>
        <v>46054</v>
      </c>
      <c r="E44" s="266">
        <f ca="1"/>
        <v>1987</v>
      </c>
      <c r="F44" s="239">
        <f ca="1"/>
        <v>5.4361110000000004</v>
      </c>
      <c r="G44" s="276">
        <f ca="1"/>
        <v>46076</v>
      </c>
      <c r="H44" s="266">
        <f ca="1"/>
        <v>1000000</v>
      </c>
      <c r="I44" s="240">
        <f ca="1"/>
        <v>1</v>
      </c>
      <c r="J44" s="273">
        <f ca="1"/>
        <v>1</v>
      </c>
    </row>
    <row r="45" spans="2:10" x14ac:dyDescent="0.25">
      <c r="B45" s="275" t="str">
        <f ca="1"/>
        <v/>
      </c>
      <c r="C45" s="276" t="str">
        <f ca="1"/>
        <v/>
      </c>
      <c r="D45" s="276" t="str">
        <f ca="1"/>
        <v/>
      </c>
      <c r="E45" s="266" t="str">
        <f ca="1"/>
        <v/>
      </c>
      <c r="F45" s="239" t="str">
        <f ca="1"/>
        <v/>
      </c>
      <c r="G45" s="276" t="str">
        <f ca="1"/>
        <v/>
      </c>
      <c r="H45" s="266" t="str">
        <f ca="1"/>
        <v/>
      </c>
      <c r="I45" s="240" t="str">
        <f ca="1"/>
        <v/>
      </c>
      <c r="J45" s="273" t="str">
        <f ca="1"/>
        <v/>
      </c>
    </row>
    <row r="46" spans="2:10" x14ac:dyDescent="0.25">
      <c r="B46" s="275" t="str">
        <f ca="1"/>
        <v/>
      </c>
      <c r="C46" s="276" t="str">
        <f ca="1"/>
        <v/>
      </c>
      <c r="D46" s="276" t="str">
        <f ca="1"/>
        <v/>
      </c>
      <c r="E46" s="266" t="str">
        <f ca="1"/>
        <v/>
      </c>
      <c r="F46" s="239" t="str">
        <f ca="1"/>
        <v/>
      </c>
      <c r="G46" s="276" t="str">
        <f ca="1"/>
        <v/>
      </c>
      <c r="H46" s="266" t="str">
        <f ca="1"/>
        <v/>
      </c>
      <c r="I46" s="240" t="str">
        <f ca="1"/>
        <v/>
      </c>
      <c r="J46" s="273" t="str">
        <f ca="1"/>
        <v/>
      </c>
    </row>
    <row r="47" spans="2:10" x14ac:dyDescent="0.25">
      <c r="B47" s="277" t="str">
        <f ca="1"/>
        <v/>
      </c>
      <c r="C47" s="278" t="str">
        <f ca="1"/>
        <v/>
      </c>
      <c r="D47" s="278" t="str">
        <f ca="1"/>
        <v/>
      </c>
      <c r="E47" s="279" t="str">
        <f ca="1"/>
        <v/>
      </c>
      <c r="F47" s="280" t="str">
        <f ca="1"/>
        <v/>
      </c>
      <c r="G47" s="278" t="str">
        <f ca="1"/>
        <v/>
      </c>
      <c r="H47" s="279" t="str">
        <f ca="1"/>
        <v/>
      </c>
      <c r="I47" s="281" t="str">
        <f ca="1"/>
        <v/>
      </c>
      <c r="J47" s="274" t="str">
        <f ca="1"/>
        <v/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:R40"/>
  <sheetViews>
    <sheetView showGridLines="0" tabSelected="1" zoomScaleNormal="100" workbookViewId="0"/>
  </sheetViews>
  <sheetFormatPr defaultRowHeight="15" customHeight="1" x14ac:dyDescent="0.25"/>
  <cols>
    <col min="2" max="2" width="20.7109375" customWidth="1"/>
    <col min="3" max="3" width="30.7109375" customWidth="1"/>
    <col min="5" max="5" width="36.42578125" customWidth="1"/>
    <col min="6" max="6" width="17.7109375" bestFit="1" customWidth="1"/>
    <col min="7" max="7" width="15.7109375" customWidth="1"/>
    <col min="8" max="9" width="19.5703125" bestFit="1" customWidth="1"/>
    <col min="10" max="17" width="15.7109375" customWidth="1"/>
  </cols>
  <sheetData>
    <row r="2" spans="2:18" s="176" customFormat="1" ht="21" x14ac:dyDescent="0.35">
      <c r="B2" s="140" t="s">
        <v>289</v>
      </c>
    </row>
    <row r="4" spans="2:18" ht="15" customHeight="1" x14ac:dyDescent="0.25">
      <c r="B4" t="s">
        <v>263</v>
      </c>
      <c r="E4" t="s">
        <v>266</v>
      </c>
      <c r="F4" s="297"/>
    </row>
    <row r="5" spans="2:18" ht="15" customHeight="1" x14ac:dyDescent="0.3">
      <c r="B5" s="168" t="s">
        <v>255</v>
      </c>
      <c r="C5" s="169" t="s">
        <v>290</v>
      </c>
      <c r="E5" s="177" t="s">
        <v>196</v>
      </c>
      <c r="F5" s="298">
        <f ca="1">_xll.meLWOSwapPV(C6,C7)</f>
        <v>-4985857.0896709226</v>
      </c>
      <c r="G5" s="140" t="s">
        <v>271</v>
      </c>
      <c r="M5" s="116"/>
    </row>
    <row r="6" spans="2:18" ht="15" customHeight="1" x14ac:dyDescent="0.3">
      <c r="B6" s="170" t="s">
        <v>256</v>
      </c>
      <c r="C6" s="179" t="str">
        <f ca="1">_xll.meLWOVariableNotionalSwapCreate(C5,C11,C27,B12:C23,B28:C39)</f>
        <v>VARIABLENOTIONALSWAP:1</v>
      </c>
      <c r="D6" t="s">
        <v>4</v>
      </c>
      <c r="E6" s="178" t="s">
        <v>267</v>
      </c>
      <c r="F6" s="299">
        <f ca="1">_xll.meLWOSwapParRate(C6,C7)</f>
        <v>5.3647666562724693E-4</v>
      </c>
      <c r="G6" s="140" t="s">
        <v>272</v>
      </c>
    </row>
    <row r="7" spans="2:18" ht="15" customHeight="1" x14ac:dyDescent="0.3">
      <c r="B7" s="221" t="s">
        <v>88</v>
      </c>
      <c r="C7" s="222" t="s">
        <v>80</v>
      </c>
      <c r="E7" s="223" t="s">
        <v>197</v>
      </c>
      <c r="F7" s="224">
        <f ca="1">_xll.meLWOSwapPV01(C6,C7)</f>
        <v>6869.5523954838609</v>
      </c>
      <c r="G7" s="140" t="s">
        <v>273</v>
      </c>
      <c r="O7" s="116"/>
    </row>
    <row r="8" spans="2:18" ht="15" customHeight="1" x14ac:dyDescent="0.25">
      <c r="O8" s="116"/>
    </row>
    <row r="9" spans="2:18" ht="15" customHeight="1" x14ac:dyDescent="0.25">
      <c r="F9" s="267"/>
      <c r="O9" s="116"/>
    </row>
    <row r="10" spans="2:18" s="182" customFormat="1" ht="15" customHeight="1" x14ac:dyDescent="0.3">
      <c r="B10" s="181" t="s">
        <v>270</v>
      </c>
      <c r="E10" s="140" t="s">
        <v>291</v>
      </c>
    </row>
    <row r="11" spans="2:18" s="182" customFormat="1" ht="15" customHeight="1" x14ac:dyDescent="0.25">
      <c r="B11" s="183" t="s">
        <v>268</v>
      </c>
      <c r="C11" s="180" t="str">
        <f ca="1">CustomFixedSchedule</f>
        <v>CUSTOMFIXEDSCHEDULE:1</v>
      </c>
      <c r="D11" s="182" t="s">
        <v>4</v>
      </c>
      <c r="E11" s="131" t="str">
        <f t="array" aca="1" ref="E11:Q23" ca="1">_xll.meUtilityResize(_xll.meLWOSwapDisplayCashflows(C6,C7,C12),50,50)</f>
        <v>LEG1:FIXED Leg Schedule &amp; Cashflows</v>
      </c>
      <c r="F11" s="132" t="str">
        <f ca="1"/>
        <v/>
      </c>
      <c r="G11" s="132" t="str">
        <f ca="1"/>
        <v/>
      </c>
      <c r="H11" s="202" t="str">
        <f ca="1"/>
        <v/>
      </c>
      <c r="I11" s="132" t="str">
        <f ca="1"/>
        <v/>
      </c>
      <c r="J11" s="205" t="str">
        <f ca="1"/>
        <v/>
      </c>
      <c r="K11" s="200" t="str">
        <f ca="1"/>
        <v/>
      </c>
      <c r="L11" s="132" t="str">
        <f ca="1"/>
        <v/>
      </c>
      <c r="M11" s="132" t="str">
        <f ca="1"/>
        <v/>
      </c>
      <c r="N11" s="132" t="str">
        <f ca="1"/>
        <v/>
      </c>
      <c r="O11" s="132" t="str">
        <f ca="1"/>
        <v/>
      </c>
      <c r="P11" s="132" t="str">
        <f ca="1"/>
        <v/>
      </c>
      <c r="Q11" s="133" t="str">
        <f ca="1"/>
        <v/>
      </c>
      <c r="R11" s="182" t="s">
        <v>4</v>
      </c>
    </row>
    <row r="12" spans="2:18" s="182" customFormat="1" ht="15" customHeight="1" x14ac:dyDescent="0.25">
      <c r="B12" s="184" t="s">
        <v>284</v>
      </c>
      <c r="C12" s="171" t="s">
        <v>285</v>
      </c>
      <c r="D12" s="182" t="s">
        <v>4</v>
      </c>
      <c r="E12" s="194" t="str">
        <f ca="1"/>
        <v>AccrualStart</v>
      </c>
      <c r="F12" s="141" t="str">
        <f ca="1"/>
        <v>AccrualEnd</v>
      </c>
      <c r="G12" s="125" t="str">
        <f ca="1"/>
        <v>AccrualDays</v>
      </c>
      <c r="H12" s="203" t="str">
        <f ca="1"/>
        <v>AccrualYearFractions</v>
      </c>
      <c r="I12" s="141" t="str">
        <f ca="1"/>
        <v>PaymentDate</v>
      </c>
      <c r="J12" s="142" t="str">
        <f ca="1"/>
        <v>Notional</v>
      </c>
      <c r="K12" s="126" t="str">
        <f ca="1"/>
        <v>Leverage</v>
      </c>
      <c r="L12" s="125" t="str">
        <f ca="1"/>
        <v>FixedRate</v>
      </c>
      <c r="M12" s="125" t="str">
        <f ca="1"/>
        <v>Coupon</v>
      </c>
      <c r="N12" s="125" t="str">
        <f ca="1"/>
        <v>DiscountFactor</v>
      </c>
      <c r="O12" s="125" t="str">
        <f ca="1"/>
        <v>CouponPV</v>
      </c>
      <c r="P12" s="125" t="str">
        <f ca="1"/>
        <v/>
      </c>
      <c r="Q12" s="195" t="str">
        <f ca="1"/>
        <v/>
      </c>
      <c r="R12" s="182" t="s">
        <v>4</v>
      </c>
    </row>
    <row r="13" spans="2:18" s="182" customFormat="1" ht="15" customHeight="1" x14ac:dyDescent="0.25">
      <c r="B13" s="185" t="s">
        <v>258</v>
      </c>
      <c r="C13" s="152" t="s">
        <v>259</v>
      </c>
      <c r="D13" s="182" t="s">
        <v>4</v>
      </c>
      <c r="E13" s="194">
        <f ca="1"/>
        <v>42423</v>
      </c>
      <c r="F13" s="141">
        <f ca="1"/>
        <v>42781</v>
      </c>
      <c r="G13" s="125">
        <f ca="1"/>
        <v>358</v>
      </c>
      <c r="H13" s="203">
        <f ca="1"/>
        <v>0.97777800000000004</v>
      </c>
      <c r="I13" s="141">
        <f ca="1"/>
        <v>42781</v>
      </c>
      <c r="J13" s="142">
        <f ca="1"/>
        <v>10000000</v>
      </c>
      <c r="K13" s="126">
        <f ca="1"/>
        <v>1</v>
      </c>
      <c r="L13" s="210">
        <f ca="1"/>
        <v>0.1</v>
      </c>
      <c r="M13" s="142">
        <f ca="1"/>
        <v>977777.77777799999</v>
      </c>
      <c r="N13" s="134">
        <f ca="1"/>
        <v>1.0037</v>
      </c>
      <c r="O13" s="142">
        <f ca="1"/>
        <v>-981395.65415900003</v>
      </c>
      <c r="P13" s="125" t="str">
        <f ca="1"/>
        <v/>
      </c>
      <c r="Q13" s="195" t="str">
        <f ca="1"/>
        <v/>
      </c>
      <c r="R13" s="182" t="s">
        <v>4</v>
      </c>
    </row>
    <row r="14" spans="2:18" s="182" customFormat="1" ht="15" customHeight="1" x14ac:dyDescent="0.25">
      <c r="B14" s="185" t="s">
        <v>301</v>
      </c>
      <c r="C14" s="152" t="s">
        <v>304</v>
      </c>
      <c r="D14" s="182" t="s">
        <v>4</v>
      </c>
      <c r="E14" s="194">
        <f ca="1"/>
        <v>42781</v>
      </c>
      <c r="F14" s="141">
        <f ca="1"/>
        <v>43152</v>
      </c>
      <c r="G14" s="125">
        <f ca="1"/>
        <v>371</v>
      </c>
      <c r="H14" s="203">
        <f ca="1"/>
        <v>1.016667</v>
      </c>
      <c r="I14" s="141">
        <f ca="1"/>
        <v>43152</v>
      </c>
      <c r="J14" s="142">
        <f ca="1"/>
        <v>9000000</v>
      </c>
      <c r="K14" s="126">
        <f ca="1"/>
        <v>1</v>
      </c>
      <c r="L14" s="210">
        <f ca="1"/>
        <v>0.09</v>
      </c>
      <c r="M14" s="142">
        <f ca="1"/>
        <v>823500</v>
      </c>
      <c r="N14" s="134">
        <f ca="1"/>
        <v>1.0077069999999999</v>
      </c>
      <c r="O14" s="142">
        <f ca="1"/>
        <v>-829846.66235300002</v>
      </c>
      <c r="P14" s="125" t="str">
        <f ca="1"/>
        <v/>
      </c>
      <c r="Q14" s="195" t="str">
        <f ca="1"/>
        <v/>
      </c>
      <c r="R14" s="182" t="s">
        <v>4</v>
      </c>
    </row>
    <row r="15" spans="2:18" s="182" customFormat="1" ht="15" customHeight="1" x14ac:dyDescent="0.25">
      <c r="B15" s="185" t="s">
        <v>205</v>
      </c>
      <c r="C15" s="172" t="s">
        <v>188</v>
      </c>
      <c r="D15" s="182" t="s">
        <v>4</v>
      </c>
      <c r="E15" s="194">
        <f ca="1"/>
        <v>43152</v>
      </c>
      <c r="F15" s="141">
        <f ca="1"/>
        <v>43516</v>
      </c>
      <c r="G15" s="125">
        <f ca="1"/>
        <v>364</v>
      </c>
      <c r="H15" s="203">
        <f ca="1"/>
        <v>0.99722200000000005</v>
      </c>
      <c r="I15" s="141">
        <f ca="1"/>
        <v>43516</v>
      </c>
      <c r="J15" s="142">
        <f ca="1"/>
        <v>8000000</v>
      </c>
      <c r="K15" s="126">
        <f ca="1"/>
        <v>1</v>
      </c>
      <c r="L15" s="210">
        <f ca="1"/>
        <v>0.08</v>
      </c>
      <c r="M15" s="142">
        <f ca="1"/>
        <v>638222.22222200001</v>
      </c>
      <c r="N15" s="134">
        <f ca="1"/>
        <v>1.0104690000000001</v>
      </c>
      <c r="O15" s="142">
        <f ca="1"/>
        <v>-644903.86590600002</v>
      </c>
      <c r="P15" s="125" t="str">
        <f ca="1"/>
        <v/>
      </c>
      <c r="Q15" s="195" t="str">
        <f ca="1"/>
        <v/>
      </c>
      <c r="R15" s="182" t="s">
        <v>4</v>
      </c>
    </row>
    <row r="16" spans="2:18" s="182" customFormat="1" ht="15" customHeight="1" x14ac:dyDescent="0.25">
      <c r="B16" s="185" t="s">
        <v>223</v>
      </c>
      <c r="C16" s="172" t="s">
        <v>302</v>
      </c>
      <c r="D16" s="182" t="s">
        <v>4</v>
      </c>
      <c r="E16" s="194">
        <f ca="1"/>
        <v>43516</v>
      </c>
      <c r="F16" s="141">
        <f ca="1"/>
        <v>43880</v>
      </c>
      <c r="G16" s="125">
        <f ca="1"/>
        <v>364</v>
      </c>
      <c r="H16" s="203">
        <f ca="1"/>
        <v>0.99722200000000005</v>
      </c>
      <c r="I16" s="141">
        <f ca="1"/>
        <v>43880</v>
      </c>
      <c r="J16" s="142">
        <f ca="1"/>
        <v>7000000</v>
      </c>
      <c r="K16" s="126">
        <f ca="1"/>
        <v>1</v>
      </c>
      <c r="L16" s="210">
        <f ca="1"/>
        <v>7.0000000000000007E-2</v>
      </c>
      <c r="M16" s="142">
        <f ca="1"/>
        <v>488638.88888899999</v>
      </c>
      <c r="N16" s="134">
        <f ca="1"/>
        <v>1.0110859999999999</v>
      </c>
      <c r="O16" s="142">
        <f ca="1"/>
        <v>-494055.91030300001</v>
      </c>
      <c r="P16" s="125" t="str">
        <f ca="1"/>
        <v/>
      </c>
      <c r="Q16" s="195" t="str">
        <f ca="1"/>
        <v/>
      </c>
      <c r="R16" s="182" t="s">
        <v>4</v>
      </c>
    </row>
    <row r="17" spans="2:18" s="182" customFormat="1" ht="15" customHeight="1" x14ac:dyDescent="0.25">
      <c r="B17" s="185" t="s">
        <v>16</v>
      </c>
      <c r="C17" s="172" t="s">
        <v>17</v>
      </c>
      <c r="D17" s="182" t="s">
        <v>4</v>
      </c>
      <c r="E17" s="194">
        <f ca="1"/>
        <v>43880</v>
      </c>
      <c r="F17" s="141">
        <f ca="1"/>
        <v>46076</v>
      </c>
      <c r="G17" s="125">
        <f ca="1"/>
        <v>2196</v>
      </c>
      <c r="H17" s="203">
        <f ca="1"/>
        <v>6.0111109999999996</v>
      </c>
      <c r="I17" s="141">
        <f ca="1"/>
        <v>46076</v>
      </c>
      <c r="J17" s="142">
        <f ca="1"/>
        <v>6000000</v>
      </c>
      <c r="K17" s="126">
        <f ca="1"/>
        <v>1</v>
      </c>
      <c r="L17" s="210">
        <f ca="1"/>
        <v>0.06</v>
      </c>
      <c r="M17" s="142">
        <f ca="1"/>
        <v>2164000</v>
      </c>
      <c r="N17" s="134">
        <f ca="1"/>
        <v>0.95772100000000004</v>
      </c>
      <c r="O17" s="142">
        <f ca="1"/>
        <v>-2072508.5425849999</v>
      </c>
      <c r="P17" s="125" t="str">
        <f ca="1"/>
        <v/>
      </c>
      <c r="Q17" s="195" t="str">
        <f ca="1"/>
        <v/>
      </c>
      <c r="R17" s="182" t="s">
        <v>4</v>
      </c>
    </row>
    <row r="18" spans="2:18" s="182" customFormat="1" ht="15" customHeight="1" x14ac:dyDescent="0.25">
      <c r="B18" s="188"/>
      <c r="C18" s="189"/>
      <c r="D18" s="182" t="s">
        <v>4</v>
      </c>
      <c r="E18" s="194" t="str">
        <f ca="1"/>
        <v/>
      </c>
      <c r="F18" s="141" t="str">
        <f ca="1"/>
        <v/>
      </c>
      <c r="G18" s="125" t="str">
        <f ca="1"/>
        <v/>
      </c>
      <c r="H18" s="203" t="str">
        <f ca="1"/>
        <v/>
      </c>
      <c r="I18" s="141" t="str">
        <f ca="1"/>
        <v/>
      </c>
      <c r="J18" s="142" t="str">
        <f ca="1"/>
        <v/>
      </c>
      <c r="K18" s="126" t="str">
        <f ca="1"/>
        <v/>
      </c>
      <c r="L18" s="210" t="str">
        <f ca="1"/>
        <v/>
      </c>
      <c r="M18" s="142" t="str">
        <f ca="1"/>
        <v/>
      </c>
      <c r="N18" s="134" t="str">
        <f ca="1"/>
        <v/>
      </c>
      <c r="O18" s="142" t="str">
        <f ca="1"/>
        <v/>
      </c>
      <c r="P18" s="125" t="str">
        <f ca="1"/>
        <v/>
      </c>
      <c r="Q18" s="195" t="str">
        <f ca="1"/>
        <v/>
      </c>
      <c r="R18" s="182" t="s">
        <v>4</v>
      </c>
    </row>
    <row r="19" spans="2:18" s="182" customFormat="1" ht="15" customHeight="1" x14ac:dyDescent="0.25">
      <c r="B19" s="188"/>
      <c r="C19" s="189"/>
      <c r="D19" s="182" t="s">
        <v>4</v>
      </c>
      <c r="E19" s="194" t="str">
        <f ca="1"/>
        <v/>
      </c>
      <c r="F19" s="141" t="str">
        <f ca="1"/>
        <v/>
      </c>
      <c r="G19" s="125" t="str">
        <f ca="1"/>
        <v/>
      </c>
      <c r="H19" s="203" t="str">
        <f ca="1"/>
        <v/>
      </c>
      <c r="I19" s="141" t="str">
        <f ca="1"/>
        <v/>
      </c>
      <c r="J19" s="142" t="str">
        <f ca="1"/>
        <v/>
      </c>
      <c r="K19" s="126" t="str">
        <f ca="1"/>
        <v/>
      </c>
      <c r="L19" s="210" t="str">
        <f ca="1"/>
        <v/>
      </c>
      <c r="M19" s="142" t="str">
        <f ca="1"/>
        <v/>
      </c>
      <c r="N19" s="134" t="str">
        <f ca="1"/>
        <v/>
      </c>
      <c r="O19" s="142" t="str">
        <f ca="1"/>
        <v/>
      </c>
      <c r="P19" s="125" t="str">
        <f ca="1"/>
        <v/>
      </c>
      <c r="Q19" s="195" t="str">
        <f ca="1"/>
        <v/>
      </c>
      <c r="R19" s="182" t="s">
        <v>4</v>
      </c>
    </row>
    <row r="20" spans="2:18" s="182" customFormat="1" ht="15" customHeight="1" x14ac:dyDescent="0.25">
      <c r="B20" s="188"/>
      <c r="C20" s="189"/>
      <c r="D20" s="182" t="s">
        <v>4</v>
      </c>
      <c r="E20" s="194" t="str">
        <f ca="1"/>
        <v/>
      </c>
      <c r="F20" s="141" t="str">
        <f ca="1"/>
        <v/>
      </c>
      <c r="G20" s="125" t="str">
        <f ca="1"/>
        <v/>
      </c>
      <c r="H20" s="203" t="str">
        <f ca="1"/>
        <v/>
      </c>
      <c r="I20" s="141" t="str">
        <f ca="1"/>
        <v/>
      </c>
      <c r="J20" s="142" t="str">
        <f ca="1"/>
        <v/>
      </c>
      <c r="K20" s="126" t="str">
        <f ca="1"/>
        <v/>
      </c>
      <c r="L20" s="210" t="str">
        <f ca="1"/>
        <v/>
      </c>
      <c r="M20" s="142" t="str">
        <f ca="1"/>
        <v/>
      </c>
      <c r="N20" s="134" t="str">
        <f ca="1"/>
        <v/>
      </c>
      <c r="O20" s="142" t="str">
        <f ca="1"/>
        <v/>
      </c>
      <c r="P20" s="134" t="str">
        <f ca="1"/>
        <v/>
      </c>
      <c r="Q20" s="213" t="str">
        <f ca="1"/>
        <v/>
      </c>
      <c r="R20" s="182" t="s">
        <v>4</v>
      </c>
    </row>
    <row r="21" spans="2:18" s="182" customFormat="1" ht="15" customHeight="1" x14ac:dyDescent="0.25">
      <c r="B21" s="188"/>
      <c r="C21" s="189"/>
      <c r="D21" s="182" t="s">
        <v>4</v>
      </c>
      <c r="E21" s="194" t="str">
        <f ca="1"/>
        <v/>
      </c>
      <c r="F21" s="141" t="str">
        <f ca="1"/>
        <v/>
      </c>
      <c r="G21" s="125" t="str">
        <f ca="1"/>
        <v/>
      </c>
      <c r="H21" s="203" t="str">
        <f ca="1"/>
        <v/>
      </c>
      <c r="I21" s="141" t="str">
        <f ca="1"/>
        <v/>
      </c>
      <c r="J21" s="142" t="str">
        <f ca="1"/>
        <v/>
      </c>
      <c r="K21" s="126" t="str">
        <f ca="1"/>
        <v/>
      </c>
      <c r="L21" s="210" t="str">
        <f ca="1"/>
        <v/>
      </c>
      <c r="M21" s="142" t="str">
        <f ca="1"/>
        <v/>
      </c>
      <c r="N21" s="134" t="str">
        <f ca="1"/>
        <v/>
      </c>
      <c r="O21" s="142" t="str">
        <f ca="1"/>
        <v/>
      </c>
      <c r="P21" s="134" t="str">
        <f ca="1"/>
        <v/>
      </c>
      <c r="Q21" s="213" t="str">
        <f ca="1"/>
        <v/>
      </c>
      <c r="R21" s="182" t="s">
        <v>4</v>
      </c>
    </row>
    <row r="22" spans="2:18" s="182" customFormat="1" ht="15" customHeight="1" x14ac:dyDescent="0.25">
      <c r="B22" s="188"/>
      <c r="C22" s="189"/>
      <c r="D22" s="182" t="s">
        <v>4</v>
      </c>
      <c r="E22" s="194" t="str">
        <f ca="1"/>
        <v/>
      </c>
      <c r="F22" s="141" t="str">
        <f ca="1"/>
        <v/>
      </c>
      <c r="G22" s="125" t="str">
        <f ca="1"/>
        <v/>
      </c>
      <c r="H22" s="203" t="str">
        <f ca="1"/>
        <v/>
      </c>
      <c r="I22" s="141" t="str">
        <f ca="1"/>
        <v/>
      </c>
      <c r="J22" s="142" t="str">
        <f ca="1"/>
        <v/>
      </c>
      <c r="K22" s="126" t="str">
        <f ca="1"/>
        <v/>
      </c>
      <c r="L22" s="210" t="str">
        <f ca="1"/>
        <v/>
      </c>
      <c r="M22" s="142" t="str">
        <f ca="1"/>
        <v/>
      </c>
      <c r="N22" s="134" t="str">
        <f ca="1"/>
        <v/>
      </c>
      <c r="O22" s="142" t="str">
        <f ca="1"/>
        <v/>
      </c>
      <c r="P22" s="134" t="str">
        <f ca="1"/>
        <v/>
      </c>
      <c r="Q22" s="213" t="str">
        <f ca="1"/>
        <v/>
      </c>
      <c r="R22" s="182" t="s">
        <v>4</v>
      </c>
    </row>
    <row r="23" spans="2:18" s="182" customFormat="1" ht="15" customHeight="1" x14ac:dyDescent="0.25">
      <c r="B23" s="190"/>
      <c r="C23" s="191"/>
      <c r="D23" s="182" t="s">
        <v>4</v>
      </c>
      <c r="E23" s="196" t="str">
        <f ca="1"/>
        <v/>
      </c>
      <c r="F23" s="197" t="str">
        <f ca="1"/>
        <v/>
      </c>
      <c r="G23" s="198" t="str">
        <f ca="1"/>
        <v/>
      </c>
      <c r="H23" s="204" t="str">
        <f ca="1"/>
        <v/>
      </c>
      <c r="I23" s="197" t="str">
        <f ca="1"/>
        <v/>
      </c>
      <c r="J23" s="206" t="str">
        <f ca="1"/>
        <v/>
      </c>
      <c r="K23" s="201" t="str">
        <f ca="1"/>
        <v/>
      </c>
      <c r="L23" s="285" t="str">
        <f ca="1"/>
        <v/>
      </c>
      <c r="M23" s="206" t="str">
        <f ca="1"/>
        <v/>
      </c>
      <c r="N23" s="135" t="str">
        <f ca="1"/>
        <v/>
      </c>
      <c r="O23" s="206" t="str">
        <f ca="1"/>
        <v/>
      </c>
      <c r="P23" s="135" t="str">
        <f ca="1"/>
        <v/>
      </c>
      <c r="Q23" s="214" t="str">
        <f ca="1"/>
        <v/>
      </c>
      <c r="R23" s="182" t="s">
        <v>4</v>
      </c>
    </row>
    <row r="24" spans="2:18" s="182" customFormat="1" ht="15" customHeight="1" x14ac:dyDescent="0.25">
      <c r="D24" s="182" t="s">
        <v>4</v>
      </c>
      <c r="E24" s="182" t="s">
        <v>4</v>
      </c>
      <c r="F24" s="182" t="s">
        <v>4</v>
      </c>
      <c r="G24" s="182" t="s">
        <v>4</v>
      </c>
      <c r="H24" s="182" t="s">
        <v>4</v>
      </c>
      <c r="I24" s="182" t="s">
        <v>4</v>
      </c>
      <c r="J24" s="182" t="s">
        <v>4</v>
      </c>
      <c r="K24" s="182" t="s">
        <v>4</v>
      </c>
      <c r="L24" s="182" t="s">
        <v>4</v>
      </c>
      <c r="M24" s="182" t="s">
        <v>4</v>
      </c>
      <c r="N24" s="182" t="s">
        <v>4</v>
      </c>
      <c r="O24" s="182" t="s">
        <v>4</v>
      </c>
      <c r="P24" s="182" t="s">
        <v>4</v>
      </c>
      <c r="Q24" s="182" t="s">
        <v>4</v>
      </c>
      <c r="R24" s="182" t="s">
        <v>4</v>
      </c>
    </row>
    <row r="25" spans="2:18" s="182" customFormat="1" ht="15" customHeight="1" x14ac:dyDescent="0.25">
      <c r="D25" s="182" t="s">
        <v>4</v>
      </c>
      <c r="E25" s="182" t="s">
        <v>4</v>
      </c>
      <c r="F25" s="182" t="s">
        <v>4</v>
      </c>
      <c r="G25" s="182" t="s">
        <v>4</v>
      </c>
      <c r="H25" s="182" t="s">
        <v>4</v>
      </c>
      <c r="I25" s="182" t="s">
        <v>4</v>
      </c>
      <c r="J25" s="182" t="s">
        <v>4</v>
      </c>
      <c r="K25" s="182" t="s">
        <v>4</v>
      </c>
      <c r="L25" s="182" t="s">
        <v>4</v>
      </c>
      <c r="M25" s="182" t="s">
        <v>4</v>
      </c>
      <c r="N25" s="182" t="s">
        <v>4</v>
      </c>
      <c r="O25" s="182" t="s">
        <v>4</v>
      </c>
      <c r="P25" s="182" t="s">
        <v>4</v>
      </c>
      <c r="Q25" s="182" t="s">
        <v>4</v>
      </c>
      <c r="R25" s="182" t="s">
        <v>4</v>
      </c>
    </row>
    <row r="26" spans="2:18" s="182" customFormat="1" ht="15" customHeight="1" x14ac:dyDescent="0.3">
      <c r="B26" s="186" t="s">
        <v>269</v>
      </c>
      <c r="D26" s="182" t="s">
        <v>4</v>
      </c>
      <c r="E26" s="140" t="s">
        <v>291</v>
      </c>
      <c r="R26" s="182" t="s">
        <v>4</v>
      </c>
    </row>
    <row r="27" spans="2:18" s="182" customFormat="1" ht="15" customHeight="1" x14ac:dyDescent="0.25">
      <c r="B27" s="183" t="s">
        <v>268</v>
      </c>
      <c r="C27" s="180" t="str">
        <f ca="1">CustomFloatSchedule</f>
        <v>CUSTOMFLOATSCHEDULE:1</v>
      </c>
      <c r="D27" s="182" t="s">
        <v>4</v>
      </c>
      <c r="E27" s="131" t="str">
        <f t="array" aca="1" ref="E27:Q39" ca="1">_xll.meUtilityResize(_xll.meLWOSwapDisplayCashflows(C6,C7,C28),50,50)</f>
        <v>LEG2:FLOAT Leg Schedule &amp; Cashflows</v>
      </c>
      <c r="F27" s="132" t="str">
        <f ca="1"/>
        <v/>
      </c>
      <c r="G27" s="132" t="str">
        <f ca="1"/>
        <v/>
      </c>
      <c r="H27" s="202" t="str">
        <f ca="1"/>
        <v/>
      </c>
      <c r="I27" s="132" t="str">
        <f ca="1"/>
        <v/>
      </c>
      <c r="J27" s="205" t="str">
        <f ca="1"/>
        <v/>
      </c>
      <c r="K27" s="200" t="str">
        <f ca="1"/>
        <v/>
      </c>
      <c r="L27" s="132" t="str">
        <f ca="1"/>
        <v/>
      </c>
      <c r="M27" s="132" t="str">
        <f ca="1"/>
        <v/>
      </c>
      <c r="N27" s="132" t="str">
        <f ca="1"/>
        <v/>
      </c>
      <c r="O27" s="132" t="str">
        <f ca="1"/>
        <v/>
      </c>
      <c r="P27" s="132" t="str">
        <f ca="1"/>
        <v/>
      </c>
      <c r="Q27" s="133" t="str">
        <f ca="1"/>
        <v/>
      </c>
      <c r="R27" s="182" t="s">
        <v>4</v>
      </c>
    </row>
    <row r="28" spans="2:18" s="182" customFormat="1" ht="15" customHeight="1" x14ac:dyDescent="0.25">
      <c r="B28" s="184" t="s">
        <v>284</v>
      </c>
      <c r="C28" s="171" t="s">
        <v>286</v>
      </c>
      <c r="D28" s="182" t="s">
        <v>4</v>
      </c>
      <c r="E28" s="194" t="str">
        <f ca="1"/>
        <v>FixingDate</v>
      </c>
      <c r="F28" s="141" t="str">
        <f ca="1"/>
        <v>AccrualStart</v>
      </c>
      <c r="G28" s="141" t="str">
        <f ca="1"/>
        <v>AccrualEnd</v>
      </c>
      <c r="H28" s="203" t="str">
        <f ca="1"/>
        <v>AccrualDays</v>
      </c>
      <c r="I28" s="141" t="str">
        <f ca="1"/>
        <v>AccrualYearFractions</v>
      </c>
      <c r="J28" s="142" t="str">
        <f ca="1"/>
        <v>PaymentDate</v>
      </c>
      <c r="K28" s="126" t="str">
        <f ca="1"/>
        <v>Notional</v>
      </c>
      <c r="L28" s="125" t="str">
        <f ca="1"/>
        <v>Leverage</v>
      </c>
      <c r="M28" s="125" t="str">
        <f ca="1"/>
        <v>FloatSpread</v>
      </c>
      <c r="N28" s="125" t="str">
        <f ca="1"/>
        <v>FloatRate</v>
      </c>
      <c r="O28" s="125" t="str">
        <f ca="1"/>
        <v>Coupon</v>
      </c>
      <c r="P28" s="125" t="str">
        <f ca="1"/>
        <v>DiscountFactor</v>
      </c>
      <c r="Q28" s="195" t="str">
        <f ca="1"/>
        <v>CouponPV</v>
      </c>
      <c r="R28" s="182" t="s">
        <v>4</v>
      </c>
    </row>
    <row r="29" spans="2:18" s="182" customFormat="1" ht="15" customHeight="1" x14ac:dyDescent="0.25">
      <c r="B29" s="185" t="s">
        <v>258</v>
      </c>
      <c r="C29" s="152" t="s">
        <v>259</v>
      </c>
      <c r="D29" s="182" t="s">
        <v>4</v>
      </c>
      <c r="E29" s="194">
        <f ca="1"/>
        <v>42423</v>
      </c>
      <c r="F29" s="141">
        <f ca="1"/>
        <v>42423</v>
      </c>
      <c r="G29" s="141">
        <f ca="1"/>
        <v>42583</v>
      </c>
      <c r="H29" s="142">
        <f ca="1"/>
        <v>160</v>
      </c>
      <c r="I29" s="203">
        <f ca="1"/>
        <v>0.43888899999999997</v>
      </c>
      <c r="J29" s="141">
        <f ca="1"/>
        <v>42605</v>
      </c>
      <c r="K29" s="142">
        <f ca="1"/>
        <v>10000000</v>
      </c>
      <c r="L29" s="126">
        <f ca="1"/>
        <v>1</v>
      </c>
      <c r="M29" s="126">
        <f ca="1"/>
        <v>10</v>
      </c>
      <c r="N29" s="286">
        <f ca="1"/>
        <v>-1.31E-3</v>
      </c>
      <c r="O29" s="142">
        <f ca="1"/>
        <v>-1360.555556</v>
      </c>
      <c r="P29" s="134">
        <f ca="1"/>
        <v>1.0017780000000001</v>
      </c>
      <c r="Q29" s="213">
        <f ca="1"/>
        <v>-1362.974602</v>
      </c>
      <c r="R29" s="182" t="s">
        <v>4</v>
      </c>
    </row>
    <row r="30" spans="2:18" s="182" customFormat="1" ht="15" customHeight="1" x14ac:dyDescent="0.25">
      <c r="B30" s="187" t="s">
        <v>301</v>
      </c>
      <c r="C30" s="152" t="s">
        <v>303</v>
      </c>
      <c r="D30" s="182" t="s">
        <v>4</v>
      </c>
      <c r="E30" s="194">
        <f ca="1"/>
        <v>42605</v>
      </c>
      <c r="F30" s="141">
        <f ca="1"/>
        <v>42605</v>
      </c>
      <c r="G30" s="141">
        <f ca="1"/>
        <v>42767</v>
      </c>
      <c r="H30" s="142">
        <f ca="1"/>
        <v>162</v>
      </c>
      <c r="I30" s="203">
        <f ca="1"/>
        <v>0.43888899999999997</v>
      </c>
      <c r="J30" s="141">
        <f ca="1"/>
        <v>42789</v>
      </c>
      <c r="K30" s="142">
        <f ca="1"/>
        <v>9000000</v>
      </c>
      <c r="L30" s="126">
        <f ca="1"/>
        <v>1</v>
      </c>
      <c r="M30" s="126">
        <f ca="1"/>
        <v>9</v>
      </c>
      <c r="N30" s="286">
        <f ca="1"/>
        <v>-1.4399999999999999E-3</v>
      </c>
      <c r="O30" s="142">
        <f ca="1"/>
        <v>-2133</v>
      </c>
      <c r="P30" s="134">
        <f ca="1"/>
        <v>1.0037929999999999</v>
      </c>
      <c r="Q30" s="213">
        <f ca="1"/>
        <v>-2141.0898910000001</v>
      </c>
      <c r="R30" s="182" t="s">
        <v>4</v>
      </c>
    </row>
    <row r="31" spans="2:18" s="182" customFormat="1" ht="15" customHeight="1" x14ac:dyDescent="0.25">
      <c r="B31" s="187" t="s">
        <v>205</v>
      </c>
      <c r="C31" s="173" t="s">
        <v>188</v>
      </c>
      <c r="D31" s="182" t="s">
        <v>4</v>
      </c>
      <c r="E31" s="194">
        <f ca="1"/>
        <v>42789</v>
      </c>
      <c r="F31" s="141">
        <f ca="1"/>
        <v>42789</v>
      </c>
      <c r="G31" s="141">
        <f ca="1"/>
        <v>42948</v>
      </c>
      <c r="H31" s="142">
        <f ca="1"/>
        <v>159</v>
      </c>
      <c r="I31" s="203">
        <f ca="1"/>
        <v>0.43888899999999997</v>
      </c>
      <c r="J31" s="141">
        <f ca="1"/>
        <v>42970</v>
      </c>
      <c r="K31" s="142">
        <f ca="1"/>
        <v>8000000</v>
      </c>
      <c r="L31" s="126">
        <f ca="1"/>
        <v>1</v>
      </c>
      <c r="M31" s="126">
        <f ca="1"/>
        <v>8</v>
      </c>
      <c r="N31" s="286">
        <f ca="1"/>
        <v>-1.41E-3</v>
      </c>
      <c r="O31" s="142">
        <f ca="1"/>
        <v>-2141.7777780000001</v>
      </c>
      <c r="P31" s="134">
        <f ca="1"/>
        <v>1.005811</v>
      </c>
      <c r="Q31" s="213">
        <f ca="1"/>
        <v>-2154.2245760000001</v>
      </c>
      <c r="R31" s="182" t="s">
        <v>4</v>
      </c>
    </row>
    <row r="32" spans="2:18" s="182" customFormat="1" ht="15" customHeight="1" x14ac:dyDescent="0.25">
      <c r="B32" s="187" t="s">
        <v>223</v>
      </c>
      <c r="C32" s="173" t="s">
        <v>302</v>
      </c>
      <c r="D32" s="182" t="s">
        <v>4</v>
      </c>
      <c r="E32" s="194">
        <f ca="1"/>
        <v>42970</v>
      </c>
      <c r="F32" s="141">
        <f ca="1"/>
        <v>42970</v>
      </c>
      <c r="G32" s="141">
        <f ca="1"/>
        <v>43132</v>
      </c>
      <c r="H32" s="142">
        <f ca="1"/>
        <v>162</v>
      </c>
      <c r="I32" s="203">
        <f ca="1"/>
        <v>0.43888899999999997</v>
      </c>
      <c r="J32" s="141">
        <f ca="1"/>
        <v>43154</v>
      </c>
      <c r="K32" s="142">
        <f ca="1"/>
        <v>7000000</v>
      </c>
      <c r="L32" s="126">
        <f ca="1"/>
        <v>1</v>
      </c>
      <c r="M32" s="126">
        <f ca="1"/>
        <v>7</v>
      </c>
      <c r="N32" s="286">
        <f ca="1"/>
        <v>-1.0869999999999999E-3</v>
      </c>
      <c r="O32" s="142">
        <f ca="1"/>
        <v>-1189.9443799999999</v>
      </c>
      <c r="P32" s="134">
        <f ca="1"/>
        <v>1.0077259999999999</v>
      </c>
      <c r="Q32" s="213">
        <f ca="1"/>
        <v>-1199.138205</v>
      </c>
      <c r="R32" s="182" t="s">
        <v>4</v>
      </c>
    </row>
    <row r="33" spans="2:18" s="182" customFormat="1" ht="15" customHeight="1" x14ac:dyDescent="0.25">
      <c r="B33" s="187" t="s">
        <v>16</v>
      </c>
      <c r="C33" s="173" t="s">
        <v>17</v>
      </c>
      <c r="D33" s="182" t="s">
        <v>4</v>
      </c>
      <c r="E33" s="194">
        <f ca="1"/>
        <v>43154</v>
      </c>
      <c r="F33" s="141">
        <f ca="1"/>
        <v>43154</v>
      </c>
      <c r="G33" s="141">
        <f ca="1"/>
        <v>43313</v>
      </c>
      <c r="H33" s="142">
        <f ca="1"/>
        <v>159</v>
      </c>
      <c r="I33" s="203">
        <f ca="1"/>
        <v>0.43888899999999997</v>
      </c>
      <c r="J33" s="141">
        <f ca="1"/>
        <v>43335</v>
      </c>
      <c r="K33" s="142">
        <f ca="1"/>
        <v>6000000</v>
      </c>
      <c r="L33" s="126">
        <f ca="1"/>
        <v>1</v>
      </c>
      <c r="M33" s="126">
        <f ca="1"/>
        <v>6</v>
      </c>
      <c r="N33" s="286">
        <f ca="1"/>
        <v>-4.3199999999999998E-4</v>
      </c>
      <c r="O33" s="142">
        <f ca="1"/>
        <v>443.00459699999999</v>
      </c>
      <c r="P33" s="134">
        <f ca="1"/>
        <v>1.009288</v>
      </c>
      <c r="Q33" s="213">
        <f ca="1"/>
        <v>447.119439</v>
      </c>
      <c r="R33" s="182" t="s">
        <v>4</v>
      </c>
    </row>
    <row r="34" spans="2:18" s="182" customFormat="1" ht="15" customHeight="1" x14ac:dyDescent="0.25">
      <c r="B34" s="187" t="s">
        <v>206</v>
      </c>
      <c r="C34" s="174"/>
      <c r="D34" s="182" t="s">
        <v>4</v>
      </c>
      <c r="E34" s="194">
        <f ca="1"/>
        <v>43335</v>
      </c>
      <c r="F34" s="141">
        <f ca="1"/>
        <v>43335</v>
      </c>
      <c r="G34" s="141">
        <f ca="1"/>
        <v>43497</v>
      </c>
      <c r="H34" s="142">
        <f ca="1"/>
        <v>162</v>
      </c>
      <c r="I34" s="203">
        <f ca="1"/>
        <v>0.43888899999999997</v>
      </c>
      <c r="J34" s="141">
        <f ca="1"/>
        <v>43521</v>
      </c>
      <c r="K34" s="142">
        <f ca="1"/>
        <v>5000000</v>
      </c>
      <c r="L34" s="126">
        <f ca="1"/>
        <v>1</v>
      </c>
      <c r="M34" s="126">
        <f ca="1"/>
        <v>5</v>
      </c>
      <c r="N34" s="286">
        <f ca="1"/>
        <v>4.9899999999999999E-4</v>
      </c>
      <c r="O34" s="142">
        <f ca="1"/>
        <v>2191.6714280000001</v>
      </c>
      <c r="P34" s="134">
        <f ca="1"/>
        <v>1.0104949999999999</v>
      </c>
      <c r="Q34" s="213">
        <f ca="1"/>
        <v>2214.673378</v>
      </c>
      <c r="R34" s="182" t="s">
        <v>4</v>
      </c>
    </row>
    <row r="35" spans="2:18" s="182" customFormat="1" ht="15" customHeight="1" x14ac:dyDescent="0.25">
      <c r="B35" s="187" t="s">
        <v>220</v>
      </c>
      <c r="C35" s="174"/>
      <c r="D35" s="182" t="s">
        <v>4</v>
      </c>
      <c r="E35" s="194">
        <f ca="1"/>
        <v>43521</v>
      </c>
      <c r="F35" s="141">
        <f ca="1"/>
        <v>43521</v>
      </c>
      <c r="G35" s="141">
        <f ca="1"/>
        <v>43678</v>
      </c>
      <c r="H35" s="142">
        <f ca="1"/>
        <v>157</v>
      </c>
      <c r="I35" s="203">
        <f ca="1"/>
        <v>0.43333300000000002</v>
      </c>
      <c r="J35" s="141">
        <f ca="1"/>
        <v>43700</v>
      </c>
      <c r="K35" s="142">
        <f ca="1"/>
        <v>4000000</v>
      </c>
      <c r="L35" s="126">
        <f ca="1"/>
        <v>1</v>
      </c>
      <c r="M35" s="126">
        <f ca="1"/>
        <v>4</v>
      </c>
      <c r="N35" s="286">
        <f ca="1"/>
        <v>1.6459999999999999E-3</v>
      </c>
      <c r="O35" s="142">
        <f ca="1"/>
        <v>3545.7971710000002</v>
      </c>
      <c r="P35" s="134">
        <f ca="1"/>
        <v>1.0110950000000001</v>
      </c>
      <c r="Q35" s="213">
        <f ca="1"/>
        <v>3585.1392209999999</v>
      </c>
      <c r="R35" s="182" t="s">
        <v>4</v>
      </c>
    </row>
    <row r="36" spans="2:18" s="182" customFormat="1" ht="15" customHeight="1" x14ac:dyDescent="0.25">
      <c r="B36" s="188"/>
      <c r="C36" s="189"/>
      <c r="D36" s="182" t="s">
        <v>4</v>
      </c>
      <c r="E36" s="194">
        <f ca="1"/>
        <v>43700</v>
      </c>
      <c r="F36" s="141">
        <f ca="1"/>
        <v>43700</v>
      </c>
      <c r="G36" s="141">
        <f ca="1"/>
        <v>43862</v>
      </c>
      <c r="H36" s="142">
        <f ca="1"/>
        <v>162</v>
      </c>
      <c r="I36" s="203">
        <f ca="1"/>
        <v>0.43888899999999997</v>
      </c>
      <c r="J36" s="141">
        <f ca="1"/>
        <v>43885</v>
      </c>
      <c r="K36" s="142">
        <f ca="1"/>
        <v>3000000</v>
      </c>
      <c r="L36" s="126">
        <f ca="1"/>
        <v>1</v>
      </c>
      <c r="M36" s="126">
        <f ca="1"/>
        <v>3</v>
      </c>
      <c r="N36" s="286">
        <f ca="1"/>
        <v>2.856E-3</v>
      </c>
      <c r="O36" s="142">
        <f ca="1"/>
        <v>4155.1638350000003</v>
      </c>
      <c r="P36" s="134">
        <f ca="1"/>
        <v>1.011077</v>
      </c>
      <c r="Q36" s="213">
        <f ca="1"/>
        <v>4201.1909310000001</v>
      </c>
      <c r="R36" s="182" t="s">
        <v>4</v>
      </c>
    </row>
    <row r="37" spans="2:18" s="182" customFormat="1" ht="15" customHeight="1" x14ac:dyDescent="0.25">
      <c r="B37" s="192"/>
      <c r="C37" s="189"/>
      <c r="D37" s="182" t="s">
        <v>4</v>
      </c>
      <c r="E37" s="194">
        <f ca="1"/>
        <v>43885</v>
      </c>
      <c r="F37" s="141">
        <f ca="1"/>
        <v>43885</v>
      </c>
      <c r="G37" s="141">
        <f ca="1"/>
        <v>44044</v>
      </c>
      <c r="H37" s="142">
        <f ca="1"/>
        <v>159</v>
      </c>
      <c r="I37" s="203">
        <f ca="1"/>
        <v>0.43611100000000003</v>
      </c>
      <c r="J37" s="141">
        <f ca="1"/>
        <v>44067</v>
      </c>
      <c r="K37" s="142">
        <f ca="1"/>
        <v>2000000</v>
      </c>
      <c r="L37" s="126">
        <f ca="1"/>
        <v>1</v>
      </c>
      <c r="M37" s="126">
        <f ca="1"/>
        <v>2</v>
      </c>
      <c r="N37" s="286">
        <f ca="1"/>
        <v>4.254E-3</v>
      </c>
      <c r="O37" s="142">
        <f ca="1"/>
        <v>3885.0573279999999</v>
      </c>
      <c r="P37" s="134">
        <f ca="1"/>
        <v>1.0103819999999999</v>
      </c>
      <c r="Q37" s="213">
        <f ca="1"/>
        <v>3925.3921460000001</v>
      </c>
      <c r="R37" s="182" t="s">
        <v>4</v>
      </c>
    </row>
    <row r="38" spans="2:18" s="182" customFormat="1" ht="15" customHeight="1" x14ac:dyDescent="0.25">
      <c r="B38" s="192"/>
      <c r="C38" s="189"/>
      <c r="D38" s="182" t="s">
        <v>4</v>
      </c>
      <c r="E38" s="194">
        <f ca="1"/>
        <v>44067</v>
      </c>
      <c r="F38" s="141">
        <f ca="1"/>
        <v>44067</v>
      </c>
      <c r="G38" s="141">
        <f ca="1"/>
        <v>46054</v>
      </c>
      <c r="H38" s="142">
        <f ca="1"/>
        <v>1987</v>
      </c>
      <c r="I38" s="203">
        <f ca="1"/>
        <v>5.4361110000000004</v>
      </c>
      <c r="J38" s="141">
        <f ca="1"/>
        <v>46076</v>
      </c>
      <c r="K38" s="142">
        <f ca="1"/>
        <v>1000000</v>
      </c>
      <c r="L38" s="126">
        <f ca="1"/>
        <v>1</v>
      </c>
      <c r="M38" s="126">
        <f ca="1"/>
        <v>1</v>
      </c>
      <c r="N38" s="286">
        <f ca="1"/>
        <v>5.535E-3</v>
      </c>
      <c r="O38" s="142">
        <f ca="1"/>
        <v>30632.567906</v>
      </c>
      <c r="P38" s="134">
        <f ca="1"/>
        <v>0.95772100000000004</v>
      </c>
      <c r="Q38" s="213">
        <f ca="1"/>
        <v>29337.457794000002</v>
      </c>
      <c r="R38" s="182" t="s">
        <v>4</v>
      </c>
    </row>
    <row r="39" spans="2:18" s="182" customFormat="1" ht="15" customHeight="1" x14ac:dyDescent="0.25">
      <c r="B39" s="193"/>
      <c r="C39" s="191"/>
      <c r="D39" s="182" t="s">
        <v>4</v>
      </c>
      <c r="E39" s="196" t="str">
        <f ca="1"/>
        <v/>
      </c>
      <c r="F39" s="197" t="str">
        <f ca="1"/>
        <v/>
      </c>
      <c r="G39" s="197" t="str">
        <f ca="1"/>
        <v/>
      </c>
      <c r="H39" s="206" t="str">
        <f ca="1"/>
        <v/>
      </c>
      <c r="I39" s="204" t="str">
        <f ca="1"/>
        <v/>
      </c>
      <c r="J39" s="197" t="str">
        <f ca="1"/>
        <v/>
      </c>
      <c r="K39" s="206" t="str">
        <f ca="1"/>
        <v/>
      </c>
      <c r="L39" s="201" t="str">
        <f ca="1"/>
        <v/>
      </c>
      <c r="M39" s="201" t="str">
        <f ca="1"/>
        <v/>
      </c>
      <c r="N39" s="287" t="str">
        <f ca="1"/>
        <v/>
      </c>
      <c r="O39" s="206" t="str">
        <f ca="1"/>
        <v/>
      </c>
      <c r="P39" s="135" t="str">
        <f ca="1"/>
        <v/>
      </c>
      <c r="Q39" s="214" t="str">
        <f ca="1"/>
        <v/>
      </c>
      <c r="R39" s="182" t="s">
        <v>4</v>
      </c>
    </row>
    <row r="40" spans="2:18" ht="15" customHeight="1" x14ac:dyDescent="0.25">
      <c r="E40" s="182"/>
      <c r="F40" s="182"/>
      <c r="G40" s="182"/>
      <c r="H40" s="182"/>
      <c r="I40" s="182"/>
      <c r="J40" s="182"/>
      <c r="K40" s="182"/>
      <c r="L40" s="182"/>
      <c r="M40" s="182"/>
      <c r="N40" s="182"/>
    </row>
  </sheetData>
  <dataValidations count="2">
    <dataValidation type="list" allowBlank="1" showInputMessage="1" showErrorMessage="1" sqref="C13 C29">
      <formula1>"NONE,START,END,START_END"</formula1>
    </dataValidation>
    <dataValidation type="list" allowBlank="1" showInputMessage="1" showErrorMessage="1" sqref="C14 C30">
      <formula1>"PAY,RECEIVE"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39</vt:i4>
      </vt:variant>
    </vt:vector>
  </HeadingPairs>
  <TitlesOfParts>
    <vt:vector size="48" baseType="lpstr">
      <vt:lpstr>Settings</vt:lpstr>
      <vt:lpstr>EUR OIS</vt:lpstr>
      <vt:lpstr>EUR SWAP 6ML</vt:lpstr>
      <vt:lpstr>EUR BASIS 3ML</vt:lpstr>
      <vt:lpstr>Create Schedule</vt:lpstr>
      <vt:lpstr>Display Schedule</vt:lpstr>
      <vt:lpstr>Custom Fixed Schedule</vt:lpstr>
      <vt:lpstr>Custom Float Schedule</vt:lpstr>
      <vt:lpstr>VariableNotionalSwap</vt:lpstr>
      <vt:lpstr>COB</vt:lpstr>
      <vt:lpstr>Curve.BuildProperties</vt:lpstr>
      <vt:lpstr>Curve.CollectionName</vt:lpstr>
      <vt:lpstr>Curve.MarketDataTable</vt:lpstr>
      <vt:lpstr>Curve.OISIndexName</vt:lpstr>
      <vt:lpstr>CustomFixedSchedule</vt:lpstr>
      <vt:lpstr>CustomFloatSchedule</vt:lpstr>
      <vt:lpstr>FixedSchedule1</vt:lpstr>
      <vt:lpstr>FloatSchedule1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2016-10-10T13:23:50Z</dcterms:modified>
</cp:coreProperties>
</file>