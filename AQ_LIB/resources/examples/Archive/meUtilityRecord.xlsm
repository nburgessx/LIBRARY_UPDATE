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90" windowWidth="20700" windowHeight="11760" tabRatio="703"/>
  </bookViews>
  <sheets>
    <sheet name="meUtility Setup Functions" sheetId="16" r:id="rId1"/>
    <sheet name="USD OIS" sheetId="9" r:id="rId2"/>
    <sheet name="USD SWAP 3ML" sheetId="10" r:id="rId3"/>
    <sheet name="GBP OIS" sheetId="11" r:id="rId4"/>
    <sheet name="GBP SWAP 6ML" sheetId="12" r:id="rId5"/>
    <sheet name="GBP BASIS 3ML" sheetId="13" r:id="rId6"/>
    <sheet name="GBP XCCY BASIS" sheetId="14" r:id="rId7"/>
    <sheet name="EUR OIS" sheetId="2" r:id="rId8"/>
    <sheet name="EUR SWAP 6ML" sheetId="3" r:id="rId9"/>
    <sheet name="EUR BASIS 3ML" sheetId="4" r:id="rId10"/>
    <sheet name="EUR XCCY BASIS" sheetId="8" r:id="rId11"/>
    <sheet name="EURGBP FX FWDS" sheetId="15" r:id="rId12"/>
  </sheets>
  <definedNames>
    <definedName name="COB">'USD OIS'!$D$20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CurveBuildProperties" localSheetId="10">'EUR XCCY BASIS'!$D$20:$E$25</definedName>
    <definedName name="CurveBuildProperties" localSheetId="11">'EURGBP FX FWDS'!$C$20:$D$22</definedName>
    <definedName name="CurveBuildProperties" localSheetId="5">'GBP BASIS 3ML'!$D$21:$E$31</definedName>
    <definedName name="CurveBuildProperties" localSheetId="3">'GBP OIS'!$C$20:$D$24</definedName>
    <definedName name="CurveBuildProperties" localSheetId="4">'GBP SWAP 6ML'!$C$22:$D$31</definedName>
    <definedName name="CurveBuildProperties" localSheetId="6">'GBP XCCY BASIS'!$D$20:$E$25</definedName>
    <definedName name="CurveBuildProperties" localSheetId="1">'USD OIS'!$C$20:$D$24</definedName>
    <definedName name="CurveBuildProperties" localSheetId="2">'USD SWAP 3ML'!$C$22:$D$31</definedName>
    <definedName name="CurveCollection" localSheetId="10">'EUR XCCY BASIS'!$E$11</definedName>
    <definedName name="CurveCollection" localSheetId="11">'EURGBP FX FWDS'!$D$11</definedName>
    <definedName name="CurveCollection" localSheetId="5">'GBP BASIS 3ML'!$E$12</definedName>
    <definedName name="CurveCollection" localSheetId="3">'GBP OIS'!$D$11</definedName>
    <definedName name="CurveCollection" localSheetId="4">'GBP SWAP 6ML'!$D$13</definedName>
    <definedName name="CurveCollection" localSheetId="6">'GBP XCCY BASIS'!$E$11</definedName>
    <definedName name="CurveCollection" localSheetId="1">'USD OIS'!$D$11</definedName>
    <definedName name="CurveCollection" localSheetId="2">'USD SWAP 3ML'!$D$13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RAConventions" localSheetId="4">'GBP SWAP 6ML'!$C$51:$D$64</definedName>
    <definedName name="FRAConventions" localSheetId="2">'USD SWAP 3ML'!$C$51:$D$64</definedName>
    <definedName name="FRAMarketData3M" localSheetId="4">'GBP SWAP 6ML'!$F$52:$G$64</definedName>
    <definedName name="FRAMarketData3M" localSheetId="2">'USD SWAP 3ML'!$F$52:$G$64</definedName>
    <definedName name="FRAMarketData6M" localSheetId="4">'GBP SWAP 6ML'!$I$52:$J$64</definedName>
    <definedName name="FRAMarketData6M" localSheetId="2">'USD SWAP 3ML'!$I$52:$J$64</definedName>
    <definedName name="Futures.Conventions">'EUR SWAP 6ML'!$C$72:$D$85</definedName>
    <definedName name="Futures.MarketData">'EUR SWAP 6ML'!$F$73:$J$85</definedName>
    <definedName name="FuturesConventions" localSheetId="4">'GBP SWAP 6ML'!$C$72:$D$85</definedName>
    <definedName name="FuturesConventions" localSheetId="2">'USD SWAP 3ML'!$C$72:$D$85</definedName>
    <definedName name="FuturesMarketData" localSheetId="4">'GBP SWAP 6ML'!$F$73:$J$85</definedName>
    <definedName name="FuturesMarketData" localSheetId="2">'USD SWAP 3ML'!$F$73:$J$85</definedName>
    <definedName name="FXForwardConventions" localSheetId="11">'EURGBP FX FWDS'!$C$29:$D$34</definedName>
    <definedName name="IndexName" localSheetId="10">'EUR XCCY BASIS'!$E$13</definedName>
    <definedName name="IndexName" localSheetId="11">'EURGBP FX FWDS'!$D$13</definedName>
    <definedName name="IndexName" localSheetId="5">'GBP BASIS 3ML'!$E$14</definedName>
    <definedName name="IndexName" localSheetId="4">'GBP SWAP 6ML'!$D$15</definedName>
    <definedName name="IndexName" localSheetId="6">'GBP XCCY BASIS'!$E$13</definedName>
    <definedName name="IndexName" localSheetId="1">'USD OIS'!$D$13</definedName>
    <definedName name="IndexName" localSheetId="2">'USD SWAP 3ML'!$D$15</definedName>
    <definedName name="IndexNames" localSheetId="3">'GBP OIS'!$D$13</definedName>
    <definedName name="isEUR3MLLoaded">'EUR BASIS 3ML'!$E$8</definedName>
    <definedName name="isEUR6MLLoaded">'EUR SWAP 6ML'!$D$9</definedName>
    <definedName name="isEURGBPLoaded">'EURGBP FX FWDS'!$D$8</definedName>
    <definedName name="isEUROISLoaded">'EUR OIS'!$D$8</definedName>
    <definedName name="isEURXCCYLoaded">'EUR XCCY BASIS'!$E$8</definedName>
    <definedName name="isGBP3MLLoaded">'GBP BASIS 3ML'!$E$8</definedName>
    <definedName name="isGBP6MLLoaded">'GBP SWAP 6ML'!$D$9</definedName>
    <definedName name="isGBPOISLoaded">'GBP OIS'!$D$8</definedName>
    <definedName name="isGBPXCCYLoaded">'GBP XCCY BASIS'!$E$8</definedName>
    <definedName name="isUSD3MLLoaded">'USD SWAP 3ML'!$D$9</definedName>
    <definedName name="isUSDOISLoaded">'USD OIS'!$D$8</definedName>
    <definedName name="Libor.Conventions">'EUR SWAP 6ML'!$F$38:$G$43</definedName>
    <definedName name="Libor.MarketData">'EUR SWAP 6ML'!$I$39:$J$43</definedName>
    <definedName name="LiborConventions" localSheetId="4">'GBP SWAP 6ML'!$F$38:$G$43</definedName>
    <definedName name="LiborConventions" localSheetId="2">'USD SWAP 3ML'!$F$38:$G$43</definedName>
    <definedName name="LiborMarketData" localSheetId="4">'GBP SWAP 6ML'!$I$39:$J$43</definedName>
    <definedName name="LiborMarketData" localSheetId="2">'USD SWAP 3ML'!$I$39:$J$43</definedName>
    <definedName name="LiborOISBasis.Conventions">'EUR OIS'!$C$64:$D$89</definedName>
    <definedName name="LiborOISBasis.MarketData">'EUR OIS'!$F$65:$G$89</definedName>
    <definedName name="LiborOISConventions" localSheetId="3">'GBP OIS'!$C$71:$D$96</definedName>
    <definedName name="LiborOISMarketData" localSheetId="3">'GBP OIS'!$F$72:$G$96</definedName>
    <definedName name="LiborSwap.Conventions" localSheetId="1">'USD OIS'!$I$64:$J$89</definedName>
    <definedName name="LiborSwap.Conventions">'EUR OIS'!$I$64:$J$89</definedName>
    <definedName name="LiborSwap.MarketData" localSheetId="1">'USD OIS'!$L$65:$M$89</definedName>
    <definedName name="LiborSwap.MarketData">'EUR OIS'!$L$65:$M$89</definedName>
    <definedName name="LiborSwapConventions" localSheetId="3">'GBP OIS'!$I$71:$J$96</definedName>
    <definedName name="LiborSwapMarketData" localSheetId="3">'GBP OIS'!$L$72:$M$96</definedName>
    <definedName name="MoneyMarket.Conventions">'EUR SWAP 6ML'!$C$38:$D$43</definedName>
    <definedName name="MoneyMarketConventions" localSheetId="4">'GBP SWAP 6ML'!$C$38:$D$43</definedName>
    <definedName name="MoneyMarketConventions" localSheetId="2">'USD SWAP 3ML'!$C$38:$D$43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OISBasis.Conventions" localSheetId="1">'USD OIS'!$C$64:$D$89</definedName>
    <definedName name="OISBasis.Spreads" localSheetId="1">'USD OIS'!$F$65:$G$89</definedName>
    <definedName name="OISConventions" localSheetId="3">'GBP OIS'!$C$31:$D$64</definedName>
    <definedName name="OISConventions" localSheetId="1">'USD OIS'!$C$31:$D$57</definedName>
    <definedName name="OISFixingTable" localSheetId="3">'GBP OIS'!$L$32:$M$64</definedName>
    <definedName name="OISFixingTable" localSheetId="1">'USD OIS'!$L$32:$M$57</definedName>
    <definedName name="OISMarketData" localSheetId="3">'GBP OIS'!$F$32:$J$64</definedName>
    <definedName name="OISMarketData" localSheetId="1">'USD OIS'!$F$32:$J$57</definedName>
    <definedName name="StaticDataTable" localSheetId="10">'EUR XCCY BASIS'!$E$12</definedName>
    <definedName name="StaticDataTable" localSheetId="11">'EURGBP FX FWDS'!$D$12</definedName>
    <definedName name="StaticDataTable" localSheetId="5">'GBP BASIS 3ML'!$E$13</definedName>
    <definedName name="StaticDataTable" localSheetId="3">'GBP OIS'!$D$12</definedName>
    <definedName name="StaticDataTable" localSheetId="4">'GBP SWAP 6ML'!$D$14</definedName>
    <definedName name="StaticDataTable" localSheetId="6">'GBP XCCY BASIS'!$E$12</definedName>
    <definedName name="StaticDataTable" localSheetId="1">'USD OIS'!$D$12</definedName>
    <definedName name="StaticDataTable" localSheetId="2">'USD SWAP 3ML'!$D$14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SwapConventions" localSheetId="4">'GBP SWAP 6ML'!$C$93:$D$111</definedName>
    <definedName name="SwapConventions" localSheetId="2">'USD SWAP 3ML'!$C$93:$D$111</definedName>
    <definedName name="SwapMarketData" localSheetId="4">'GBP SWAP 6ML'!$F$94:$H$111</definedName>
    <definedName name="SwapMarketData" localSheetId="2">'USD SWAP 3ML'!$F$94:$H$111</definedName>
    <definedName name="TenorBasisConventions" localSheetId="5">'GBP BASIS 3ML'!$D$38:$E$80</definedName>
    <definedName name="TenorBasisCurve3M6M.BuildProperties">'EUR BASIS 3ML'!$D$21:$E$31</definedName>
    <definedName name="TenorBasisCurve3M6M.CollectionName">'EUR BASIS 3ML'!$E$12</definedName>
    <definedName name="TenorBasisCurve3M6M.IndexName">'EUR BASIS 3ML'!$E$14</definedName>
    <definedName name="TenorBasisCurve3M6M.StaticDataTable">'EUR BASIS 3ML'!$E$13</definedName>
    <definedName name="TenorBasisMarketData" localSheetId="5">'GBP BASIS 3ML'!$G$39:$H$80</definedName>
    <definedName name="TenorBasisSwap3M6M.Conventions">'EUR BASIS 3ML'!$D$38:$E$80</definedName>
    <definedName name="TenorBasisSwap3M6M.MarketData">'EUR BASIS 3ML'!$G$39:$H$80</definedName>
    <definedName name="XccyBasisMarketData" localSheetId="10">'EUR XCCY BASIS'!$G$33:$H$74</definedName>
    <definedName name="XccyBasisMarketData" localSheetId="6">'GBP XCCY BASIS'!$G$33:$H$74</definedName>
    <definedName name="XccyBasisSwapConventions" localSheetId="10">'EUR XCCY BASIS'!$D$32:$E$74</definedName>
    <definedName name="XccyBasisSwapConventions" localSheetId="6">'GBP XCCY BASIS'!$D$32:$E$74</definedName>
  </definedNames>
  <calcPr calcId="145621" calcMode="manual" calcOnSave="0"/>
</workbook>
</file>

<file path=xl/calcChain.xml><?xml version="1.0" encoding="utf-8"?>
<calcChain xmlns="http://schemas.openxmlformats.org/spreadsheetml/2006/main">
  <c r="C63" i="14" l="1"/>
  <c r="C68" i="13"/>
  <c r="C63" i="8"/>
  <c r="C68" i="4"/>
  <c r="D7" i="11"/>
  <c r="K16" i="16"/>
  <c r="D7" i="2"/>
  <c r="D7" i="9"/>
  <c r="K15" i="16"/>
  <c r="K17" i="16"/>
  <c r="B12" i="16"/>
  <c r="J15" i="16" l="1"/>
  <c r="J17" i="16"/>
  <c r="J16" i="16"/>
  <c r="D8" i="9"/>
  <c r="D8" i="11"/>
  <c r="D8" i="2"/>
  <c r="K20" i="16"/>
  <c r="K22" i="16"/>
  <c r="D8" i="12"/>
  <c r="D8" i="10"/>
  <c r="K21" i="16"/>
  <c r="D8" i="3"/>
  <c r="J21" i="16" l="1"/>
  <c r="J20" i="16"/>
  <c r="J22" i="16"/>
  <c r="D9" i="3"/>
  <c r="D9" i="12"/>
  <c r="D9" i="10"/>
  <c r="K26" i="16"/>
  <c r="E7" i="13"/>
  <c r="K25" i="16"/>
  <c r="E7" i="4"/>
  <c r="J25" i="16" l="1"/>
  <c r="J26" i="16"/>
  <c r="E8" i="4"/>
  <c r="E8" i="13"/>
  <c r="E7" i="8"/>
  <c r="K29" i="16"/>
  <c r="E7" i="14"/>
  <c r="K30" i="16"/>
  <c r="J29" i="16" l="1"/>
  <c r="J30" i="16"/>
  <c r="E8" i="14"/>
  <c r="E8" i="8"/>
  <c r="D7" i="15"/>
  <c r="D8" i="15" l="1"/>
  <c r="K33" i="16"/>
  <c r="J33" i="16" l="1"/>
</calcChain>
</file>

<file path=xl/comments1.xml><?xml version="1.0" encoding="utf-8"?>
<comments xmlns="http://schemas.openxmlformats.org/spreadsheetml/2006/main">
  <authors>
    <author>Nicholas Burgess</author>
  </authors>
  <commentList>
    <comment ref="D43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D3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4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5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6.xml><?xml version="1.0" encoding="utf-8"?>
<comments xmlns="http://schemas.openxmlformats.org/spreadsheetml/2006/main">
  <authors>
    <author>Nicholas Burgess</author>
  </authors>
  <commentList>
    <comment ref="E22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6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7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8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9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10.xml><?xml version="1.0" encoding="utf-8"?>
<comments xmlns="http://schemas.openxmlformats.org/spreadsheetml/2006/main">
  <authors>
    <author>Nicholas Burgess</author>
  </authors>
  <commentList>
    <comment ref="E22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6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  <comment ref="E71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</commentList>
</comments>
</file>

<file path=xl/sharedStrings.xml><?xml version="1.0" encoding="utf-8"?>
<sst xmlns="http://schemas.openxmlformats.org/spreadsheetml/2006/main" count="1425" uniqueCount="353">
  <si>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</si>
  <si>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</si>
  <si>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</si>
  <si>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</si>
  <si>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</si>
  <si>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</si>
  <si>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</si>
  <si>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</si>
  <si>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</si>
  <si>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</si>
  <si>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</si>
  <si>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</si>
  <si>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</si>
  <si>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</si>
  <si>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</si>
  <si>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</si>
  <si>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</si>
  <si>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</si>
  <si>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</si>
  <si>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</si>
  <si>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</si>
  <si>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</si>
  <si>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</si>
  <si>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</si>
  <si>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</si>
  <si>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</si>
  <si>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</si>
  <si>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</si>
  <si>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</si>
  <si>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</si>
  <si>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</si>
  <si>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</si>
  <si>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</si>
  <si>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</si>
  <si>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</si>
  <si>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</si>
  <si>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</si>
  <si>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</si>
  <si>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</si>
  <si>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</si>
  <si>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</si>
  <si>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</si>
  <si>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</si>
  <si>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</si>
  <si>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</si>
  <si>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</si>
  <si>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</si>
  <si>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</si>
  <si>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</si>
  <si>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</si>
  <si>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</si>
  <si>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</si>
  <si>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</si>
  <si>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</si>
  <si>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</si>
  <si>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</si>
  <si>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</si>
  <si>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</si>
  <si>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</si>
  <si>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</si>
  <si>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</si>
  <si>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</si>
  <si>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</si>
  <si>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</si>
  <si>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</si>
  <si>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</si>
  <si>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</si>
  <si>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</si>
  <si>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</si>
  <si>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</si>
  <si>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</si>
  <si>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</si>
  <si>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</si>
  <si>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</si>
  <si>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</si>
  <si>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</si>
  <si>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</si>
  <si>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</si>
  <si>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</si>
  <si>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</si>
  <si>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</si>
  <si>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</si>
  <si>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</si>
  <si>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</si>
  <si>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</si>
  <si>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</si>
  <si>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</si>
  <si>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</si>
  <si>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</si>
  <si>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</si>
  <si>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</si>
  <si>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</si>
  <si>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</si>
  <si>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</si>
  <si>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</si>
  <si>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</si>
  <si>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</si>
  <si>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</si>
  <si>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</si>
  <si>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</si>
  <si>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</si>
  <si>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</si>
  <si>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</si>
  <si>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</si>
  <si>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</si>
  <si>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</si>
  <si>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</si>
  <si>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</si>
  <si>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</si>
  <si>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</si>
  <si>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</si>
  <si>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</si>
  <si>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</si>
  <si>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</si>
  <si>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</si>
  <si>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</si>
  <si>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</si>
  <si>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</si>
  <si>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</si>
  <si>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</si>
  <si>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</si>
  <si>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</si>
  <si>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</si>
  <si>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</si>
  <si>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</si>
  <si>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</si>
  <si>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</si>
  <si>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</si>
  <si>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</si>
  <si>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</si>
  <si>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</si>
  <si>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</si>
  <si>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</si>
  <si>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</si>
  <si>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</si>
  <si>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</si>
  <si>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</si>
  <si>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</si>
  <si>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</si>
  <si>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</si>
  <si>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</si>
  <si>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</si>
  <si>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</si>
  <si>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</si>
  <si>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</si>
  <si>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</si>
  <si>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</si>
  <si>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</si>
  <si>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</si>
  <si>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</si>
  <si>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</si>
  <si>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</si>
  <si>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</si>
  <si>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</si>
  <si>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</si>
  <si>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</si>
  <si>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</si>
  <si>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</si>
  <si>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</si>
  <si>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</si>
  <si>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</si>
  <si>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</si>
  <si>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</si>
  <si>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</si>
  <si>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</si>
  <si>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</si>
  <si>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</si>
  <si>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</si>
  <si>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</si>
  <si>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</si>
  <si>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</si>
  <si>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</si>
  <si>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</si>
  <si>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</si>
  <si>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</si>
  <si>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</si>
  <si>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</si>
  <si>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</si>
  <si>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</si>
  <si>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</si>
  <si>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</si>
  <si>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</si>
  <si>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</si>
  <si>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</si>
  <si>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</si>
  <si>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</si>
  <si>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</si>
  <si>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Tenor Basis Spreads ( 3 X 6 )</t>
  </si>
  <si>
    <t>EUR6ML</t>
  </si>
  <si>
    <t>Xccy Basis Swaps</t>
  </si>
  <si>
    <t>Xccy Basis Spreads</t>
  </si>
  <si>
    <t>XccyBasis</t>
  </si>
  <si>
    <t>XccyBasis:EURDF_USDCSA</t>
  </si>
  <si>
    <t>XCCYBASIS</t>
  </si>
  <si>
    <t>adjustvalue.interpolation</t>
  </si>
  <si>
    <t>isleg1spread</t>
  </si>
  <si>
    <t>leg1cashlet.calendar</t>
  </si>
  <si>
    <t>leg1cashlet.daycount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</si>
  <si>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</si>
  <si>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</si>
  <si>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</si>
  <si>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</si>
  <si>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</si>
  <si>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</si>
  <si>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</si>
  <si>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</si>
  <si>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</si>
  <si>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</si>
  <si>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</si>
  <si>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</si>
  <si>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</si>
  <si>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</si>
  <si>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</si>
  <si>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</si>
  <si>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</si>
  <si>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</si>
  <si>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USDYC:OIS</t>
  </si>
  <si>
    <t>leg2forecast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</si>
  <si>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</si>
  <si>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</si>
  <si>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</si>
  <si>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</si>
  <si>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</si>
  <si>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</si>
  <si>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</si>
  <si>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</si>
  <si>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Leg1Discount</t>
  </si>
  <si>
    <t>FALSE</t>
  </si>
  <si>
    <t>OIS:EUROIS:EURDF:EURDF_NOCSA</t>
  </si>
  <si>
    <t>LNB:NYB:TGT</t>
  </si>
  <si>
    <t>LNB</t>
  </si>
  <si>
    <t>EURYC:OIS</t>
  </si>
  <si>
    <t>EURYC:EUR3ML</t>
  </si>
  <si>
    <t>USDYC:USD3ML</t>
  </si>
  <si>
    <t>USDYC</t>
  </si>
  <si>
    <t>NYB</t>
  </si>
  <si>
    <t>eomday</t>
  </si>
  <si>
    <t>iseomroll</t>
  </si>
  <si>
    <t>USD</t>
  </si>
  <si>
    <t>OIS:USDOIS:USDDF:USDDF_NOCSA</t>
  </si>
  <si>
    <t>FFJ6</t>
  </si>
  <si>
    <t>FFK6</t>
  </si>
  <si>
    <t>FFM6</t>
  </si>
  <si>
    <t>FFN6</t>
  </si>
  <si>
    <t>FFQ6</t>
  </si>
  <si>
    <t>FFU6</t>
  </si>
  <si>
    <t>FFV6</t>
  </si>
  <si>
    <t>FFX6</t>
  </si>
  <si>
    <t>FFZ7</t>
  </si>
  <si>
    <t>LNB:NYB</t>
  </si>
  <si>
    <t>SEMI-ANNUAL</t>
  </si>
  <si>
    <t>simple</t>
  </si>
  <si>
    <t>ED2 COMB Comdty</t>
  </si>
  <si>
    <t>ED3 COMB Comdty</t>
  </si>
  <si>
    <t>ED4  COMB Comdty</t>
  </si>
  <si>
    <t>ED5  COMB Comdty</t>
  </si>
  <si>
    <t>ED6  COMB Comdty</t>
  </si>
  <si>
    <t>ED7  COMB Comdty</t>
  </si>
  <si>
    <t>ED8  COMB Comdty</t>
  </si>
  <si>
    <t>ED9 COMB Comdty</t>
  </si>
  <si>
    <t>ED10  COMB Comdty</t>
  </si>
  <si>
    <t>ED11  COMB Comdty</t>
  </si>
  <si>
    <t>ED12  COMB Comdty</t>
  </si>
  <si>
    <t>MeanReversion</t>
  </si>
  <si>
    <t>IsTimeInterpolation</t>
  </si>
  <si>
    <t>Xccy Basis Swap Conventions</t>
  </si>
  <si>
    <t>STD:USD3ML</t>
  </si>
  <si>
    <t>Known Leg</t>
  </si>
  <si>
    <t>Leg2Forecast Unknown : 
STD is the initial guess</t>
  </si>
  <si>
    <t>Leg1Discount Unknown :
OIS is the initial guess</t>
  </si>
  <si>
    <t>GBP</t>
  </si>
  <si>
    <t>OIS:GBPOIS:GBPDF:GBPDF_NOCSA</t>
  </si>
  <si>
    <t>GBPYC</t>
  </si>
  <si>
    <t>STD:GBP6ML</t>
  </si>
  <si>
    <t>3M6MBasis:GBP3ML</t>
  </si>
  <si>
    <t>XccyBasis:GBPDF_USDCSA</t>
  </si>
  <si>
    <t>1W</t>
  </si>
  <si>
    <t>2W</t>
  </si>
  <si>
    <t>2M</t>
  </si>
  <si>
    <t>4M</t>
  </si>
  <si>
    <t>5M</t>
  </si>
  <si>
    <t>7M</t>
  </si>
  <si>
    <t>8M</t>
  </si>
  <si>
    <t>9M</t>
  </si>
  <si>
    <t>10M</t>
  </si>
  <si>
    <t>11M</t>
  </si>
  <si>
    <t>ACT/365</t>
  </si>
  <si>
    <t>1d</t>
  </si>
  <si>
    <t>1X7</t>
  </si>
  <si>
    <t>GBP3M6MBASIS</t>
  </si>
  <si>
    <t>FX Forward Conventions</t>
  </si>
  <si>
    <t>EURYC:XccyBasis</t>
  </si>
  <si>
    <t>Leg2Discount</t>
  </si>
  <si>
    <t>EURYC:EURDF_USDCSA</t>
  </si>
  <si>
    <t>GBPYC:GBPDF_USDCSA</t>
  </si>
  <si>
    <t>=&gt; TargetDF = GBPDF * ( EURDF_USDCSA / GBPDF_USDCSA )</t>
  </si>
  <si>
    <t>Target DF = Leg1Discount DF * ( Leg2Forecast DF / Leg1Forecast DF )</t>
  </si>
  <si>
    <t>FX Forward Invariance</t>
  </si>
  <si>
    <t>FX Forwards</t>
  </si>
  <si>
    <t>Curve Loaded</t>
  </si>
  <si>
    <t>GBPYC:GBPDF</t>
  </si>
  <si>
    <t>FwdFXConstGBP</t>
  </si>
  <si>
    <t>FwdFXConstGBP:EURDF_GBPCSA</t>
  </si>
  <si>
    <t>meCurveCalibrateOIS</t>
  </si>
  <si>
    <t>meCurveCalibrateOIS(CurveCollection,StaticDataTable,IndexName,CurveBuildProperties,OISConventions,OISMarketData,OISFixingTable, OISBasis.Conventions,OISBasis.Spreads,LiborSwap.Conventions,LiborSwap.MarketData)</t>
  </si>
  <si>
    <t>meCurveCalibrateOIS(CurveCollection,StaticDataTable,IndexNames,CurveBuildProperties,OISConventions,OISMarketData,OISFixingTable,LiborOISConventions,LiborOISMarketData,LiborSwapConventions,LiborSwapMarketData)</t>
  </si>
  <si>
    <t>meCurveCalibrateOIS(Curve.CollectionName,Curve.MarketDataTable,Curve.OISIndexName,Curve.BuildProperties,OIS.Conventions,OIS.MarketData,OIS.FixingTable,LiborOISBasis.Conventions,LiborOISBasis.MarketData,LiborSwap.Conventions,LiborSwap.MarketData)</t>
  </si>
  <si>
    <t>meCurveCalibrateSwap(CurveCollection,StaticDataTable,IndexName,CurveBuildProperties,MoneyMarketConventions,LiborConventions,LiborMarketData,SwapConventions,SwapMarketData,FRAConventions,FRAMarketData3M,FRAMarketData6M,FuturesConventions,FuturesMarketData)</t>
  </si>
  <si>
    <t>meCurveCalibrateSwap</t>
  </si>
  <si>
    <t>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</t>
  </si>
  <si>
    <t>meCurveCalibrateBasis</t>
  </si>
  <si>
    <t>meCurveCalibrateBasis(CurveCollection,StaticDataTable,IndexName,CurveBuildProperties,TenorBasisConventions,TenorBasisMarketData)</t>
  </si>
  <si>
    <t>meCurveCalibrateBasis(TenorBasisCurve3M6M.CollectionName,TenorBasisCurve3M6M.StaticDataTable,TenorBasisCurve3M6M.IndexName,TenorBasisCurve3M6M.BuildProperties,TenorBasisSwap3M6M.Conventions,TenorBasisSwap3M6M.MarketData)</t>
  </si>
  <si>
    <t>meCurveCalibrateBasis(CurveCollection,StaticDataTable,IndexName,CurveBuildProperties,XccyBasisSwapConventions,XccyBasisMarketData)</t>
  </si>
  <si>
    <t>meCurveCalibrateFXForwards</t>
  </si>
  <si>
    <t>meCurveCalibrateFXForwards(CurveCollection,StaticDataTable,IndexName,CurveBuildProperties,FXForwardConventions)</t>
  </si>
  <si>
    <t>Record Folder</t>
  </si>
  <si>
    <t>Clear Entity Pool</t>
  </si>
  <si>
    <t>Enable Recording</t>
  </si>
  <si>
    <r>
      <t>Filenames:</t>
    </r>
    <r>
      <rPr>
        <sz val="11"/>
        <color rgb="FF0000FF"/>
        <rFont val="Calibri"/>
        <family val="2"/>
        <scheme val="minor"/>
      </rPr>
      <t xml:space="preserve"> OIS Curves</t>
    </r>
  </si>
  <si>
    <t>isLoaded</t>
  </si>
  <si>
    <r>
      <t>Replay:</t>
    </r>
    <r>
      <rPr>
        <sz val="11"/>
        <color rgb="FF0000FF"/>
        <rFont val="Calibri"/>
        <family val="2"/>
        <scheme val="minor"/>
      </rPr>
      <t xml:space="preserve"> OIS Curves</t>
    </r>
  </si>
  <si>
    <t>USDYC_OIS_tryMeCurveCalibrateOIS_inputs.csv</t>
  </si>
  <si>
    <t>EURYC_OIS_tryMeCurveCalibrateOIS_inputs.csv</t>
  </si>
  <si>
    <t>GBPYC_OIS_tryMeCurveCalibrateOIS_inputs.csv</t>
  </si>
  <si>
    <r>
      <t>Filenames:</t>
    </r>
    <r>
      <rPr>
        <sz val="11"/>
        <color rgb="FF0000FF"/>
        <rFont val="Calibri"/>
        <family val="2"/>
        <scheme val="minor"/>
      </rPr>
      <t xml:space="preserve"> STD Curves</t>
    </r>
  </si>
  <si>
    <r>
      <t>Replay:</t>
    </r>
    <r>
      <rPr>
        <sz val="11"/>
        <color rgb="FF0000FF"/>
        <rFont val="Calibri"/>
        <family val="2"/>
        <scheme val="minor"/>
      </rPr>
      <t xml:space="preserve"> STD Curves</t>
    </r>
  </si>
  <si>
    <t>USDYC_STD_tryMeCurveCalibrateSwap_inputs.csv</t>
  </si>
  <si>
    <t>EURYC_STD_tryMeCurveCalibrateSwap_inputs.csv</t>
  </si>
  <si>
    <t>GBPYC_STD_tryMeCurveCalibrateSwap_inputs.csv</t>
  </si>
  <si>
    <r>
      <t>Filenames:</t>
    </r>
    <r>
      <rPr>
        <sz val="11"/>
        <color rgb="FF0000FF"/>
        <rFont val="Calibri"/>
        <family val="2"/>
        <scheme val="minor"/>
      </rPr>
      <t xml:space="preserve"> Tenor Basis</t>
    </r>
  </si>
  <si>
    <r>
      <t>Replay:</t>
    </r>
    <r>
      <rPr>
        <sz val="11"/>
        <color rgb="FF0000FF"/>
        <rFont val="Calibri"/>
        <family val="2"/>
        <scheme val="minor"/>
      </rPr>
      <t xml:space="preserve"> Tenor Basis</t>
    </r>
  </si>
  <si>
    <t>EURYC_3M6M_tryMeCurveCalibrateBasis_inputs.csv</t>
  </si>
  <si>
    <t>GBPYC_3M6M_tryMeCurveCalibrateBasis_inputs.csv</t>
  </si>
  <si>
    <r>
      <t>Filenames:</t>
    </r>
    <r>
      <rPr>
        <sz val="11"/>
        <color rgb="FF0000FF"/>
        <rFont val="Calibri"/>
        <family val="2"/>
        <scheme val="minor"/>
      </rPr>
      <t xml:space="preserve"> XCCY Basis</t>
    </r>
  </si>
  <si>
    <r>
      <t>Replay:</t>
    </r>
    <r>
      <rPr>
        <sz val="11"/>
        <color rgb="FF0000FF"/>
        <rFont val="Calibri"/>
        <family val="2"/>
        <scheme val="minor"/>
      </rPr>
      <t xml:space="preserve"> XCCY Basis</t>
    </r>
  </si>
  <si>
    <t>EURYC_XCCY_tryMeCurveCalibrateBasis_inputs.csv</t>
  </si>
  <si>
    <t>GBPYC_XCCY_tryMeCurveCalibrateBasis_inputs.csv</t>
  </si>
  <si>
    <r>
      <t>Filenames:</t>
    </r>
    <r>
      <rPr>
        <sz val="11"/>
        <color rgb="FF0000FF"/>
        <rFont val="Calibri"/>
        <family val="2"/>
        <scheme val="minor"/>
      </rPr>
      <t xml:space="preserve"> FX Forward Curves</t>
    </r>
  </si>
  <si>
    <r>
      <t>Replay:</t>
    </r>
    <r>
      <rPr>
        <sz val="11"/>
        <color rgb="FF0000FF"/>
        <rFont val="Calibri"/>
        <family val="2"/>
        <scheme val="minor"/>
      </rPr>
      <t xml:space="preserve"> FX Forward Curves</t>
    </r>
  </si>
  <si>
    <t>EURYC_FWDGBP_tryMeCurveCalibrateFXForwards_inputs.csv</t>
  </si>
  <si>
    <t>meUtilityLoadStaticData</t>
  </si>
  <si>
    <t>meUtilityLoadCalendarFile</t>
  </si>
  <si>
    <t>=meUtilityClearEntityPool()</t>
  </si>
  <si>
    <t>=meUtilityLoadStaticData()</t>
  </si>
  <si>
    <t>=meUtilityLoadCalendarFile()</t>
  </si>
  <si>
    <t>C:\temp\</t>
  </si>
  <si>
    <t>Libor Fixing Table</t>
  </si>
  <si>
    <t>Money Market O/N and T/N Conventions</t>
  </si>
  <si>
    <t>EomDay</t>
  </si>
  <si>
    <t>isRenotionalAdjust</t>
  </si>
  <si>
    <t>basis.interpolation</t>
  </si>
  <si>
    <t>isFwdBasis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</si>
</sst>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1" formatCode="_-* #,##0_-;\-* #,##0_-;_-* &quot;-&quot;_-;_-@_-"/>
    <numFmt numFmtId="43" formatCode="_-* #,##0.00_-;\-* #,##0.00_-;_-* &quot;-&quot;??_-;_-@_-"/>
    <numFmt numFmtId="164" formatCode="0.000%"/>
    <numFmt numFmtId="165" formatCode="0.00000%"/>
    <numFmt numFmtId="166" formatCode="#,##0.0000"/>
    <numFmt numFmtId="167" formatCode="ddd\ d\-mmm\-yy"/>
    <numFmt numFmtId="168" formatCode="_(&quot;$&quot;* #,##0_);_(&quot;$&quot;* \(#,##0\);_(&quot;$&quot;* &quot;-&quot;_);_(@_)"/>
    <numFmt numFmtId="169" formatCode="_(* #,##0_);_(* \(#,##0\);_(* &quot;-&quot;_);_(@_)"/>
    <numFmt numFmtId="170" formatCode="_(&quot;$&quot;* #,##0.00_);_(&quot;$&quot;* \(#,##0.00\);_(&quot;$&quot;* &quot;-&quot;??_);_(@_)"/>
    <numFmt numFmtId="171" formatCode="_(* #,##0.00_);_(* \(#,##0.00\);_(* &quot;-&quot;??_);_(@_)"/>
    <numFmt numFmtId="172" formatCode="dd/m/yy"/>
    <numFmt numFmtId="173" formatCode="dd\-mmm\-yy;dd\-mmm\-yy;"/>
    <numFmt numFmtId="174" formatCode="_ * #,##0_ ;_ * \-#,##0_ ;_ * &quot;-&quot;_ ;_ @_ "/>
  </numFmts>
  <fonts count="43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20"/>
      <color rgb="FF0000FF"/>
      <name val="Calibri"/>
      <family val="2"/>
      <scheme val="minor"/>
    </font>
    <font>
      <sz val="2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sz val="11"/>
      <color rgb="FFC00000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name val="ＭＳ Ｐゴシック"/>
      <family val="3"/>
      <charset val="128"/>
    </font>
    <font>
      <sz val="8"/>
      <name val="Arial"/>
      <family val="2"/>
    </font>
    <font>
      <sz val="10"/>
      <name val="Courier"/>
      <family val="3"/>
    </font>
    <font>
      <b/>
      <sz val="9"/>
      <color indexed="12"/>
      <name val="Tahoma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9"/>
      </patternFill>
    </fill>
    <fill>
      <patternFill patternType="mediumGray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mediumGray">
        <fgColor indexed="17"/>
      </patternFill>
    </fill>
    <fill>
      <patternFill patternType="solid">
        <fgColor indexed="46"/>
        <bgColor indexed="64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</fills>
  <borders count="2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</borders>
  <cellStyleXfs count="56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  <xf numFmtId="0" fontId="26" fillId="0" borderId="0"/>
    <xf numFmtId="43" fontId="26" fillId="0" borderId="0" applyFont="0" applyFill="0" applyBorder="0" applyAlignment="0" applyProtection="0"/>
    <xf numFmtId="0" fontId="27" fillId="5" borderId="20" applyNumberFormat="0" applyFont="0" applyBorder="0" applyAlignment="0" applyProtection="0">
      <alignment horizontal="centerContinuous"/>
    </xf>
    <xf numFmtId="0" fontId="28" fillId="6" borderId="21" applyNumberFormat="0" applyFont="0" applyBorder="0" applyAlignment="0">
      <alignment horizontal="centerContinuous"/>
    </xf>
    <xf numFmtId="169" fontId="26" fillId="0" borderId="0" applyFont="0" applyFill="0" applyBorder="0" applyAlignment="0" applyProtection="0"/>
    <xf numFmtId="171" fontId="26" fillId="0" borderId="0" applyFont="0" applyFill="0" applyBorder="0" applyAlignment="0" applyProtection="0"/>
    <xf numFmtId="168" fontId="26" fillId="0" borderId="0" applyFont="0" applyFill="0" applyBorder="0" applyAlignment="0" applyProtection="0"/>
    <xf numFmtId="170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10" fillId="0" borderId="0">
      <alignment vertical="center"/>
    </xf>
    <xf numFmtId="0" fontId="29" fillId="0" borderId="0">
      <alignment vertical="center"/>
    </xf>
    <xf numFmtId="38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0" fillId="8" borderId="0" applyNumberFormat="0" applyFont="0" applyBorder="0" applyAlignment="0" applyProtection="0"/>
    <xf numFmtId="164" fontId="32" fillId="9" borderId="0"/>
    <xf numFmtId="0" fontId="33" fillId="10" borderId="0" applyNumberFormat="0" applyBorder="0" applyAlignment="0">
      <alignment horizontal="center"/>
    </xf>
    <xf numFmtId="0" fontId="34" fillId="11" borderId="25">
      <alignment horizontal="center"/>
      <protection locked="0"/>
    </xf>
    <xf numFmtId="0" fontId="35" fillId="12" borderId="0" applyNumberFormat="0" applyFont="0" applyBorder="0" applyAlignment="0" applyProtection="0"/>
    <xf numFmtId="2" fontId="26" fillId="13" borderId="23" applyNumberFormat="0" applyBorder="0">
      <alignment horizontal="right" vertical="center"/>
    </xf>
    <xf numFmtId="2" fontId="36" fillId="14" borderId="26" applyBorder="0">
      <alignment horizontal="left" vertical="center"/>
    </xf>
    <xf numFmtId="10" fontId="37" fillId="7" borderId="0" applyBorder="0">
      <alignment horizontal="right"/>
      <protection locked="0"/>
    </xf>
    <xf numFmtId="15" fontId="37" fillId="7" borderId="22" applyBorder="0">
      <alignment horizontal="center"/>
      <protection locked="0"/>
    </xf>
    <xf numFmtId="15" fontId="37" fillId="7" borderId="0" applyBorder="0">
      <alignment horizontal="left"/>
      <protection locked="0"/>
    </xf>
    <xf numFmtId="2" fontId="38" fillId="15" borderId="26" applyNumberFormat="0">
      <alignment horizontal="center" vertical="center"/>
    </xf>
    <xf numFmtId="172" fontId="39" fillId="16" borderId="21" applyBorder="0">
      <alignment horizontal="left"/>
      <protection locked="0"/>
    </xf>
    <xf numFmtId="172" fontId="39" fillId="16" borderId="27" applyBorder="0">
      <alignment horizontal="right"/>
      <protection locked="0"/>
    </xf>
    <xf numFmtId="168" fontId="26" fillId="0" borderId="0" applyFont="0" applyFill="0" applyBorder="0" applyAlignment="0" applyProtection="0"/>
    <xf numFmtId="170" fontId="26" fillId="0" borderId="0" applyFont="0" applyFill="0" applyBorder="0" applyAlignment="0" applyProtection="0"/>
    <xf numFmtId="0" fontId="40" fillId="17" borderId="0" applyNumberFormat="0" applyFont="0" applyBorder="0" applyAlignment="0" applyProtection="0"/>
    <xf numFmtId="0" fontId="40" fillId="18" borderId="0" applyNumberFormat="0" applyFont="0" applyBorder="0" applyAlignment="0" applyProtection="0"/>
    <xf numFmtId="0" fontId="40" fillId="19" borderId="0" applyNumberFormat="0" applyFont="0" applyBorder="0" applyAlignment="0" applyProtection="0">
      <alignment horizontal="center"/>
    </xf>
    <xf numFmtId="0" fontId="40" fillId="20" borderId="28" applyNumberFormat="0" applyFont="0" applyBorder="0" applyAlignment="0" applyProtection="0"/>
    <xf numFmtId="0" fontId="40" fillId="21" borderId="28" applyNumberFormat="0" applyFont="0" applyBorder="0" applyAlignment="0"/>
    <xf numFmtId="0" fontId="40" fillId="22" borderId="28" applyNumberFormat="0" applyFont="0" applyBorder="0" applyAlignment="0"/>
    <xf numFmtId="0" fontId="30" fillId="23" borderId="0" applyNumberFormat="0" applyFont="0" applyBorder="0" applyAlignment="0" applyProtection="0">
      <alignment horizontal="center"/>
      <protection hidden="1"/>
    </xf>
    <xf numFmtId="0" fontId="26" fillId="8" borderId="0" applyNumberFormat="0" applyFont="0" applyBorder="0" applyAlignment="0" applyProtection="0">
      <protection hidden="1"/>
    </xf>
    <xf numFmtId="0" fontId="26" fillId="24" borderId="0" applyNumberFormat="0" applyFont="0" applyBorder="0" applyAlignment="0" applyProtection="0">
      <protection hidden="1"/>
    </xf>
    <xf numFmtId="0" fontId="26" fillId="25" borderId="0" applyNumberFormat="0" applyFont="0" applyBorder="0" applyAlignment="0" applyProtection="0">
      <protection hidden="1"/>
    </xf>
    <xf numFmtId="0" fontId="26" fillId="26" borderId="0" applyNumberFormat="0" applyFont="0" applyBorder="0" applyAlignment="0" applyProtection="0">
      <protection hidden="1"/>
    </xf>
    <xf numFmtId="0" fontId="26" fillId="27" borderId="0" applyNumberFormat="0" applyFont="0" applyBorder="0" applyAlignment="0" applyProtection="0">
      <protection hidden="1"/>
    </xf>
    <xf numFmtId="0" fontId="26" fillId="28" borderId="0" applyNumberFormat="0" applyFont="0" applyBorder="0" applyAlignment="0" applyProtection="0">
      <protection hidden="1"/>
    </xf>
    <xf numFmtId="173" fontId="41" fillId="0" borderId="24" applyBorder="0">
      <alignment horizontal="center"/>
      <protection locked="0"/>
    </xf>
    <xf numFmtId="0" fontId="26" fillId="0" borderId="0">
      <alignment horizontal="left" wrapText="1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174" fontId="26" fillId="0" borderId="0" applyFont="0" applyFill="0" applyBorder="0" applyAlignment="0" applyProtection="0"/>
    <xf numFmtId="0" fontId="29" fillId="0" borderId="0">
      <alignment vertical="center"/>
    </xf>
    <xf numFmtId="0" fontId="42" fillId="0" borderId="0">
      <alignment vertical="center"/>
    </xf>
    <xf numFmtId="0" fontId="10" fillId="0" borderId="0">
      <alignment vertical="center"/>
    </xf>
    <xf numFmtId="38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172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vertical="center"/>
    </xf>
    <xf numFmtId="0" fontId="9" fillId="0" borderId="18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vertical="center"/>
    </xf>
    <xf numFmtId="11" fontId="9" fillId="0" borderId="4" xfId="0" applyNumberFormat="1" applyFont="1" applyFill="1" applyBorder="1" applyAlignment="1">
      <alignment horizontal="center" vertical="center"/>
    </xf>
    <xf numFmtId="4" fontId="9" fillId="0" borderId="0" xfId="0" applyNumberFormat="1" applyFont="1" applyFill="1" applyBorder="1" applyAlignment="1">
      <alignment horizontal="center" vertical="center"/>
    </xf>
    <xf numFmtId="0" fontId="6" fillId="0" borderId="19" xfId="0" applyFont="1" applyFill="1" applyBorder="1"/>
    <xf numFmtId="0" fontId="6" fillId="0" borderId="16" xfId="0" applyFont="1" applyFill="1" applyBorder="1"/>
    <xf numFmtId="0" fontId="9" fillId="0" borderId="19" xfId="0" applyFont="1" applyFill="1" applyBorder="1" applyAlignment="1">
      <alignment horizontal="center" vertical="center"/>
    </xf>
    <xf numFmtId="0" fontId="9" fillId="0" borderId="16" xfId="0" applyFont="1" applyFill="1" applyBorder="1" applyAlignment="1">
      <alignment horizontal="center" vertical="center"/>
    </xf>
    <xf numFmtId="15" fontId="9" fillId="0" borderId="4" xfId="0" applyNumberFormat="1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vertical="center"/>
    </xf>
    <xf numFmtId="0" fontId="14" fillId="0" borderId="0" xfId="0" applyFont="1"/>
    <xf numFmtId="0" fontId="23" fillId="2" borderId="0" xfId="0" applyFont="1" applyFill="1" applyBorder="1"/>
    <xf numFmtId="0" fontId="5" fillId="2" borderId="0" xfId="0" quotePrefix="1" applyFont="1" applyFill="1" applyBorder="1"/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0" borderId="0" xfId="0" applyFont="1"/>
    <xf numFmtId="0" fontId="2" fillId="0" borderId="0" xfId="0" applyFont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15" xfId="0" applyFill="1" applyBorder="1"/>
    <xf numFmtId="167" fontId="24" fillId="0" borderId="0" xfId="0" applyNumberFormat="1" applyFont="1" applyFill="1" applyBorder="1" applyAlignment="1">
      <alignment horizontal="center" vertical="center"/>
    </xf>
    <xf numFmtId="0" fontId="0" fillId="3" borderId="5" xfId="0" applyFill="1" applyBorder="1"/>
    <xf numFmtId="0" fontId="0" fillId="3" borderId="2" xfId="0" applyFill="1" applyBorder="1"/>
    <xf numFmtId="0" fontId="0" fillId="3" borderId="3" xfId="0" applyFill="1" applyBorder="1"/>
    <xf numFmtId="0" fontId="25" fillId="0" borderId="0" xfId="0" applyFont="1"/>
    <xf numFmtId="0" fontId="9" fillId="2" borderId="5" xfId="0" applyFont="1" applyFill="1" applyBorder="1"/>
    <xf numFmtId="0" fontId="0" fillId="3" borderId="9" xfId="0" applyFill="1" applyBorder="1"/>
    <xf numFmtId="0" fontId="0" fillId="3" borderId="0" xfId="0" applyFill="1" applyBorder="1"/>
    <xf numFmtId="0" fontId="0" fillId="3" borderId="10" xfId="0" applyFill="1" applyBorder="1"/>
    <xf numFmtId="0" fontId="9" fillId="2" borderId="9" xfId="0" applyFont="1" applyFill="1" applyBorder="1"/>
    <xf numFmtId="0" fontId="0" fillId="3" borderId="14" xfId="0" applyFill="1" applyBorder="1"/>
    <xf numFmtId="0" fontId="0" fillId="3" borderId="12" xfId="0" applyFill="1" applyBorder="1"/>
    <xf numFmtId="0" fontId="0" fillId="3" borderId="13" xfId="0" applyFill="1" applyBorder="1"/>
    <xf numFmtId="0" fontId="9" fillId="2" borderId="14" xfId="0" applyFont="1" applyFill="1" applyBorder="1"/>
    <xf numFmtId="0" fontId="9" fillId="2" borderId="6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9" fillId="4" borderId="0" xfId="0" quotePrefix="1" applyFont="1" applyFill="1" applyBorder="1"/>
    <xf numFmtId="0" fontId="0" fillId="0" borderId="0" xfId="0"/>
    <xf numFmtId="0" fontId="9" fillId="0" borderId="0" xfId="0" quotePrefix="1" applyFont="1"/>
    <xf numFmtId="0" fontId="0" fillId="0" borderId="4" xfId="0" applyBorder="1"/>
    <xf numFmtId="0" fontId="22" fillId="0" borderId="16" xfId="0" applyFont="1" applyFill="1" applyBorder="1" applyAlignment="1">
      <alignment horizontal="center" vertical="center" textRotation="90"/>
    </xf>
    <xf numFmtId="0" fontId="22" fillId="0" borderId="4" xfId="0" applyFont="1" applyBorder="1" applyAlignment="1">
      <alignment horizontal="center" vertical="center" textRotation="90"/>
    </xf>
    <xf numFmtId="0" fontId="22" fillId="0" borderId="17" xfId="0" applyFont="1" applyBorder="1" applyAlignment="1">
      <alignment horizontal="center" vertical="center" textRotation="90"/>
    </xf>
    <xf numFmtId="0" fontId="21" fillId="0" borderId="16" xfId="0" applyFont="1" applyFill="1" applyBorder="1" applyAlignment="1">
      <alignment horizontal="center" vertical="center" textRotation="90" wrapText="1"/>
    </xf>
    <xf numFmtId="0" fontId="21" fillId="0" borderId="4" xfId="0" applyFont="1" applyBorder="1" applyAlignment="1">
      <alignment horizontal="center" vertical="center" textRotation="90"/>
    </xf>
    <xf numFmtId="0" fontId="21" fillId="0" borderId="17" xfId="0" applyFont="1" applyBorder="1" applyAlignment="1">
      <alignment horizontal="center" vertical="center" textRotation="90"/>
    </xf>
    <xf numFmtId="0" fontId="22" fillId="0" borderId="16" xfId="0" applyFont="1" applyFill="1" applyBorder="1" applyAlignment="1">
      <alignment horizontal="center" vertical="center" textRotation="90" wrapText="1"/>
    </xf>
    <xf numFmtId="0" fontId="22" fillId="0" borderId="4" xfId="0" applyFont="1" applyBorder="1" applyAlignment="1">
      <alignment horizontal="center" vertical="center" textRotation="90" wrapText="1"/>
    </xf>
    <xf numFmtId="0" fontId="22" fillId="0" borderId="11" xfId="0" applyFont="1" applyBorder="1" applyAlignment="1">
      <alignment horizontal="center" vertical="center" textRotation="90" wrapText="1"/>
    </xf>
    <xf numFmtId="0" fontId="5" fillId="0" borderId="4" xfId="0" applyFont="1" applyBorder="1" applyAlignment="1">
      <alignment horizontal="center" vertical="center" textRotation="90"/>
    </xf>
    <xf numFmtId="0" fontId="5" fillId="0" borderId="17" xfId="0" applyFont="1" applyBorder="1" applyAlignment="1">
      <alignment horizontal="center" vertical="center" textRotation="90"/>
    </xf>
    <xf numFmtId="0" fontId="6" fillId="0" borderId="4" xfId="0" applyFont="1" applyBorder="1" applyAlignment="1">
      <alignment horizontal="center" vertical="center" textRotation="90"/>
    </xf>
    <xf numFmtId="0" fontId="6" fillId="0" borderId="17" xfId="0" applyFont="1" applyBorder="1" applyAlignment="1">
      <alignment horizontal="center" vertical="center" textRotation="90"/>
    </xf>
    <xf numFmtId="0" fontId="0" fillId="0" borderId="4" xfId="0" applyBorder="1" applyAlignment="1">
      <alignment horizontal="center" vertical="center" textRotation="90" wrapText="1"/>
    </xf>
    <xf numFmtId="0" fontId="0" fillId="0" borderId="11" xfId="0" applyBorder="1" applyAlignment="1">
      <alignment horizontal="center" vertical="center" textRotation="90" wrapText="1"/>
    </xf>
  </cellXfs>
  <cellStyles count="56">
    <cellStyle name="=C:\WINNT35\SYSTEM32\COMMAND.COM" xfId="17"/>
    <cellStyle name="Background" xfId="18"/>
    <cellStyle name="calc" xfId="19"/>
    <cellStyle name="Comma [0]" xfId="2" builtinId="6"/>
    <cellStyle name="Comma [0] 2" xfId="14"/>
    <cellStyle name="Comma [0] 3" xfId="54"/>
    <cellStyle name="Comma 2" xfId="4"/>
    <cellStyle name="Data" xfId="5"/>
    <cellStyle name="Data2" xfId="20"/>
    <cellStyle name="Data5" xfId="21"/>
    <cellStyle name="Header" xfId="6"/>
    <cellStyle name="Hidden" xfId="22"/>
    <cellStyle name="InputDataRow" xfId="23"/>
    <cellStyle name="InputLabelRow" xfId="24"/>
    <cellStyle name="InputPc2Right" xfId="25"/>
    <cellStyle name="InputShortText" xfId="26"/>
    <cellStyle name="InputTextLeft" xfId="27"/>
    <cellStyle name="IntermediateLabelColumn" xfId="28"/>
    <cellStyle name="LabelLeft" xfId="29"/>
    <cellStyle name="LabelRight" xfId="30"/>
    <cellStyle name="Milliers [0]_Open&amp;Close" xfId="7"/>
    <cellStyle name="Milliers_Open&amp;Close" xfId="8"/>
    <cellStyle name="Mon?taire [0]_Open&amp;Close" xfId="31"/>
    <cellStyle name="Mon?taire_Open&amp;Close" xfId="32"/>
    <cellStyle name="Monétaire [0]_Open&amp;Close" xfId="9"/>
    <cellStyle name="Monétaire_Open&amp;Close" xfId="10"/>
    <cellStyle name="Normal" xfId="0" builtinId="0"/>
    <cellStyle name="Normal 2" xfId="3"/>
    <cellStyle name="Normal 3" xfId="15"/>
    <cellStyle name="Normal 4" xfId="53"/>
    <cellStyle name="Page 1" xfId="33"/>
    <cellStyle name="Page 2" xfId="34"/>
    <cellStyle name="Page 3" xfId="35"/>
    <cellStyle name="Page 4" xfId="36"/>
    <cellStyle name="Page 5" xfId="37"/>
    <cellStyle name="Page 6" xfId="38"/>
    <cellStyle name="Page 7" xfId="39"/>
    <cellStyle name="Page1" xfId="40"/>
    <cellStyle name="Page2" xfId="41"/>
    <cellStyle name="Page3" xfId="42"/>
    <cellStyle name="Page4" xfId="43"/>
    <cellStyle name="Page5" xfId="44"/>
    <cellStyle name="Page6" xfId="45"/>
    <cellStyle name="Percent 2" xfId="11"/>
    <cellStyle name="Percent 3" xfId="16"/>
    <cellStyle name="Percent 4" xfId="55"/>
    <cellStyle name="ResultDateCenter" xfId="46"/>
    <cellStyle name="Style 1" xfId="47"/>
    <cellStyle name="パーセント 2" xfId="48"/>
    <cellStyle name="桁区切り 2" xfId="49"/>
    <cellStyle name="桁区切り_DegitalOption_test" xfId="50"/>
    <cellStyle name="標準 2" xfId="51"/>
    <cellStyle name="標準 3" xfId="52"/>
    <cellStyle name="標準 4" xfId="12"/>
    <cellStyle name="標準_examplePortfolio" xfId="13"/>
    <cellStyle name="標準_Input_OutPut20060417" xfId="1"/>
  </cellStyles>
  <dxfs count="0"/>
  <tableStyles count="0" defaultTableStyle="TableStyleMedium2" defaultPivotStyle="PivotStyleLight16"/>
  <colors>
    <mruColors>
      <color rgb="FF0000FF"/>
      <color rgb="FF0066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476249</xdr:colOff>
      <xdr:row>5</xdr:row>
      <xdr:rowOff>2100</xdr:rowOff>
    </xdr:from>
    <xdr:to>
      <xdr:col>21</xdr:col>
      <xdr:colOff>257174</xdr:colOff>
      <xdr:row>39</xdr:row>
      <xdr:rowOff>100182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10449" y="954600"/>
          <a:ext cx="9534525" cy="65750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1"/>
  </sheetPr>
  <dimension ref="B2:O33"/>
  <sheetViews>
    <sheetView showGridLines="0" tabSelected="1" workbookViewId="0"/>
  </sheetViews>
  <sheetFormatPr defaultRowHeight="15"/>
  <cols>
    <col min="6" max="7" width="9.140625" style="154"/>
    <col min="13" max="13" width="9.140625" style="154"/>
    <col min="22" max="22" width="34.140625" customWidth="1"/>
  </cols>
  <sheetData>
    <row r="2" spans="2:15" s="154" customFormat="1"/>
    <row r="3" spans="2:15" s="154" customFormat="1">
      <c r="B3" s="131" t="s">
        <v>317</v>
      </c>
      <c r="C3"/>
      <c r="D3"/>
      <c r="E3" s="131" t="s">
        <v>341</v>
      </c>
      <c r="F3"/>
      <c r="G3"/>
      <c r="H3" s="131" t="s">
        <v>342</v>
      </c>
    </row>
    <row r="4" spans="2:15" s="154" customFormat="1">
      <c r="B4" s="153" t="s">
        <v>343</v>
      </c>
      <c r="C4"/>
      <c r="D4"/>
      <c r="E4" s="155" t="s">
        <v>344</v>
      </c>
      <c r="F4"/>
      <c r="G4"/>
      <c r="H4" s="155" t="s">
        <v>345</v>
      </c>
    </row>
    <row r="5" spans="2:15" s="154" customFormat="1"/>
    <row r="6" spans="2:15" s="154" customFormat="1"/>
    <row r="7" spans="2:15">
      <c r="B7" s="131" t="s">
        <v>316</v>
      </c>
    </row>
    <row r="8" spans="2:15">
      <c r="B8" s="132" t="s">
        <v>346</v>
      </c>
      <c r="C8" s="133"/>
      <c r="D8" s="133"/>
      <c r="E8" s="133"/>
      <c r="F8" s="133"/>
      <c r="G8" s="133"/>
      <c r="H8" s="134"/>
    </row>
    <row r="10" spans="2:15">
      <c r="B10" s="131" t="s">
        <v>318</v>
      </c>
    </row>
    <row r="11" spans="2:15">
      <c r="B11" s="135" t="b">
        <v>0</v>
      </c>
    </row>
    <row r="12" spans="2:15">
      <c r="B12" s="153" t="str">
        <f ca="1">_xll.meUtilityRecord(TRUE,B8)</f>
        <v>Recording Enabled, Output Folder: C:\temp\</v>
      </c>
    </row>
    <row r="14" spans="2:15">
      <c r="B14" s="131" t="s">
        <v>319</v>
      </c>
      <c r="J14" s="136" t="s">
        <v>320</v>
      </c>
      <c r="K14" s="131" t="s">
        <v>321</v>
      </c>
    </row>
    <row r="15" spans="2:15">
      <c r="B15" s="137" t="s">
        <v>322</v>
      </c>
      <c r="C15" s="138"/>
      <c r="D15" s="138"/>
      <c r="E15" s="138"/>
      <c r="F15" s="138"/>
      <c r="G15" s="138"/>
      <c r="H15" s="139"/>
      <c r="J15" s="140" t="b">
        <f ca="1">IF(MID(K15,4,2)="YC",TRUE,FALSE)</f>
        <v>1</v>
      </c>
      <c r="K15" s="141" t="str">
        <f ca="1">IF(NOW(),_xll.meUtilityReplay($B$8&amp;B15),"#LOAD")</f>
        <v>USDYC OIS Curve has been set</v>
      </c>
      <c r="L15" s="3"/>
      <c r="M15" s="3"/>
      <c r="N15" s="3"/>
      <c r="O15" s="4"/>
    </row>
    <row r="16" spans="2:15">
      <c r="B16" s="142" t="s">
        <v>323</v>
      </c>
      <c r="C16" s="143"/>
      <c r="D16" s="143"/>
      <c r="E16" s="143"/>
      <c r="F16" s="143"/>
      <c r="G16" s="143"/>
      <c r="H16" s="144"/>
      <c r="J16" s="140" t="b">
        <f ca="1">IF(MID(K16,4,2)="YC",TRUE,FALSE)</f>
        <v>1</v>
      </c>
      <c r="K16" s="145" t="str">
        <f ca="1">IF(NOW(),_xll.meUtilityReplay($B$8&amp;B16),"#LOAD")</f>
        <v>EURYC OIS Curve has been set</v>
      </c>
      <c r="L16" s="7"/>
      <c r="M16" s="7"/>
      <c r="N16" s="7"/>
      <c r="O16" s="8"/>
    </row>
    <row r="17" spans="2:15">
      <c r="B17" s="146" t="s">
        <v>324</v>
      </c>
      <c r="C17" s="147"/>
      <c r="D17" s="147"/>
      <c r="E17" s="147"/>
      <c r="F17" s="147"/>
      <c r="G17" s="147"/>
      <c r="H17" s="148"/>
      <c r="J17" s="140" t="b">
        <f ca="1">IF(MID(K17,4,2)="YC",TRUE,FALSE)</f>
        <v>1</v>
      </c>
      <c r="K17" s="149" t="str">
        <f ca="1">IF(NOW(),_xll.meUtilityReplay($B$8&amp;B17),"#LOAD")</f>
        <v>GBPYC OIS Curve has been set</v>
      </c>
      <c r="L17" s="12"/>
      <c r="M17" s="12"/>
      <c r="N17" s="12"/>
      <c r="O17" s="13"/>
    </row>
    <row r="19" spans="2:15">
      <c r="B19" s="131" t="s">
        <v>325</v>
      </c>
      <c r="J19" s="136" t="s">
        <v>320</v>
      </c>
      <c r="K19" s="131" t="s">
        <v>326</v>
      </c>
    </row>
    <row r="20" spans="2:15">
      <c r="B20" s="137" t="s">
        <v>327</v>
      </c>
      <c r="C20" s="138"/>
      <c r="D20" s="138"/>
      <c r="E20" s="138"/>
      <c r="F20" s="138"/>
      <c r="G20" s="138"/>
      <c r="H20" s="139"/>
      <c r="J20" s="140" t="b">
        <f ca="1">IF(MID(K20,4,2)="YC",TRUE,FALSE)</f>
        <v>1</v>
      </c>
      <c r="K20" s="141" t="str">
        <f ca="1">IF(AND(NOW(),J15),_xll.meUtilityReplay($B$8&amp;B20),"#LOAD")</f>
        <v>USDYC STD Curve has been set</v>
      </c>
      <c r="L20" s="3"/>
      <c r="M20" s="3"/>
      <c r="N20" s="3"/>
      <c r="O20" s="4"/>
    </row>
    <row r="21" spans="2:15">
      <c r="B21" s="142" t="s">
        <v>328</v>
      </c>
      <c r="C21" s="143"/>
      <c r="D21" s="143"/>
      <c r="E21" s="143"/>
      <c r="F21" s="143"/>
      <c r="G21" s="143"/>
      <c r="H21" s="144"/>
      <c r="J21" s="140" t="b">
        <f ca="1">IF(MID(K21,4,2)="YC",TRUE,FALSE)</f>
        <v>1</v>
      </c>
      <c r="K21" s="145" t="str">
        <f ca="1">IF(AND(NOW(),J16),_xll.meUtilityReplay($B$8&amp;B21),"#LOAD")</f>
        <v>EURYC STD Curve has been set</v>
      </c>
      <c r="L21" s="7"/>
      <c r="M21" s="7"/>
      <c r="N21" s="7"/>
      <c r="O21" s="8"/>
    </row>
    <row r="22" spans="2:15">
      <c r="B22" s="146" t="s">
        <v>329</v>
      </c>
      <c r="C22" s="147"/>
      <c r="D22" s="147"/>
      <c r="E22" s="147"/>
      <c r="F22" s="147"/>
      <c r="G22" s="147"/>
      <c r="H22" s="148"/>
      <c r="J22" s="140" t="b">
        <f ca="1">IF(MID(K22,4,2)="YC",TRUE,FALSE)</f>
        <v>1</v>
      </c>
      <c r="K22" s="149" t="str">
        <f ca="1">IF(AND(NOW(),J17),_xll.meUtilityReplay($B$8&amp;B22),"#LOAD")</f>
        <v>GBPYC STD Curve has been set</v>
      </c>
      <c r="L22" s="12"/>
      <c r="M22" s="12"/>
      <c r="N22" s="12"/>
      <c r="O22" s="13"/>
    </row>
    <row r="24" spans="2:15">
      <c r="B24" s="131" t="s">
        <v>330</v>
      </c>
      <c r="J24" s="136" t="s">
        <v>320</v>
      </c>
      <c r="K24" s="131" t="s">
        <v>331</v>
      </c>
    </row>
    <row r="25" spans="2:15">
      <c r="B25" s="137" t="s">
        <v>332</v>
      </c>
      <c r="C25" s="138"/>
      <c r="D25" s="138"/>
      <c r="E25" s="138"/>
      <c r="F25" s="138"/>
      <c r="G25" s="138"/>
      <c r="H25" s="139"/>
      <c r="J25" s="140" t="b">
        <f ca="1">IF(MID(K25,4,2)="YC",TRUE,FALSE)</f>
        <v>1</v>
      </c>
      <c r="K25" s="141" t="str">
        <f ca="1">IF(AND(NOW(),J21),_xll.meUtilityReplay($B$8&amp;B25),"#LOAD")</f>
        <v>EURYC 3M6MBasis Curve has been set</v>
      </c>
      <c r="L25" s="3"/>
      <c r="M25" s="3"/>
      <c r="N25" s="3"/>
      <c r="O25" s="4"/>
    </row>
    <row r="26" spans="2:15">
      <c r="B26" s="146" t="s">
        <v>333</v>
      </c>
      <c r="C26" s="147"/>
      <c r="D26" s="147"/>
      <c r="E26" s="147"/>
      <c r="F26" s="147"/>
      <c r="G26" s="147"/>
      <c r="H26" s="148"/>
      <c r="J26" s="140" t="b">
        <f ca="1">IF(MID(K26,4,2)="YC",TRUE,FALSE)</f>
        <v>1</v>
      </c>
      <c r="K26" s="149" t="str">
        <f ca="1">IF(AND(NOW(),J22),_xll.meUtilityReplay($B$8&amp;B26),"#LOAD")</f>
        <v>GBPYC 3M6MBasis Curve has been set</v>
      </c>
      <c r="L26" s="12"/>
      <c r="M26" s="12"/>
      <c r="N26" s="12"/>
      <c r="O26" s="13"/>
    </row>
    <row r="28" spans="2:15">
      <c r="B28" s="131" t="s">
        <v>334</v>
      </c>
      <c r="J28" s="136" t="s">
        <v>320</v>
      </c>
      <c r="K28" s="131" t="s">
        <v>335</v>
      </c>
    </row>
    <row r="29" spans="2:15">
      <c r="B29" s="137" t="s">
        <v>336</v>
      </c>
      <c r="C29" s="138"/>
      <c r="D29" s="138"/>
      <c r="E29" s="138"/>
      <c r="F29" s="138"/>
      <c r="G29" s="138"/>
      <c r="H29" s="139"/>
      <c r="J29" s="140" t="b">
        <f ca="1">IF(MID(K29,4,2)="YC",TRUE,FALSE)</f>
        <v>1</v>
      </c>
      <c r="K29" s="141" t="str">
        <f ca="1">IF(AND(NOW(),J25,J15),_xll.meUtilityReplay($B$8&amp;B29),"#LOAD")</f>
        <v>EURYC XccyBasis Curve has been set</v>
      </c>
      <c r="L29" s="3"/>
      <c r="M29" s="3"/>
      <c r="N29" s="3"/>
      <c r="O29" s="4"/>
    </row>
    <row r="30" spans="2:15">
      <c r="B30" s="146" t="s">
        <v>337</v>
      </c>
      <c r="C30" s="147"/>
      <c r="D30" s="147"/>
      <c r="E30" s="147"/>
      <c r="F30" s="147"/>
      <c r="G30" s="147"/>
      <c r="H30" s="148"/>
      <c r="J30" s="140" t="b">
        <f ca="1">IF(MID(K30,4,2)="YC",TRUE,FALSE)</f>
        <v>1</v>
      </c>
      <c r="K30" s="149" t="str">
        <f ca="1">IF(AND(NOW(),J26,J15),_xll.meUtilityReplay($B$8&amp;B30),"#LOAD")</f>
        <v>GBPYC XccyBasis Curve has been set</v>
      </c>
      <c r="L30" s="12"/>
      <c r="M30" s="12"/>
      <c r="N30" s="12"/>
      <c r="O30" s="13"/>
    </row>
    <row r="32" spans="2:15">
      <c r="B32" s="131" t="s">
        <v>338</v>
      </c>
      <c r="K32" s="131" t="s">
        <v>339</v>
      </c>
    </row>
    <row r="33" spans="2:15">
      <c r="B33" s="132" t="s">
        <v>340</v>
      </c>
      <c r="C33" s="133"/>
      <c r="D33" s="133"/>
      <c r="E33" s="133"/>
      <c r="F33" s="133"/>
      <c r="G33" s="133"/>
      <c r="H33" s="134"/>
      <c r="J33" s="140" t="b">
        <f ca="1">IF(MID(K33,4,2)="YC",TRUE,FALSE)</f>
        <v>1</v>
      </c>
      <c r="K33" s="150" t="str">
        <f ca="1">IF(AND(NOW(),J29,J30),_xll.meUtilityReplay($B$8&amp;B33),"#LOAD")</f>
        <v>EURYC FwdFXConstGBP Curve has been set</v>
      </c>
      <c r="L33" s="151"/>
      <c r="M33" s="151"/>
      <c r="N33" s="151"/>
      <c r="O33" s="152"/>
    </row>
  </sheetData>
  <dataValidations count="1">
    <dataValidation type="list" allowBlank="1" showInputMessage="1" showErrorMessage="1" sqref="B11">
      <formula1>"TRUE,FALSE"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C00000"/>
  </sheetPr>
  <dimension ref="B2:N90"/>
  <sheetViews>
    <sheetView showGridLines="0" workbookViewId="0"/>
  </sheetViews>
  <sheetFormatPr defaultRowHeight="1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>
      <c r="B2" s="56" t="s">
        <v>304</v>
      </c>
    </row>
    <row r="3" spans="2:14">
      <c r="B3" s="65"/>
    </row>
    <row r="4" spans="2:14">
      <c r="B4" s="65"/>
    </row>
    <row r="5" spans="2:14">
      <c r="B5" s="65" t="s">
        <v>303</v>
      </c>
    </row>
    <row r="6" spans="2:14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>
      <c r="B7" s="5"/>
      <c r="C7" s="64" t="s">
        <v>303</v>
      </c>
      <c r="D7" s="61" t="str">
        <f ca="1">IF(NOW(),_xll.meCurveCalibrateOIS(CurveCollection,StaticDataTable,IndexName,CurveBuildProperties,OISConventions,OISMarketData,OISFixingTable, OISBasis.Conventions,OISBasis.Spreads,LiborSwap.Conventions,LiborSwap.MarketData),"Error Building OIS Curve")</f>
        <v>USDYC OIS Curve has been set (0.04700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>
      <c r="B8" s="5"/>
      <c r="C8" s="128" t="s">
        <v>299</v>
      </c>
      <c r="D8" s="129" t="b">
        <f ca="1">LEFT(D7,9)="USDYC 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>
      <c r="B11" s="5"/>
      <c r="C11" s="27" t="s">
        <v>88</v>
      </c>
      <c r="D11" s="107" t="s">
        <v>234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>
      <c r="B12" s="5"/>
      <c r="C12" s="28" t="s">
        <v>87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>
      <c r="B13" s="5"/>
      <c r="C13" s="59" t="s">
        <v>89</v>
      </c>
      <c r="D13" s="110" t="s">
        <v>239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>
      <c r="B17" s="56" t="s">
        <v>70</v>
      </c>
    </row>
    <row r="18" spans="2:14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2:14">
      <c r="B20" s="5"/>
      <c r="C20" s="27" t="s">
        <v>10</v>
      </c>
      <c r="D20" s="107"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2:14">
      <c r="B21" s="5"/>
      <c r="C21" s="28" t="s">
        <v>16</v>
      </c>
      <c r="D21" s="108" t="s">
        <v>238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2:14">
      <c r="B22" s="5"/>
      <c r="C22" s="28" t="s">
        <v>24</v>
      </c>
      <c r="D22" s="111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2:14">
      <c r="B23" s="5"/>
      <c r="C23" s="29"/>
      <c r="D23" s="108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2:14">
      <c r="B24" s="5"/>
      <c r="C24" s="44"/>
      <c r="D24" s="110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2:14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>
      <c r="F27" s="67"/>
    </row>
    <row r="28" spans="2:14">
      <c r="B28" s="56" t="s">
        <v>79</v>
      </c>
    </row>
    <row r="29" spans="2:14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>
      <c r="B31" s="5"/>
      <c r="C31" s="27" t="s">
        <v>3</v>
      </c>
      <c r="D31" s="34" t="s">
        <v>235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>
      <c r="B32" s="5"/>
      <c r="C32" s="28" t="s">
        <v>7</v>
      </c>
      <c r="D32" s="35" t="s">
        <v>6</v>
      </c>
      <c r="E32" s="9"/>
      <c r="F32" s="24" t="s">
        <v>46</v>
      </c>
      <c r="G32" s="19">
        <v>3.7000000000000002E-3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>
      <c r="B33" s="5"/>
      <c r="C33" s="28" t="s">
        <v>25</v>
      </c>
      <c r="D33" s="35" t="s">
        <v>26</v>
      </c>
      <c r="E33" s="9"/>
      <c r="F33" s="24" t="s">
        <v>240</v>
      </c>
      <c r="G33" s="116">
        <v>99.63</v>
      </c>
      <c r="H33" s="20">
        <v>42522</v>
      </c>
      <c r="I33" s="20">
        <v>42551</v>
      </c>
      <c r="J33" s="41" t="b">
        <v>1</v>
      </c>
      <c r="K33" s="10"/>
      <c r="L33" s="53"/>
      <c r="M33" s="51"/>
      <c r="N33" s="55"/>
    </row>
    <row r="34" spans="2:14">
      <c r="B34" s="5"/>
      <c r="C34" s="28" t="s">
        <v>33</v>
      </c>
      <c r="D34" s="35" t="s">
        <v>34</v>
      </c>
      <c r="E34" s="9"/>
      <c r="F34" s="24" t="s">
        <v>241</v>
      </c>
      <c r="G34" s="116">
        <v>99.61</v>
      </c>
      <c r="H34" s="20">
        <v>42552</v>
      </c>
      <c r="I34" s="20">
        <v>42582</v>
      </c>
      <c r="J34" s="41" t="b">
        <v>1</v>
      </c>
      <c r="K34" s="10"/>
      <c r="L34" s="53"/>
      <c r="M34" s="51"/>
      <c r="N34" s="55"/>
    </row>
    <row r="35" spans="2:14">
      <c r="B35" s="5"/>
      <c r="C35" s="28" t="s">
        <v>15</v>
      </c>
      <c r="D35" s="35" t="s">
        <v>30</v>
      </c>
      <c r="E35" s="9"/>
      <c r="F35" s="24" t="s">
        <v>242</v>
      </c>
      <c r="G35" s="116">
        <v>99.56</v>
      </c>
      <c r="H35" s="20">
        <v>42583</v>
      </c>
      <c r="I35" s="20">
        <v>42613</v>
      </c>
      <c r="J35" s="41" t="b">
        <v>1</v>
      </c>
      <c r="K35" s="10"/>
      <c r="L35" s="53"/>
      <c r="M35" s="51"/>
      <c r="N35" s="55"/>
    </row>
    <row r="36" spans="2:14">
      <c r="B36" s="5"/>
      <c r="C36" s="29" t="s">
        <v>35</v>
      </c>
      <c r="D36" s="35" t="s">
        <v>36</v>
      </c>
      <c r="E36" s="9"/>
      <c r="F36" s="24" t="s">
        <v>243</v>
      </c>
      <c r="G36" s="116">
        <v>99.515000000000001</v>
      </c>
      <c r="H36" s="20">
        <v>42614</v>
      </c>
      <c r="I36" s="20">
        <v>42643</v>
      </c>
      <c r="J36" s="41" t="b">
        <v>1</v>
      </c>
      <c r="K36" s="10"/>
      <c r="L36" s="53"/>
      <c r="M36" s="51"/>
      <c r="N36" s="55"/>
    </row>
    <row r="37" spans="2:14">
      <c r="B37" s="5"/>
      <c r="C37" s="30" t="s">
        <v>23</v>
      </c>
      <c r="D37" s="36" t="s">
        <v>22</v>
      </c>
      <c r="E37" s="9"/>
      <c r="F37" s="24" t="s">
        <v>244</v>
      </c>
      <c r="G37" s="116">
        <v>99.484999999999999</v>
      </c>
      <c r="H37" s="20">
        <v>42646</v>
      </c>
      <c r="I37" s="20">
        <v>42674</v>
      </c>
      <c r="J37" s="41" t="b">
        <v>1</v>
      </c>
      <c r="K37" s="10"/>
      <c r="L37" s="53"/>
      <c r="M37" s="51"/>
      <c r="N37" s="55"/>
    </row>
    <row r="38" spans="2:14">
      <c r="B38" s="5"/>
      <c r="C38" s="28" t="s">
        <v>38</v>
      </c>
      <c r="D38" s="35" t="s">
        <v>39</v>
      </c>
      <c r="E38" s="9"/>
      <c r="F38" s="24" t="s">
        <v>245</v>
      </c>
      <c r="G38" s="116">
        <v>99.465000000000003</v>
      </c>
      <c r="H38" s="20">
        <v>42675</v>
      </c>
      <c r="I38" s="20">
        <v>42704</v>
      </c>
      <c r="J38" s="41" t="b">
        <v>1</v>
      </c>
      <c r="K38" s="10"/>
      <c r="L38" s="53"/>
      <c r="M38" s="51"/>
      <c r="N38" s="55"/>
    </row>
    <row r="39" spans="2:14">
      <c r="B39" s="5"/>
      <c r="C39" s="28" t="s">
        <v>236</v>
      </c>
      <c r="D39" s="35">
        <v>31</v>
      </c>
      <c r="E39" s="9"/>
      <c r="F39" s="24" t="s">
        <v>246</v>
      </c>
      <c r="G39" s="116">
        <v>99.435000000000002</v>
      </c>
      <c r="H39" s="20">
        <v>42705</v>
      </c>
      <c r="I39" s="20">
        <v>42735</v>
      </c>
      <c r="J39" s="41" t="b">
        <v>1</v>
      </c>
      <c r="K39" s="10"/>
      <c r="L39" s="53"/>
      <c r="M39" s="51"/>
      <c r="N39" s="55"/>
    </row>
    <row r="40" spans="2:14">
      <c r="B40" s="5"/>
      <c r="C40" s="28" t="s">
        <v>237</v>
      </c>
      <c r="D40" s="35" t="b">
        <v>1</v>
      </c>
      <c r="E40" s="9"/>
      <c r="F40" s="24" t="s">
        <v>247</v>
      </c>
      <c r="G40" s="116">
        <v>99.42</v>
      </c>
      <c r="H40" s="20">
        <v>42738</v>
      </c>
      <c r="I40" s="20">
        <v>42766</v>
      </c>
      <c r="J40" s="41" t="b">
        <v>1</v>
      </c>
      <c r="K40" s="10"/>
      <c r="L40" s="53"/>
      <c r="M40" s="51"/>
      <c r="N40" s="55"/>
    </row>
    <row r="41" spans="2:14">
      <c r="B41" s="5"/>
      <c r="C41" s="28" t="s">
        <v>38</v>
      </c>
      <c r="D41" s="108" t="s">
        <v>39</v>
      </c>
      <c r="E41" s="9"/>
      <c r="F41" s="24" t="s">
        <v>248</v>
      </c>
      <c r="G41" s="116">
        <v>99.385000000000005</v>
      </c>
      <c r="H41" s="20">
        <v>42767</v>
      </c>
      <c r="I41" s="20">
        <v>42794</v>
      </c>
      <c r="J41" s="41" t="b">
        <v>1</v>
      </c>
      <c r="K41" s="10"/>
      <c r="L41" s="53"/>
      <c r="M41" s="51"/>
      <c r="N41" s="55"/>
    </row>
    <row r="42" spans="2:14">
      <c r="B42" s="5"/>
      <c r="C42" s="156" t="s">
        <v>40</v>
      </c>
      <c r="D42" s="108" t="s">
        <v>41</v>
      </c>
      <c r="E42" s="9"/>
      <c r="F42" s="24" t="s">
        <v>47</v>
      </c>
      <c r="G42" s="19">
        <v>6.6E-3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>
      <c r="B43" s="5"/>
      <c r="C43" s="156" t="s">
        <v>42</v>
      </c>
      <c r="D43" s="108" t="s">
        <v>43</v>
      </c>
      <c r="E43" s="9"/>
      <c r="F43" s="24" t="s">
        <v>43</v>
      </c>
      <c r="G43" s="19">
        <v>7.7600000000000004E-3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>
      <c r="B44" s="5"/>
      <c r="C44" s="29" t="s">
        <v>44</v>
      </c>
      <c r="D44" s="108" t="s">
        <v>45</v>
      </c>
      <c r="E44" s="9"/>
      <c r="F44" s="24" t="s">
        <v>50</v>
      </c>
      <c r="G44" s="19">
        <v>8.8000000000000005E-3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>
      <c r="B45" s="5"/>
      <c r="C45" s="28" t="s">
        <v>135</v>
      </c>
      <c r="D45" s="115">
        <v>1E-10</v>
      </c>
      <c r="E45" s="9"/>
      <c r="F45" s="24" t="s">
        <v>52</v>
      </c>
      <c r="G45" s="19">
        <v>9.7900000000000001E-3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>
      <c r="B46" s="5"/>
      <c r="C46" s="28" t="s">
        <v>136</v>
      </c>
      <c r="D46" s="106">
        <v>1000</v>
      </c>
      <c r="E46" s="9"/>
      <c r="F46" s="24" t="s">
        <v>54</v>
      </c>
      <c r="G46" s="19">
        <v>1.072E-2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>
      <c r="B47" s="5"/>
      <c r="C47" s="32"/>
      <c r="D47" s="35"/>
      <c r="E47" s="9"/>
      <c r="F47" s="24" t="s">
        <v>56</v>
      </c>
      <c r="G47" s="19">
        <v>1.159E-2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>
      <c r="B48" s="5"/>
      <c r="C48" s="32"/>
      <c r="D48" s="39"/>
      <c r="E48" s="9"/>
      <c r="F48" s="24" t="s">
        <v>61</v>
      </c>
      <c r="G48" s="19">
        <v>1.371E-2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>
      <c r="B49" s="5"/>
      <c r="C49" s="28"/>
      <c r="D49" s="39"/>
      <c r="E49" s="9"/>
      <c r="F49" s="24" t="s">
        <v>63</v>
      </c>
      <c r="G49" s="19">
        <v>1.482E-2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>
      <c r="B50" s="5"/>
      <c r="C50" s="28"/>
      <c r="D50" s="39"/>
      <c r="E50" s="9"/>
      <c r="F50" s="24" t="s">
        <v>64</v>
      </c>
      <c r="G50" s="19">
        <v>1.6E-2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>
      <c r="B51" s="5"/>
      <c r="C51" s="28"/>
      <c r="D51" s="39"/>
      <c r="E51" s="9"/>
      <c r="F51" s="24" t="s">
        <v>65</v>
      </c>
      <c r="G51" s="19">
        <v>1.72E-2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>
      <c r="B52" s="5"/>
      <c r="C52" s="28"/>
      <c r="D52" s="39"/>
      <c r="E52" s="9"/>
      <c r="F52" s="24" t="s">
        <v>66</v>
      </c>
      <c r="G52" s="19">
        <v>1.7780000000000001E-2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>
      <c r="B53" s="5"/>
      <c r="C53" s="32"/>
      <c r="D53" s="39"/>
      <c r="E53" s="9"/>
      <c r="F53" s="24" t="s">
        <v>67</v>
      </c>
      <c r="G53" s="19">
        <v>1.813E-2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>
      <c r="B54" s="5"/>
      <c r="C54" s="32"/>
      <c r="D54" s="39"/>
      <c r="E54" s="9"/>
      <c r="F54" s="24"/>
      <c r="G54" s="19"/>
      <c r="H54" s="20"/>
      <c r="I54" s="20"/>
      <c r="J54" s="41"/>
      <c r="K54" s="10"/>
      <c r="L54" s="53"/>
      <c r="M54" s="51"/>
      <c r="N54" s="55"/>
    </row>
    <row r="55" spans="2:14">
      <c r="B55" s="5"/>
      <c r="C55" s="32"/>
      <c r="D55" s="39"/>
      <c r="E55" s="9"/>
      <c r="F55" s="24"/>
      <c r="G55" s="19"/>
      <c r="H55" s="20"/>
      <c r="I55" s="20"/>
      <c r="J55" s="41"/>
      <c r="K55" s="10"/>
      <c r="L55" s="53"/>
      <c r="M55" s="51"/>
      <c r="N55" s="55"/>
    </row>
    <row r="56" spans="2:14">
      <c r="B56" s="5"/>
      <c r="C56" s="32"/>
      <c r="D56" s="39"/>
      <c r="E56" s="9"/>
      <c r="F56" s="24"/>
      <c r="G56" s="19"/>
      <c r="H56" s="20"/>
      <c r="I56" s="20"/>
      <c r="J56" s="41"/>
      <c r="K56" s="10"/>
      <c r="L56" s="53"/>
      <c r="M56" s="51"/>
      <c r="N56" s="55"/>
    </row>
    <row r="57" spans="2:14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>
      <c r="B61" s="56" t="s">
        <v>78</v>
      </c>
    </row>
    <row r="62" spans="2:14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>
      <c r="B64" s="5"/>
      <c r="C64" s="27" t="s">
        <v>1</v>
      </c>
      <c r="D64" s="34" t="s">
        <v>249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249</v>
      </c>
      <c r="K64" s="10"/>
      <c r="L64" s="58" t="s">
        <v>11</v>
      </c>
      <c r="M64" s="58" t="s">
        <v>12</v>
      </c>
      <c r="N64" s="55"/>
    </row>
    <row r="65" spans="2:14">
      <c r="B65" s="5"/>
      <c r="C65" s="28" t="s">
        <v>18</v>
      </c>
      <c r="D65" s="35" t="s">
        <v>6</v>
      </c>
      <c r="E65" s="9"/>
      <c r="F65" s="24" t="s">
        <v>47</v>
      </c>
      <c r="G65" s="51">
        <v>2.66E-3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9.4850000000000004E-3</v>
      </c>
      <c r="N65" s="55"/>
    </row>
    <row r="66" spans="2:14">
      <c r="B66" s="5"/>
      <c r="C66" s="28" t="s">
        <v>27</v>
      </c>
      <c r="D66" s="35" t="s">
        <v>28</v>
      </c>
      <c r="E66" s="9"/>
      <c r="F66" s="24" t="s">
        <v>43</v>
      </c>
      <c r="G66" s="51">
        <v>2.7799999999999999E-3</v>
      </c>
      <c r="H66" s="10"/>
      <c r="I66" s="28" t="s">
        <v>29</v>
      </c>
      <c r="J66" s="35" t="s">
        <v>250</v>
      </c>
      <c r="K66" s="10"/>
      <c r="L66" s="24" t="s">
        <v>43</v>
      </c>
      <c r="M66" s="51">
        <v>1.073E-2</v>
      </c>
      <c r="N66" s="55"/>
    </row>
    <row r="67" spans="2:14">
      <c r="B67" s="5"/>
      <c r="C67" s="28" t="s">
        <v>21</v>
      </c>
      <c r="D67" s="35" t="s">
        <v>22</v>
      </c>
      <c r="E67" s="9"/>
      <c r="F67" s="24" t="s">
        <v>50</v>
      </c>
      <c r="G67" s="51">
        <v>2.9199999999999999E-3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1.1915E-2</v>
      </c>
      <c r="N67" s="55"/>
    </row>
    <row r="68" spans="2:14">
      <c r="B68" s="5"/>
      <c r="C68" s="28"/>
      <c r="D68" s="35"/>
      <c r="E68" s="9"/>
      <c r="F68" s="24" t="s">
        <v>52</v>
      </c>
      <c r="G68" s="51">
        <v>3.0600000000000002E-3</v>
      </c>
      <c r="H68" s="10"/>
      <c r="I68" s="28"/>
      <c r="J68" s="35"/>
      <c r="K68" s="10"/>
      <c r="L68" s="24" t="s">
        <v>52</v>
      </c>
      <c r="M68" s="51">
        <v>1.3055000000000001E-2</v>
      </c>
      <c r="N68" s="55"/>
    </row>
    <row r="69" spans="2:14">
      <c r="B69" s="5"/>
      <c r="C69" s="29"/>
      <c r="D69" s="35"/>
      <c r="E69" s="9"/>
      <c r="F69" s="24" t="s">
        <v>54</v>
      </c>
      <c r="G69" s="51">
        <v>3.1899999999999997E-3</v>
      </c>
      <c r="H69" s="10"/>
      <c r="I69" s="29"/>
      <c r="J69" s="35"/>
      <c r="K69" s="10"/>
      <c r="L69" s="24" t="s">
        <v>54</v>
      </c>
      <c r="M69" s="51">
        <v>1.409E-2</v>
      </c>
      <c r="N69" s="55"/>
    </row>
    <row r="70" spans="2:14">
      <c r="B70" s="5"/>
      <c r="C70" s="30"/>
      <c r="D70" s="36"/>
      <c r="E70" s="9"/>
      <c r="F70" s="24" t="s">
        <v>56</v>
      </c>
      <c r="G70" s="51">
        <v>3.29E-3</v>
      </c>
      <c r="H70" s="10"/>
      <c r="I70" s="30"/>
      <c r="J70" s="36"/>
      <c r="K70" s="10"/>
      <c r="L70" s="24" t="s">
        <v>56</v>
      </c>
      <c r="M70" s="51">
        <v>1.508E-2</v>
      </c>
      <c r="N70" s="55"/>
    </row>
    <row r="71" spans="2:14">
      <c r="B71" s="5"/>
      <c r="C71" s="28"/>
      <c r="D71" s="35"/>
      <c r="E71" s="9"/>
      <c r="F71" s="24" t="s">
        <v>61</v>
      </c>
      <c r="G71" s="51">
        <v>3.4700000000000004E-3</v>
      </c>
      <c r="H71" s="10"/>
      <c r="I71" s="28"/>
      <c r="J71" s="35"/>
      <c r="K71" s="10"/>
      <c r="L71" s="24" t="s">
        <v>61</v>
      </c>
      <c r="M71" s="51">
        <v>1.7399999999999999E-2</v>
      </c>
      <c r="N71" s="55"/>
    </row>
    <row r="72" spans="2:14">
      <c r="B72" s="5"/>
      <c r="C72" s="28"/>
      <c r="D72" s="35"/>
      <c r="E72" s="9"/>
      <c r="F72" s="24" t="s">
        <v>63</v>
      </c>
      <c r="G72" s="51">
        <v>3.5200000000000001E-3</v>
      </c>
      <c r="H72" s="10"/>
      <c r="I72" s="28"/>
      <c r="J72" s="35"/>
      <c r="K72" s="10"/>
      <c r="L72" s="24" t="s">
        <v>63</v>
      </c>
      <c r="M72" s="51">
        <v>1.8574999999999998E-2</v>
      </c>
      <c r="N72" s="55"/>
    </row>
    <row r="73" spans="2:14">
      <c r="B73" s="5"/>
      <c r="C73" s="28"/>
      <c r="D73" s="35"/>
      <c r="E73" s="9"/>
      <c r="F73" s="24" t="s">
        <v>64</v>
      </c>
      <c r="G73" s="51">
        <v>3.5700000000000003E-3</v>
      </c>
      <c r="H73" s="10"/>
      <c r="I73" s="28"/>
      <c r="J73" s="35"/>
      <c r="K73" s="10"/>
      <c r="L73" s="24" t="s">
        <v>64</v>
      </c>
      <c r="M73" s="51">
        <v>1.9779999999999999E-2</v>
      </c>
      <c r="N73" s="55"/>
    </row>
    <row r="74" spans="2:14">
      <c r="B74" s="5"/>
      <c r="C74" s="28"/>
      <c r="D74" s="35"/>
      <c r="E74" s="9"/>
      <c r="F74" s="24" t="s">
        <v>65</v>
      </c>
      <c r="G74" s="51">
        <v>3.6200000000000004E-3</v>
      </c>
      <c r="H74" s="10"/>
      <c r="I74" s="28"/>
      <c r="J74" s="35"/>
      <c r="K74" s="10"/>
      <c r="L74" s="24" t="s">
        <v>65</v>
      </c>
      <c r="M74" s="51">
        <v>2.1015000000000002E-2</v>
      </c>
      <c r="N74" s="55"/>
    </row>
    <row r="75" spans="2:14">
      <c r="B75" s="5"/>
      <c r="C75" s="28"/>
      <c r="D75" s="35"/>
      <c r="E75" s="9"/>
      <c r="F75" s="24" t="s">
        <v>66</v>
      </c>
      <c r="G75" s="51">
        <v>3.64E-3</v>
      </c>
      <c r="H75" s="10"/>
      <c r="I75" s="28"/>
      <c r="J75" s="35"/>
      <c r="K75" s="10"/>
      <c r="L75" s="24" t="s">
        <v>66</v>
      </c>
      <c r="M75" s="51">
        <v>2.1600000000000001E-2</v>
      </c>
      <c r="N75" s="55"/>
    </row>
    <row r="76" spans="2:14">
      <c r="B76" s="5"/>
      <c r="C76" s="29"/>
      <c r="D76" s="35"/>
      <c r="E76" s="9"/>
      <c r="F76" s="24" t="s">
        <v>67</v>
      </c>
      <c r="G76" s="51">
        <v>3.65E-3</v>
      </c>
      <c r="H76" s="10"/>
      <c r="I76" s="29"/>
      <c r="J76" s="35"/>
      <c r="K76" s="10"/>
      <c r="L76" s="24" t="s">
        <v>67</v>
      </c>
      <c r="M76" s="51">
        <v>2.1964999999999998E-2</v>
      </c>
      <c r="N76" s="55"/>
    </row>
    <row r="77" spans="2:14">
      <c r="B77" s="5"/>
      <c r="C77" s="31"/>
      <c r="D77" s="37"/>
      <c r="E77" s="9"/>
      <c r="F77" s="24"/>
      <c r="G77" s="51"/>
      <c r="H77" s="10"/>
      <c r="I77" s="31"/>
      <c r="J77" s="37"/>
      <c r="K77" s="10"/>
      <c r="L77" s="24"/>
      <c r="M77" s="51"/>
      <c r="N77" s="55"/>
    </row>
    <row r="78" spans="2:14">
      <c r="B78" s="5"/>
      <c r="C78" s="31"/>
      <c r="D78" s="38"/>
      <c r="E78" s="9"/>
      <c r="F78" s="24"/>
      <c r="G78" s="51"/>
      <c r="H78" s="10"/>
      <c r="I78" s="31"/>
      <c r="J78" s="38"/>
      <c r="K78" s="10"/>
      <c r="L78" s="24"/>
      <c r="M78" s="51"/>
      <c r="N78" s="55"/>
    </row>
    <row r="79" spans="2:14">
      <c r="B79" s="5"/>
      <c r="C79" s="31"/>
      <c r="D79" s="37"/>
      <c r="E79" s="9"/>
      <c r="F79" s="24"/>
      <c r="G79" s="51"/>
      <c r="H79" s="10"/>
      <c r="I79" s="31"/>
      <c r="J79" s="37"/>
      <c r="K79" s="10"/>
      <c r="L79" s="24"/>
      <c r="M79" s="51"/>
      <c r="N79" s="55"/>
    </row>
    <row r="80" spans="2:14">
      <c r="B80" s="5"/>
      <c r="C80" s="32"/>
      <c r="D80" s="35"/>
      <c r="E80" s="9"/>
      <c r="F80" s="24"/>
      <c r="G80" s="51"/>
      <c r="H80" s="10"/>
      <c r="I80" s="32"/>
      <c r="J80" s="35"/>
      <c r="K80" s="10"/>
      <c r="L80" s="24"/>
      <c r="M80" s="51"/>
      <c r="N80" s="55"/>
    </row>
    <row r="81" spans="2:14">
      <c r="B81" s="5"/>
      <c r="C81" s="32"/>
      <c r="D81" s="39"/>
      <c r="E81" s="9"/>
      <c r="F81" s="24"/>
      <c r="G81" s="51"/>
      <c r="H81" s="10"/>
      <c r="I81" s="32"/>
      <c r="J81" s="39"/>
      <c r="K81" s="10"/>
      <c r="L81" s="24"/>
      <c r="M81" s="51"/>
      <c r="N81" s="55"/>
    </row>
    <row r="82" spans="2:14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C00000"/>
  </sheetPr>
  <dimension ref="B2:L113"/>
  <sheetViews>
    <sheetView showGridLines="0" workbookViewId="0"/>
  </sheetViews>
  <sheetFormatPr defaultRowHeight="15"/>
  <cols>
    <col min="2" max="2" width="2.7109375" customWidth="1"/>
    <col min="3" max="3" width="20.42578125" customWidth="1"/>
    <col min="4" max="4" width="35.140625" customWidth="1"/>
    <col min="6" max="7" width="18.7109375" customWidth="1"/>
    <col min="8" max="8" width="12.7109375" customWidth="1"/>
    <col min="9" max="11" width="18.7109375" customWidth="1"/>
    <col min="12" max="12" width="5.5703125" customWidth="1"/>
    <col min="14" max="15" width="15.7109375" customWidth="1"/>
  </cols>
  <sheetData>
    <row r="2" spans="2:12">
      <c r="B2" s="56" t="s">
        <v>307</v>
      </c>
    </row>
    <row r="6" spans="2:12">
      <c r="B6" s="56" t="s">
        <v>308</v>
      </c>
    </row>
    <row r="7" spans="2:12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>
      <c r="B8" s="5"/>
      <c r="C8" s="64" t="s">
        <v>308</v>
      </c>
      <c r="D8" s="61" t="str">
        <f ca="1">IF(AND(isUSDOISLoaded,NOW()),_xll.meCurveCalibrateSwap(CurveCollection,StaticDataTable,IndexName,CurveBuildProperties,MoneyMarketConventions,LiborConventions,LiborMarketData,SwapConventions,SwapMarketData,FRAConventions,FRAMarketData3M,FRAMarketData6M,FuturesConventions,FuturesMarketData),"Error Loading Swap Curve")</f>
        <v>USDYC STD Curve has been set (0.04700 sec)</v>
      </c>
      <c r="E8" s="62"/>
      <c r="F8" s="63"/>
      <c r="G8" s="7"/>
      <c r="H8" s="7"/>
      <c r="I8" s="7"/>
      <c r="J8" s="7"/>
      <c r="K8" s="7"/>
      <c r="L8" s="8"/>
    </row>
    <row r="9" spans="2:12">
      <c r="B9" s="5"/>
      <c r="C9" s="128" t="s">
        <v>299</v>
      </c>
      <c r="D9" s="129" t="b">
        <f ca="1">LEFT(D8,9)="USDYC STD"</f>
        <v>1</v>
      </c>
      <c r="E9" s="7"/>
      <c r="F9" s="7"/>
      <c r="G9" s="7"/>
      <c r="H9" s="7"/>
      <c r="I9" s="7"/>
      <c r="J9" s="7"/>
      <c r="K9" s="7"/>
      <c r="L9" s="8"/>
    </row>
    <row r="10" spans="2:12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>
      <c r="B13" s="5"/>
      <c r="C13" s="27" t="s">
        <v>88</v>
      </c>
      <c r="D13" s="107" t="s">
        <v>234</v>
      </c>
      <c r="E13" s="7"/>
      <c r="F13" s="7"/>
      <c r="G13" s="7"/>
      <c r="H13" s="7"/>
      <c r="I13" s="7"/>
      <c r="J13" s="7"/>
      <c r="K13" s="7"/>
      <c r="L13" s="8"/>
    </row>
    <row r="14" spans="2:12">
      <c r="B14" s="5"/>
      <c r="C14" s="28" t="s">
        <v>87</v>
      </c>
      <c r="D14" s="108" t="s">
        <v>90</v>
      </c>
      <c r="E14" s="7"/>
      <c r="F14" s="7"/>
      <c r="G14" s="7"/>
      <c r="H14" s="7"/>
      <c r="I14" s="7"/>
      <c r="J14" s="7"/>
      <c r="K14" s="7"/>
      <c r="L14" s="8"/>
    </row>
    <row r="15" spans="2:12">
      <c r="B15" s="5"/>
      <c r="C15" s="59" t="s">
        <v>89</v>
      </c>
      <c r="D15" s="110" t="s">
        <v>266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>
      <c r="B19" s="56" t="s">
        <v>70</v>
      </c>
    </row>
    <row r="20" spans="2:12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>
      <c r="B22" s="5"/>
      <c r="C22" s="27" t="s">
        <v>10</v>
      </c>
      <c r="D22" s="107"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>
      <c r="B23" s="5"/>
      <c r="C23" s="28" t="s">
        <v>16</v>
      </c>
      <c r="D23" s="108" t="s">
        <v>238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>
      <c r="B24" s="5"/>
      <c r="C24" s="29" t="s">
        <v>92</v>
      </c>
      <c r="D24" s="111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>
      <c r="B25" s="5"/>
      <c r="C25" s="29" t="s">
        <v>24</v>
      </c>
      <c r="D25" s="111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>
      <c r="B26" s="5"/>
      <c r="C26" s="29" t="s">
        <v>94</v>
      </c>
      <c r="D26" s="108" t="b">
        <v>0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>
      <c r="B27" s="5"/>
      <c r="C27" s="29" t="s">
        <v>93</v>
      </c>
      <c r="D27" s="108" t="b">
        <v>1</v>
      </c>
      <c r="E27" s="7"/>
      <c r="F27" s="17"/>
      <c r="G27" s="18"/>
      <c r="H27" s="7"/>
      <c r="I27" s="7"/>
      <c r="J27" s="7"/>
      <c r="K27" s="7"/>
      <c r="L27" s="8"/>
    </row>
    <row r="28" spans="2:12">
      <c r="B28" s="5"/>
      <c r="C28" s="29" t="s">
        <v>27</v>
      </c>
      <c r="D28" s="108" t="s">
        <v>28</v>
      </c>
      <c r="E28" s="7"/>
      <c r="F28" s="17"/>
      <c r="G28" s="18"/>
      <c r="H28" s="7"/>
      <c r="I28" s="7"/>
      <c r="J28" s="7"/>
      <c r="K28" s="7"/>
      <c r="L28" s="8"/>
    </row>
    <row r="29" spans="2:12">
      <c r="B29" s="5"/>
      <c r="C29" s="29" t="s">
        <v>95</v>
      </c>
      <c r="D29" s="108" t="s">
        <v>9</v>
      </c>
      <c r="E29" s="7"/>
      <c r="F29" s="17"/>
      <c r="G29" s="18"/>
      <c r="H29" s="7"/>
      <c r="I29" s="7"/>
      <c r="J29" s="7"/>
      <c r="K29" s="7"/>
      <c r="L29" s="8"/>
    </row>
    <row r="30" spans="2:12">
      <c r="B30" s="5"/>
      <c r="C30" s="29"/>
      <c r="D30" s="108"/>
      <c r="E30" s="7"/>
      <c r="F30" s="17"/>
      <c r="G30" s="18"/>
      <c r="H30" s="7"/>
      <c r="I30" s="7"/>
      <c r="J30" s="7"/>
      <c r="K30" s="7"/>
      <c r="L30" s="8"/>
    </row>
    <row r="31" spans="2:12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>
      <c r="B35" s="56" t="s">
        <v>96</v>
      </c>
    </row>
    <row r="36" spans="2:12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>
      <c r="B37" s="5"/>
      <c r="C37" s="49" t="s">
        <v>348</v>
      </c>
      <c r="D37" s="10"/>
      <c r="E37" s="10"/>
      <c r="F37" s="49" t="s">
        <v>103</v>
      </c>
      <c r="G37" s="10"/>
      <c r="H37" s="10"/>
      <c r="I37" s="49" t="s">
        <v>347</v>
      </c>
      <c r="J37" s="10"/>
      <c r="K37" s="10"/>
      <c r="L37" s="55"/>
    </row>
    <row r="38" spans="2:12">
      <c r="B38" s="5"/>
      <c r="C38" s="27" t="s">
        <v>3</v>
      </c>
      <c r="D38" s="34" t="s">
        <v>235</v>
      </c>
      <c r="E38" s="7"/>
      <c r="F38" s="27" t="s">
        <v>3</v>
      </c>
      <c r="G38" s="34" t="s">
        <v>249</v>
      </c>
      <c r="H38" s="10"/>
      <c r="I38" s="78" t="s">
        <v>11</v>
      </c>
      <c r="J38" s="78" t="s">
        <v>12</v>
      </c>
      <c r="K38" s="78"/>
      <c r="L38" s="55"/>
    </row>
    <row r="39" spans="2:12">
      <c r="B39" s="5"/>
      <c r="C39" s="28" t="s">
        <v>7</v>
      </c>
      <c r="D39" s="35" t="s">
        <v>148</v>
      </c>
      <c r="E39" s="9"/>
      <c r="F39" s="30" t="s">
        <v>7</v>
      </c>
      <c r="G39" s="69" t="s">
        <v>148</v>
      </c>
      <c r="H39" s="10"/>
      <c r="I39" s="71" t="s">
        <v>185</v>
      </c>
      <c r="J39" s="75">
        <v>4.3179999999999998E-3</v>
      </c>
      <c r="K39" s="78"/>
      <c r="L39" s="55"/>
    </row>
    <row r="40" spans="2:12">
      <c r="B40" s="5"/>
      <c r="C40" s="28" t="s">
        <v>23</v>
      </c>
      <c r="D40" s="68" t="s">
        <v>99</v>
      </c>
      <c r="E40" s="9"/>
      <c r="F40" s="29" t="s">
        <v>25</v>
      </c>
      <c r="G40" s="35" t="s">
        <v>251</v>
      </c>
      <c r="H40" s="10"/>
      <c r="I40" s="72" t="s">
        <v>169</v>
      </c>
      <c r="J40" s="76">
        <v>6.2459999999999998E-3</v>
      </c>
      <c r="K40" s="78"/>
      <c r="L40" s="55"/>
    </row>
    <row r="41" spans="2:12">
      <c r="B41" s="5"/>
      <c r="C41" s="28"/>
      <c r="D41" s="35"/>
      <c r="E41" s="9"/>
      <c r="F41" s="29" t="s">
        <v>15</v>
      </c>
      <c r="G41" s="69" t="s">
        <v>123</v>
      </c>
      <c r="H41" s="10"/>
      <c r="I41" s="72" t="s">
        <v>104</v>
      </c>
      <c r="J41" s="76">
        <v>8.9814999999999999E-3</v>
      </c>
      <c r="K41" s="78"/>
      <c r="L41" s="55"/>
    </row>
    <row r="42" spans="2:12">
      <c r="B42" s="5"/>
      <c r="C42" s="28"/>
      <c r="D42" s="35"/>
      <c r="E42" s="9"/>
      <c r="F42" s="29" t="s">
        <v>23</v>
      </c>
      <c r="G42" s="68" t="s">
        <v>22</v>
      </c>
      <c r="H42" s="10"/>
      <c r="I42" s="72" t="s">
        <v>57</v>
      </c>
      <c r="J42" s="76">
        <v>1.21365E-2</v>
      </c>
      <c r="K42" s="78"/>
      <c r="L42" s="55"/>
    </row>
    <row r="43" spans="2:12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>
      <c r="B44" s="5"/>
      <c r="C44" s="9"/>
      <c r="D44" s="9"/>
      <c r="E44" s="9"/>
      <c r="F44" s="10"/>
      <c r="G44" s="10"/>
      <c r="H44" s="10"/>
      <c r="I44" s="10" t="s">
        <v>186</v>
      </c>
      <c r="J44" s="10"/>
      <c r="K44" s="10"/>
      <c r="L44" s="55"/>
    </row>
    <row r="45" spans="2:12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>
      <c r="B48" s="56" t="s">
        <v>105</v>
      </c>
    </row>
    <row r="49" spans="2:12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>
      <c r="B50" s="5"/>
      <c r="C50" s="49" t="s">
        <v>106</v>
      </c>
      <c r="D50" s="10"/>
      <c r="E50" s="10"/>
      <c r="F50" s="49" t="s">
        <v>137</v>
      </c>
      <c r="G50" s="10"/>
      <c r="H50" s="10"/>
      <c r="I50" s="49" t="s">
        <v>138</v>
      </c>
      <c r="J50" s="10"/>
      <c r="K50" s="10"/>
      <c r="L50" s="55"/>
    </row>
    <row r="51" spans="2:12">
      <c r="B51" s="5"/>
      <c r="C51" s="27"/>
      <c r="D51" s="34"/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>
      <c r="B52" s="5"/>
      <c r="C52" s="28"/>
      <c r="D52" s="35"/>
      <c r="E52" s="9"/>
      <c r="F52" s="71"/>
      <c r="G52" s="75"/>
      <c r="H52" s="10"/>
      <c r="I52" s="71"/>
      <c r="J52" s="75"/>
      <c r="K52" s="78"/>
      <c r="L52" s="55"/>
    </row>
    <row r="53" spans="2:12">
      <c r="B53" s="5"/>
      <c r="C53" s="28"/>
      <c r="D53" s="35"/>
      <c r="E53" s="9"/>
      <c r="F53" s="72"/>
      <c r="G53" s="76"/>
      <c r="H53" s="10"/>
      <c r="I53" s="72"/>
      <c r="J53" s="76"/>
      <c r="K53" s="78"/>
      <c r="L53" s="55"/>
    </row>
    <row r="54" spans="2:12">
      <c r="B54" s="5"/>
      <c r="C54" s="28"/>
      <c r="D54" s="35"/>
      <c r="E54" s="9"/>
      <c r="F54" s="72"/>
      <c r="G54" s="76"/>
      <c r="H54" s="10"/>
      <c r="I54" s="72"/>
      <c r="J54" s="76"/>
      <c r="K54" s="78"/>
      <c r="L54" s="55"/>
    </row>
    <row r="55" spans="2:12">
      <c r="B55" s="5"/>
      <c r="C55" s="28"/>
      <c r="D55" s="35"/>
      <c r="E55" s="9"/>
      <c r="F55" s="72"/>
      <c r="G55" s="76"/>
      <c r="H55" s="10"/>
      <c r="I55" s="72"/>
      <c r="J55" s="76"/>
      <c r="K55" s="78"/>
      <c r="L55" s="55"/>
    </row>
    <row r="56" spans="2:12">
      <c r="B56" s="5"/>
      <c r="C56" s="28"/>
      <c r="D56" s="35"/>
      <c r="E56" s="9"/>
      <c r="F56" s="72"/>
      <c r="G56" s="76"/>
      <c r="H56" s="10"/>
      <c r="I56" s="72"/>
      <c r="J56" s="76"/>
      <c r="K56" s="78"/>
      <c r="L56" s="55"/>
    </row>
    <row r="57" spans="2:12">
      <c r="B57" s="5"/>
      <c r="C57" s="28"/>
      <c r="D57" s="35"/>
      <c r="E57" s="9"/>
      <c r="F57" s="72"/>
      <c r="G57" s="76"/>
      <c r="H57" s="10"/>
      <c r="I57" s="72"/>
      <c r="J57" s="76"/>
      <c r="K57" s="78"/>
      <c r="L57" s="55"/>
    </row>
    <row r="58" spans="2:12">
      <c r="B58" s="5"/>
      <c r="C58" s="28"/>
      <c r="D58" s="35"/>
      <c r="E58" s="9"/>
      <c r="F58" s="72"/>
      <c r="G58" s="76"/>
      <c r="H58" s="10"/>
      <c r="I58" s="72"/>
      <c r="J58" s="76"/>
      <c r="K58" s="78"/>
      <c r="L58" s="55"/>
    </row>
    <row r="59" spans="2:12">
      <c r="B59" s="5"/>
      <c r="C59" s="28"/>
      <c r="D59" s="35"/>
      <c r="E59" s="9"/>
      <c r="F59" s="72"/>
      <c r="G59" s="76"/>
      <c r="H59" s="10"/>
      <c r="I59" s="72"/>
      <c r="J59" s="76"/>
      <c r="K59" s="78"/>
      <c r="L59" s="55"/>
    </row>
    <row r="60" spans="2:12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>
      <c r="B69" s="56" t="s">
        <v>121</v>
      </c>
    </row>
    <row r="70" spans="2:12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>
      <c r="B71" s="5"/>
      <c r="C71" s="49" t="s">
        <v>122</v>
      </c>
      <c r="D71" s="10"/>
      <c r="E71" s="10"/>
      <c r="F71" s="49" t="s">
        <v>125</v>
      </c>
      <c r="G71" s="10"/>
      <c r="H71" s="10"/>
      <c r="I71" s="10"/>
      <c r="J71" s="10"/>
      <c r="K71" s="10"/>
      <c r="L71" s="55"/>
    </row>
    <row r="72" spans="2:12">
      <c r="B72" s="5"/>
      <c r="C72" s="27" t="s">
        <v>3</v>
      </c>
      <c r="D72" s="34" t="s">
        <v>235</v>
      </c>
      <c r="E72" s="7"/>
      <c r="F72" s="97" t="s">
        <v>139</v>
      </c>
      <c r="G72" s="97" t="s">
        <v>13</v>
      </c>
      <c r="H72" s="97" t="s">
        <v>14</v>
      </c>
      <c r="I72" s="97" t="s">
        <v>12</v>
      </c>
      <c r="J72" s="97" t="s">
        <v>124</v>
      </c>
      <c r="K72" s="10"/>
      <c r="L72" s="55"/>
    </row>
    <row r="73" spans="2:12">
      <c r="B73" s="5"/>
      <c r="C73" s="28" t="s">
        <v>7</v>
      </c>
      <c r="D73" s="35" t="s">
        <v>148</v>
      </c>
      <c r="E73" s="9"/>
      <c r="F73" s="83" t="s">
        <v>252</v>
      </c>
      <c r="G73" s="80">
        <v>42634</v>
      </c>
      <c r="H73" s="80">
        <v>42725</v>
      </c>
      <c r="I73" s="81">
        <v>99.17</v>
      </c>
      <c r="J73" s="82">
        <v>8.9999999999999993E-3</v>
      </c>
      <c r="K73" s="10"/>
      <c r="L73" s="55"/>
    </row>
    <row r="74" spans="2:12">
      <c r="B74" s="5"/>
      <c r="C74" s="28" t="s">
        <v>15</v>
      </c>
      <c r="D74" s="35" t="s">
        <v>123</v>
      </c>
      <c r="E74" s="9"/>
      <c r="F74" s="84" t="s">
        <v>253</v>
      </c>
      <c r="G74" s="85">
        <v>42725</v>
      </c>
      <c r="H74" s="85">
        <v>42809</v>
      </c>
      <c r="I74" s="86">
        <v>99.085000000000008</v>
      </c>
      <c r="J74" s="87">
        <v>8.9999999999999993E-3</v>
      </c>
      <c r="K74" s="10"/>
      <c r="L74" s="55"/>
    </row>
    <row r="75" spans="2:12">
      <c r="B75" s="5"/>
      <c r="C75" s="28" t="s">
        <v>23</v>
      </c>
      <c r="D75" s="105" t="s">
        <v>22</v>
      </c>
      <c r="E75" s="9"/>
      <c r="F75" s="84" t="s">
        <v>254</v>
      </c>
      <c r="G75" s="85">
        <v>42809</v>
      </c>
      <c r="H75" s="85">
        <v>42907</v>
      </c>
      <c r="I75" s="86">
        <v>99.025000000000006</v>
      </c>
      <c r="J75" s="87">
        <v>8.9999999999999993E-3</v>
      </c>
      <c r="K75" s="10"/>
      <c r="L75" s="55"/>
    </row>
    <row r="76" spans="2:12">
      <c r="B76" s="5"/>
      <c r="C76" s="28" t="s">
        <v>263</v>
      </c>
      <c r="D76" s="74">
        <v>0.03</v>
      </c>
      <c r="E76" s="9"/>
      <c r="F76" s="84" t="s">
        <v>255</v>
      </c>
      <c r="G76" s="85">
        <v>42907</v>
      </c>
      <c r="H76" s="85">
        <v>42998</v>
      </c>
      <c r="I76" s="86">
        <v>98.960000000000008</v>
      </c>
      <c r="J76" s="87">
        <v>8.9999999999999993E-3</v>
      </c>
      <c r="K76" s="10"/>
      <c r="L76" s="55"/>
    </row>
    <row r="77" spans="2:12">
      <c r="B77" s="5"/>
      <c r="C77" s="28" t="s">
        <v>108</v>
      </c>
      <c r="D77" s="35" t="b">
        <v>1</v>
      </c>
      <c r="E77" s="9"/>
      <c r="F77" s="84" t="s">
        <v>256</v>
      </c>
      <c r="G77" s="85">
        <v>42998</v>
      </c>
      <c r="H77" s="85">
        <v>43089</v>
      </c>
      <c r="I77" s="86">
        <v>98.885000000000005</v>
      </c>
      <c r="J77" s="87">
        <v>8.9999999999999993E-3</v>
      </c>
      <c r="K77" s="10"/>
      <c r="L77" s="55"/>
    </row>
    <row r="78" spans="2:12">
      <c r="B78" s="5"/>
      <c r="C78" s="28" t="s">
        <v>109</v>
      </c>
      <c r="D78" s="35">
        <v>2</v>
      </c>
      <c r="E78" s="9"/>
      <c r="F78" s="84" t="s">
        <v>257</v>
      </c>
      <c r="G78" s="85">
        <v>43089</v>
      </c>
      <c r="H78" s="85">
        <v>43180</v>
      </c>
      <c r="I78" s="86">
        <v>98.81</v>
      </c>
      <c r="J78" s="87">
        <v>8.9999999999999993E-3</v>
      </c>
      <c r="K78" s="10"/>
      <c r="L78" s="55"/>
    </row>
    <row r="79" spans="2:12">
      <c r="B79" s="5"/>
      <c r="C79" s="28"/>
      <c r="D79" s="35"/>
      <c r="E79" s="9"/>
      <c r="F79" s="84" t="s">
        <v>258</v>
      </c>
      <c r="G79" s="85">
        <v>43180</v>
      </c>
      <c r="H79" s="85">
        <v>43271</v>
      </c>
      <c r="I79" s="86">
        <v>98.75</v>
      </c>
      <c r="J79" s="87">
        <v>8.9999999999999993E-3</v>
      </c>
      <c r="K79" s="10"/>
      <c r="L79" s="55"/>
    </row>
    <row r="80" spans="2:12">
      <c r="B80" s="5"/>
      <c r="C80" s="28"/>
      <c r="D80" s="35"/>
      <c r="E80" s="9"/>
      <c r="F80" s="84" t="s">
        <v>259</v>
      </c>
      <c r="G80" s="85">
        <v>43271</v>
      </c>
      <c r="H80" s="85">
        <v>43362</v>
      </c>
      <c r="I80" s="86">
        <v>98.68</v>
      </c>
      <c r="J80" s="87">
        <v>8.9999999999999993E-3</v>
      </c>
      <c r="K80" s="10"/>
      <c r="L80" s="55"/>
    </row>
    <row r="81" spans="2:12">
      <c r="B81" s="5"/>
      <c r="C81" s="28"/>
      <c r="D81" s="35"/>
      <c r="E81" s="9"/>
      <c r="F81" s="88" t="s">
        <v>260</v>
      </c>
      <c r="G81" s="85">
        <v>43362</v>
      </c>
      <c r="H81" s="85">
        <v>43453</v>
      </c>
      <c r="I81" s="89">
        <v>98.615000000000009</v>
      </c>
      <c r="J81" s="87">
        <v>8.9999999999999993E-3</v>
      </c>
      <c r="K81" s="10"/>
      <c r="L81" s="55"/>
    </row>
    <row r="82" spans="2:12">
      <c r="B82" s="5"/>
      <c r="C82" s="28"/>
      <c r="D82" s="35"/>
      <c r="E82" s="9"/>
      <c r="F82" s="90" t="s">
        <v>261</v>
      </c>
      <c r="G82" s="91">
        <v>43453</v>
      </c>
      <c r="H82" s="91">
        <v>43544</v>
      </c>
      <c r="I82" s="89">
        <v>98.54</v>
      </c>
      <c r="J82" s="92">
        <v>8.9999999999999993E-3</v>
      </c>
      <c r="K82" s="10"/>
      <c r="L82" s="55"/>
    </row>
    <row r="83" spans="2:12">
      <c r="B83" s="5"/>
      <c r="C83" s="28"/>
      <c r="D83" s="35"/>
      <c r="E83" s="9"/>
      <c r="F83" s="90" t="s">
        <v>262</v>
      </c>
      <c r="G83" s="91">
        <v>43544</v>
      </c>
      <c r="H83" s="91">
        <v>43635</v>
      </c>
      <c r="I83" s="89">
        <v>98.484999999999999</v>
      </c>
      <c r="J83" s="92">
        <v>8.9999999999999993E-3</v>
      </c>
      <c r="K83" s="10"/>
      <c r="L83" s="55"/>
    </row>
    <row r="84" spans="2:12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>
      <c r="B90" s="56" t="s">
        <v>126</v>
      </c>
    </row>
    <row r="91" spans="2:12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>
      <c r="B92" s="5"/>
      <c r="C92" s="49" t="s">
        <v>127</v>
      </c>
      <c r="D92" s="10"/>
      <c r="E92" s="10"/>
      <c r="F92" s="49" t="s">
        <v>128</v>
      </c>
      <c r="G92" s="10"/>
      <c r="H92" s="10"/>
      <c r="I92" s="10"/>
      <c r="J92" s="10"/>
      <c r="K92" s="10"/>
      <c r="L92" s="55"/>
    </row>
    <row r="93" spans="2:12">
      <c r="B93" s="5"/>
      <c r="C93" s="102" t="s">
        <v>1</v>
      </c>
      <c r="D93" s="34" t="s">
        <v>249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>
      <c r="B94" s="5"/>
      <c r="C94" s="103" t="s">
        <v>97</v>
      </c>
      <c r="D94" s="35" t="s">
        <v>20</v>
      </c>
      <c r="E94" s="9"/>
      <c r="F94" s="101" t="s">
        <v>52</v>
      </c>
      <c r="G94" s="98">
        <v>1.3004999999999999E-2</v>
      </c>
      <c r="H94" s="75" t="b">
        <v>1</v>
      </c>
      <c r="I94" s="10"/>
      <c r="J94" s="10"/>
      <c r="K94" s="10"/>
      <c r="L94" s="55"/>
    </row>
    <row r="95" spans="2:12">
      <c r="B95" s="5"/>
      <c r="C95" s="103" t="s">
        <v>129</v>
      </c>
      <c r="D95" s="35" t="s">
        <v>6</v>
      </c>
      <c r="E95" s="9"/>
      <c r="F95" s="24" t="s">
        <v>56</v>
      </c>
      <c r="G95" s="99">
        <v>1.502E-2</v>
      </c>
      <c r="H95" s="76" t="b">
        <v>1</v>
      </c>
      <c r="I95" s="10"/>
      <c r="J95" s="10"/>
      <c r="K95" s="10"/>
      <c r="L95" s="55"/>
    </row>
    <row r="96" spans="2:12">
      <c r="B96" s="5"/>
      <c r="C96" s="103" t="s">
        <v>27</v>
      </c>
      <c r="D96" s="35" t="s">
        <v>130</v>
      </c>
      <c r="E96" s="9"/>
      <c r="F96" s="24" t="s">
        <v>61</v>
      </c>
      <c r="G96" s="99">
        <v>1.7344999999999999E-2</v>
      </c>
      <c r="H96" s="76" t="b">
        <v>1</v>
      </c>
      <c r="I96" s="10"/>
      <c r="J96" s="10"/>
      <c r="K96" s="10"/>
      <c r="L96" s="55"/>
    </row>
    <row r="97" spans="2:12">
      <c r="B97" s="5"/>
      <c r="C97" s="103" t="s">
        <v>131</v>
      </c>
      <c r="D97" s="35" t="s">
        <v>28</v>
      </c>
      <c r="E97" s="9"/>
      <c r="F97" s="24" t="s">
        <v>62</v>
      </c>
      <c r="G97" s="99">
        <v>1.7989999999999999E-2</v>
      </c>
      <c r="H97" s="76" t="b">
        <v>1</v>
      </c>
      <c r="I97" s="10"/>
      <c r="J97" s="10"/>
      <c r="K97" s="10"/>
      <c r="L97" s="55"/>
    </row>
    <row r="98" spans="2:12">
      <c r="B98" s="5"/>
      <c r="C98" s="103" t="s">
        <v>132</v>
      </c>
      <c r="D98" s="111" t="s">
        <v>84</v>
      </c>
      <c r="E98" s="9"/>
      <c r="F98" s="24" t="s">
        <v>63</v>
      </c>
      <c r="G98" s="99">
        <v>1.8494999999999998E-2</v>
      </c>
      <c r="H98" s="76" t="b">
        <v>1</v>
      </c>
      <c r="I98" s="10"/>
      <c r="J98" s="10"/>
      <c r="K98" s="10"/>
      <c r="L98" s="55"/>
    </row>
    <row r="99" spans="2:12">
      <c r="B99" s="5"/>
      <c r="C99" s="103" t="s">
        <v>102</v>
      </c>
      <c r="D99" s="35" t="b">
        <v>1</v>
      </c>
      <c r="E99" s="9"/>
      <c r="F99" s="24" t="s">
        <v>64</v>
      </c>
      <c r="G99" s="99">
        <v>1.9720000000000001E-2</v>
      </c>
      <c r="H99" s="76" t="b">
        <v>1</v>
      </c>
      <c r="I99" s="10"/>
      <c r="J99" s="10"/>
      <c r="K99" s="10"/>
      <c r="L99" s="55"/>
    </row>
    <row r="100" spans="2:12">
      <c r="B100" s="5"/>
      <c r="C100" s="103" t="s">
        <v>349</v>
      </c>
      <c r="D100" s="35">
        <v>31</v>
      </c>
      <c r="E100" s="9"/>
      <c r="F100" s="24" t="s">
        <v>65</v>
      </c>
      <c r="G100" s="99">
        <v>2.0975000000000001E-2</v>
      </c>
      <c r="H100" s="76" t="b">
        <v>1</v>
      </c>
      <c r="I100" s="10"/>
      <c r="J100" s="10"/>
      <c r="K100" s="10"/>
      <c r="L100" s="55"/>
    </row>
    <row r="101" spans="2:12">
      <c r="B101" s="5"/>
      <c r="C101" s="103" t="s">
        <v>133</v>
      </c>
      <c r="D101" s="35" t="b">
        <v>1</v>
      </c>
      <c r="E101" s="9"/>
      <c r="F101" s="24" t="s">
        <v>66</v>
      </c>
      <c r="G101" s="99">
        <v>2.1579999999999998E-2</v>
      </c>
      <c r="H101" s="76" t="b">
        <v>1</v>
      </c>
      <c r="I101" s="10"/>
      <c r="J101" s="10"/>
      <c r="K101" s="10"/>
      <c r="L101" s="55"/>
    </row>
    <row r="102" spans="2:12">
      <c r="B102" s="5"/>
      <c r="C102" s="103" t="s">
        <v>264</v>
      </c>
      <c r="D102" s="35" t="b">
        <v>1</v>
      </c>
      <c r="E102" s="9"/>
      <c r="F102" s="24" t="s">
        <v>67</v>
      </c>
      <c r="G102" s="99">
        <v>2.198E-2</v>
      </c>
      <c r="H102" s="76" t="b">
        <v>1</v>
      </c>
      <c r="I102" s="10"/>
      <c r="J102" s="10"/>
      <c r="K102" s="10"/>
      <c r="L102" s="55"/>
    </row>
    <row r="103" spans="2:12">
      <c r="B103" s="5"/>
      <c r="C103" s="103" t="s">
        <v>101</v>
      </c>
      <c r="D103" s="35">
        <v>2</v>
      </c>
      <c r="E103" s="9"/>
      <c r="F103" s="24" t="s">
        <v>68</v>
      </c>
      <c r="G103" s="99">
        <v>2.2151999999999998E-2</v>
      </c>
      <c r="H103" s="76" t="b">
        <v>1</v>
      </c>
      <c r="I103" s="10"/>
      <c r="J103" s="10"/>
      <c r="K103" s="10"/>
      <c r="L103" s="55"/>
    </row>
    <row r="104" spans="2:12">
      <c r="B104" s="5"/>
      <c r="C104" s="103" t="s">
        <v>21</v>
      </c>
      <c r="D104" s="68" t="s">
        <v>22</v>
      </c>
      <c r="E104" s="9"/>
      <c r="F104" s="24"/>
      <c r="G104" s="99"/>
      <c r="H104" s="76"/>
      <c r="I104" s="10"/>
      <c r="J104" s="10"/>
      <c r="K104" s="10"/>
      <c r="L104" s="55"/>
    </row>
    <row r="105" spans="2:12">
      <c r="B105" s="5"/>
      <c r="C105" s="103" t="s">
        <v>134</v>
      </c>
      <c r="D105" s="35" t="b">
        <v>1</v>
      </c>
      <c r="E105" s="9"/>
      <c r="F105" s="24"/>
      <c r="G105" s="99"/>
      <c r="H105" s="76"/>
      <c r="I105" s="10"/>
      <c r="J105" s="10"/>
      <c r="K105" s="10"/>
      <c r="L105" s="55"/>
    </row>
    <row r="106" spans="2:12">
      <c r="B106" s="5"/>
      <c r="C106" s="103" t="s">
        <v>135</v>
      </c>
      <c r="D106" s="38">
        <v>1.0000000000000001E-9</v>
      </c>
      <c r="E106" s="9"/>
      <c r="F106" s="24"/>
      <c r="G106" s="99"/>
      <c r="H106" s="76"/>
      <c r="I106" s="10"/>
      <c r="J106" s="10"/>
      <c r="K106" s="10"/>
      <c r="L106" s="55"/>
    </row>
    <row r="107" spans="2:12">
      <c r="B107" s="5"/>
      <c r="C107" s="103" t="s">
        <v>136</v>
      </c>
      <c r="D107" s="106">
        <v>1000</v>
      </c>
      <c r="E107" s="9"/>
      <c r="F107" s="24"/>
      <c r="G107" s="99"/>
      <c r="H107" s="76"/>
      <c r="I107" s="10"/>
      <c r="J107" s="10"/>
      <c r="K107" s="10"/>
      <c r="L107" s="55"/>
    </row>
    <row r="108" spans="2:12">
      <c r="B108" s="5"/>
      <c r="C108" s="103"/>
      <c r="D108" s="35"/>
      <c r="E108" s="9"/>
      <c r="F108" s="24"/>
      <c r="G108" s="99"/>
      <c r="H108" s="76"/>
      <c r="I108" s="10"/>
      <c r="J108" s="10"/>
      <c r="K108" s="10"/>
      <c r="L108" s="55"/>
    </row>
    <row r="109" spans="2:12">
      <c r="B109" s="5"/>
      <c r="C109" s="103"/>
      <c r="D109" s="35"/>
      <c r="E109" s="9"/>
      <c r="F109" s="24"/>
      <c r="G109" s="99"/>
      <c r="H109" s="76"/>
      <c r="I109" s="10"/>
      <c r="J109" s="10"/>
      <c r="K109" s="10"/>
      <c r="L109" s="55"/>
    </row>
    <row r="110" spans="2:12">
      <c r="B110" s="5"/>
      <c r="C110" s="103"/>
      <c r="D110" s="35"/>
      <c r="E110" s="9"/>
      <c r="F110" s="24"/>
      <c r="G110" s="99"/>
      <c r="H110" s="76"/>
      <c r="I110" s="10"/>
      <c r="J110" s="10"/>
      <c r="K110" s="10"/>
      <c r="L110" s="55"/>
    </row>
    <row r="111" spans="2:12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G42 D104 D75 D40">
      <formula1>"FOLLOWING,MOD_FOLLOWING,PRECEDING,MOD_PRECEEDING,NO_CHANGE"</formula1>
    </dataValidation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6600"/>
  </sheetPr>
  <dimension ref="B2:N97"/>
  <sheetViews>
    <sheetView showGridLines="0" workbookViewId="0"/>
  </sheetViews>
  <sheetFormatPr defaultRowHeight="1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>
      <c r="B2" s="65" t="s">
        <v>305</v>
      </c>
    </row>
    <row r="3" spans="2:14">
      <c r="B3" s="65"/>
    </row>
    <row r="4" spans="2:14">
      <c r="B4" s="65"/>
    </row>
    <row r="5" spans="2:14">
      <c r="B5" s="65" t="s">
        <v>303</v>
      </c>
    </row>
    <row r="6" spans="2:14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>
      <c r="B7" s="5"/>
      <c r="C7" s="64" t="s">
        <v>303</v>
      </c>
      <c r="D7" s="61" t="str">
        <f ca="1">IF(NOW(),_xll.meCurveCalibrateOIS(CurveCollection,StaticDataTable,IndexNames,CurveBuildProperties,OISConventions,OISMarketData,OISFixingTable,LiborOISConventions,LiborOISMarketData,LiborSwapConventions,LiborSwapMarketData),"Error Loading OIS Curve")</f>
        <v>GBPYC OIS Curve has been set (0.01600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>
      <c r="B8" s="5"/>
      <c r="C8" s="128" t="s">
        <v>299</v>
      </c>
      <c r="D8" s="129" t="b">
        <f ca="1">LEFT(D7,9)="GBPYC 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>
      <c r="B11" s="5"/>
      <c r="C11" s="27" t="s">
        <v>88</v>
      </c>
      <c r="D11" s="107" t="s">
        <v>272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>
      <c r="B12" s="5"/>
      <c r="C12" s="28" t="s">
        <v>87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>
      <c r="B13" s="5"/>
      <c r="C13" s="59" t="s">
        <v>89</v>
      </c>
      <c r="D13" s="110" t="s">
        <v>271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>
      <c r="B17" s="56" t="s">
        <v>70</v>
      </c>
    </row>
    <row r="18" spans="2:14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2:14">
      <c r="B20" s="5"/>
      <c r="C20" s="27" t="s">
        <v>10</v>
      </c>
      <c r="D20" s="107"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2:14">
      <c r="B21" s="5"/>
      <c r="C21" s="28" t="s">
        <v>16</v>
      </c>
      <c r="D21" s="108" t="s">
        <v>270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2:14">
      <c r="B22" s="5"/>
      <c r="C22" s="28" t="s">
        <v>24</v>
      </c>
      <c r="D22" s="111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2:14">
      <c r="B23" s="5"/>
      <c r="C23" s="29"/>
      <c r="D23" s="108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2:14">
      <c r="B24" s="5"/>
      <c r="C24" s="44"/>
      <c r="D24" s="110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2:14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>
      <c r="F27" s="67"/>
    </row>
    <row r="28" spans="2:14">
      <c r="B28" s="56" t="s">
        <v>79</v>
      </c>
    </row>
    <row r="29" spans="2:14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>
      <c r="B31" s="5"/>
      <c r="C31" s="27" t="s">
        <v>3</v>
      </c>
      <c r="D31" s="34" t="s">
        <v>230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>
      <c r="B32" s="5"/>
      <c r="C32" s="28" t="s">
        <v>7</v>
      </c>
      <c r="D32" s="35" t="s">
        <v>286</v>
      </c>
      <c r="E32" s="9"/>
      <c r="F32" s="24" t="s">
        <v>46</v>
      </c>
      <c r="G32" s="19">
        <v>4.6360000000000004E-3</v>
      </c>
      <c r="H32" s="20"/>
      <c r="I32" s="20"/>
      <c r="J32" s="41" t="b">
        <v>1</v>
      </c>
      <c r="K32" s="10"/>
      <c r="L32" s="53"/>
      <c r="M32" s="51"/>
      <c r="N32" s="55"/>
    </row>
    <row r="33" spans="2:14">
      <c r="B33" s="5"/>
      <c r="C33" s="28" t="s">
        <v>25</v>
      </c>
      <c r="D33" s="35" t="s">
        <v>26</v>
      </c>
      <c r="E33" s="9"/>
      <c r="F33" s="24" t="s">
        <v>276</v>
      </c>
      <c r="G33" s="19">
        <v>4.64E-3</v>
      </c>
      <c r="H33" s="20"/>
      <c r="I33" s="20"/>
      <c r="J33" s="41" t="b">
        <v>1</v>
      </c>
      <c r="K33" s="10"/>
      <c r="L33" s="53"/>
      <c r="M33" s="51"/>
      <c r="N33" s="55"/>
    </row>
    <row r="34" spans="2:14">
      <c r="B34" s="5"/>
      <c r="C34" s="28" t="s">
        <v>33</v>
      </c>
      <c r="D34" s="35" t="s">
        <v>34</v>
      </c>
      <c r="E34" s="9"/>
      <c r="F34" s="24" t="s">
        <v>277</v>
      </c>
      <c r="G34" s="19">
        <v>4.64E-3</v>
      </c>
      <c r="H34" s="20"/>
      <c r="I34" s="20"/>
      <c r="J34" s="41" t="b">
        <v>1</v>
      </c>
      <c r="K34" s="10"/>
      <c r="L34" s="53"/>
      <c r="M34" s="51"/>
      <c r="N34" s="55"/>
    </row>
    <row r="35" spans="2:14">
      <c r="B35" s="5"/>
      <c r="C35" s="28" t="s">
        <v>15</v>
      </c>
      <c r="D35" s="35" t="s">
        <v>287</v>
      </c>
      <c r="E35" s="9"/>
      <c r="F35" s="24" t="s">
        <v>185</v>
      </c>
      <c r="G35" s="19">
        <v>4.64E-3</v>
      </c>
      <c r="H35" s="20"/>
      <c r="I35" s="20"/>
      <c r="J35" s="41" t="b">
        <v>1</v>
      </c>
      <c r="K35" s="10"/>
      <c r="L35" s="53"/>
      <c r="M35" s="51"/>
      <c r="N35" s="55"/>
    </row>
    <row r="36" spans="2:14">
      <c r="B36" s="5"/>
      <c r="C36" s="29" t="s">
        <v>23</v>
      </c>
      <c r="D36" s="35" t="s">
        <v>22</v>
      </c>
      <c r="E36" s="9"/>
      <c r="F36" s="24" t="s">
        <v>278</v>
      </c>
      <c r="G36" s="19">
        <v>4.64E-3</v>
      </c>
      <c r="H36" s="20"/>
      <c r="I36" s="20"/>
      <c r="J36" s="41" t="b">
        <v>1</v>
      </c>
      <c r="K36" s="10"/>
      <c r="L36" s="53"/>
      <c r="M36" s="51"/>
      <c r="N36" s="55"/>
    </row>
    <row r="37" spans="2:14">
      <c r="B37" s="5"/>
      <c r="C37" s="28" t="s">
        <v>33</v>
      </c>
      <c r="D37" s="35" t="s">
        <v>34</v>
      </c>
      <c r="E37" s="9"/>
      <c r="F37" s="24" t="s">
        <v>169</v>
      </c>
      <c r="G37" s="19">
        <v>4.62E-3</v>
      </c>
      <c r="H37" s="20"/>
      <c r="I37" s="20"/>
      <c r="J37" s="41" t="b">
        <v>1</v>
      </c>
      <c r="K37" s="10"/>
      <c r="L37" s="53"/>
      <c r="M37" s="51"/>
      <c r="N37" s="55"/>
    </row>
    <row r="38" spans="2:14">
      <c r="B38" s="5"/>
      <c r="C38" s="28" t="s">
        <v>35</v>
      </c>
      <c r="D38" s="35" t="s">
        <v>36</v>
      </c>
      <c r="E38" s="9"/>
      <c r="F38" s="24" t="s">
        <v>279</v>
      </c>
      <c r="G38" s="19">
        <v>4.5900000000000003E-3</v>
      </c>
      <c r="H38" s="20"/>
      <c r="I38" s="20"/>
      <c r="J38" s="41" t="b">
        <v>1</v>
      </c>
      <c r="K38" s="10"/>
      <c r="L38" s="53"/>
      <c r="M38" s="51"/>
      <c r="N38" s="55"/>
    </row>
    <row r="39" spans="2:14">
      <c r="B39" s="5"/>
      <c r="C39" s="28" t="s">
        <v>135</v>
      </c>
      <c r="D39" s="38">
        <v>1E-10</v>
      </c>
      <c r="E39" s="9"/>
      <c r="F39" s="24" t="s">
        <v>280</v>
      </c>
      <c r="G39" s="19">
        <v>4.5599999999999998E-3</v>
      </c>
      <c r="H39" s="20"/>
      <c r="I39" s="20"/>
      <c r="J39" s="41" t="b">
        <v>1</v>
      </c>
      <c r="K39" s="10"/>
      <c r="L39" s="53"/>
      <c r="M39" s="51"/>
      <c r="N39" s="55"/>
    </row>
    <row r="40" spans="2:14">
      <c r="B40" s="5"/>
      <c r="C40" s="28" t="s">
        <v>136</v>
      </c>
      <c r="D40" s="106">
        <v>1000</v>
      </c>
      <c r="E40" s="9"/>
      <c r="F40" s="24" t="s">
        <v>104</v>
      </c>
      <c r="G40" s="19">
        <v>4.5300000000000002E-3</v>
      </c>
      <c r="H40" s="20"/>
      <c r="I40" s="20"/>
      <c r="J40" s="41" t="b">
        <v>1</v>
      </c>
      <c r="K40" s="10"/>
      <c r="L40" s="53"/>
      <c r="M40" s="51"/>
      <c r="N40" s="55"/>
    </row>
    <row r="41" spans="2:14">
      <c r="B41" s="5"/>
      <c r="C41" s="29"/>
      <c r="D41" s="35"/>
      <c r="E41" s="9"/>
      <c r="F41" s="24" t="s">
        <v>281</v>
      </c>
      <c r="G41" s="19">
        <v>4.5100000000000001E-3</v>
      </c>
      <c r="H41" s="20"/>
      <c r="I41" s="20"/>
      <c r="J41" s="41" t="b">
        <v>1</v>
      </c>
      <c r="K41" s="10"/>
      <c r="L41" s="53"/>
      <c r="M41" s="51"/>
      <c r="N41" s="55"/>
    </row>
    <row r="42" spans="2:14">
      <c r="B42" s="5"/>
      <c r="C42" s="29"/>
      <c r="D42" s="35"/>
      <c r="E42" s="9"/>
      <c r="F42" s="24" t="s">
        <v>282</v>
      </c>
      <c r="G42" s="19">
        <v>4.5100000000000001E-3</v>
      </c>
      <c r="H42" s="20"/>
      <c r="I42" s="20"/>
      <c r="J42" s="41" t="b">
        <v>1</v>
      </c>
      <c r="K42" s="10"/>
      <c r="L42" s="53"/>
      <c r="M42" s="51"/>
      <c r="N42" s="55"/>
    </row>
    <row r="43" spans="2:14">
      <c r="B43" s="5"/>
      <c r="C43" s="29"/>
      <c r="D43" s="35"/>
      <c r="E43" s="9"/>
      <c r="F43" s="24" t="s">
        <v>283</v>
      </c>
      <c r="G43" s="19">
        <v>4.5100000000000001E-3</v>
      </c>
      <c r="H43" s="20"/>
      <c r="I43" s="20"/>
      <c r="J43" s="41" t="b">
        <v>1</v>
      </c>
      <c r="K43" s="10"/>
      <c r="L43" s="53"/>
      <c r="M43" s="51"/>
      <c r="N43" s="55"/>
    </row>
    <row r="44" spans="2:14">
      <c r="B44" s="5"/>
      <c r="C44" s="29"/>
      <c r="D44" s="35"/>
      <c r="E44" s="9"/>
      <c r="F44" s="24" t="s">
        <v>284</v>
      </c>
      <c r="G44" s="19">
        <v>4.5000000000000005E-3</v>
      </c>
      <c r="H44" s="20"/>
      <c r="I44" s="20"/>
      <c r="J44" s="41" t="b">
        <v>1</v>
      </c>
      <c r="K44" s="10"/>
      <c r="L44" s="53"/>
      <c r="M44" s="51"/>
      <c r="N44" s="55"/>
    </row>
    <row r="45" spans="2:14">
      <c r="B45" s="5"/>
      <c r="C45" s="31"/>
      <c r="D45" s="37"/>
      <c r="E45" s="9"/>
      <c r="F45" s="24" t="s">
        <v>285</v>
      </c>
      <c r="G45" s="19">
        <v>4.5000000000000005E-3</v>
      </c>
      <c r="H45" s="20"/>
      <c r="I45" s="20"/>
      <c r="J45" s="41" t="b">
        <v>1</v>
      </c>
      <c r="K45" s="10"/>
      <c r="L45" s="53"/>
      <c r="M45" s="51"/>
      <c r="N45" s="55"/>
    </row>
    <row r="46" spans="2:14">
      <c r="B46" s="5"/>
      <c r="C46" s="31"/>
      <c r="D46" s="37"/>
      <c r="E46" s="9"/>
      <c r="F46" s="24" t="s">
        <v>183</v>
      </c>
      <c r="G46" s="19">
        <v>4.5000000000000005E-3</v>
      </c>
      <c r="H46" s="20"/>
      <c r="I46" s="20"/>
      <c r="J46" s="41" t="b">
        <v>1</v>
      </c>
      <c r="K46" s="10"/>
      <c r="L46" s="53"/>
      <c r="M46" s="51"/>
      <c r="N46" s="55"/>
    </row>
    <row r="47" spans="2:14">
      <c r="B47" s="5"/>
      <c r="C47" s="31"/>
      <c r="D47" s="37"/>
      <c r="E47" s="9"/>
      <c r="F47" s="24" t="s">
        <v>47</v>
      </c>
      <c r="G47" s="19">
        <v>4.6999999999999993E-3</v>
      </c>
      <c r="H47" s="20"/>
      <c r="I47" s="20"/>
      <c r="J47" s="41" t="b">
        <v>1</v>
      </c>
      <c r="K47" s="10"/>
      <c r="L47" s="53"/>
      <c r="M47" s="51"/>
      <c r="N47" s="55"/>
    </row>
    <row r="48" spans="2:14">
      <c r="B48" s="5"/>
      <c r="C48" s="31"/>
      <c r="D48" s="37"/>
      <c r="E48" s="9"/>
      <c r="F48" s="24" t="s">
        <v>43</v>
      </c>
      <c r="G48" s="19">
        <v>5.1700000000000001E-3</v>
      </c>
      <c r="H48" s="20"/>
      <c r="I48" s="20"/>
      <c r="J48" s="41" t="b">
        <v>1</v>
      </c>
      <c r="K48" s="10"/>
      <c r="L48" s="53"/>
      <c r="M48" s="51"/>
      <c r="N48" s="55"/>
    </row>
    <row r="49" spans="2:14">
      <c r="B49" s="5"/>
      <c r="C49" s="31"/>
      <c r="D49" s="37"/>
      <c r="E49" s="9"/>
      <c r="F49" s="24" t="s">
        <v>50</v>
      </c>
      <c r="G49" s="19">
        <v>5.7599999999999995E-3</v>
      </c>
      <c r="H49" s="20"/>
      <c r="I49" s="20"/>
      <c r="J49" s="41" t="b">
        <v>1</v>
      </c>
      <c r="K49" s="10"/>
      <c r="L49" s="53"/>
      <c r="M49" s="51"/>
      <c r="N49" s="55"/>
    </row>
    <row r="50" spans="2:14">
      <c r="B50" s="5"/>
      <c r="C50" s="31"/>
      <c r="D50" s="37"/>
      <c r="E50" s="9"/>
      <c r="F50" s="24" t="s">
        <v>52</v>
      </c>
      <c r="G50" s="19">
        <v>6.5100000000000002E-3</v>
      </c>
      <c r="H50" s="20"/>
      <c r="I50" s="20"/>
      <c r="J50" s="41" t="b">
        <v>1</v>
      </c>
      <c r="K50" s="10"/>
      <c r="L50" s="53"/>
      <c r="M50" s="51"/>
      <c r="N50" s="55"/>
    </row>
    <row r="51" spans="2:14">
      <c r="B51" s="5"/>
      <c r="C51" s="32"/>
      <c r="D51" s="35"/>
      <c r="E51" s="9"/>
      <c r="F51" s="24" t="s">
        <v>54</v>
      </c>
      <c r="G51" s="19">
        <v>7.4199999999999995E-3</v>
      </c>
      <c r="H51" s="20"/>
      <c r="I51" s="20"/>
      <c r="J51" s="41" t="b">
        <v>1</v>
      </c>
      <c r="K51" s="10"/>
      <c r="L51" s="53"/>
      <c r="M51" s="51"/>
      <c r="N51" s="55"/>
    </row>
    <row r="52" spans="2:14">
      <c r="B52" s="5"/>
      <c r="C52" s="32"/>
      <c r="D52" s="39"/>
      <c r="E52" s="9"/>
      <c r="F52" s="24" t="s">
        <v>56</v>
      </c>
      <c r="G52" s="19">
        <v>8.3800000000000003E-3</v>
      </c>
      <c r="H52" s="20"/>
      <c r="I52" s="20"/>
      <c r="J52" s="41" t="b">
        <v>1</v>
      </c>
      <c r="K52" s="10"/>
      <c r="L52" s="53"/>
      <c r="M52" s="51"/>
      <c r="N52" s="55"/>
    </row>
    <row r="53" spans="2:14">
      <c r="B53" s="5"/>
      <c r="C53" s="32"/>
      <c r="D53" s="39"/>
      <c r="E53" s="9"/>
      <c r="F53" s="24" t="s">
        <v>58</v>
      </c>
      <c r="G53" s="19">
        <v>9.3600000000000003E-3</v>
      </c>
      <c r="H53" s="20"/>
      <c r="I53" s="20"/>
      <c r="J53" s="41" t="b">
        <v>1</v>
      </c>
      <c r="K53" s="10"/>
      <c r="L53" s="53"/>
      <c r="M53" s="51"/>
      <c r="N53" s="55"/>
    </row>
    <row r="54" spans="2:14">
      <c r="B54" s="5"/>
      <c r="C54" s="32"/>
      <c r="D54" s="39"/>
      <c r="E54" s="9"/>
      <c r="F54" s="24" t="s">
        <v>60</v>
      </c>
      <c r="G54" s="19">
        <v>1.0209999999999999E-2</v>
      </c>
      <c r="H54" s="20"/>
      <c r="I54" s="20"/>
      <c r="J54" s="41" t="b">
        <v>1</v>
      </c>
      <c r="K54" s="10"/>
      <c r="L54" s="53"/>
      <c r="M54" s="51"/>
      <c r="N54" s="55"/>
    </row>
    <row r="55" spans="2:14">
      <c r="B55" s="5"/>
      <c r="C55" s="32"/>
      <c r="D55" s="39"/>
      <c r="E55" s="9"/>
      <c r="F55" s="24" t="s">
        <v>61</v>
      </c>
      <c r="G55" s="19">
        <v>1.0960000000000001E-2</v>
      </c>
      <c r="H55" s="20"/>
      <c r="I55" s="20"/>
      <c r="J55" s="41" t="b">
        <v>1</v>
      </c>
      <c r="K55" s="10"/>
      <c r="L55" s="53"/>
      <c r="M55" s="51"/>
      <c r="N55" s="55"/>
    </row>
    <row r="56" spans="2:14">
      <c r="B56" s="5"/>
      <c r="C56" s="32"/>
      <c r="D56" s="39"/>
      <c r="E56" s="9"/>
      <c r="F56" s="24" t="s">
        <v>63</v>
      </c>
      <c r="G56" s="19">
        <v>1.214E-2</v>
      </c>
      <c r="H56" s="20"/>
      <c r="I56" s="20"/>
      <c r="J56" s="41" t="b">
        <v>1</v>
      </c>
      <c r="K56" s="10"/>
      <c r="L56" s="53"/>
      <c r="M56" s="51"/>
      <c r="N56" s="55"/>
    </row>
    <row r="57" spans="2:14">
      <c r="B57" s="5"/>
      <c r="C57" s="32"/>
      <c r="D57" s="39"/>
      <c r="E57" s="9"/>
      <c r="F57" s="24" t="s">
        <v>64</v>
      </c>
      <c r="G57" s="19">
        <v>1.3349999999999999E-2</v>
      </c>
      <c r="H57" s="20"/>
      <c r="I57" s="20"/>
      <c r="J57" s="41" t="b">
        <v>1</v>
      </c>
      <c r="K57" s="10"/>
      <c r="L57" s="53"/>
      <c r="M57" s="51"/>
      <c r="N57" s="55"/>
    </row>
    <row r="58" spans="2:14">
      <c r="B58" s="5"/>
      <c r="C58" s="32"/>
      <c r="D58" s="39"/>
      <c r="E58" s="9"/>
      <c r="F58" s="24" t="s">
        <v>65</v>
      </c>
      <c r="G58" s="19">
        <v>1.417E-2</v>
      </c>
      <c r="H58" s="20"/>
      <c r="I58" s="20"/>
      <c r="J58" s="41" t="b">
        <v>1</v>
      </c>
      <c r="K58" s="10"/>
      <c r="L58" s="53"/>
      <c r="M58" s="51"/>
      <c r="N58" s="55"/>
    </row>
    <row r="59" spans="2:14">
      <c r="B59" s="5"/>
      <c r="C59" s="32"/>
      <c r="D59" s="39"/>
      <c r="E59" s="9"/>
      <c r="F59" s="24" t="s">
        <v>66</v>
      </c>
      <c r="G59" s="19">
        <v>1.4290000000000001E-2</v>
      </c>
      <c r="H59" s="20"/>
      <c r="I59" s="20"/>
      <c r="J59" s="41" t="b">
        <v>1</v>
      </c>
      <c r="K59" s="10"/>
      <c r="L59" s="53"/>
      <c r="M59" s="51"/>
      <c r="N59" s="55"/>
    </row>
    <row r="60" spans="2:14">
      <c r="B60" s="5"/>
      <c r="C60" s="32"/>
      <c r="D60" s="39"/>
      <c r="E60" s="9"/>
      <c r="F60" s="24" t="s">
        <v>67</v>
      </c>
      <c r="G60" s="19">
        <v>1.4250000000000001E-2</v>
      </c>
      <c r="H60" s="20"/>
      <c r="I60" s="20"/>
      <c r="J60" s="41" t="b">
        <v>1</v>
      </c>
      <c r="K60" s="10"/>
      <c r="L60" s="53"/>
      <c r="M60" s="51"/>
      <c r="N60" s="55"/>
    </row>
    <row r="61" spans="2:14">
      <c r="B61" s="5"/>
      <c r="C61" s="32"/>
      <c r="D61" s="39"/>
      <c r="E61" s="9"/>
      <c r="F61" s="24" t="s">
        <v>68</v>
      </c>
      <c r="G61" s="19">
        <v>1.357E-2</v>
      </c>
      <c r="H61" s="20"/>
      <c r="I61" s="20"/>
      <c r="J61" s="41" t="b">
        <v>1</v>
      </c>
      <c r="K61" s="10"/>
      <c r="L61" s="53"/>
      <c r="M61" s="51"/>
      <c r="N61" s="55"/>
    </row>
    <row r="62" spans="2:14">
      <c r="B62" s="5"/>
      <c r="C62" s="32"/>
      <c r="D62" s="39"/>
      <c r="E62" s="9"/>
      <c r="F62" s="24" t="s">
        <v>69</v>
      </c>
      <c r="G62" s="19">
        <v>1.3169999999999999E-2</v>
      </c>
      <c r="H62" s="20"/>
      <c r="I62" s="20"/>
      <c r="J62" s="41" t="b">
        <v>1</v>
      </c>
      <c r="K62" s="10"/>
      <c r="L62" s="53"/>
      <c r="M62" s="51"/>
      <c r="N62" s="55"/>
    </row>
    <row r="63" spans="2:14">
      <c r="B63" s="5"/>
      <c r="C63" s="32"/>
      <c r="D63" s="39"/>
      <c r="E63" s="9"/>
      <c r="F63" s="24"/>
      <c r="G63" s="19"/>
      <c r="H63" s="20"/>
      <c r="I63" s="20"/>
      <c r="J63" s="41"/>
      <c r="K63" s="10"/>
      <c r="L63" s="53"/>
      <c r="M63" s="51"/>
      <c r="N63" s="55"/>
    </row>
    <row r="64" spans="2:14">
      <c r="B64" s="5"/>
      <c r="C64" s="33"/>
      <c r="D64" s="40"/>
      <c r="E64" s="9"/>
      <c r="F64" s="25"/>
      <c r="G64" s="26"/>
      <c r="H64" s="42"/>
      <c r="I64" s="42"/>
      <c r="J64" s="43"/>
      <c r="K64" s="10"/>
      <c r="L64" s="54"/>
      <c r="M64" s="52"/>
      <c r="N64" s="55"/>
    </row>
    <row r="65" spans="2:14"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3"/>
    </row>
    <row r="68" spans="2:14">
      <c r="B68" s="56" t="s">
        <v>78</v>
      </c>
    </row>
    <row r="69" spans="2:14">
      <c r="B69" s="2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4"/>
    </row>
    <row r="70" spans="2:14">
      <c r="B70" s="5"/>
      <c r="C70" s="49" t="s">
        <v>71</v>
      </c>
      <c r="D70" s="10"/>
      <c r="E70" s="10"/>
      <c r="F70" s="49" t="s">
        <v>73</v>
      </c>
      <c r="G70" s="10"/>
      <c r="H70" s="10"/>
      <c r="I70" s="49" t="s">
        <v>76</v>
      </c>
      <c r="J70" s="10"/>
      <c r="K70" s="10"/>
      <c r="L70" s="49" t="s">
        <v>77</v>
      </c>
      <c r="M70" s="10"/>
      <c r="N70" s="55"/>
    </row>
    <row r="71" spans="2:14">
      <c r="B71" s="5"/>
      <c r="C71" s="27"/>
      <c r="D71" s="34"/>
      <c r="E71" s="7"/>
      <c r="F71" s="58" t="s">
        <v>11</v>
      </c>
      <c r="G71" s="58" t="s">
        <v>12</v>
      </c>
      <c r="H71" s="10"/>
      <c r="I71" s="27"/>
      <c r="J71" s="34"/>
      <c r="K71" s="10"/>
      <c r="L71" s="58" t="s">
        <v>11</v>
      </c>
      <c r="M71" s="58" t="s">
        <v>12</v>
      </c>
      <c r="N71" s="55"/>
    </row>
    <row r="72" spans="2:14">
      <c r="B72" s="5"/>
      <c r="C72" s="28"/>
      <c r="D72" s="35"/>
      <c r="E72" s="9"/>
      <c r="F72" s="24"/>
      <c r="G72" s="51"/>
      <c r="H72" s="10"/>
      <c r="I72" s="28"/>
      <c r="J72" s="35"/>
      <c r="K72" s="10"/>
      <c r="L72" s="24"/>
      <c r="M72" s="51"/>
      <c r="N72" s="55"/>
    </row>
    <row r="73" spans="2:14">
      <c r="B73" s="5"/>
      <c r="C73" s="28"/>
      <c r="D73" s="35"/>
      <c r="E73" s="9"/>
      <c r="F73" s="24"/>
      <c r="G73" s="51"/>
      <c r="H73" s="10"/>
      <c r="I73" s="28"/>
      <c r="J73" s="35"/>
      <c r="K73" s="10"/>
      <c r="L73" s="24"/>
      <c r="M73" s="51"/>
      <c r="N73" s="55"/>
    </row>
    <row r="74" spans="2:14">
      <c r="B74" s="5"/>
      <c r="C74" s="28"/>
      <c r="D74" s="35"/>
      <c r="E74" s="9"/>
      <c r="F74" s="24"/>
      <c r="G74" s="51"/>
      <c r="H74" s="10"/>
      <c r="I74" s="28"/>
      <c r="J74" s="35"/>
      <c r="K74" s="10"/>
      <c r="L74" s="24"/>
      <c r="M74" s="51"/>
      <c r="N74" s="55"/>
    </row>
    <row r="75" spans="2:14">
      <c r="B75" s="5"/>
      <c r="C75" s="28"/>
      <c r="D75" s="35"/>
      <c r="E75" s="9"/>
      <c r="F75" s="24"/>
      <c r="G75" s="51"/>
      <c r="H75" s="10"/>
      <c r="I75" s="28"/>
      <c r="J75" s="35"/>
      <c r="K75" s="10"/>
      <c r="L75" s="24"/>
      <c r="M75" s="51"/>
      <c r="N75" s="55"/>
    </row>
    <row r="76" spans="2:14">
      <c r="B76" s="5"/>
      <c r="C76" s="29"/>
      <c r="D76" s="35"/>
      <c r="E76" s="9"/>
      <c r="F76" s="24"/>
      <c r="G76" s="51"/>
      <c r="H76" s="10"/>
      <c r="I76" s="29"/>
      <c r="J76" s="35"/>
      <c r="K76" s="10"/>
      <c r="L76" s="24"/>
      <c r="M76" s="51"/>
      <c r="N76" s="55"/>
    </row>
    <row r="77" spans="2:14">
      <c r="B77" s="5"/>
      <c r="C77" s="30"/>
      <c r="D77" s="36"/>
      <c r="E77" s="9"/>
      <c r="F77" s="24"/>
      <c r="G77" s="51"/>
      <c r="H77" s="10"/>
      <c r="I77" s="30"/>
      <c r="J77" s="36"/>
      <c r="K77" s="10"/>
      <c r="L77" s="24"/>
      <c r="M77" s="51"/>
      <c r="N77" s="55"/>
    </row>
    <row r="78" spans="2:14">
      <c r="B78" s="5"/>
      <c r="C78" s="28"/>
      <c r="D78" s="35"/>
      <c r="E78" s="9"/>
      <c r="F78" s="24"/>
      <c r="G78" s="51"/>
      <c r="H78" s="10"/>
      <c r="I78" s="28"/>
      <c r="J78" s="35"/>
      <c r="K78" s="10"/>
      <c r="L78" s="24"/>
      <c r="M78" s="51"/>
      <c r="N78" s="55"/>
    </row>
    <row r="79" spans="2:14">
      <c r="B79" s="5"/>
      <c r="C79" s="28"/>
      <c r="D79" s="35"/>
      <c r="E79" s="9"/>
      <c r="F79" s="24"/>
      <c r="G79" s="51"/>
      <c r="H79" s="10"/>
      <c r="I79" s="28"/>
      <c r="J79" s="35"/>
      <c r="K79" s="10"/>
      <c r="L79" s="24"/>
      <c r="M79" s="51"/>
      <c r="N79" s="55"/>
    </row>
    <row r="80" spans="2:14">
      <c r="B80" s="5"/>
      <c r="C80" s="28"/>
      <c r="D80" s="35"/>
      <c r="E80" s="9"/>
      <c r="F80" s="24"/>
      <c r="G80" s="51"/>
      <c r="H80" s="10"/>
      <c r="I80" s="28"/>
      <c r="J80" s="35"/>
      <c r="K80" s="10"/>
      <c r="L80" s="24"/>
      <c r="M80" s="51"/>
      <c r="N80" s="55"/>
    </row>
    <row r="81" spans="2:14">
      <c r="B81" s="5"/>
      <c r="C81" s="28"/>
      <c r="D81" s="35"/>
      <c r="E81" s="9"/>
      <c r="F81" s="24"/>
      <c r="G81" s="51"/>
      <c r="H81" s="10"/>
      <c r="I81" s="28"/>
      <c r="J81" s="35"/>
      <c r="K81" s="10"/>
      <c r="L81" s="24"/>
      <c r="M81" s="51"/>
      <c r="N81" s="55"/>
    </row>
    <row r="82" spans="2:14">
      <c r="B82" s="5"/>
      <c r="C82" s="28"/>
      <c r="D82" s="35"/>
      <c r="E82" s="9"/>
      <c r="F82" s="24"/>
      <c r="G82" s="51"/>
      <c r="H82" s="10"/>
      <c r="I82" s="28"/>
      <c r="J82" s="35"/>
      <c r="K82" s="10"/>
      <c r="L82" s="24"/>
      <c r="M82" s="51"/>
      <c r="N82" s="55"/>
    </row>
    <row r="83" spans="2:14">
      <c r="B83" s="5"/>
      <c r="C83" s="29"/>
      <c r="D83" s="35"/>
      <c r="E83" s="9"/>
      <c r="F83" s="24"/>
      <c r="G83" s="51"/>
      <c r="H83" s="10"/>
      <c r="I83" s="29"/>
      <c r="J83" s="35"/>
      <c r="K83" s="10"/>
      <c r="L83" s="24"/>
      <c r="M83" s="51"/>
      <c r="N83" s="55"/>
    </row>
    <row r="84" spans="2:14">
      <c r="B84" s="5"/>
      <c r="C84" s="31"/>
      <c r="D84" s="37"/>
      <c r="E84" s="9"/>
      <c r="F84" s="24"/>
      <c r="G84" s="51"/>
      <c r="H84" s="10"/>
      <c r="I84" s="31"/>
      <c r="J84" s="37"/>
      <c r="K84" s="10"/>
      <c r="L84" s="24"/>
      <c r="M84" s="51"/>
      <c r="N84" s="55"/>
    </row>
    <row r="85" spans="2:14">
      <c r="B85" s="5"/>
      <c r="C85" s="31"/>
      <c r="D85" s="38"/>
      <c r="E85" s="9"/>
      <c r="F85" s="24"/>
      <c r="G85" s="51"/>
      <c r="H85" s="10"/>
      <c r="I85" s="31"/>
      <c r="J85" s="38"/>
      <c r="K85" s="10"/>
      <c r="L85" s="24"/>
      <c r="M85" s="51"/>
      <c r="N85" s="55"/>
    </row>
    <row r="86" spans="2:14">
      <c r="B86" s="5"/>
      <c r="C86" s="31"/>
      <c r="D86" s="37"/>
      <c r="E86" s="9"/>
      <c r="F86" s="24"/>
      <c r="G86" s="51"/>
      <c r="H86" s="10"/>
      <c r="I86" s="31"/>
      <c r="J86" s="37"/>
      <c r="K86" s="10"/>
      <c r="L86" s="24"/>
      <c r="M86" s="51"/>
      <c r="N86" s="55"/>
    </row>
    <row r="87" spans="2:14">
      <c r="B87" s="5"/>
      <c r="C87" s="32"/>
      <c r="D87" s="35"/>
      <c r="E87" s="9"/>
      <c r="F87" s="24"/>
      <c r="G87" s="51"/>
      <c r="H87" s="10"/>
      <c r="I87" s="32"/>
      <c r="J87" s="35"/>
      <c r="K87" s="10"/>
      <c r="L87" s="24"/>
      <c r="M87" s="51"/>
      <c r="N87" s="55"/>
    </row>
    <row r="88" spans="2:14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>
      <c r="B89" s="5"/>
      <c r="C89" s="32"/>
      <c r="D89" s="39"/>
      <c r="E89" s="9"/>
      <c r="F89" s="24"/>
      <c r="G89" s="51"/>
      <c r="H89" s="10"/>
      <c r="I89" s="32"/>
      <c r="J89" s="39"/>
      <c r="K89" s="10"/>
      <c r="L89" s="24"/>
      <c r="M89" s="51"/>
      <c r="N89" s="55"/>
    </row>
    <row r="90" spans="2:14">
      <c r="B90" s="5"/>
      <c r="C90" s="32"/>
      <c r="D90" s="39"/>
      <c r="E90" s="9"/>
      <c r="F90" s="24"/>
      <c r="G90" s="51"/>
      <c r="H90" s="10"/>
      <c r="I90" s="32"/>
      <c r="J90" s="39"/>
      <c r="K90" s="10"/>
      <c r="L90" s="24"/>
      <c r="M90" s="51"/>
      <c r="N90" s="55"/>
    </row>
    <row r="91" spans="2:14">
      <c r="B91" s="5"/>
      <c r="C91" s="32"/>
      <c r="D91" s="39"/>
      <c r="E91" s="9"/>
      <c r="F91" s="24"/>
      <c r="G91" s="51"/>
      <c r="H91" s="10"/>
      <c r="I91" s="32"/>
      <c r="J91" s="39"/>
      <c r="K91" s="10"/>
      <c r="L91" s="24"/>
      <c r="M91" s="51"/>
      <c r="N91" s="55"/>
    </row>
    <row r="92" spans="2:14">
      <c r="B92" s="5"/>
      <c r="C92" s="32"/>
      <c r="D92" s="39"/>
      <c r="E92" s="9"/>
      <c r="F92" s="24"/>
      <c r="G92" s="51"/>
      <c r="H92" s="10"/>
      <c r="I92" s="32"/>
      <c r="J92" s="39"/>
      <c r="K92" s="10"/>
      <c r="L92" s="24"/>
      <c r="M92" s="51"/>
      <c r="N92" s="55"/>
    </row>
    <row r="93" spans="2:14">
      <c r="B93" s="5"/>
      <c r="C93" s="32"/>
      <c r="D93" s="39"/>
      <c r="E93" s="9"/>
      <c r="F93" s="24"/>
      <c r="G93" s="51"/>
      <c r="H93" s="10"/>
      <c r="I93" s="32"/>
      <c r="J93" s="39"/>
      <c r="K93" s="10"/>
      <c r="L93" s="24"/>
      <c r="M93" s="51"/>
      <c r="N93" s="55"/>
    </row>
    <row r="94" spans="2:14">
      <c r="B94" s="5"/>
      <c r="C94" s="32"/>
      <c r="D94" s="39"/>
      <c r="E94" s="9"/>
      <c r="F94" s="24"/>
      <c r="G94" s="51"/>
      <c r="H94" s="10"/>
      <c r="I94" s="32"/>
      <c r="J94" s="39"/>
      <c r="K94" s="10"/>
      <c r="L94" s="24"/>
      <c r="M94" s="51"/>
      <c r="N94" s="55"/>
    </row>
    <row r="95" spans="2:14">
      <c r="B95" s="5"/>
      <c r="C95" s="32"/>
      <c r="D95" s="39"/>
      <c r="E95" s="9"/>
      <c r="F95" s="24"/>
      <c r="G95" s="51"/>
      <c r="H95" s="10"/>
      <c r="I95" s="32"/>
      <c r="J95" s="39"/>
      <c r="K95" s="10"/>
      <c r="L95" s="24"/>
      <c r="M95" s="51"/>
      <c r="N95" s="55"/>
    </row>
    <row r="96" spans="2:14">
      <c r="B96" s="5"/>
      <c r="C96" s="33"/>
      <c r="D96" s="40"/>
      <c r="E96" s="9"/>
      <c r="F96" s="25"/>
      <c r="G96" s="52"/>
      <c r="H96" s="10"/>
      <c r="I96" s="33"/>
      <c r="J96" s="40"/>
      <c r="K96" s="10"/>
      <c r="L96" s="25"/>
      <c r="M96" s="52"/>
      <c r="N96" s="55"/>
    </row>
    <row r="97" spans="2:14"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6600"/>
  </sheetPr>
  <dimension ref="B2:L113"/>
  <sheetViews>
    <sheetView showGridLines="0" zoomScaleNormal="100" workbookViewId="0"/>
  </sheetViews>
  <sheetFormatPr defaultRowHeight="1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>
      <c r="B2" s="56" t="s">
        <v>307</v>
      </c>
    </row>
    <row r="6" spans="2:12">
      <c r="B6" s="56" t="s">
        <v>308</v>
      </c>
    </row>
    <row r="7" spans="2:12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>
      <c r="B8" s="5"/>
      <c r="C8" s="64" t="s">
        <v>308</v>
      </c>
      <c r="D8" s="61" t="str">
        <f ca="1">IF(AND(isGBPOISLoaded,NOW()),_xll.meCurveCalibrateSwap(CurveCollection,StaticDataTable,IndexName,CurveBuildProperties,MoneyMarketConventions,LiborConventions,LiborMarketData,SwapConventions,SwapMarketData,FRAConventions,FRAMarketData3M,FRAMarketData6M,FuturesConventions,FuturesMarketData),"Error Building Swap Curve")</f>
        <v>GBPYC STD Curve has been set (0.03100 sec)</v>
      </c>
      <c r="E8" s="62"/>
      <c r="F8" s="63"/>
      <c r="G8" s="7"/>
      <c r="H8" s="7"/>
      <c r="I8" s="7"/>
      <c r="J8" s="7"/>
      <c r="K8" s="7"/>
      <c r="L8" s="8"/>
    </row>
    <row r="9" spans="2:12">
      <c r="B9" s="5"/>
      <c r="C9" s="128" t="s">
        <v>299</v>
      </c>
      <c r="D9" s="129" t="b">
        <f ca="1">LEFT(D8,9)="GBPYC STD"</f>
        <v>1</v>
      </c>
      <c r="E9" s="7"/>
      <c r="F9" s="7"/>
      <c r="G9" s="7"/>
      <c r="H9" s="7"/>
      <c r="I9" s="7"/>
      <c r="J9" s="7"/>
      <c r="K9" s="7"/>
      <c r="L9" s="8"/>
    </row>
    <row r="10" spans="2:12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>
      <c r="B13" s="5"/>
      <c r="C13" s="27" t="s">
        <v>88</v>
      </c>
      <c r="D13" s="107" t="s">
        <v>272</v>
      </c>
      <c r="E13" s="7"/>
      <c r="F13" s="7"/>
      <c r="G13" s="7"/>
      <c r="H13" s="7"/>
      <c r="I13" s="7"/>
      <c r="J13" s="7"/>
      <c r="K13" s="7"/>
      <c r="L13" s="8"/>
    </row>
    <row r="14" spans="2:12">
      <c r="B14" s="5"/>
      <c r="C14" s="28" t="s">
        <v>87</v>
      </c>
      <c r="D14" s="108" t="s">
        <v>90</v>
      </c>
      <c r="E14" s="7"/>
      <c r="F14" s="7"/>
      <c r="G14" s="7"/>
      <c r="H14" s="7"/>
      <c r="I14" s="7"/>
      <c r="J14" s="7"/>
      <c r="K14" s="7"/>
      <c r="L14" s="8"/>
    </row>
    <row r="15" spans="2:12">
      <c r="B15" s="5"/>
      <c r="C15" s="59" t="s">
        <v>89</v>
      </c>
      <c r="D15" s="110" t="s">
        <v>273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>
      <c r="B19" s="56" t="s">
        <v>70</v>
      </c>
    </row>
    <row r="20" spans="2:12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>
      <c r="B22" s="5"/>
      <c r="C22" s="27" t="s">
        <v>10</v>
      </c>
      <c r="D22" s="107"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>
      <c r="B23" s="5"/>
      <c r="C23" s="28" t="s">
        <v>16</v>
      </c>
      <c r="D23" s="108" t="s">
        <v>270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>
      <c r="B24" s="5"/>
      <c r="C24" s="29" t="s">
        <v>92</v>
      </c>
      <c r="D24" s="109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>
      <c r="B25" s="5"/>
      <c r="C25" s="29" t="s">
        <v>24</v>
      </c>
      <c r="D25" s="109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>
      <c r="B26" s="5"/>
      <c r="C26" s="29" t="s">
        <v>94</v>
      </c>
      <c r="D26" s="108" t="b">
        <v>1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>
      <c r="B27" s="5"/>
      <c r="C27" s="29" t="s">
        <v>93</v>
      </c>
      <c r="D27" s="108" t="b">
        <v>0</v>
      </c>
      <c r="E27" s="7"/>
      <c r="F27" s="17"/>
      <c r="G27" s="18"/>
      <c r="H27" s="7"/>
      <c r="I27" s="7"/>
      <c r="J27" s="7"/>
      <c r="K27" s="7"/>
      <c r="L27" s="8"/>
    </row>
    <row r="28" spans="2:12">
      <c r="B28" s="5"/>
      <c r="C28" s="29" t="s">
        <v>27</v>
      </c>
      <c r="D28" s="108" t="s">
        <v>130</v>
      </c>
      <c r="E28" s="7"/>
      <c r="F28" s="17"/>
      <c r="G28" s="18"/>
      <c r="H28" s="7"/>
      <c r="I28" s="7"/>
      <c r="J28" s="7"/>
      <c r="K28" s="7"/>
      <c r="L28" s="8"/>
    </row>
    <row r="29" spans="2:12">
      <c r="B29" s="5"/>
      <c r="C29" s="29" t="s">
        <v>95</v>
      </c>
      <c r="D29" s="108" t="s">
        <v>9</v>
      </c>
      <c r="E29" s="7"/>
      <c r="F29" s="17"/>
      <c r="G29" s="18"/>
      <c r="H29" s="7"/>
      <c r="I29" s="7"/>
      <c r="J29" s="7"/>
      <c r="K29" s="7"/>
      <c r="L29" s="8"/>
    </row>
    <row r="30" spans="2:12">
      <c r="B30" s="5"/>
      <c r="C30" s="29"/>
      <c r="D30" s="108"/>
      <c r="E30" s="7"/>
      <c r="F30" s="17"/>
      <c r="G30" s="18"/>
      <c r="H30" s="7"/>
      <c r="I30" s="7"/>
      <c r="J30" s="7"/>
      <c r="K30" s="7"/>
      <c r="L30" s="8"/>
    </row>
    <row r="31" spans="2:12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>
      <c r="B35" s="56" t="s">
        <v>96</v>
      </c>
    </row>
    <row r="36" spans="2:12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>
      <c r="B37" s="5"/>
      <c r="C37" s="49" t="s">
        <v>348</v>
      </c>
      <c r="D37" s="10"/>
      <c r="E37" s="10"/>
      <c r="F37" s="49" t="s">
        <v>103</v>
      </c>
      <c r="G37" s="10"/>
      <c r="H37" s="10"/>
      <c r="I37" s="49" t="s">
        <v>347</v>
      </c>
      <c r="J37" s="10"/>
      <c r="K37" s="10"/>
      <c r="L37" s="55"/>
    </row>
    <row r="38" spans="2:12">
      <c r="B38" s="5"/>
      <c r="C38" s="27" t="s">
        <v>1</v>
      </c>
      <c r="D38" s="34" t="s">
        <v>230</v>
      </c>
      <c r="E38" s="7"/>
      <c r="F38" s="27" t="s">
        <v>1</v>
      </c>
      <c r="G38" s="34" t="s">
        <v>230</v>
      </c>
      <c r="H38" s="10"/>
      <c r="I38" s="78" t="s">
        <v>11</v>
      </c>
      <c r="J38" s="78" t="s">
        <v>12</v>
      </c>
      <c r="K38" s="78"/>
      <c r="L38" s="55"/>
    </row>
    <row r="39" spans="2:12">
      <c r="B39" s="5"/>
      <c r="C39" s="28" t="s">
        <v>97</v>
      </c>
      <c r="D39" s="35" t="s">
        <v>6</v>
      </c>
      <c r="E39" s="9"/>
      <c r="F39" s="30" t="s">
        <v>18</v>
      </c>
      <c r="G39" s="69" t="s">
        <v>286</v>
      </c>
      <c r="H39" s="10"/>
      <c r="I39" s="71" t="s">
        <v>185</v>
      </c>
      <c r="J39" s="75">
        <v>5.11E-3</v>
      </c>
      <c r="K39" s="78"/>
      <c r="L39" s="55"/>
    </row>
    <row r="40" spans="2:12">
      <c r="B40" s="5"/>
      <c r="C40" s="28" t="s">
        <v>98</v>
      </c>
      <c r="D40" s="35" t="s">
        <v>99</v>
      </c>
      <c r="E40" s="9"/>
      <c r="F40" s="29" t="s">
        <v>27</v>
      </c>
      <c r="G40" s="35" t="s">
        <v>100</v>
      </c>
      <c r="H40" s="10"/>
      <c r="I40" s="72" t="s">
        <v>169</v>
      </c>
      <c r="J40" s="76">
        <v>5.8875000000000004E-3</v>
      </c>
      <c r="K40" s="78"/>
      <c r="L40" s="55"/>
    </row>
    <row r="41" spans="2:12">
      <c r="B41" s="5"/>
      <c r="C41" s="28"/>
      <c r="D41" s="35"/>
      <c r="E41" s="9"/>
      <c r="F41" s="29" t="s">
        <v>101</v>
      </c>
      <c r="G41" s="69">
        <v>0</v>
      </c>
      <c r="H41" s="10"/>
      <c r="I41" s="72" t="s">
        <v>104</v>
      </c>
      <c r="J41" s="76">
        <v>7.4725E-3</v>
      </c>
      <c r="K41" s="78"/>
      <c r="L41" s="55"/>
    </row>
    <row r="42" spans="2:12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1.0165E-2</v>
      </c>
      <c r="K42" s="78"/>
      <c r="L42" s="55"/>
    </row>
    <row r="43" spans="2:12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>
      <c r="B44" s="5"/>
      <c r="C44" s="9"/>
      <c r="D44" s="9"/>
      <c r="E44" s="9"/>
      <c r="F44" s="10"/>
      <c r="G44" s="10"/>
      <c r="H44" s="10"/>
      <c r="I44" s="10" t="s">
        <v>186</v>
      </c>
      <c r="J44" s="10"/>
      <c r="K44" s="10"/>
      <c r="L44" s="55"/>
    </row>
    <row r="45" spans="2:12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>
      <c r="B48" s="56" t="s">
        <v>105</v>
      </c>
    </row>
    <row r="49" spans="2:12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>
      <c r="B50" s="5"/>
      <c r="C50" s="49" t="s">
        <v>106</v>
      </c>
      <c r="D50" s="10"/>
      <c r="E50" s="10"/>
      <c r="F50" s="49" t="s">
        <v>137</v>
      </c>
      <c r="G50" s="10"/>
      <c r="H50" s="10"/>
      <c r="I50" s="49" t="s">
        <v>138</v>
      </c>
      <c r="J50" s="10"/>
      <c r="K50" s="10"/>
      <c r="L50" s="55"/>
    </row>
    <row r="51" spans="2:12">
      <c r="B51" s="5"/>
      <c r="C51" s="27" t="s">
        <v>1</v>
      </c>
      <c r="D51" s="34" t="s">
        <v>230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>
      <c r="B52" s="5"/>
      <c r="C52" s="28" t="s">
        <v>97</v>
      </c>
      <c r="D52" s="35" t="s">
        <v>286</v>
      </c>
      <c r="E52" s="9"/>
      <c r="F52" s="71"/>
      <c r="G52" s="75"/>
      <c r="H52" s="10"/>
      <c r="I52" s="71" t="s">
        <v>288</v>
      </c>
      <c r="J52" s="75">
        <v>7.4799999999999997E-3</v>
      </c>
      <c r="K52" s="78"/>
      <c r="L52" s="55"/>
    </row>
    <row r="53" spans="2:12">
      <c r="B53" s="5"/>
      <c r="C53" s="28" t="s">
        <v>107</v>
      </c>
      <c r="D53" s="35">
        <v>0</v>
      </c>
      <c r="E53" s="9"/>
      <c r="F53" s="72"/>
      <c r="G53" s="76"/>
      <c r="H53" s="10"/>
      <c r="I53" s="72" t="s">
        <v>110</v>
      </c>
      <c r="J53" s="76">
        <v>7.5100000000000002E-3</v>
      </c>
      <c r="K53" s="78"/>
      <c r="L53" s="55"/>
    </row>
    <row r="54" spans="2:12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111</v>
      </c>
      <c r="J54" s="76">
        <v>7.5500000000000003E-3</v>
      </c>
      <c r="K54" s="78"/>
      <c r="L54" s="55"/>
    </row>
    <row r="55" spans="2:12">
      <c r="B55" s="5"/>
      <c r="C55" s="28" t="s">
        <v>102</v>
      </c>
      <c r="D55" s="35" t="b">
        <v>1</v>
      </c>
      <c r="E55" s="9"/>
      <c r="F55" s="72"/>
      <c r="G55" s="76"/>
      <c r="H55" s="10"/>
      <c r="I55" s="72" t="s">
        <v>112</v>
      </c>
      <c r="J55" s="76">
        <v>7.6600000000000001E-3</v>
      </c>
      <c r="K55" s="78"/>
      <c r="L55" s="55"/>
    </row>
    <row r="56" spans="2:12">
      <c r="B56" s="5"/>
      <c r="C56" s="28" t="s">
        <v>349</v>
      </c>
      <c r="D56" s="35">
        <v>31</v>
      </c>
      <c r="E56" s="9"/>
      <c r="F56" s="72"/>
      <c r="G56" s="76"/>
      <c r="H56" s="10"/>
      <c r="I56" s="72" t="s">
        <v>113</v>
      </c>
      <c r="J56" s="76">
        <v>7.7600000000000004E-3</v>
      </c>
      <c r="K56" s="78"/>
      <c r="L56" s="55"/>
    </row>
    <row r="57" spans="2:12">
      <c r="B57" s="5"/>
      <c r="C57" s="28" t="s">
        <v>108</v>
      </c>
      <c r="D57" s="35" t="b">
        <v>1</v>
      </c>
      <c r="E57" s="9"/>
      <c r="F57" s="72"/>
      <c r="G57" s="76"/>
      <c r="H57" s="10"/>
      <c r="I57" s="72" t="s">
        <v>114</v>
      </c>
      <c r="J57" s="76">
        <v>7.8700000000000003E-3</v>
      </c>
      <c r="K57" s="78"/>
      <c r="L57" s="55"/>
    </row>
    <row r="58" spans="2:12">
      <c r="B58" s="5"/>
      <c r="C58" s="28" t="s">
        <v>109</v>
      </c>
      <c r="D58" s="35">
        <v>2</v>
      </c>
      <c r="E58" s="9"/>
      <c r="F58" s="72"/>
      <c r="G58" s="76"/>
      <c r="H58" s="10"/>
      <c r="I58" s="72" t="s">
        <v>117</v>
      </c>
      <c r="J58" s="76">
        <v>8.3099999999999997E-3</v>
      </c>
      <c r="K58" s="78"/>
      <c r="L58" s="55"/>
    </row>
    <row r="59" spans="2:12">
      <c r="B59" s="5"/>
      <c r="C59" s="28"/>
      <c r="D59" s="35"/>
      <c r="E59" s="9"/>
      <c r="F59" s="72"/>
      <c r="G59" s="76"/>
      <c r="H59" s="10"/>
      <c r="I59" s="72" t="s">
        <v>120</v>
      </c>
      <c r="J59" s="76">
        <v>8.6899999999999998E-3</v>
      </c>
      <c r="K59" s="78"/>
      <c r="L59" s="55"/>
    </row>
    <row r="60" spans="2:12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>
      <c r="B69" s="56" t="s">
        <v>121</v>
      </c>
    </row>
    <row r="70" spans="2:12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>
      <c r="B71" s="5"/>
      <c r="C71" s="49" t="s">
        <v>122</v>
      </c>
      <c r="D71" s="10"/>
      <c r="E71" s="10"/>
      <c r="F71" s="49" t="s">
        <v>125</v>
      </c>
      <c r="G71" s="10"/>
      <c r="H71" s="10"/>
      <c r="I71" s="10"/>
      <c r="J71" s="10"/>
      <c r="K71" s="10"/>
      <c r="L71" s="55"/>
    </row>
    <row r="72" spans="2:12">
      <c r="B72" s="5"/>
      <c r="C72" s="27"/>
      <c r="D72" s="34"/>
      <c r="E72" s="7"/>
      <c r="F72" s="97" t="s">
        <v>139</v>
      </c>
      <c r="G72" s="97" t="s">
        <v>13</v>
      </c>
      <c r="H72" s="97" t="s">
        <v>14</v>
      </c>
      <c r="I72" s="97" t="s">
        <v>12</v>
      </c>
      <c r="J72" s="97" t="s">
        <v>124</v>
      </c>
      <c r="K72" s="10"/>
      <c r="L72" s="55"/>
    </row>
    <row r="73" spans="2:12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>
      <c r="B90" s="56" t="s">
        <v>126</v>
      </c>
    </row>
    <row r="91" spans="2:12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>
      <c r="B92" s="5"/>
      <c r="C92" s="49" t="s">
        <v>127</v>
      </c>
      <c r="D92" s="10"/>
      <c r="E92" s="10"/>
      <c r="F92" s="49" t="s">
        <v>128</v>
      </c>
      <c r="G92" s="10"/>
      <c r="H92" s="10"/>
      <c r="I92" s="10"/>
      <c r="J92" s="10"/>
      <c r="K92" s="10"/>
      <c r="L92" s="55"/>
    </row>
    <row r="93" spans="2:12">
      <c r="B93" s="5"/>
      <c r="C93" s="102" t="s">
        <v>1</v>
      </c>
      <c r="D93" s="34" t="s">
        <v>230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>
      <c r="B94" s="5"/>
      <c r="C94" s="103" t="s">
        <v>97</v>
      </c>
      <c r="D94" s="35" t="s">
        <v>286</v>
      </c>
      <c r="E94" s="9"/>
      <c r="F94" s="101" t="s">
        <v>47</v>
      </c>
      <c r="G94" s="98">
        <v>8.4700000000000001E-3</v>
      </c>
      <c r="H94" s="75" t="b">
        <v>1</v>
      </c>
      <c r="I94" s="10"/>
      <c r="J94" s="10"/>
      <c r="K94" s="10"/>
      <c r="L94" s="55"/>
    </row>
    <row r="95" spans="2:12">
      <c r="B95" s="5"/>
      <c r="C95" s="103" t="s">
        <v>129</v>
      </c>
      <c r="D95" s="35" t="s">
        <v>286</v>
      </c>
      <c r="E95" s="9"/>
      <c r="F95" s="24" t="s">
        <v>43</v>
      </c>
      <c r="G95" s="99">
        <v>8.9300000000000004E-3</v>
      </c>
      <c r="H95" s="76" t="b">
        <v>1</v>
      </c>
      <c r="I95" s="10"/>
      <c r="J95" s="10"/>
      <c r="K95" s="10"/>
      <c r="L95" s="55"/>
    </row>
    <row r="96" spans="2:12">
      <c r="B96" s="5"/>
      <c r="C96" s="103" t="s">
        <v>27</v>
      </c>
      <c r="D96" s="35" t="s">
        <v>130</v>
      </c>
      <c r="E96" s="9"/>
      <c r="F96" s="24" t="s">
        <v>50</v>
      </c>
      <c r="G96" s="99">
        <v>9.6499999999999989E-3</v>
      </c>
      <c r="H96" s="76" t="b">
        <v>1</v>
      </c>
      <c r="I96" s="10"/>
      <c r="J96" s="10"/>
      <c r="K96" s="10"/>
      <c r="L96" s="55"/>
    </row>
    <row r="97" spans="2:12">
      <c r="B97" s="5"/>
      <c r="C97" s="103" t="s">
        <v>131</v>
      </c>
      <c r="D97" s="35" t="s">
        <v>130</v>
      </c>
      <c r="E97" s="9"/>
      <c r="F97" s="24" t="s">
        <v>52</v>
      </c>
      <c r="G97" s="99">
        <v>1.0409999999999999E-2</v>
      </c>
      <c r="H97" s="76" t="b">
        <v>1</v>
      </c>
      <c r="I97" s="10"/>
      <c r="J97" s="10"/>
      <c r="K97" s="10"/>
      <c r="L97" s="55"/>
    </row>
    <row r="98" spans="2:12">
      <c r="B98" s="5"/>
      <c r="C98" s="103" t="s">
        <v>132</v>
      </c>
      <c r="D98" s="111" t="s">
        <v>84</v>
      </c>
      <c r="E98" s="9"/>
      <c r="F98" s="24" t="s">
        <v>54</v>
      </c>
      <c r="G98" s="99">
        <v>1.1279999999999998E-2</v>
      </c>
      <c r="H98" s="76" t="b">
        <v>1</v>
      </c>
      <c r="I98" s="10"/>
      <c r="J98" s="10"/>
      <c r="K98" s="10"/>
      <c r="L98" s="55"/>
    </row>
    <row r="99" spans="2:12">
      <c r="B99" s="5"/>
      <c r="C99" s="103" t="s">
        <v>102</v>
      </c>
      <c r="D99" s="35" t="b">
        <v>1</v>
      </c>
      <c r="E99" s="9"/>
      <c r="F99" s="24" t="s">
        <v>56</v>
      </c>
      <c r="G99" s="99">
        <v>1.2190000000000001E-2</v>
      </c>
      <c r="H99" s="76" t="b">
        <v>1</v>
      </c>
      <c r="I99" s="10"/>
      <c r="J99" s="10"/>
      <c r="K99" s="10"/>
      <c r="L99" s="55"/>
    </row>
    <row r="100" spans="2:12">
      <c r="B100" s="5"/>
      <c r="C100" s="103" t="s">
        <v>349</v>
      </c>
      <c r="D100" s="35">
        <v>31</v>
      </c>
      <c r="E100" s="9"/>
      <c r="F100" s="24" t="s">
        <v>58</v>
      </c>
      <c r="G100" s="99">
        <v>1.307E-2</v>
      </c>
      <c r="H100" s="76" t="b">
        <v>1</v>
      </c>
      <c r="I100" s="10"/>
      <c r="J100" s="10"/>
      <c r="K100" s="10"/>
      <c r="L100" s="55"/>
    </row>
    <row r="101" spans="2:12">
      <c r="B101" s="5"/>
      <c r="C101" s="103" t="s">
        <v>133</v>
      </c>
      <c r="D101" s="35" t="b">
        <v>1</v>
      </c>
      <c r="E101" s="9"/>
      <c r="F101" s="24" t="s">
        <v>60</v>
      </c>
      <c r="G101" s="99">
        <v>1.3849999999999999E-2</v>
      </c>
      <c r="H101" s="76" t="b">
        <v>1</v>
      </c>
      <c r="I101" s="10"/>
      <c r="J101" s="10"/>
      <c r="K101" s="10"/>
      <c r="L101" s="55"/>
    </row>
    <row r="102" spans="2:12">
      <c r="B102" s="5"/>
      <c r="C102" s="103" t="s">
        <v>134</v>
      </c>
      <c r="D102" s="35" t="b">
        <v>1</v>
      </c>
      <c r="E102" s="9"/>
      <c r="F102" s="24" t="s">
        <v>61</v>
      </c>
      <c r="G102" s="99">
        <v>1.4530000000000001E-2</v>
      </c>
      <c r="H102" s="76" t="b">
        <v>1</v>
      </c>
      <c r="I102" s="10"/>
      <c r="J102" s="10"/>
      <c r="K102" s="10"/>
      <c r="L102" s="55"/>
    </row>
    <row r="103" spans="2:12">
      <c r="B103" s="5"/>
      <c r="C103" s="103" t="s">
        <v>107</v>
      </c>
      <c r="D103" s="35">
        <v>0</v>
      </c>
      <c r="E103" s="9"/>
      <c r="F103" s="24" t="s">
        <v>63</v>
      </c>
      <c r="G103" s="99">
        <v>1.555E-2</v>
      </c>
      <c r="H103" s="76" t="b">
        <v>1</v>
      </c>
      <c r="I103" s="10"/>
      <c r="J103" s="10"/>
      <c r="K103" s="10"/>
      <c r="L103" s="55"/>
    </row>
    <row r="104" spans="2:12">
      <c r="B104" s="5"/>
      <c r="C104" s="103" t="s">
        <v>21</v>
      </c>
      <c r="D104" s="68" t="s">
        <v>22</v>
      </c>
      <c r="E104" s="9"/>
      <c r="F104" s="24" t="s">
        <v>64</v>
      </c>
      <c r="G104" s="99">
        <v>1.6469999999999999E-2</v>
      </c>
      <c r="H104" s="76" t="b">
        <v>1</v>
      </c>
      <c r="I104" s="10"/>
      <c r="J104" s="10"/>
      <c r="K104" s="10"/>
      <c r="L104" s="55"/>
    </row>
    <row r="105" spans="2:12">
      <c r="B105" s="5"/>
      <c r="C105" s="103" t="s">
        <v>135</v>
      </c>
      <c r="D105" s="38">
        <v>1.0000000000000001E-9</v>
      </c>
      <c r="E105" s="9"/>
      <c r="F105" s="24" t="s">
        <v>65</v>
      </c>
      <c r="G105" s="99">
        <v>1.6910000000000001E-2</v>
      </c>
      <c r="H105" s="76" t="b">
        <v>1</v>
      </c>
      <c r="I105" s="10"/>
      <c r="J105" s="10"/>
      <c r="K105" s="10"/>
      <c r="L105" s="55"/>
    </row>
    <row r="106" spans="2:12">
      <c r="B106" s="5"/>
      <c r="C106" s="103" t="s">
        <v>136</v>
      </c>
      <c r="D106" s="106">
        <v>1000</v>
      </c>
      <c r="E106" s="9"/>
      <c r="F106" s="24" t="s">
        <v>66</v>
      </c>
      <c r="G106" s="99">
        <v>1.6760000000000001E-2</v>
      </c>
      <c r="H106" s="76" t="b">
        <v>1</v>
      </c>
      <c r="I106" s="10"/>
      <c r="J106" s="10"/>
      <c r="K106" s="10"/>
      <c r="L106" s="55"/>
    </row>
    <row r="107" spans="2:12">
      <c r="B107" s="5"/>
      <c r="C107" s="103"/>
      <c r="D107" s="35"/>
      <c r="E107" s="9"/>
      <c r="F107" s="24" t="s">
        <v>67</v>
      </c>
      <c r="G107" s="99">
        <v>1.653E-2</v>
      </c>
      <c r="H107" s="76" t="b">
        <v>1</v>
      </c>
      <c r="I107" s="10"/>
      <c r="J107" s="10"/>
      <c r="K107" s="10"/>
      <c r="L107" s="55"/>
    </row>
    <row r="108" spans="2:12">
      <c r="B108" s="5"/>
      <c r="C108" s="103"/>
      <c r="D108" s="35"/>
      <c r="E108" s="9"/>
      <c r="F108" s="24" t="s">
        <v>68</v>
      </c>
      <c r="G108" s="99">
        <v>1.562E-2</v>
      </c>
      <c r="H108" s="76" t="b">
        <v>1</v>
      </c>
      <c r="I108" s="10"/>
      <c r="J108" s="10"/>
      <c r="K108" s="10"/>
      <c r="L108" s="55"/>
    </row>
    <row r="109" spans="2:12">
      <c r="B109" s="5"/>
      <c r="C109" s="103"/>
      <c r="D109" s="35"/>
      <c r="E109" s="9"/>
      <c r="F109" s="24" t="s">
        <v>69</v>
      </c>
      <c r="G109" s="99">
        <v>1.5069999999999998E-2</v>
      </c>
      <c r="H109" s="76" t="b">
        <v>1</v>
      </c>
      <c r="I109" s="10"/>
      <c r="J109" s="10"/>
      <c r="K109" s="10"/>
      <c r="L109" s="55"/>
    </row>
    <row r="110" spans="2:12">
      <c r="B110" s="5"/>
      <c r="C110" s="103"/>
      <c r="D110" s="35"/>
      <c r="E110" s="9"/>
      <c r="F110" s="24"/>
      <c r="G110" s="99"/>
      <c r="H110" s="76"/>
      <c r="I110" s="10"/>
      <c r="J110" s="10"/>
      <c r="K110" s="10"/>
      <c r="L110" s="55"/>
    </row>
    <row r="111" spans="2:12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count="2">
    <dataValidation type="list" allowBlank="1" showInputMessage="1" showErrorMessage="1" sqref="D54 D104 D75">
      <formula1>"FOLLOWING,MOD_FOLLOWING,PRECEDING,MOD_PRECEEDING,NO_CHANGE"</formula1>
    </dataValidation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6600"/>
  </sheetPr>
  <dimension ref="B2:J82"/>
  <sheetViews>
    <sheetView showGridLines="0" workbookViewId="0"/>
  </sheetViews>
  <sheetFormatPr defaultRowHeight="1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>
      <c r="B2" s="56" t="s">
        <v>311</v>
      </c>
    </row>
    <row r="5" spans="2:10">
      <c r="B5" s="56" t="s">
        <v>310</v>
      </c>
      <c r="C5" s="56"/>
    </row>
    <row r="6" spans="2:10">
      <c r="B6" s="2"/>
      <c r="C6" s="3"/>
      <c r="D6" s="45"/>
      <c r="E6" s="46"/>
      <c r="F6" s="3"/>
      <c r="G6" s="3"/>
      <c r="H6" s="3"/>
      <c r="I6" s="3"/>
      <c r="J6" s="4"/>
    </row>
    <row r="7" spans="2:10">
      <c r="B7" s="5"/>
      <c r="C7" s="7"/>
      <c r="D7" s="64" t="s">
        <v>310</v>
      </c>
      <c r="E7" s="61" t="str">
        <f ca="1">IF(AND(isGBP6MLLoaded,NOW()),_xll.meCurveCalibrateBasis(CurveCollection,StaticDataTable,IndexName,CurveBuildProperties,TenorBasisConventions,TenorBasisMarketData),"Error Building Tenor Basis Curve")</f>
        <v>GBPYC 3M6MBasis Curve has been set (0.03200 sec)</v>
      </c>
      <c r="F7" s="62"/>
      <c r="G7" s="63"/>
      <c r="H7" s="7"/>
      <c r="I7" s="7"/>
      <c r="J7" s="8"/>
    </row>
    <row r="8" spans="2:10">
      <c r="B8" s="5"/>
      <c r="C8" s="7"/>
      <c r="D8" s="128" t="s">
        <v>299</v>
      </c>
      <c r="E8" s="129" t="b">
        <f ca="1">LEFT(E7,10)="GBPYC 3M6M"</f>
        <v>1</v>
      </c>
      <c r="F8" s="7"/>
      <c r="G8" s="7"/>
      <c r="H8" s="7"/>
      <c r="I8" s="7"/>
      <c r="J8" s="8"/>
    </row>
    <row r="9" spans="2:10">
      <c r="B9" s="5"/>
      <c r="C9" s="7"/>
      <c r="D9" s="6"/>
      <c r="E9" s="60"/>
      <c r="F9" s="7"/>
      <c r="G9" s="7"/>
      <c r="H9" s="7"/>
      <c r="I9" s="7"/>
      <c r="J9" s="8"/>
    </row>
    <row r="10" spans="2:10">
      <c r="B10" s="5"/>
      <c r="C10" s="7"/>
      <c r="D10" s="6"/>
      <c r="E10" s="60"/>
      <c r="F10" s="7"/>
      <c r="G10" s="7"/>
      <c r="H10" s="7"/>
      <c r="I10" s="7"/>
      <c r="J10" s="8"/>
    </row>
    <row r="11" spans="2:10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>
      <c r="B12" s="5"/>
      <c r="C12" s="7"/>
      <c r="D12" s="27" t="s">
        <v>88</v>
      </c>
      <c r="E12" s="107" t="s">
        <v>272</v>
      </c>
      <c r="F12" s="7"/>
      <c r="G12" s="7"/>
      <c r="H12" s="7"/>
      <c r="I12" s="7"/>
      <c r="J12" s="8"/>
    </row>
    <row r="13" spans="2:10">
      <c r="B13" s="5"/>
      <c r="C13" s="7"/>
      <c r="D13" s="28" t="s">
        <v>87</v>
      </c>
      <c r="E13" s="108" t="s">
        <v>140</v>
      </c>
      <c r="F13" s="7"/>
      <c r="G13" s="7"/>
      <c r="H13" s="7"/>
      <c r="I13" s="7"/>
      <c r="J13" s="8"/>
    </row>
    <row r="14" spans="2:10">
      <c r="B14" s="5"/>
      <c r="C14" s="7"/>
      <c r="D14" s="59" t="s">
        <v>89</v>
      </c>
      <c r="E14" s="110" t="s">
        <v>274</v>
      </c>
      <c r="F14" s="7"/>
      <c r="G14" s="7"/>
      <c r="H14" s="7"/>
      <c r="I14" s="7"/>
      <c r="J14" s="8" t="s">
        <v>4</v>
      </c>
    </row>
    <row r="15" spans="2:10">
      <c r="B15" s="11"/>
      <c r="C15" s="12"/>
      <c r="D15" s="12"/>
      <c r="E15" s="12"/>
      <c r="F15" s="12"/>
      <c r="G15" s="12"/>
      <c r="H15" s="12"/>
      <c r="I15" s="12"/>
      <c r="J15" s="13"/>
    </row>
    <row r="18" spans="2:10">
      <c r="B18" s="56" t="s">
        <v>70</v>
      </c>
      <c r="C18" s="56"/>
    </row>
    <row r="19" spans="2:10">
      <c r="B19" s="2"/>
      <c r="C19" s="3"/>
      <c r="D19" s="45"/>
      <c r="E19" s="46"/>
      <c r="F19" s="3"/>
      <c r="G19" s="3"/>
      <c r="H19" s="3"/>
      <c r="I19" s="3"/>
      <c r="J19" s="4"/>
    </row>
    <row r="20" spans="2:10">
      <c r="B20" s="5"/>
      <c r="C20" s="7"/>
      <c r="D20" s="48" t="s">
        <v>70</v>
      </c>
      <c r="E20" s="47"/>
      <c r="F20" s="7"/>
      <c r="G20" s="50" t="s">
        <v>81</v>
      </c>
      <c r="H20" s="7"/>
      <c r="I20" s="7"/>
      <c r="J20" s="8"/>
    </row>
    <row r="21" spans="2:10">
      <c r="B21" s="5"/>
      <c r="C21" s="7"/>
      <c r="D21" s="27" t="s">
        <v>10</v>
      </c>
      <c r="E21" s="107">
        <v>42419</v>
      </c>
      <c r="F21" s="7"/>
      <c r="G21" s="14" t="s">
        <v>82</v>
      </c>
      <c r="H21" s="16"/>
      <c r="I21" s="7"/>
      <c r="J21" s="8"/>
    </row>
    <row r="22" spans="2:10">
      <c r="B22" s="5"/>
      <c r="C22" s="7"/>
      <c r="D22" s="28" t="s">
        <v>16</v>
      </c>
      <c r="E22" s="108" t="s">
        <v>270</v>
      </c>
      <c r="F22" s="7"/>
      <c r="G22" s="17" t="s">
        <v>83</v>
      </c>
      <c r="H22" s="18"/>
      <c r="I22" s="7"/>
      <c r="J22" s="8"/>
    </row>
    <row r="23" spans="2:10">
      <c r="B23" s="5"/>
      <c r="C23" s="7"/>
      <c r="D23" s="28" t="s">
        <v>351</v>
      </c>
      <c r="E23" s="111" t="s">
        <v>84</v>
      </c>
      <c r="F23" s="7"/>
      <c r="G23" s="17" t="s">
        <v>84</v>
      </c>
      <c r="H23" s="18"/>
      <c r="I23" s="7"/>
      <c r="J23" s="8"/>
    </row>
    <row r="24" spans="2:10">
      <c r="B24" s="5"/>
      <c r="C24" s="7"/>
      <c r="D24" s="28" t="s">
        <v>352</v>
      </c>
      <c r="E24" s="108" t="b">
        <v>0</v>
      </c>
      <c r="F24" s="7"/>
      <c r="G24" s="17" t="s">
        <v>85</v>
      </c>
      <c r="H24" s="18"/>
      <c r="I24" s="7"/>
      <c r="J24" s="8"/>
    </row>
    <row r="25" spans="2:10">
      <c r="B25" s="5"/>
      <c r="C25" s="7"/>
      <c r="D25" s="28"/>
      <c r="E25" s="108"/>
      <c r="F25" s="7"/>
      <c r="G25" s="17" t="s">
        <v>86</v>
      </c>
      <c r="H25" s="18"/>
      <c r="I25" s="7"/>
      <c r="J25" s="8"/>
    </row>
    <row r="26" spans="2:10">
      <c r="B26" s="5"/>
      <c r="C26" s="7"/>
      <c r="D26" s="28"/>
      <c r="E26" s="108"/>
      <c r="F26" s="7"/>
      <c r="G26" s="17"/>
      <c r="H26" s="18"/>
      <c r="I26" s="7"/>
      <c r="J26" s="8"/>
    </row>
    <row r="27" spans="2:10">
      <c r="B27" s="5"/>
      <c r="C27" s="7"/>
      <c r="D27" s="28"/>
      <c r="E27" s="108"/>
      <c r="F27" s="7"/>
      <c r="G27" s="17"/>
      <c r="H27" s="18"/>
      <c r="I27" s="7"/>
      <c r="J27" s="8"/>
    </row>
    <row r="28" spans="2:10">
      <c r="B28" s="5"/>
      <c r="C28" s="7"/>
      <c r="D28" s="29"/>
      <c r="E28" s="108"/>
      <c r="F28" s="7"/>
      <c r="G28" s="17"/>
      <c r="H28" s="18"/>
      <c r="I28" s="7"/>
      <c r="J28" s="8"/>
    </row>
    <row r="29" spans="2:10">
      <c r="B29" s="5"/>
      <c r="C29" s="7"/>
      <c r="D29" s="29"/>
      <c r="E29" s="108"/>
      <c r="F29" s="7"/>
      <c r="G29" s="17"/>
      <c r="H29" s="18"/>
      <c r="I29" s="7"/>
      <c r="J29" s="8"/>
    </row>
    <row r="30" spans="2:10">
      <c r="B30" s="5"/>
      <c r="C30" s="7"/>
      <c r="D30" s="29"/>
      <c r="E30" s="108"/>
      <c r="F30" s="7"/>
      <c r="G30" s="17"/>
      <c r="H30" s="18"/>
      <c r="I30" s="7"/>
      <c r="J30" s="8"/>
    </row>
    <row r="31" spans="2:10">
      <c r="B31" s="5"/>
      <c r="C31" s="7"/>
      <c r="D31" s="44"/>
      <c r="E31" s="110"/>
      <c r="F31" s="7"/>
      <c r="G31" s="21"/>
      <c r="H31" s="22"/>
      <c r="I31" s="7"/>
      <c r="J31" s="8"/>
    </row>
    <row r="32" spans="2:10">
      <c r="B32" s="11"/>
      <c r="C32" s="12"/>
      <c r="D32" s="12"/>
      <c r="E32" s="12"/>
      <c r="F32" s="12"/>
      <c r="G32" s="12"/>
      <c r="H32" s="12"/>
      <c r="I32" s="12"/>
      <c r="J32" s="13"/>
    </row>
    <row r="35" spans="2:10">
      <c r="B35" s="56" t="s">
        <v>142</v>
      </c>
      <c r="C35" s="56"/>
    </row>
    <row r="36" spans="2:10">
      <c r="B36" s="2"/>
      <c r="C36" s="3"/>
      <c r="D36" s="3"/>
      <c r="E36" s="3"/>
      <c r="F36" s="3"/>
      <c r="G36" s="3"/>
      <c r="H36" s="3"/>
      <c r="I36" s="3"/>
      <c r="J36" s="4"/>
    </row>
    <row r="37" spans="2:10">
      <c r="B37" s="5"/>
      <c r="C37" s="7"/>
      <c r="D37" s="49" t="s">
        <v>184</v>
      </c>
      <c r="E37" s="10"/>
      <c r="F37" s="10"/>
      <c r="G37" s="49" t="s">
        <v>187</v>
      </c>
      <c r="H37" s="10"/>
      <c r="I37" s="10"/>
      <c r="J37" s="55"/>
    </row>
    <row r="38" spans="2:10">
      <c r="B38" s="5"/>
      <c r="C38" s="122"/>
      <c r="D38" s="27" t="s">
        <v>143</v>
      </c>
      <c r="E38" s="34" t="s">
        <v>289</v>
      </c>
      <c r="F38" s="7"/>
      <c r="G38" s="78" t="s">
        <v>11</v>
      </c>
      <c r="H38" s="78" t="s">
        <v>12</v>
      </c>
      <c r="I38" s="10"/>
      <c r="J38" s="55"/>
    </row>
    <row r="39" spans="2:10">
      <c r="B39" s="5"/>
      <c r="C39" s="157" t="s">
        <v>267</v>
      </c>
      <c r="D39" s="112" t="s">
        <v>145</v>
      </c>
      <c r="E39" s="113" t="b">
        <v>0</v>
      </c>
      <c r="F39" s="9"/>
      <c r="G39" s="71" t="s">
        <v>183</v>
      </c>
      <c r="H39" s="75">
        <v>1.4400000000000001E-3</v>
      </c>
      <c r="I39" s="10"/>
      <c r="J39" s="55"/>
    </row>
    <row r="40" spans="2:10">
      <c r="B40" s="5"/>
      <c r="C40" s="158"/>
      <c r="D40" s="28" t="s">
        <v>146</v>
      </c>
      <c r="E40" s="35" t="s">
        <v>230</v>
      </c>
      <c r="F40" s="9"/>
      <c r="G40" s="72" t="s">
        <v>47</v>
      </c>
      <c r="H40" s="76">
        <v>1.39E-3</v>
      </c>
      <c r="I40" s="10"/>
      <c r="J40" s="55"/>
    </row>
    <row r="41" spans="2:10">
      <c r="B41" s="5"/>
      <c r="C41" s="158"/>
      <c r="D41" s="28" t="s">
        <v>147</v>
      </c>
      <c r="E41" s="35" t="s">
        <v>286</v>
      </c>
      <c r="F41" s="9"/>
      <c r="G41" s="72" t="s">
        <v>43</v>
      </c>
      <c r="H41" s="76">
        <v>1.3500000000000001E-3</v>
      </c>
      <c r="I41" s="10"/>
      <c r="J41" s="55"/>
    </row>
    <row r="42" spans="2:10">
      <c r="B42" s="5"/>
      <c r="C42" s="158"/>
      <c r="D42" s="28" t="s">
        <v>149</v>
      </c>
      <c r="E42" s="68" t="s">
        <v>130</v>
      </c>
      <c r="F42" s="9"/>
      <c r="G42" s="72" t="s">
        <v>50</v>
      </c>
      <c r="H42" s="76">
        <v>1.2999999999999999E-3</v>
      </c>
      <c r="I42" s="10"/>
      <c r="J42" s="55"/>
    </row>
    <row r="43" spans="2:10">
      <c r="B43" s="5"/>
      <c r="C43" s="158"/>
      <c r="D43" s="28" t="s">
        <v>150</v>
      </c>
      <c r="E43" s="68" t="s">
        <v>22</v>
      </c>
      <c r="F43" s="9"/>
      <c r="G43" s="72" t="s">
        <v>52</v>
      </c>
      <c r="H43" s="76">
        <v>1.25E-3</v>
      </c>
      <c r="I43" s="10"/>
      <c r="J43" s="55"/>
    </row>
    <row r="44" spans="2:10">
      <c r="B44" s="5"/>
      <c r="C44" s="158"/>
      <c r="D44" s="28" t="s">
        <v>151</v>
      </c>
      <c r="E44" s="35">
        <v>0</v>
      </c>
      <c r="F44" s="9"/>
      <c r="G44" s="72" t="s">
        <v>54</v>
      </c>
      <c r="H44" s="76">
        <v>1.2099999999999999E-3</v>
      </c>
      <c r="I44" s="10"/>
      <c r="J44" s="55"/>
    </row>
    <row r="45" spans="2:10">
      <c r="B45" s="5"/>
      <c r="C45" s="158"/>
      <c r="D45" s="28" t="s">
        <v>152</v>
      </c>
      <c r="E45" s="35" t="s">
        <v>9</v>
      </c>
      <c r="F45" s="9"/>
      <c r="G45" s="72" t="s">
        <v>56</v>
      </c>
      <c r="H45" s="76">
        <v>1.17E-3</v>
      </c>
      <c r="I45" s="10"/>
      <c r="J45" s="55"/>
    </row>
    <row r="46" spans="2:10">
      <c r="B46" s="5"/>
      <c r="C46" s="158"/>
      <c r="D46" s="28" t="s">
        <v>153</v>
      </c>
      <c r="E46" s="35" t="s">
        <v>90</v>
      </c>
      <c r="F46" s="9"/>
      <c r="G46" s="72" t="s">
        <v>58</v>
      </c>
      <c r="H46" s="76">
        <v>1.1300000000000001E-3</v>
      </c>
      <c r="I46" s="10"/>
      <c r="J46" s="55"/>
    </row>
    <row r="47" spans="2:10">
      <c r="B47" s="5"/>
      <c r="C47" s="158"/>
      <c r="D47" s="28" t="s">
        <v>154</v>
      </c>
      <c r="E47" s="35" t="s">
        <v>104</v>
      </c>
      <c r="F47" s="9"/>
      <c r="G47" s="72" t="s">
        <v>60</v>
      </c>
      <c r="H47" s="76">
        <v>1.09E-3</v>
      </c>
      <c r="I47" s="10"/>
      <c r="J47" s="55"/>
    </row>
    <row r="48" spans="2:10">
      <c r="B48" s="5"/>
      <c r="C48" s="158"/>
      <c r="D48" s="28" t="s">
        <v>155</v>
      </c>
      <c r="E48" s="35" t="s">
        <v>286</v>
      </c>
      <c r="F48" s="9"/>
      <c r="G48" s="72" t="s">
        <v>61</v>
      </c>
      <c r="H48" s="76">
        <v>1.06E-3</v>
      </c>
      <c r="I48" s="10"/>
      <c r="J48" s="55"/>
    </row>
    <row r="49" spans="2:10">
      <c r="B49" s="5"/>
      <c r="C49" s="158"/>
      <c r="D49" s="28" t="s">
        <v>156</v>
      </c>
      <c r="E49" s="35" t="s">
        <v>230</v>
      </c>
      <c r="F49" s="9"/>
      <c r="G49" s="72" t="s">
        <v>63</v>
      </c>
      <c r="H49" s="76">
        <v>9.8999999999999999E-4</v>
      </c>
      <c r="I49" s="10"/>
      <c r="J49" s="55"/>
    </row>
    <row r="50" spans="2:10">
      <c r="B50" s="5"/>
      <c r="C50" s="158"/>
      <c r="D50" s="28" t="s">
        <v>157</v>
      </c>
      <c r="E50" s="35" t="s">
        <v>100</v>
      </c>
      <c r="F50" s="9"/>
      <c r="G50" s="72" t="s">
        <v>64</v>
      </c>
      <c r="H50" s="76">
        <v>8.699999999999999E-4</v>
      </c>
      <c r="I50" s="10"/>
      <c r="J50" s="55"/>
    </row>
    <row r="51" spans="2:10">
      <c r="B51" s="5"/>
      <c r="C51" s="158"/>
      <c r="D51" s="28" t="s">
        <v>158</v>
      </c>
      <c r="E51" s="35" t="s">
        <v>230</v>
      </c>
      <c r="F51" s="9"/>
      <c r="G51" s="72" t="s">
        <v>65</v>
      </c>
      <c r="H51" s="76">
        <v>6.9000000000000008E-4</v>
      </c>
      <c r="I51" s="10"/>
      <c r="J51" s="55"/>
    </row>
    <row r="52" spans="2:10">
      <c r="B52" s="5"/>
      <c r="C52" s="158"/>
      <c r="D52" s="28" t="s">
        <v>159</v>
      </c>
      <c r="E52" s="35">
        <v>0</v>
      </c>
      <c r="F52" s="9"/>
      <c r="G52" s="72" t="s">
        <v>66</v>
      </c>
      <c r="H52" s="76">
        <v>5.8E-4</v>
      </c>
      <c r="I52" s="10"/>
      <c r="J52" s="55"/>
    </row>
    <row r="53" spans="2:10">
      <c r="B53" s="5"/>
      <c r="C53" s="159"/>
      <c r="D53" s="114" t="s">
        <v>160</v>
      </c>
      <c r="E53" s="68" t="s">
        <v>22</v>
      </c>
      <c r="F53" s="9"/>
      <c r="G53" s="72" t="s">
        <v>67</v>
      </c>
      <c r="H53" s="76">
        <v>5.0999999999999993E-4</v>
      </c>
      <c r="I53" s="10"/>
      <c r="J53" s="55"/>
    </row>
    <row r="54" spans="2:10">
      <c r="B54" s="5"/>
      <c r="C54" s="160" t="s">
        <v>268</v>
      </c>
      <c r="D54" s="112" t="s">
        <v>161</v>
      </c>
      <c r="E54" s="113" t="s">
        <v>230</v>
      </c>
      <c r="F54" s="9"/>
      <c r="G54" s="72" t="s">
        <v>68</v>
      </c>
      <c r="H54" s="76">
        <v>4.0999999999999999E-4</v>
      </c>
      <c r="I54" s="10"/>
      <c r="J54" s="55"/>
    </row>
    <row r="55" spans="2:10">
      <c r="B55" s="5"/>
      <c r="C55" s="161"/>
      <c r="D55" s="28" t="s">
        <v>162</v>
      </c>
      <c r="E55" s="35" t="s">
        <v>286</v>
      </c>
      <c r="F55" s="9"/>
      <c r="G55" s="72" t="s">
        <v>69</v>
      </c>
      <c r="H55" s="76">
        <v>3.6000000000000002E-4</v>
      </c>
      <c r="I55" s="10"/>
      <c r="J55" s="55"/>
    </row>
    <row r="56" spans="2:10">
      <c r="B56" s="5"/>
      <c r="C56" s="161"/>
      <c r="D56" s="28" t="s">
        <v>163</v>
      </c>
      <c r="E56" s="68" t="s">
        <v>28</v>
      </c>
      <c r="F56" s="9"/>
      <c r="G56" s="72"/>
      <c r="H56" s="76"/>
      <c r="I56" s="10"/>
      <c r="J56" s="55"/>
    </row>
    <row r="57" spans="2:10">
      <c r="B57" s="5"/>
      <c r="C57" s="161"/>
      <c r="D57" s="28" t="s">
        <v>164</v>
      </c>
      <c r="E57" s="68" t="s">
        <v>22</v>
      </c>
      <c r="F57" s="9"/>
      <c r="G57" s="72"/>
      <c r="H57" s="76"/>
      <c r="I57" s="10"/>
      <c r="J57" s="55"/>
    </row>
    <row r="58" spans="2:10">
      <c r="B58" s="5"/>
      <c r="C58" s="161"/>
      <c r="D58" s="28" t="s">
        <v>165</v>
      </c>
      <c r="E58" s="35">
        <v>0</v>
      </c>
      <c r="F58" s="9"/>
      <c r="G58" s="72"/>
      <c r="H58" s="76"/>
      <c r="I58" s="10"/>
      <c r="J58" s="55"/>
    </row>
    <row r="59" spans="2:10">
      <c r="B59" s="5"/>
      <c r="C59" s="161"/>
      <c r="D59" s="28" t="s">
        <v>166</v>
      </c>
      <c r="E59" s="35" t="s">
        <v>9</v>
      </c>
      <c r="F59" s="9"/>
      <c r="G59" s="72"/>
      <c r="H59" s="76"/>
      <c r="I59" s="10"/>
      <c r="J59" s="55"/>
    </row>
    <row r="60" spans="2:10">
      <c r="B60" s="5"/>
      <c r="C60" s="161"/>
      <c r="D60" s="28" t="s">
        <v>167</v>
      </c>
      <c r="E60" s="35" t="s">
        <v>90</v>
      </c>
      <c r="F60" s="9"/>
      <c r="G60" s="72"/>
      <c r="H60" s="76"/>
      <c r="I60" s="10"/>
      <c r="J60" s="55"/>
    </row>
    <row r="61" spans="2:10">
      <c r="B61" s="5"/>
      <c r="C61" s="161"/>
      <c r="D61" s="28" t="s">
        <v>168</v>
      </c>
      <c r="E61" s="35" t="s">
        <v>169</v>
      </c>
      <c r="F61" s="9"/>
      <c r="G61" s="72"/>
      <c r="H61" s="76"/>
      <c r="I61" s="10"/>
      <c r="J61" s="55"/>
    </row>
    <row r="62" spans="2:10">
      <c r="B62" s="5"/>
      <c r="C62" s="161"/>
      <c r="D62" s="28" t="s">
        <v>170</v>
      </c>
      <c r="E62" s="35" t="s">
        <v>286</v>
      </c>
      <c r="F62" s="9"/>
      <c r="G62" s="72"/>
      <c r="H62" s="76"/>
      <c r="I62" s="10"/>
      <c r="J62" s="55"/>
    </row>
    <row r="63" spans="2:10">
      <c r="B63" s="5"/>
      <c r="C63" s="161"/>
      <c r="D63" s="28" t="s">
        <v>171</v>
      </c>
      <c r="E63" s="35" t="s">
        <v>230</v>
      </c>
      <c r="F63" s="9"/>
      <c r="G63" s="72"/>
      <c r="H63" s="76"/>
      <c r="I63" s="10"/>
      <c r="J63" s="55"/>
    </row>
    <row r="64" spans="2:10">
      <c r="B64" s="5"/>
      <c r="C64" s="161"/>
      <c r="D64" s="28" t="s">
        <v>172</v>
      </c>
      <c r="E64" s="35" t="s">
        <v>100</v>
      </c>
      <c r="F64" s="9"/>
      <c r="G64" s="72"/>
      <c r="H64" s="76"/>
      <c r="I64" s="10"/>
      <c r="J64" s="55"/>
    </row>
    <row r="65" spans="2:10">
      <c r="B65" s="5"/>
      <c r="C65" s="161"/>
      <c r="D65" s="28" t="s">
        <v>173</v>
      </c>
      <c r="E65" s="35" t="s">
        <v>230</v>
      </c>
      <c r="F65" s="9"/>
      <c r="G65" s="72"/>
      <c r="H65" s="76"/>
      <c r="I65" s="10"/>
      <c r="J65" s="55"/>
    </row>
    <row r="66" spans="2:10">
      <c r="B66" s="5"/>
      <c r="C66" s="161"/>
      <c r="D66" s="28" t="s">
        <v>174</v>
      </c>
      <c r="E66" s="35">
        <v>0</v>
      </c>
      <c r="F66" s="9"/>
      <c r="G66" s="72"/>
      <c r="H66" s="76"/>
      <c r="I66" s="10"/>
      <c r="J66" s="55"/>
    </row>
    <row r="67" spans="2:10">
      <c r="B67" s="5"/>
      <c r="C67" s="162"/>
      <c r="D67" s="114" t="s">
        <v>175</v>
      </c>
      <c r="E67" s="68" t="s">
        <v>22</v>
      </c>
      <c r="F67" s="9"/>
      <c r="G67" s="72"/>
      <c r="H67" s="76"/>
      <c r="I67" s="10"/>
      <c r="J67" s="55"/>
    </row>
    <row r="68" spans="2:10">
      <c r="B68" s="5"/>
      <c r="C68" s="163" t="str">
        <f>"Solving For :"&amp;CHAR(32)&amp;$E$68</f>
        <v>Solving For : Leg2Forecast</v>
      </c>
      <c r="D68" s="124" t="s">
        <v>176</v>
      </c>
      <c r="E68" s="123" t="s">
        <v>177</v>
      </c>
      <c r="F68" s="9"/>
      <c r="G68" s="72"/>
      <c r="H68" s="76"/>
      <c r="I68" s="10"/>
      <c r="J68" s="55"/>
    </row>
    <row r="69" spans="2:10">
      <c r="B69" s="5"/>
      <c r="C69" s="164"/>
      <c r="D69" s="28" t="s">
        <v>134</v>
      </c>
      <c r="E69" s="35" t="b">
        <v>1</v>
      </c>
      <c r="F69" s="9"/>
      <c r="G69" s="72"/>
      <c r="H69" s="76"/>
      <c r="I69" s="10"/>
      <c r="J69" s="55"/>
    </row>
    <row r="70" spans="2:10">
      <c r="B70" s="5"/>
      <c r="C70" s="164"/>
      <c r="D70" s="28" t="s">
        <v>178</v>
      </c>
      <c r="E70" s="111" t="s">
        <v>84</v>
      </c>
      <c r="F70" s="9"/>
      <c r="G70" s="72"/>
      <c r="H70" s="76"/>
      <c r="I70" s="10"/>
      <c r="J70" s="55"/>
    </row>
    <row r="71" spans="2:10">
      <c r="B71" s="5"/>
      <c r="C71" s="164"/>
      <c r="D71" s="28" t="s">
        <v>179</v>
      </c>
      <c r="E71" s="35" t="b">
        <v>1</v>
      </c>
      <c r="F71" s="9"/>
      <c r="G71" s="72"/>
      <c r="H71" s="76"/>
      <c r="I71" s="10"/>
      <c r="J71" s="55"/>
    </row>
    <row r="72" spans="2:10">
      <c r="B72" s="5"/>
      <c r="C72" s="164"/>
      <c r="D72" s="28" t="s">
        <v>180</v>
      </c>
      <c r="E72" s="35" t="b">
        <v>1</v>
      </c>
      <c r="F72" s="9"/>
      <c r="G72" s="72"/>
      <c r="H72" s="76"/>
      <c r="I72" s="10"/>
      <c r="J72" s="55"/>
    </row>
    <row r="73" spans="2:10">
      <c r="B73" s="5"/>
      <c r="C73" s="164"/>
      <c r="D73" s="28" t="s">
        <v>181</v>
      </c>
      <c r="E73" s="35" t="s">
        <v>169</v>
      </c>
      <c r="F73" s="9"/>
      <c r="G73" s="72"/>
      <c r="H73" s="76"/>
      <c r="I73" s="10"/>
      <c r="J73" s="55"/>
    </row>
    <row r="74" spans="2:10">
      <c r="B74" s="5"/>
      <c r="C74" s="164"/>
      <c r="D74" s="28" t="s">
        <v>182</v>
      </c>
      <c r="E74" s="35" t="b">
        <v>0</v>
      </c>
      <c r="F74" s="9"/>
      <c r="G74" s="72"/>
      <c r="H74" s="76"/>
      <c r="I74" s="10"/>
      <c r="J74" s="55"/>
    </row>
    <row r="75" spans="2:10">
      <c r="B75" s="5"/>
      <c r="C75" s="164"/>
      <c r="D75" s="28" t="s">
        <v>135</v>
      </c>
      <c r="E75" s="38">
        <v>1.0000000000000001E-9</v>
      </c>
      <c r="F75" s="9"/>
      <c r="G75" s="72"/>
      <c r="H75" s="76"/>
      <c r="I75" s="10"/>
      <c r="J75" s="55"/>
    </row>
    <row r="76" spans="2:10">
      <c r="B76" s="5"/>
      <c r="C76" s="164"/>
      <c r="D76" s="28" t="s">
        <v>136</v>
      </c>
      <c r="E76" s="106">
        <v>1000</v>
      </c>
      <c r="F76" s="9"/>
      <c r="G76" s="72"/>
      <c r="H76" s="76"/>
      <c r="I76" s="10"/>
      <c r="J76" s="55"/>
    </row>
    <row r="77" spans="2:10">
      <c r="B77" s="5"/>
      <c r="C77" s="164"/>
      <c r="D77" s="28"/>
      <c r="E77" s="35"/>
      <c r="F77" s="9"/>
      <c r="G77" s="72"/>
      <c r="H77" s="76"/>
      <c r="I77" s="10"/>
      <c r="J77" s="55"/>
    </row>
    <row r="78" spans="2:10">
      <c r="B78" s="5"/>
      <c r="C78" s="164"/>
      <c r="D78" s="28"/>
      <c r="E78" s="35"/>
      <c r="F78" s="9"/>
      <c r="G78" s="72"/>
      <c r="H78" s="76"/>
      <c r="I78" s="10"/>
      <c r="J78" s="55"/>
    </row>
    <row r="79" spans="2:10">
      <c r="B79" s="5"/>
      <c r="C79" s="164"/>
      <c r="D79" s="28"/>
      <c r="E79" s="35"/>
      <c r="F79" s="9"/>
      <c r="G79" s="72"/>
      <c r="H79" s="76"/>
      <c r="I79" s="10"/>
      <c r="J79" s="55"/>
    </row>
    <row r="80" spans="2:10">
      <c r="B80" s="5"/>
      <c r="C80" s="165"/>
      <c r="D80" s="33"/>
      <c r="E80" s="40"/>
      <c r="F80" s="9"/>
      <c r="G80" s="73"/>
      <c r="H80" s="77"/>
      <c r="I80" s="10"/>
      <c r="J80" s="55"/>
    </row>
    <row r="81" spans="2:10">
      <c r="B81" s="5"/>
      <c r="C81" s="7"/>
      <c r="D81" s="9"/>
      <c r="E81" s="9"/>
      <c r="F81" s="9"/>
      <c r="G81" s="10"/>
      <c r="H81" s="10"/>
      <c r="I81" s="10"/>
      <c r="J81" s="55"/>
    </row>
    <row r="82" spans="2:10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count="3">
    <dataValidation type="list" allowBlank="1" showInputMessage="1" showErrorMessage="1" sqref="E42 E56">
      <formula1>"Annual,Semi-Annual,Quarterly,Monthly"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70 E23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6600"/>
  </sheetPr>
  <dimension ref="A1:I76"/>
  <sheetViews>
    <sheetView showGridLines="0" workbookViewId="0"/>
  </sheetViews>
  <sheetFormatPr defaultRowHeight="15"/>
  <cols>
    <col min="2" max="2" width="2.7109375" customWidth="1"/>
    <col min="3" max="3" width="11" customWidth="1"/>
    <col min="4" max="4" width="30.7109375" customWidth="1"/>
    <col min="5" max="5" width="35.7109375" customWidth="1"/>
    <col min="6" max="6" width="9.140625" customWidth="1"/>
    <col min="7" max="8" width="20.7109375" customWidth="1"/>
    <col min="9" max="9" width="2.7109375" customWidth="1"/>
  </cols>
  <sheetData>
    <row r="1" spans="1:9">
      <c r="A1" s="125"/>
    </row>
    <row r="2" spans="1:9">
      <c r="B2" s="56" t="s">
        <v>313</v>
      </c>
    </row>
    <row r="5" spans="1:9">
      <c r="B5" s="56" t="s">
        <v>310</v>
      </c>
      <c r="C5" s="56"/>
    </row>
    <row r="6" spans="1:9">
      <c r="B6" s="2"/>
      <c r="C6" s="3"/>
      <c r="D6" s="45"/>
      <c r="E6" s="46"/>
      <c r="F6" s="3"/>
      <c r="G6" s="3"/>
      <c r="H6" s="3"/>
      <c r="I6" s="4"/>
    </row>
    <row r="7" spans="1:9">
      <c r="B7" s="5"/>
      <c r="C7" s="7"/>
      <c r="D7" s="64" t="s">
        <v>310</v>
      </c>
      <c r="E7" s="61" t="str">
        <f ca="1">IF(AND(isGBP3MLLoaded,NOW()),_xll.meCurveCalibrateBasis(CurveCollection,StaticDataTable,IndexName,CurveBuildProperties,XccyBasisSwapConventions,XccyBasisMarketData),"Error Building Xccy Basis Curve")</f>
        <v>GBPYC XccyBasis Curve has been set (0.04700 sec)</v>
      </c>
      <c r="F7" s="62"/>
      <c r="G7" s="63"/>
      <c r="H7" s="7"/>
      <c r="I7" s="8"/>
    </row>
    <row r="8" spans="1:9">
      <c r="B8" s="5"/>
      <c r="C8" s="7"/>
      <c r="D8" s="128" t="s">
        <v>299</v>
      </c>
      <c r="E8" s="129" t="b">
        <f ca="1">LEFT(E7,10)="GBPYC Xccy"</f>
        <v>1</v>
      </c>
      <c r="F8" s="7"/>
      <c r="G8" s="7"/>
      <c r="H8" s="7"/>
      <c r="I8" s="8"/>
    </row>
    <row r="9" spans="1:9">
      <c r="B9" s="5"/>
      <c r="C9" s="7"/>
      <c r="D9" s="6"/>
      <c r="E9" s="60"/>
      <c r="F9" s="7"/>
      <c r="G9" s="7"/>
      <c r="H9" s="7"/>
      <c r="I9" s="8"/>
    </row>
    <row r="10" spans="1:9">
      <c r="B10" s="5"/>
      <c r="C10" s="7"/>
      <c r="D10" s="48" t="s">
        <v>0</v>
      </c>
      <c r="E10" s="57"/>
      <c r="F10" s="7"/>
      <c r="G10" s="7"/>
      <c r="H10" s="7"/>
      <c r="I10" s="8"/>
    </row>
    <row r="11" spans="1:9">
      <c r="B11" s="5"/>
      <c r="C11" s="7"/>
      <c r="D11" s="27" t="s">
        <v>88</v>
      </c>
      <c r="E11" s="107" t="s">
        <v>272</v>
      </c>
      <c r="F11" s="7"/>
      <c r="G11" s="7"/>
      <c r="H11" s="7"/>
      <c r="I11" s="8"/>
    </row>
    <row r="12" spans="1:9">
      <c r="B12" s="5"/>
      <c r="C12" s="7"/>
      <c r="D12" s="28" t="s">
        <v>87</v>
      </c>
      <c r="E12" s="108" t="s">
        <v>191</v>
      </c>
      <c r="F12" s="7"/>
      <c r="G12" s="7"/>
      <c r="H12" s="7"/>
      <c r="I12" s="8"/>
    </row>
    <row r="13" spans="1:9">
      <c r="B13" s="5"/>
      <c r="C13" s="7"/>
      <c r="D13" s="59" t="s">
        <v>89</v>
      </c>
      <c r="E13" s="110" t="s">
        <v>275</v>
      </c>
      <c r="F13" s="7"/>
      <c r="G13" s="7"/>
      <c r="H13" s="7"/>
      <c r="I13" s="8" t="s">
        <v>4</v>
      </c>
    </row>
    <row r="14" spans="1:9">
      <c r="B14" s="11"/>
      <c r="C14" s="12"/>
      <c r="D14" s="12"/>
      <c r="E14" s="12"/>
      <c r="F14" s="12"/>
      <c r="G14" s="12"/>
      <c r="H14" s="12"/>
      <c r="I14" s="13"/>
    </row>
    <row r="17" spans="2:9">
      <c r="B17" s="56" t="s">
        <v>70</v>
      </c>
      <c r="C17" s="56"/>
    </row>
    <row r="18" spans="2:9">
      <c r="B18" s="2"/>
      <c r="C18" s="3"/>
      <c r="D18" s="45"/>
      <c r="E18" s="46"/>
      <c r="F18" s="3"/>
      <c r="G18" s="3"/>
      <c r="H18" s="3"/>
      <c r="I18" s="4"/>
    </row>
    <row r="19" spans="2:9">
      <c r="B19" s="5"/>
      <c r="C19" s="7"/>
      <c r="D19" s="48" t="s">
        <v>70</v>
      </c>
      <c r="E19" s="47"/>
      <c r="F19" s="7"/>
      <c r="G19" s="50" t="s">
        <v>81</v>
      </c>
      <c r="H19" s="7"/>
      <c r="I19" s="8"/>
    </row>
    <row r="20" spans="2:9">
      <c r="B20" s="5"/>
      <c r="C20" s="7"/>
      <c r="D20" s="27" t="s">
        <v>10</v>
      </c>
      <c r="E20" s="107">
        <v>42419</v>
      </c>
      <c r="F20" s="7"/>
      <c r="G20" s="14" t="s">
        <v>82</v>
      </c>
      <c r="H20" s="16"/>
      <c r="I20" s="8"/>
    </row>
    <row r="21" spans="2:9">
      <c r="B21" s="5"/>
      <c r="C21" s="7"/>
      <c r="D21" s="28" t="s">
        <v>16</v>
      </c>
      <c r="E21" s="108" t="s">
        <v>270</v>
      </c>
      <c r="F21" s="7"/>
      <c r="G21" s="17" t="s">
        <v>83</v>
      </c>
      <c r="H21" s="18"/>
      <c r="I21" s="8"/>
    </row>
    <row r="22" spans="2:9">
      <c r="B22" s="5"/>
      <c r="C22" s="7"/>
      <c r="D22" s="28" t="s">
        <v>351</v>
      </c>
      <c r="E22" s="111" t="s">
        <v>84</v>
      </c>
      <c r="F22" s="7"/>
      <c r="G22" s="17" t="s">
        <v>84</v>
      </c>
      <c r="H22" s="18"/>
      <c r="I22" s="8"/>
    </row>
    <row r="23" spans="2:9">
      <c r="B23" s="5"/>
      <c r="C23" s="7"/>
      <c r="D23" s="28" t="s">
        <v>350</v>
      </c>
      <c r="E23" s="108" t="b">
        <v>1</v>
      </c>
      <c r="F23" s="7"/>
      <c r="G23" s="17" t="s">
        <v>85</v>
      </c>
      <c r="H23" s="18"/>
      <c r="I23" s="8"/>
    </row>
    <row r="24" spans="2:9">
      <c r="B24" s="5"/>
      <c r="C24" s="7"/>
      <c r="D24" s="28"/>
      <c r="E24" s="108"/>
      <c r="F24" s="7"/>
      <c r="G24" s="17" t="s">
        <v>86</v>
      </c>
      <c r="H24" s="18"/>
      <c r="I24" s="8"/>
    </row>
    <row r="25" spans="2:9">
      <c r="B25" s="5"/>
      <c r="C25" s="7"/>
      <c r="D25" s="44"/>
      <c r="E25" s="110"/>
      <c r="F25" s="7"/>
      <c r="G25" s="21"/>
      <c r="H25" s="22"/>
      <c r="I25" s="8"/>
    </row>
    <row r="26" spans="2:9">
      <c r="B26" s="11"/>
      <c r="C26" s="12"/>
      <c r="D26" s="12"/>
      <c r="E26" s="12"/>
      <c r="F26" s="12"/>
      <c r="G26" s="12"/>
      <c r="H26" s="12"/>
      <c r="I26" s="13"/>
    </row>
    <row r="29" spans="2:9">
      <c r="B29" s="56" t="s">
        <v>189</v>
      </c>
      <c r="C29" s="56"/>
    </row>
    <row r="30" spans="2:9">
      <c r="B30" s="2"/>
      <c r="C30" s="3"/>
      <c r="D30" s="3"/>
      <c r="E30" s="3"/>
      <c r="F30" s="3"/>
      <c r="G30" s="3"/>
      <c r="H30" s="3"/>
      <c r="I30" s="4"/>
    </row>
    <row r="31" spans="2:9">
      <c r="B31" s="5"/>
      <c r="C31" s="7"/>
      <c r="D31" s="49" t="s">
        <v>265</v>
      </c>
      <c r="E31" s="10"/>
      <c r="F31" s="10"/>
      <c r="G31" s="49" t="s">
        <v>190</v>
      </c>
      <c r="H31" s="10"/>
      <c r="I31" s="55"/>
    </row>
    <row r="32" spans="2:9">
      <c r="B32" s="5"/>
      <c r="C32" s="122"/>
      <c r="D32" s="117" t="s">
        <v>143</v>
      </c>
      <c r="E32" s="119" t="s">
        <v>193</v>
      </c>
      <c r="F32" s="7"/>
      <c r="G32" s="78" t="s">
        <v>11</v>
      </c>
      <c r="H32" s="78" t="s">
        <v>12</v>
      </c>
      <c r="I32" s="55"/>
    </row>
    <row r="33" spans="2:9" ht="15" customHeight="1">
      <c r="B33" s="5"/>
      <c r="C33" s="160" t="s">
        <v>269</v>
      </c>
      <c r="D33" s="118" t="s">
        <v>194</v>
      </c>
      <c r="E33" s="111" t="s">
        <v>84</v>
      </c>
      <c r="F33" s="9"/>
      <c r="G33" s="71" t="s">
        <v>183</v>
      </c>
      <c r="H33" s="75">
        <v>1.1300000000000001E-3</v>
      </c>
      <c r="I33" s="55"/>
    </row>
    <row r="34" spans="2:9">
      <c r="B34" s="5"/>
      <c r="C34" s="166"/>
      <c r="D34" s="29" t="s">
        <v>145</v>
      </c>
      <c r="E34" s="121" t="b">
        <v>0</v>
      </c>
      <c r="F34" s="9"/>
      <c r="G34" s="72" t="s">
        <v>47</v>
      </c>
      <c r="H34" s="76">
        <v>1.1925E-3</v>
      </c>
      <c r="I34" s="55"/>
    </row>
    <row r="35" spans="2:9">
      <c r="B35" s="5"/>
      <c r="C35" s="166"/>
      <c r="D35" s="29" t="s">
        <v>146</v>
      </c>
      <c r="E35" s="108" t="s">
        <v>230</v>
      </c>
      <c r="F35" s="9"/>
      <c r="G35" s="72" t="s">
        <v>43</v>
      </c>
      <c r="H35" s="76">
        <v>1.2425000000000001E-3</v>
      </c>
      <c r="I35" s="55"/>
    </row>
    <row r="36" spans="2:9">
      <c r="B36" s="5"/>
      <c r="C36" s="166"/>
      <c r="D36" s="29" t="s">
        <v>147</v>
      </c>
      <c r="E36" s="108" t="s">
        <v>286</v>
      </c>
      <c r="F36" s="9"/>
      <c r="G36" s="72" t="s">
        <v>50</v>
      </c>
      <c r="H36" s="76">
        <v>1.2975E-3</v>
      </c>
      <c r="I36" s="55"/>
    </row>
    <row r="37" spans="2:9">
      <c r="B37" s="5"/>
      <c r="C37" s="166"/>
      <c r="D37" s="29" t="s">
        <v>149</v>
      </c>
      <c r="E37" s="108" t="s">
        <v>130</v>
      </c>
      <c r="F37" s="9"/>
      <c r="G37" s="72" t="s">
        <v>52</v>
      </c>
      <c r="H37" s="76">
        <v>1.3324999999999999E-3</v>
      </c>
      <c r="I37" s="55"/>
    </row>
    <row r="38" spans="2:9">
      <c r="B38" s="5"/>
      <c r="C38" s="166"/>
      <c r="D38" s="29" t="s">
        <v>150</v>
      </c>
      <c r="E38" s="68" t="s">
        <v>22</v>
      </c>
      <c r="F38" s="9"/>
      <c r="G38" s="72" t="s">
        <v>54</v>
      </c>
      <c r="H38" s="76">
        <v>1.3074999999999999E-3</v>
      </c>
      <c r="I38" s="55"/>
    </row>
    <row r="39" spans="2:9">
      <c r="B39" s="5"/>
      <c r="C39" s="166"/>
      <c r="D39" s="29" t="s">
        <v>151</v>
      </c>
      <c r="E39" s="108">
        <v>0</v>
      </c>
      <c r="F39" s="9"/>
      <c r="G39" s="72" t="s">
        <v>56</v>
      </c>
      <c r="H39" s="76">
        <v>1.2725E-3</v>
      </c>
      <c r="I39" s="55"/>
    </row>
    <row r="40" spans="2:9">
      <c r="B40" s="5"/>
      <c r="C40" s="166"/>
      <c r="D40" s="29" t="s">
        <v>152</v>
      </c>
      <c r="E40" s="108" t="s">
        <v>9</v>
      </c>
      <c r="F40" s="9"/>
      <c r="G40" s="72" t="s">
        <v>58</v>
      </c>
      <c r="H40" s="76">
        <v>1.2275000000000001E-3</v>
      </c>
      <c r="I40" s="55"/>
    </row>
    <row r="41" spans="2:9">
      <c r="B41" s="5"/>
      <c r="C41" s="166"/>
      <c r="D41" s="29" t="s">
        <v>153</v>
      </c>
      <c r="E41" s="108" t="s">
        <v>90</v>
      </c>
      <c r="F41" s="9"/>
      <c r="G41" s="72" t="s">
        <v>60</v>
      </c>
      <c r="H41" s="76">
        <v>1.1675000000000001E-3</v>
      </c>
      <c r="I41" s="55"/>
    </row>
    <row r="42" spans="2:9">
      <c r="B42" s="5"/>
      <c r="C42" s="166"/>
      <c r="D42" s="29" t="s">
        <v>154</v>
      </c>
      <c r="E42" s="108" t="s">
        <v>104</v>
      </c>
      <c r="F42" s="9"/>
      <c r="G42" s="72" t="s">
        <v>61</v>
      </c>
      <c r="H42" s="76">
        <v>1.1025E-3</v>
      </c>
      <c r="I42" s="55"/>
    </row>
    <row r="43" spans="2:9">
      <c r="B43" s="5"/>
      <c r="C43" s="166"/>
      <c r="D43" s="29" t="s">
        <v>155</v>
      </c>
      <c r="E43" s="108" t="s">
        <v>286</v>
      </c>
      <c r="F43" s="9"/>
      <c r="G43" s="72" t="s">
        <v>62</v>
      </c>
      <c r="H43" s="76">
        <v>1.0425E-3</v>
      </c>
      <c r="I43" s="55"/>
    </row>
    <row r="44" spans="2:9">
      <c r="B44" s="5"/>
      <c r="C44" s="166"/>
      <c r="D44" s="29" t="s">
        <v>156</v>
      </c>
      <c r="E44" s="108" t="s">
        <v>230</v>
      </c>
      <c r="F44" s="9"/>
      <c r="G44" s="72" t="s">
        <v>63</v>
      </c>
      <c r="H44" s="76">
        <v>9.9250000000000011E-4</v>
      </c>
      <c r="I44" s="55"/>
    </row>
    <row r="45" spans="2:9">
      <c r="B45" s="5"/>
      <c r="C45" s="166"/>
      <c r="D45" s="29" t="s">
        <v>157</v>
      </c>
      <c r="E45" s="108" t="s">
        <v>100</v>
      </c>
      <c r="F45" s="9"/>
      <c r="G45" s="72" t="s">
        <v>64</v>
      </c>
      <c r="H45" s="76">
        <v>8.6249999999999999E-4</v>
      </c>
      <c r="I45" s="55"/>
    </row>
    <row r="46" spans="2:9">
      <c r="B46" s="5"/>
      <c r="C46" s="166"/>
      <c r="D46" s="29" t="s">
        <v>158</v>
      </c>
      <c r="E46" s="108" t="s">
        <v>230</v>
      </c>
      <c r="F46" s="9"/>
      <c r="G46" s="72" t="s">
        <v>65</v>
      </c>
      <c r="H46" s="76">
        <v>6.8749999999999996E-4</v>
      </c>
      <c r="I46" s="55"/>
    </row>
    <row r="47" spans="2:9">
      <c r="B47" s="5"/>
      <c r="C47" s="166"/>
      <c r="D47" s="29" t="s">
        <v>159</v>
      </c>
      <c r="E47" s="108">
        <v>0</v>
      </c>
      <c r="F47" s="9"/>
      <c r="G47" s="72" t="s">
        <v>66</v>
      </c>
      <c r="H47" s="76">
        <v>5.8250000000000001E-4</v>
      </c>
      <c r="I47" s="55"/>
    </row>
    <row r="48" spans="2:9">
      <c r="B48" s="5"/>
      <c r="C48" s="167"/>
      <c r="D48" s="29" t="s">
        <v>160</v>
      </c>
      <c r="E48" s="68" t="s">
        <v>22</v>
      </c>
      <c r="F48" s="9"/>
      <c r="G48" s="72" t="s">
        <v>67</v>
      </c>
      <c r="H48" s="76">
        <v>5.1250000000000004E-4</v>
      </c>
      <c r="I48" s="55"/>
    </row>
    <row r="49" spans="2:9">
      <c r="B49" s="5"/>
      <c r="C49" s="163" t="s">
        <v>267</v>
      </c>
      <c r="D49" s="118" t="s">
        <v>161</v>
      </c>
      <c r="E49" s="120" t="s">
        <v>230</v>
      </c>
      <c r="F49" s="9"/>
      <c r="G49" s="72"/>
      <c r="H49" s="76"/>
      <c r="I49" s="55"/>
    </row>
    <row r="50" spans="2:9">
      <c r="B50" s="5"/>
      <c r="C50" s="168"/>
      <c r="D50" s="29" t="s">
        <v>162</v>
      </c>
      <c r="E50" s="108" t="s">
        <v>286</v>
      </c>
      <c r="F50" s="9"/>
      <c r="G50" s="72"/>
      <c r="H50" s="76"/>
      <c r="I50" s="55"/>
    </row>
    <row r="51" spans="2:9">
      <c r="B51" s="5"/>
      <c r="C51" s="168"/>
      <c r="D51" s="29" t="s">
        <v>163</v>
      </c>
      <c r="E51" s="108" t="s">
        <v>28</v>
      </c>
      <c r="F51" s="9"/>
      <c r="G51" s="72"/>
      <c r="H51" s="76"/>
      <c r="I51" s="55"/>
    </row>
    <row r="52" spans="2:9">
      <c r="B52" s="5"/>
      <c r="C52" s="168"/>
      <c r="D52" s="29" t="s">
        <v>164</v>
      </c>
      <c r="E52" s="68" t="s">
        <v>22</v>
      </c>
      <c r="F52" s="9"/>
      <c r="G52" s="72"/>
      <c r="H52" s="76"/>
      <c r="I52" s="55"/>
    </row>
    <row r="53" spans="2:9">
      <c r="B53" s="5"/>
      <c r="C53" s="168"/>
      <c r="D53" s="29" t="s">
        <v>165</v>
      </c>
      <c r="E53" s="108">
        <v>0</v>
      </c>
      <c r="F53" s="9"/>
      <c r="G53" s="72"/>
      <c r="H53" s="76"/>
      <c r="I53" s="55"/>
    </row>
    <row r="54" spans="2:9">
      <c r="B54" s="5"/>
      <c r="C54" s="168"/>
      <c r="D54" s="29" t="s">
        <v>166</v>
      </c>
      <c r="E54" s="108" t="s">
        <v>9</v>
      </c>
      <c r="F54" s="9"/>
      <c r="G54" s="72"/>
      <c r="H54" s="76"/>
      <c r="I54" s="55"/>
    </row>
    <row r="55" spans="2:9">
      <c r="B55" s="5"/>
      <c r="C55" s="168"/>
      <c r="D55" s="29" t="s">
        <v>167</v>
      </c>
      <c r="E55" s="108" t="s">
        <v>90</v>
      </c>
      <c r="F55" s="9"/>
      <c r="G55" s="72"/>
      <c r="H55" s="76"/>
      <c r="I55" s="55"/>
    </row>
    <row r="56" spans="2:9">
      <c r="B56" s="5"/>
      <c r="C56" s="168"/>
      <c r="D56" s="29" t="s">
        <v>168</v>
      </c>
      <c r="E56" s="108" t="s">
        <v>169</v>
      </c>
      <c r="F56" s="9"/>
      <c r="G56" s="72"/>
      <c r="H56" s="76"/>
      <c r="I56" s="55"/>
    </row>
    <row r="57" spans="2:9">
      <c r="B57" s="5"/>
      <c r="C57" s="168"/>
      <c r="D57" s="29" t="s">
        <v>170</v>
      </c>
      <c r="E57" s="108" t="s">
        <v>286</v>
      </c>
      <c r="F57" s="9"/>
      <c r="G57" s="72"/>
      <c r="H57" s="76"/>
      <c r="I57" s="55"/>
    </row>
    <row r="58" spans="2:9">
      <c r="B58" s="5"/>
      <c r="C58" s="168"/>
      <c r="D58" s="29" t="s">
        <v>171</v>
      </c>
      <c r="E58" s="108" t="s">
        <v>230</v>
      </c>
      <c r="F58" s="9"/>
      <c r="G58" s="72"/>
      <c r="H58" s="76"/>
      <c r="I58" s="55"/>
    </row>
    <row r="59" spans="2:9">
      <c r="B59" s="5"/>
      <c r="C59" s="168"/>
      <c r="D59" s="29" t="s">
        <v>172</v>
      </c>
      <c r="E59" s="108" t="s">
        <v>100</v>
      </c>
      <c r="F59" s="9"/>
      <c r="G59" s="72"/>
      <c r="H59" s="76"/>
      <c r="I59" s="55"/>
    </row>
    <row r="60" spans="2:9">
      <c r="B60" s="5"/>
      <c r="C60" s="168"/>
      <c r="D60" s="29" t="s">
        <v>173</v>
      </c>
      <c r="E60" s="108" t="s">
        <v>230</v>
      </c>
      <c r="F60" s="9"/>
      <c r="G60" s="72"/>
      <c r="H60" s="76"/>
      <c r="I60" s="55"/>
    </row>
    <row r="61" spans="2:9">
      <c r="B61" s="5"/>
      <c r="C61" s="168"/>
      <c r="D61" s="29" t="s">
        <v>174</v>
      </c>
      <c r="E61" s="108">
        <v>0</v>
      </c>
      <c r="F61" s="9"/>
      <c r="G61" s="72"/>
      <c r="H61" s="76"/>
      <c r="I61" s="55"/>
    </row>
    <row r="62" spans="2:9">
      <c r="B62" s="5"/>
      <c r="C62" s="169"/>
      <c r="D62" s="29" t="s">
        <v>175</v>
      </c>
      <c r="E62" s="68" t="s">
        <v>22</v>
      </c>
      <c r="F62" s="9"/>
      <c r="G62" s="72"/>
      <c r="H62" s="76"/>
      <c r="I62" s="55"/>
    </row>
    <row r="63" spans="2:9">
      <c r="B63" s="5"/>
      <c r="C63" s="163" t="str">
        <f>"Solving For : "&amp;CHAR(32)&amp;$E$63</f>
        <v>Solving For :  Leg1Discount</v>
      </c>
      <c r="D63" s="118" t="s">
        <v>225</v>
      </c>
      <c r="E63" s="123" t="s">
        <v>226</v>
      </c>
      <c r="F63" s="9"/>
      <c r="G63" s="72"/>
      <c r="H63" s="76"/>
      <c r="I63" s="55"/>
    </row>
    <row r="64" spans="2:9">
      <c r="B64" s="5"/>
      <c r="C64" s="170"/>
      <c r="D64" s="29" t="s">
        <v>134</v>
      </c>
      <c r="E64" s="108" t="b">
        <v>1</v>
      </c>
      <c r="F64" s="9"/>
      <c r="G64" s="72"/>
      <c r="H64" s="76"/>
      <c r="I64" s="55"/>
    </row>
    <row r="65" spans="2:9">
      <c r="B65" s="5"/>
      <c r="C65" s="170"/>
      <c r="D65" s="29" t="s">
        <v>179</v>
      </c>
      <c r="E65" s="108" t="b">
        <v>1</v>
      </c>
      <c r="F65" s="9"/>
      <c r="G65" s="72"/>
      <c r="H65" s="76"/>
      <c r="I65" s="55"/>
    </row>
    <row r="66" spans="2:9">
      <c r="B66" s="5"/>
      <c r="C66" s="170"/>
      <c r="D66" s="29" t="s">
        <v>178</v>
      </c>
      <c r="E66" s="111" t="s">
        <v>84</v>
      </c>
      <c r="F66" s="9"/>
      <c r="G66" s="72"/>
      <c r="H66" s="76"/>
      <c r="I66" s="55"/>
    </row>
    <row r="67" spans="2:9">
      <c r="B67" s="5"/>
      <c r="C67" s="170"/>
      <c r="D67" s="29" t="s">
        <v>182</v>
      </c>
      <c r="E67" s="108" t="s">
        <v>227</v>
      </c>
      <c r="F67" s="9"/>
      <c r="G67" s="72"/>
      <c r="H67" s="76"/>
      <c r="I67" s="55"/>
    </row>
    <row r="68" spans="2:9">
      <c r="B68" s="5"/>
      <c r="C68" s="170"/>
      <c r="D68" s="29" t="s">
        <v>181</v>
      </c>
      <c r="E68" s="108" t="s">
        <v>169</v>
      </c>
      <c r="F68" s="9"/>
      <c r="G68" s="72"/>
      <c r="H68" s="76"/>
      <c r="I68" s="55"/>
    </row>
    <row r="69" spans="2:9">
      <c r="B69" s="5"/>
      <c r="C69" s="170"/>
      <c r="D69" s="28" t="s">
        <v>135</v>
      </c>
      <c r="E69" s="38">
        <v>1.0000000000000001E-9</v>
      </c>
      <c r="F69" s="9"/>
      <c r="G69" s="72"/>
      <c r="H69" s="76"/>
      <c r="I69" s="55"/>
    </row>
    <row r="70" spans="2:9">
      <c r="B70" s="5"/>
      <c r="C70" s="170"/>
      <c r="D70" s="28" t="s">
        <v>136</v>
      </c>
      <c r="E70" s="106">
        <v>1000</v>
      </c>
      <c r="F70" s="9"/>
      <c r="G70" s="72"/>
      <c r="H70" s="76"/>
      <c r="I70" s="55"/>
    </row>
    <row r="71" spans="2:9">
      <c r="B71" s="5"/>
      <c r="C71" s="170"/>
      <c r="D71" s="28" t="s">
        <v>180</v>
      </c>
      <c r="E71" s="35" t="b">
        <v>1</v>
      </c>
      <c r="F71" s="9"/>
      <c r="G71" s="72"/>
      <c r="H71" s="76"/>
      <c r="I71" s="55"/>
    </row>
    <row r="72" spans="2:9">
      <c r="B72" s="5"/>
      <c r="C72" s="170"/>
      <c r="D72" s="28"/>
      <c r="E72" s="35"/>
      <c r="F72" s="9"/>
      <c r="G72" s="72"/>
      <c r="H72" s="76"/>
      <c r="I72" s="55"/>
    </row>
    <row r="73" spans="2:9">
      <c r="B73" s="5"/>
      <c r="C73" s="170"/>
      <c r="D73" s="28"/>
      <c r="E73" s="35"/>
      <c r="F73" s="9"/>
      <c r="G73" s="72"/>
      <c r="H73" s="76"/>
      <c r="I73" s="55"/>
    </row>
    <row r="74" spans="2:9">
      <c r="B74" s="5"/>
      <c r="C74" s="171"/>
      <c r="D74" s="33"/>
      <c r="E74" s="40"/>
      <c r="F74" s="9"/>
      <c r="G74" s="73"/>
      <c r="H74" s="77"/>
      <c r="I74" s="55"/>
    </row>
    <row r="75" spans="2:9">
      <c r="B75" s="5"/>
      <c r="C75" s="7"/>
      <c r="D75" s="9"/>
      <c r="E75" s="9"/>
      <c r="F75" s="9"/>
      <c r="G75" s="10"/>
      <c r="H75" s="10"/>
      <c r="I75" s="55"/>
    </row>
    <row r="76" spans="2:9">
      <c r="B76" s="11"/>
      <c r="C76" s="12"/>
      <c r="D76" s="12"/>
      <c r="E76" s="12"/>
      <c r="F76" s="12"/>
      <c r="G76" s="12"/>
      <c r="H76" s="12"/>
      <c r="I76" s="13"/>
    </row>
  </sheetData>
  <mergeCells count="3">
    <mergeCell ref="C33:C48"/>
    <mergeCell ref="C49:C62"/>
    <mergeCell ref="C63:C74"/>
  </mergeCells>
  <dataValidations count="2">
    <dataValidation type="list" allowBlank="1" showInputMessage="1" showErrorMessage="1" sqref="E38 E48 E52 E62">
      <formula1>"FOLLOWING,MOD_FOLLOWING,PRECEDING,MOD_PRECEEDING,NO_CHANGE"</formula1>
    </dataValidation>
    <dataValidation type="list" allowBlank="1" showInputMessage="1" showErrorMessage="1" sqref="E22 E66 E33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3"/>
  </sheetPr>
  <dimension ref="B2:N90"/>
  <sheetViews>
    <sheetView showGridLines="0" workbookViewId="0"/>
  </sheetViews>
  <sheetFormatPr defaultRowHeight="1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>
      <c r="B2" s="65" t="s">
        <v>306</v>
      </c>
    </row>
    <row r="3" spans="2:14">
      <c r="B3" s="65"/>
    </row>
    <row r="4" spans="2:14">
      <c r="B4" s="65"/>
    </row>
    <row r="5" spans="2:14">
      <c r="B5" s="65" t="s">
        <v>303</v>
      </c>
    </row>
    <row r="6" spans="2:14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>
      <c r="B7" s="5"/>
      <c r="C7" s="64" t="s">
        <v>303</v>
      </c>
      <c r="D7" s="61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IF(NOW(),_xll.meCurveCalibrateOIS(Curve.CollectionName,Curve.MarketDataTable,Curve.OISIndexName,Curve.BuildProperties,OIS.Conventions,OIS.MarketData,OIS.FixingTable,LiborOISBasis.Conventions,LiborOISBasis.MarketData,LiborSwap.Conventions,LiborSwap.MarketData),"Error Building OIS Curve")</f>
        <v>EURYC OIS Curve has been set (0.06200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>
      <c r="B8" s="5"/>
      <c r="C8" s="128" t="s">
        <v>299</v>
      </c>
      <c r="D8" s="129" t="b">
        <f ca="1">LEFT(D7,9)="EURYC 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>
      <c r="B11" s="5"/>
      <c r="C11" s="27" t="s">
        <v>88</v>
      </c>
      <c r="D11" s="107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>
      <c r="B12" s="5"/>
      <c r="C12" s="28" t="s">
        <v>87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>
      <c r="B13" s="5"/>
      <c r="C13" s="59" t="s">
        <v>89</v>
      </c>
      <c r="D13" s="110" t="s">
        <v>228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>
      <c r="B17" s="56" t="s">
        <v>70</v>
      </c>
    </row>
    <row r="18" spans="2:14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2:14">
      <c r="B20" s="5"/>
      <c r="C20" s="27" t="s">
        <v>10</v>
      </c>
      <c r="D20" s="107"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2:14">
      <c r="B21" s="5"/>
      <c r="C21" s="28" t="s">
        <v>16</v>
      </c>
      <c r="D21" s="108" t="s">
        <v>17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2:14">
      <c r="B22" s="5"/>
      <c r="C22" s="28" t="s">
        <v>24</v>
      </c>
      <c r="D22" s="111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2:14">
      <c r="B23" s="5"/>
      <c r="C23" s="29"/>
      <c r="D23" s="108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2:14">
      <c r="B24" s="5"/>
      <c r="C24" s="44"/>
      <c r="D24" s="110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2:14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>
      <c r="F27" s="67"/>
    </row>
    <row r="28" spans="2:14">
      <c r="B28" s="56" t="s">
        <v>79</v>
      </c>
    </row>
    <row r="29" spans="2:14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>
      <c r="B44" s="5"/>
      <c r="C44" s="28" t="s">
        <v>135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>
      <c r="B45" s="5"/>
      <c r="C45" s="28" t="s">
        <v>136</v>
      </c>
      <c r="D45" s="106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>
      <c r="B61" s="56" t="s">
        <v>78</v>
      </c>
    </row>
    <row r="62" spans="2:14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3"/>
  </sheetPr>
  <dimension ref="B2:L113"/>
  <sheetViews>
    <sheetView showGridLines="0" workbookViewId="0"/>
  </sheetViews>
  <sheetFormatPr defaultRowHeight="1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>
      <c r="B2" s="56" t="s">
        <v>309</v>
      </c>
    </row>
    <row r="6" spans="2:12">
      <c r="B6" s="56" t="s">
        <v>308</v>
      </c>
    </row>
    <row r="7" spans="2:12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>
      <c r="B8" s="5"/>
      <c r="C8" s="64" t="s">
        <v>308</v>
      </c>
      <c r="D8" s="61" t="str">
        <f ca="1">IF(AND(isEUROISLoaded,NOW()),_xll.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,"Error Building Swap Curve")</f>
        <v>EURYC STD Curve has been set (0.03100 sec)</v>
      </c>
      <c r="E8" s="62"/>
      <c r="F8" s="63"/>
      <c r="G8" s="7"/>
      <c r="H8" s="7"/>
      <c r="I8" s="7"/>
      <c r="J8" s="7"/>
      <c r="K8" s="7"/>
      <c r="L8" s="8"/>
    </row>
    <row r="9" spans="2:12">
      <c r="B9" s="5"/>
      <c r="C9" s="128" t="s">
        <v>299</v>
      </c>
      <c r="D9" s="129" t="b">
        <f ca="1">LEFT(D8,9)="EURYC STD"</f>
        <v>1</v>
      </c>
      <c r="E9" s="7"/>
      <c r="F9" s="7"/>
      <c r="G9" s="7"/>
      <c r="H9" s="7"/>
      <c r="I9" s="7"/>
      <c r="J9" s="7"/>
      <c r="K9" s="7"/>
      <c r="L9" s="8"/>
    </row>
    <row r="10" spans="2:12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>
      <c r="B13" s="5"/>
      <c r="C13" s="27" t="s">
        <v>88</v>
      </c>
      <c r="D13" s="107" t="s">
        <v>80</v>
      </c>
      <c r="E13" s="7"/>
      <c r="F13" s="7"/>
      <c r="G13" s="7"/>
      <c r="H13" s="7"/>
      <c r="I13" s="7"/>
      <c r="J13" s="7"/>
      <c r="K13" s="7"/>
      <c r="L13" s="8"/>
    </row>
    <row r="14" spans="2:12">
      <c r="B14" s="5"/>
      <c r="C14" s="28" t="s">
        <v>87</v>
      </c>
      <c r="D14" s="108" t="s">
        <v>90</v>
      </c>
      <c r="E14" s="7"/>
      <c r="F14" s="7"/>
      <c r="G14" s="7"/>
      <c r="H14" s="7"/>
      <c r="I14" s="7"/>
      <c r="J14" s="7"/>
      <c r="K14" s="7"/>
      <c r="L14" s="8"/>
    </row>
    <row r="15" spans="2:12">
      <c r="B15" s="5"/>
      <c r="C15" s="59" t="s">
        <v>89</v>
      </c>
      <c r="D15" s="110" t="s">
        <v>91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>
      <c r="B19" s="56" t="s">
        <v>70</v>
      </c>
    </row>
    <row r="20" spans="2:12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>
      <c r="B22" s="5"/>
      <c r="C22" s="27" t="s">
        <v>10</v>
      </c>
      <c r="D22" s="107"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>
      <c r="B23" s="5"/>
      <c r="C23" s="28" t="s">
        <v>16</v>
      </c>
      <c r="D23" s="108" t="s">
        <v>17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>
      <c r="B24" s="5"/>
      <c r="C24" s="29" t="s">
        <v>92</v>
      </c>
      <c r="D24" s="109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>
      <c r="B25" s="5"/>
      <c r="C25" s="29" t="s">
        <v>24</v>
      </c>
      <c r="D25" s="109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>
      <c r="B26" s="5"/>
      <c r="C26" s="29" t="s">
        <v>94</v>
      </c>
      <c r="D26" s="108" t="b">
        <v>1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>
      <c r="B27" s="5"/>
      <c r="C27" s="29" t="s">
        <v>93</v>
      </c>
      <c r="D27" s="108" t="b">
        <v>0</v>
      </c>
      <c r="E27" s="7"/>
      <c r="F27" s="17"/>
      <c r="G27" s="18"/>
      <c r="H27" s="7"/>
      <c r="I27" s="7"/>
      <c r="J27" s="7"/>
      <c r="K27" s="7"/>
      <c r="L27" s="8"/>
    </row>
    <row r="28" spans="2:12">
      <c r="B28" s="5"/>
      <c r="C28" s="29" t="s">
        <v>27</v>
      </c>
      <c r="D28" s="108" t="s">
        <v>130</v>
      </c>
      <c r="E28" s="7"/>
      <c r="F28" s="17"/>
      <c r="G28" s="18"/>
      <c r="H28" s="7"/>
      <c r="I28" s="7"/>
      <c r="J28" s="7"/>
      <c r="K28" s="7"/>
      <c r="L28" s="8"/>
    </row>
    <row r="29" spans="2:12">
      <c r="B29" s="5"/>
      <c r="C29" s="29" t="s">
        <v>95</v>
      </c>
      <c r="D29" s="108" t="s">
        <v>9</v>
      </c>
      <c r="E29" s="7"/>
      <c r="F29" s="17"/>
      <c r="G29" s="18"/>
      <c r="H29" s="7"/>
      <c r="I29" s="7"/>
      <c r="J29" s="7"/>
      <c r="K29" s="7"/>
      <c r="L29" s="8"/>
    </row>
    <row r="30" spans="2:12">
      <c r="B30" s="5"/>
      <c r="C30" s="29"/>
      <c r="D30" s="108"/>
      <c r="E30" s="7"/>
      <c r="F30" s="17"/>
      <c r="G30" s="18"/>
      <c r="H30" s="7"/>
      <c r="I30" s="7"/>
      <c r="J30" s="7"/>
      <c r="K30" s="7"/>
      <c r="L30" s="8"/>
    </row>
    <row r="31" spans="2:12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>
      <c r="B35" s="56" t="s">
        <v>96</v>
      </c>
    </row>
    <row r="36" spans="2:12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>
      <c r="B37" s="5"/>
      <c r="C37" s="49" t="s">
        <v>348</v>
      </c>
      <c r="D37" s="10"/>
      <c r="E37" s="10"/>
      <c r="F37" s="49" t="s">
        <v>103</v>
      </c>
      <c r="G37" s="10"/>
      <c r="H37" s="10"/>
      <c r="I37" s="49" t="s">
        <v>347</v>
      </c>
      <c r="J37" s="10"/>
      <c r="K37" s="10"/>
      <c r="L37" s="55"/>
    </row>
    <row r="38" spans="2:12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8" t="s">
        <v>11</v>
      </c>
      <c r="J38" s="78" t="s">
        <v>12</v>
      </c>
      <c r="K38" s="78"/>
      <c r="L38" s="55"/>
    </row>
    <row r="39" spans="2:12">
      <c r="B39" s="5"/>
      <c r="C39" s="28" t="s">
        <v>97</v>
      </c>
      <c r="D39" s="35" t="s">
        <v>6</v>
      </c>
      <c r="E39" s="9"/>
      <c r="F39" s="30" t="s">
        <v>18</v>
      </c>
      <c r="G39" s="69" t="s">
        <v>6</v>
      </c>
      <c r="H39" s="10"/>
      <c r="I39" s="71" t="s">
        <v>185</v>
      </c>
      <c r="J39" s="75">
        <v>-2.8E-3</v>
      </c>
      <c r="K39" s="78"/>
      <c r="L39" s="55"/>
    </row>
    <row r="40" spans="2:12">
      <c r="B40" s="5"/>
      <c r="C40" s="28" t="s">
        <v>98</v>
      </c>
      <c r="D40" s="35" t="s">
        <v>99</v>
      </c>
      <c r="E40" s="9"/>
      <c r="F40" s="29" t="s">
        <v>27</v>
      </c>
      <c r="G40" s="35" t="s">
        <v>100</v>
      </c>
      <c r="H40" s="10"/>
      <c r="I40" s="72" t="s">
        <v>169</v>
      </c>
      <c r="J40" s="76">
        <v>-2.2000000000000001E-3</v>
      </c>
      <c r="K40" s="78"/>
      <c r="L40" s="55"/>
    </row>
    <row r="41" spans="2:12">
      <c r="B41" s="5"/>
      <c r="C41" s="28"/>
      <c r="D41" s="35"/>
      <c r="E41" s="9"/>
      <c r="F41" s="29" t="s">
        <v>101</v>
      </c>
      <c r="G41" s="69">
        <v>2</v>
      </c>
      <c r="H41" s="10"/>
      <c r="I41" s="72" t="s">
        <v>104</v>
      </c>
      <c r="J41" s="76">
        <v>-1.31E-3</v>
      </c>
      <c r="K41" s="78"/>
      <c r="L41" s="55"/>
    </row>
    <row r="42" spans="2:12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-1E-4</v>
      </c>
      <c r="K42" s="78"/>
      <c r="L42" s="55"/>
    </row>
    <row r="43" spans="2:12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>
      <c r="B44" s="5"/>
      <c r="C44" s="9"/>
      <c r="D44" s="9"/>
      <c r="E44" s="9"/>
      <c r="F44" s="10"/>
      <c r="G44" s="10"/>
      <c r="H44" s="10"/>
      <c r="I44" s="10" t="s">
        <v>186</v>
      </c>
      <c r="J44" s="10"/>
      <c r="K44" s="10"/>
      <c r="L44" s="55"/>
    </row>
    <row r="45" spans="2:12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>
      <c r="B48" s="56" t="s">
        <v>105</v>
      </c>
    </row>
    <row r="49" spans="2:12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>
      <c r="B50" s="5"/>
      <c r="C50" s="49" t="s">
        <v>106</v>
      </c>
      <c r="D50" s="10"/>
      <c r="E50" s="10"/>
      <c r="F50" s="49" t="s">
        <v>137</v>
      </c>
      <c r="G50" s="10"/>
      <c r="H50" s="10"/>
      <c r="I50" s="49" t="s">
        <v>138</v>
      </c>
      <c r="J50" s="10"/>
      <c r="K50" s="10"/>
      <c r="L50" s="55"/>
    </row>
    <row r="51" spans="2:12">
      <c r="B51" s="5"/>
      <c r="C51" s="27" t="s">
        <v>1</v>
      </c>
      <c r="D51" s="34" t="s">
        <v>2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>
      <c r="B52" s="5"/>
      <c r="C52" s="28" t="s">
        <v>97</v>
      </c>
      <c r="D52" s="35" t="s">
        <v>6</v>
      </c>
      <c r="E52" s="9"/>
      <c r="F52" s="71"/>
      <c r="G52" s="75"/>
      <c r="H52" s="10"/>
      <c r="I52" s="71" t="s">
        <v>110</v>
      </c>
      <c r="J52" s="75">
        <v>-1.2900000000000001E-3</v>
      </c>
      <c r="K52" s="78"/>
      <c r="L52" s="55"/>
    </row>
    <row r="53" spans="2:12">
      <c r="B53" s="5"/>
      <c r="C53" s="28" t="s">
        <v>107</v>
      </c>
      <c r="D53" s="35">
        <v>2</v>
      </c>
      <c r="E53" s="9"/>
      <c r="F53" s="72"/>
      <c r="G53" s="76"/>
      <c r="H53" s="10"/>
      <c r="I53" s="72" t="s">
        <v>111</v>
      </c>
      <c r="J53" s="76">
        <v>-1.2900000000000001E-3</v>
      </c>
      <c r="K53" s="78"/>
      <c r="L53" s="55"/>
    </row>
    <row r="54" spans="2:12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112</v>
      </c>
      <c r="J54" s="76">
        <v>-1.33E-3</v>
      </c>
      <c r="K54" s="78"/>
      <c r="L54" s="55"/>
    </row>
    <row r="55" spans="2:12">
      <c r="B55" s="5"/>
      <c r="C55" s="28" t="s">
        <v>102</v>
      </c>
      <c r="D55" s="35" t="b">
        <v>1</v>
      </c>
      <c r="E55" s="9"/>
      <c r="F55" s="72"/>
      <c r="G55" s="76"/>
      <c r="H55" s="10"/>
      <c r="I55" s="72" t="s">
        <v>113</v>
      </c>
      <c r="J55" s="76">
        <v>-1.3900000000000002E-3</v>
      </c>
      <c r="K55" s="78"/>
      <c r="L55" s="55"/>
    </row>
    <row r="56" spans="2:12">
      <c r="B56" s="5"/>
      <c r="C56" s="28" t="s">
        <v>349</v>
      </c>
      <c r="D56" s="35">
        <v>31</v>
      </c>
      <c r="E56" s="9"/>
      <c r="F56" s="72"/>
      <c r="G56" s="76"/>
      <c r="H56" s="10"/>
      <c r="I56" s="72" t="s">
        <v>114</v>
      </c>
      <c r="J56" s="76">
        <v>-1.4399999999999999E-3</v>
      </c>
      <c r="K56" s="78"/>
      <c r="L56" s="55"/>
    </row>
    <row r="57" spans="2:12">
      <c r="B57" s="5"/>
      <c r="C57" s="28" t="s">
        <v>108</v>
      </c>
      <c r="D57" s="35" t="b">
        <v>1</v>
      </c>
      <c r="E57" s="9"/>
      <c r="F57" s="72"/>
      <c r="G57" s="76"/>
      <c r="H57" s="10"/>
      <c r="I57" s="72" t="s">
        <v>115</v>
      </c>
      <c r="J57" s="76">
        <v>-1.4399999999999999E-3</v>
      </c>
      <c r="K57" s="78"/>
      <c r="L57" s="55"/>
    </row>
    <row r="58" spans="2:12">
      <c r="B58" s="5"/>
      <c r="C58" s="28" t="s">
        <v>109</v>
      </c>
      <c r="D58" s="35">
        <v>2</v>
      </c>
      <c r="E58" s="9"/>
      <c r="F58" s="72"/>
      <c r="G58" s="76"/>
      <c r="H58" s="10"/>
      <c r="I58" s="72" t="s">
        <v>116</v>
      </c>
      <c r="J58" s="76">
        <v>-1.4599999999999999E-3</v>
      </c>
      <c r="K58" s="78"/>
      <c r="L58" s="55"/>
    </row>
    <row r="59" spans="2:12">
      <c r="B59" s="5"/>
      <c r="C59" s="28"/>
      <c r="D59" s="35"/>
      <c r="E59" s="9"/>
      <c r="F59" s="72"/>
      <c r="G59" s="76"/>
      <c r="H59" s="10"/>
      <c r="I59" s="72" t="s">
        <v>117</v>
      </c>
      <c r="J59" s="76">
        <v>-1.47E-3</v>
      </c>
      <c r="K59" s="78"/>
      <c r="L59" s="55"/>
    </row>
    <row r="60" spans="2:12">
      <c r="B60" s="5"/>
      <c r="C60" s="28"/>
      <c r="D60" s="35"/>
      <c r="E60" s="9"/>
      <c r="F60" s="72"/>
      <c r="G60" s="76"/>
      <c r="H60" s="10"/>
      <c r="I60" s="72" t="s">
        <v>118</v>
      </c>
      <c r="J60" s="76">
        <v>-1.4599999999999999E-3</v>
      </c>
      <c r="K60" s="78"/>
      <c r="L60" s="55"/>
    </row>
    <row r="61" spans="2:12">
      <c r="B61" s="5"/>
      <c r="C61" s="28"/>
      <c r="D61" s="35"/>
      <c r="E61" s="9"/>
      <c r="F61" s="72"/>
      <c r="G61" s="76"/>
      <c r="H61" s="10"/>
      <c r="I61" s="72" t="s">
        <v>119</v>
      </c>
      <c r="J61" s="76">
        <v>-1.4299999999999998E-3</v>
      </c>
      <c r="K61" s="78"/>
      <c r="L61" s="55"/>
    </row>
    <row r="62" spans="2:12">
      <c r="B62" s="5"/>
      <c r="C62" s="28"/>
      <c r="D62" s="35"/>
      <c r="E62" s="9"/>
      <c r="F62" s="72"/>
      <c r="G62" s="76"/>
      <c r="H62" s="10"/>
      <c r="I62" s="72" t="s">
        <v>120</v>
      </c>
      <c r="J62" s="76">
        <v>-1.4099999999999998E-3</v>
      </c>
      <c r="K62" s="78"/>
      <c r="L62" s="55"/>
    </row>
    <row r="63" spans="2:12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>
      <c r="B69" s="56" t="s">
        <v>121</v>
      </c>
    </row>
    <row r="70" spans="2:12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>
      <c r="B71" s="5"/>
      <c r="C71" s="49" t="s">
        <v>122</v>
      </c>
      <c r="D71" s="10"/>
      <c r="E71" s="10"/>
      <c r="F71" s="49" t="s">
        <v>125</v>
      </c>
      <c r="G71" s="10"/>
      <c r="H71" s="10"/>
      <c r="I71" s="10"/>
      <c r="J71" s="10"/>
      <c r="K71" s="10"/>
      <c r="L71" s="55"/>
    </row>
    <row r="72" spans="2:12">
      <c r="B72" s="5"/>
      <c r="C72" s="27"/>
      <c r="D72" s="34"/>
      <c r="E72" s="7"/>
      <c r="F72" s="97" t="s">
        <v>139</v>
      </c>
      <c r="G72" s="97" t="s">
        <v>13</v>
      </c>
      <c r="H72" s="97" t="s">
        <v>14</v>
      </c>
      <c r="I72" s="97" t="s">
        <v>12</v>
      </c>
      <c r="J72" s="97" t="s">
        <v>124</v>
      </c>
      <c r="K72" s="10"/>
      <c r="L72" s="55"/>
    </row>
    <row r="73" spans="2:12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>
      <c r="B90" s="56" t="s">
        <v>126</v>
      </c>
    </row>
    <row r="91" spans="2:12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>
      <c r="B92" s="5"/>
      <c r="C92" s="49" t="s">
        <v>127</v>
      </c>
      <c r="D92" s="10"/>
      <c r="E92" s="10"/>
      <c r="F92" s="49" t="s">
        <v>128</v>
      </c>
      <c r="G92" s="10"/>
      <c r="H92" s="10"/>
      <c r="I92" s="10"/>
      <c r="J92" s="10"/>
      <c r="K92" s="10"/>
      <c r="L92" s="55"/>
    </row>
    <row r="93" spans="2:12">
      <c r="B93" s="5"/>
      <c r="C93" s="102" t="s">
        <v>1</v>
      </c>
      <c r="D93" s="34" t="s">
        <v>2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>
      <c r="B94" s="5"/>
      <c r="C94" s="103" t="s">
        <v>97</v>
      </c>
      <c r="D94" s="35" t="s">
        <v>20</v>
      </c>
      <c r="E94" s="9"/>
      <c r="F94" s="101" t="s">
        <v>47</v>
      </c>
      <c r="G94" s="98">
        <v>-1.33E-3</v>
      </c>
      <c r="H94" s="75" t="b">
        <v>1</v>
      </c>
      <c r="I94" s="10"/>
      <c r="J94" s="10"/>
      <c r="K94" s="10"/>
      <c r="L94" s="55"/>
    </row>
    <row r="95" spans="2:12">
      <c r="B95" s="5"/>
      <c r="C95" s="103" t="s">
        <v>129</v>
      </c>
      <c r="D95" s="35" t="s">
        <v>6</v>
      </c>
      <c r="E95" s="9"/>
      <c r="F95" s="24" t="s">
        <v>43</v>
      </c>
      <c r="G95" s="99">
        <v>-8.699999999999999E-4</v>
      </c>
      <c r="H95" s="76" t="b">
        <v>1</v>
      </c>
      <c r="I95" s="10"/>
      <c r="J95" s="10"/>
      <c r="K95" s="10"/>
      <c r="L95" s="55"/>
    </row>
    <row r="96" spans="2:12">
      <c r="B96" s="5"/>
      <c r="C96" s="103" t="s">
        <v>27</v>
      </c>
      <c r="D96" s="35" t="s">
        <v>26</v>
      </c>
      <c r="E96" s="9"/>
      <c r="F96" s="24" t="s">
        <v>50</v>
      </c>
      <c r="G96" s="99">
        <v>-8.0000000000000007E-5</v>
      </c>
      <c r="H96" s="76" t="b">
        <v>1</v>
      </c>
      <c r="I96" s="10"/>
      <c r="J96" s="10"/>
      <c r="K96" s="10"/>
      <c r="L96" s="55"/>
    </row>
    <row r="97" spans="2:12">
      <c r="B97" s="5"/>
      <c r="C97" s="103" t="s">
        <v>131</v>
      </c>
      <c r="D97" s="35" t="s">
        <v>130</v>
      </c>
      <c r="E97" s="9"/>
      <c r="F97" s="24" t="s">
        <v>52</v>
      </c>
      <c r="G97" s="99">
        <v>9.2999999999999995E-4</v>
      </c>
      <c r="H97" s="76" t="b">
        <v>1</v>
      </c>
      <c r="I97" s="10"/>
      <c r="J97" s="10"/>
      <c r="K97" s="10"/>
      <c r="L97" s="55"/>
    </row>
    <row r="98" spans="2:12">
      <c r="B98" s="5"/>
      <c r="C98" s="103" t="s">
        <v>132</v>
      </c>
      <c r="D98" s="111" t="s">
        <v>84</v>
      </c>
      <c r="E98" s="9"/>
      <c r="F98" s="24" t="s">
        <v>54</v>
      </c>
      <c r="G98" s="99">
        <v>2.0200000000000001E-3</v>
      </c>
      <c r="H98" s="76" t="b">
        <v>1</v>
      </c>
      <c r="I98" s="10"/>
      <c r="J98" s="10"/>
      <c r="K98" s="10"/>
      <c r="L98" s="55"/>
    </row>
    <row r="99" spans="2:12">
      <c r="B99" s="5"/>
      <c r="C99" s="103" t="s">
        <v>102</v>
      </c>
      <c r="D99" s="35" t="b">
        <v>1</v>
      </c>
      <c r="E99" s="9"/>
      <c r="F99" s="24" t="s">
        <v>56</v>
      </c>
      <c r="G99" s="99">
        <v>3.2100000000000002E-3</v>
      </c>
      <c r="H99" s="76" t="b">
        <v>1</v>
      </c>
      <c r="I99" s="10"/>
      <c r="J99" s="10"/>
      <c r="K99" s="10"/>
      <c r="L99" s="55"/>
    </row>
    <row r="100" spans="2:12">
      <c r="B100" s="5"/>
      <c r="C100" s="103" t="s">
        <v>349</v>
      </c>
      <c r="D100" s="35">
        <v>31</v>
      </c>
      <c r="E100" s="9"/>
      <c r="F100" s="24" t="s">
        <v>58</v>
      </c>
      <c r="G100" s="99">
        <v>4.4400000000000004E-3</v>
      </c>
      <c r="H100" s="76" t="b">
        <v>1</v>
      </c>
      <c r="I100" s="10"/>
      <c r="J100" s="10"/>
      <c r="K100" s="10"/>
      <c r="L100" s="55"/>
    </row>
    <row r="101" spans="2:12">
      <c r="B101" s="5"/>
      <c r="C101" s="103" t="s">
        <v>101</v>
      </c>
      <c r="D101" s="35">
        <v>2</v>
      </c>
      <c r="E101" s="9"/>
      <c r="F101" s="24" t="s">
        <v>60</v>
      </c>
      <c r="G101" s="99">
        <v>5.6100000000000004E-3</v>
      </c>
      <c r="H101" s="76" t="b">
        <v>1</v>
      </c>
      <c r="I101" s="10"/>
      <c r="J101" s="10"/>
      <c r="K101" s="10"/>
      <c r="L101" s="55"/>
    </row>
    <row r="102" spans="2:12">
      <c r="B102" s="5"/>
      <c r="C102" s="103" t="s">
        <v>21</v>
      </c>
      <c r="D102" s="68" t="s">
        <v>22</v>
      </c>
      <c r="E102" s="9"/>
      <c r="F102" s="24" t="s">
        <v>61</v>
      </c>
      <c r="G102" s="99">
        <v>6.6700000000000006E-3</v>
      </c>
      <c r="H102" s="76" t="b">
        <v>1</v>
      </c>
      <c r="I102" s="10"/>
      <c r="J102" s="10"/>
      <c r="K102" s="10"/>
      <c r="L102" s="55"/>
    </row>
    <row r="103" spans="2:12">
      <c r="B103" s="5"/>
      <c r="C103" s="103" t="s">
        <v>133</v>
      </c>
      <c r="D103" s="35" t="b">
        <v>1</v>
      </c>
      <c r="E103" s="9"/>
      <c r="F103" s="24" t="s">
        <v>62</v>
      </c>
      <c r="G103" s="99">
        <v>7.6300000000000005E-3</v>
      </c>
      <c r="H103" s="76" t="b">
        <v>1</v>
      </c>
      <c r="I103" s="10"/>
      <c r="J103" s="10"/>
      <c r="K103" s="10"/>
      <c r="L103" s="55"/>
    </row>
    <row r="104" spans="2:12">
      <c r="B104" s="5"/>
      <c r="C104" s="103" t="s">
        <v>134</v>
      </c>
      <c r="D104" s="35" t="b">
        <v>1</v>
      </c>
      <c r="E104" s="9"/>
      <c r="F104" s="24" t="s">
        <v>63</v>
      </c>
      <c r="G104" s="99">
        <v>8.4700000000000001E-3</v>
      </c>
      <c r="H104" s="76" t="b">
        <v>1</v>
      </c>
      <c r="I104" s="10"/>
      <c r="J104" s="10"/>
      <c r="K104" s="10"/>
      <c r="L104" s="55"/>
    </row>
    <row r="105" spans="2:12">
      <c r="B105" s="5"/>
      <c r="C105" s="103" t="s">
        <v>135</v>
      </c>
      <c r="D105" s="38">
        <v>1.0000000000000001E-9</v>
      </c>
      <c r="E105" s="9"/>
      <c r="F105" s="24" t="s">
        <v>64</v>
      </c>
      <c r="G105" s="99">
        <v>1.03E-2</v>
      </c>
      <c r="H105" s="76" t="b">
        <v>1</v>
      </c>
      <c r="I105" s="10"/>
      <c r="J105" s="10"/>
      <c r="K105" s="10"/>
      <c r="L105" s="55"/>
    </row>
    <row r="106" spans="2:12">
      <c r="B106" s="5"/>
      <c r="C106" s="103" t="s">
        <v>136</v>
      </c>
      <c r="D106" s="106">
        <v>1000</v>
      </c>
      <c r="E106" s="9"/>
      <c r="F106" s="24" t="s">
        <v>65</v>
      </c>
      <c r="G106" s="99">
        <v>1.1659999999999998E-2</v>
      </c>
      <c r="H106" s="76" t="b">
        <v>1</v>
      </c>
      <c r="I106" s="10"/>
      <c r="J106" s="10"/>
      <c r="K106" s="10"/>
      <c r="L106" s="55"/>
    </row>
    <row r="107" spans="2:12">
      <c r="B107" s="5"/>
      <c r="C107" s="103"/>
      <c r="D107" s="35"/>
      <c r="E107" s="9"/>
      <c r="F107" s="24" t="s">
        <v>66</v>
      </c>
      <c r="G107" s="99">
        <v>1.201E-2</v>
      </c>
      <c r="H107" s="76" t="b">
        <v>1</v>
      </c>
      <c r="I107" s="10"/>
      <c r="J107" s="10"/>
      <c r="K107" s="10"/>
      <c r="L107" s="55"/>
    </row>
    <row r="108" spans="2:12">
      <c r="B108" s="5"/>
      <c r="C108" s="103"/>
      <c r="D108" s="35"/>
      <c r="E108" s="9"/>
      <c r="F108" s="24" t="s">
        <v>67</v>
      </c>
      <c r="G108" s="99">
        <v>1.204E-2</v>
      </c>
      <c r="H108" s="76" t="b">
        <v>1</v>
      </c>
      <c r="I108" s="10"/>
      <c r="J108" s="10"/>
      <c r="K108" s="10"/>
      <c r="L108" s="55"/>
    </row>
    <row r="109" spans="2:12">
      <c r="B109" s="5"/>
      <c r="C109" s="103"/>
      <c r="D109" s="35"/>
      <c r="E109" s="9"/>
      <c r="F109" s="24" t="s">
        <v>68</v>
      </c>
      <c r="G109" s="99">
        <v>1.1859999999999999E-2</v>
      </c>
      <c r="H109" s="76" t="b">
        <v>1</v>
      </c>
      <c r="I109" s="10"/>
      <c r="J109" s="10"/>
      <c r="K109" s="10"/>
      <c r="L109" s="55"/>
    </row>
    <row r="110" spans="2:12">
      <c r="B110" s="5"/>
      <c r="C110" s="103"/>
      <c r="D110" s="35"/>
      <c r="E110" s="9"/>
      <c r="F110" s="24" t="s">
        <v>69</v>
      </c>
      <c r="G110" s="99">
        <v>1.1200000000000002E-2</v>
      </c>
      <c r="H110" s="76" t="b">
        <v>1</v>
      </c>
      <c r="I110" s="10"/>
      <c r="J110" s="10"/>
      <c r="K110" s="10"/>
      <c r="L110" s="55"/>
    </row>
    <row r="111" spans="2:12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3"/>
  </sheetPr>
  <dimension ref="B2:J82"/>
  <sheetViews>
    <sheetView showGridLines="0" workbookViewId="0"/>
  </sheetViews>
  <sheetFormatPr defaultRowHeight="1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>
      <c r="B2" s="56" t="s">
        <v>312</v>
      </c>
    </row>
    <row r="5" spans="2:10">
      <c r="B5" s="56" t="s">
        <v>310</v>
      </c>
      <c r="C5" s="56"/>
    </row>
    <row r="6" spans="2:10">
      <c r="B6" s="2"/>
      <c r="C6" s="3"/>
      <c r="D6" s="45"/>
      <c r="E6" s="46"/>
      <c r="F6" s="3"/>
      <c r="G6" s="3"/>
      <c r="H6" s="3"/>
      <c r="I6" s="3"/>
      <c r="J6" s="4"/>
    </row>
    <row r="7" spans="2:10">
      <c r="B7" s="5"/>
      <c r="C7" s="7"/>
      <c r="D7" s="64" t="s">
        <v>310</v>
      </c>
      <c r="E7" s="61" t="str">
        <f ca="1">IF(AND(isEUR6MLLoaded,NOW()),_xll.meCurveCalibrateBasis(TenorBasisCurve3M6M.CollectionName,TenorBasisCurve3M6M.StaticDataTable,TenorBasisCurve3M6M.IndexName,TenorBasisCurve3M6M.BuildProperties,TenorBasisSwap3M6M.Conventions,TenorBasisSwap3M6M.MarketData),"Error Building Tenor Basis Curve")</f>
        <v>EURYC 3M6MBasis Curve has been set (0.03100 sec)</v>
      </c>
      <c r="F7" s="62"/>
      <c r="G7" s="63"/>
      <c r="H7" s="7"/>
      <c r="I7" s="7"/>
      <c r="J7" s="8"/>
    </row>
    <row r="8" spans="2:10">
      <c r="B8" s="5"/>
      <c r="C8" s="7"/>
      <c r="D8" s="128" t="s">
        <v>299</v>
      </c>
      <c r="E8" s="129" t="b">
        <f ca="1">LEFT(E7,10)="EURYC 3M6M"</f>
        <v>1</v>
      </c>
      <c r="F8" s="7"/>
      <c r="G8" s="7"/>
      <c r="H8" s="7"/>
      <c r="I8" s="7"/>
      <c r="J8" s="8"/>
    </row>
    <row r="9" spans="2:10">
      <c r="B9" s="5"/>
      <c r="C9" s="7"/>
      <c r="D9" s="6"/>
      <c r="E9" s="60"/>
      <c r="F9" s="7"/>
      <c r="G9" s="7"/>
      <c r="H9" s="7"/>
      <c r="I9" s="7"/>
      <c r="J9" s="8"/>
    </row>
    <row r="10" spans="2:10">
      <c r="B10" s="5"/>
      <c r="C10" s="7"/>
      <c r="D10" s="6"/>
      <c r="E10" s="60"/>
      <c r="F10" s="7"/>
      <c r="G10" s="7"/>
      <c r="H10" s="7"/>
      <c r="I10" s="7"/>
      <c r="J10" s="8"/>
    </row>
    <row r="11" spans="2:10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>
      <c r="B12" s="5"/>
      <c r="C12" s="7"/>
      <c r="D12" s="27" t="s">
        <v>88</v>
      </c>
      <c r="E12" s="107" t="s">
        <v>80</v>
      </c>
      <c r="F12" s="7"/>
      <c r="G12" s="7"/>
      <c r="H12" s="7"/>
      <c r="I12" s="7"/>
      <c r="J12" s="8"/>
    </row>
    <row r="13" spans="2:10">
      <c r="B13" s="5"/>
      <c r="C13" s="7"/>
      <c r="D13" s="28" t="s">
        <v>87</v>
      </c>
      <c r="E13" s="108" t="s">
        <v>140</v>
      </c>
      <c r="F13" s="7"/>
      <c r="G13" s="7"/>
      <c r="H13" s="7"/>
      <c r="I13" s="7"/>
      <c r="J13" s="8"/>
    </row>
    <row r="14" spans="2:10">
      <c r="B14" s="5"/>
      <c r="C14" s="7"/>
      <c r="D14" s="59" t="s">
        <v>89</v>
      </c>
      <c r="E14" s="110" t="s">
        <v>141</v>
      </c>
      <c r="F14" s="7"/>
      <c r="G14" s="7"/>
      <c r="H14" s="7"/>
      <c r="I14" s="7"/>
      <c r="J14" s="8" t="s">
        <v>4</v>
      </c>
    </row>
    <row r="15" spans="2:10">
      <c r="B15" s="11"/>
      <c r="C15" s="12"/>
      <c r="D15" s="12"/>
      <c r="E15" s="12"/>
      <c r="F15" s="12"/>
      <c r="G15" s="12"/>
      <c r="H15" s="12"/>
      <c r="I15" s="12"/>
      <c r="J15" s="13"/>
    </row>
    <row r="18" spans="2:10">
      <c r="B18" s="56" t="s">
        <v>70</v>
      </c>
      <c r="C18" s="56"/>
    </row>
    <row r="19" spans="2:10">
      <c r="B19" s="2"/>
      <c r="C19" s="3"/>
      <c r="D19" s="45"/>
      <c r="E19" s="46"/>
      <c r="F19" s="3"/>
      <c r="G19" s="3"/>
      <c r="H19" s="3"/>
      <c r="I19" s="3"/>
      <c r="J19" s="4"/>
    </row>
    <row r="20" spans="2:10">
      <c r="B20" s="5"/>
      <c r="C20" s="7"/>
      <c r="D20" s="48" t="s">
        <v>70</v>
      </c>
      <c r="E20" s="47"/>
      <c r="F20" s="7"/>
      <c r="G20" s="50" t="s">
        <v>81</v>
      </c>
      <c r="H20" s="7"/>
      <c r="I20" s="7"/>
      <c r="J20" s="8"/>
    </row>
    <row r="21" spans="2:10">
      <c r="B21" s="5"/>
      <c r="C21" s="7"/>
      <c r="D21" s="27" t="s">
        <v>10</v>
      </c>
      <c r="E21" s="107">
        <v>42419</v>
      </c>
      <c r="F21" s="7"/>
      <c r="G21" s="14" t="s">
        <v>82</v>
      </c>
      <c r="H21" s="16"/>
      <c r="I21" s="7"/>
      <c r="J21" s="8"/>
    </row>
    <row r="22" spans="2:10">
      <c r="B22" s="5"/>
      <c r="C22" s="7"/>
      <c r="D22" s="28" t="s">
        <v>16</v>
      </c>
      <c r="E22" s="108" t="s">
        <v>17</v>
      </c>
      <c r="F22" s="7"/>
      <c r="G22" s="17" t="s">
        <v>83</v>
      </c>
      <c r="H22" s="18"/>
      <c r="I22" s="7"/>
      <c r="J22" s="8"/>
    </row>
    <row r="23" spans="2:10">
      <c r="B23" s="5"/>
      <c r="C23" s="7"/>
      <c r="D23" s="28" t="s">
        <v>351</v>
      </c>
      <c r="E23" s="111" t="s">
        <v>84</v>
      </c>
      <c r="F23" s="7"/>
      <c r="G23" s="17" t="s">
        <v>84</v>
      </c>
      <c r="H23" s="18"/>
      <c r="I23" s="7"/>
      <c r="J23" s="8"/>
    </row>
    <row r="24" spans="2:10">
      <c r="B24" s="5"/>
      <c r="C24" s="7"/>
      <c r="D24" s="28" t="s">
        <v>352</v>
      </c>
      <c r="E24" s="108" t="b">
        <v>0</v>
      </c>
      <c r="F24" s="7"/>
      <c r="G24" s="17" t="s">
        <v>85</v>
      </c>
      <c r="H24" s="18"/>
      <c r="I24" s="7"/>
      <c r="J24" s="8"/>
    </row>
    <row r="25" spans="2:10">
      <c r="B25" s="5"/>
      <c r="C25" s="7"/>
      <c r="D25" s="28"/>
      <c r="E25" s="108"/>
      <c r="F25" s="7"/>
      <c r="G25" s="17" t="s">
        <v>86</v>
      </c>
      <c r="H25" s="18"/>
      <c r="I25" s="7"/>
      <c r="J25" s="8"/>
    </row>
    <row r="26" spans="2:10">
      <c r="B26" s="5"/>
      <c r="C26" s="7"/>
      <c r="D26" s="28"/>
      <c r="E26" s="108"/>
      <c r="F26" s="7"/>
      <c r="G26" s="17"/>
      <c r="H26" s="18"/>
      <c r="I26" s="7"/>
      <c r="J26" s="8"/>
    </row>
    <row r="27" spans="2:10">
      <c r="B27" s="5"/>
      <c r="C27" s="7"/>
      <c r="D27" s="28"/>
      <c r="E27" s="108"/>
      <c r="F27" s="7"/>
      <c r="G27" s="17"/>
      <c r="H27" s="18"/>
      <c r="I27" s="7"/>
      <c r="J27" s="8"/>
    </row>
    <row r="28" spans="2:10">
      <c r="B28" s="5"/>
      <c r="C28" s="7"/>
      <c r="D28" s="29"/>
      <c r="E28" s="108"/>
      <c r="F28" s="7"/>
      <c r="G28" s="17"/>
      <c r="H28" s="18"/>
      <c r="I28" s="7"/>
      <c r="J28" s="8"/>
    </row>
    <row r="29" spans="2:10">
      <c r="B29" s="5"/>
      <c r="C29" s="7"/>
      <c r="D29" s="29"/>
      <c r="E29" s="108"/>
      <c r="F29" s="7"/>
      <c r="G29" s="17"/>
      <c r="H29" s="18"/>
      <c r="I29" s="7"/>
      <c r="J29" s="8"/>
    </row>
    <row r="30" spans="2:10">
      <c r="B30" s="5"/>
      <c r="C30" s="7"/>
      <c r="D30" s="29"/>
      <c r="E30" s="108"/>
      <c r="F30" s="7"/>
      <c r="G30" s="17"/>
      <c r="H30" s="18"/>
      <c r="I30" s="7"/>
      <c r="J30" s="8"/>
    </row>
    <row r="31" spans="2:10">
      <c r="B31" s="5"/>
      <c r="C31" s="7"/>
      <c r="D31" s="44"/>
      <c r="E31" s="110"/>
      <c r="F31" s="7"/>
      <c r="G31" s="21"/>
      <c r="H31" s="22"/>
      <c r="I31" s="7"/>
      <c r="J31" s="8"/>
    </row>
    <row r="32" spans="2:10">
      <c r="B32" s="11"/>
      <c r="C32" s="12"/>
      <c r="D32" s="12"/>
      <c r="E32" s="12"/>
      <c r="F32" s="12"/>
      <c r="G32" s="12"/>
      <c r="H32" s="12"/>
      <c r="I32" s="12"/>
      <c r="J32" s="13"/>
    </row>
    <row r="35" spans="2:10">
      <c r="B35" s="56" t="s">
        <v>142</v>
      </c>
      <c r="C35" s="56"/>
    </row>
    <row r="36" spans="2:10">
      <c r="B36" s="2"/>
      <c r="C36" s="3"/>
      <c r="D36" s="3"/>
      <c r="E36" s="3"/>
      <c r="F36" s="3"/>
      <c r="G36" s="3"/>
      <c r="H36" s="3"/>
      <c r="I36" s="3"/>
      <c r="J36" s="4"/>
    </row>
    <row r="37" spans="2:10">
      <c r="B37" s="5"/>
      <c r="C37" s="7"/>
      <c r="D37" s="49" t="s">
        <v>184</v>
      </c>
      <c r="E37" s="10"/>
      <c r="F37" s="10"/>
      <c r="G37" s="49" t="s">
        <v>187</v>
      </c>
      <c r="H37" s="10"/>
      <c r="I37" s="10"/>
      <c r="J37" s="55"/>
    </row>
    <row r="38" spans="2:10">
      <c r="B38" s="5"/>
      <c r="C38" s="122"/>
      <c r="D38" s="27" t="s">
        <v>143</v>
      </c>
      <c r="E38" s="34" t="s">
        <v>144</v>
      </c>
      <c r="F38" s="7"/>
      <c r="G38" s="78" t="s">
        <v>11</v>
      </c>
      <c r="H38" s="78" t="s">
        <v>12</v>
      </c>
      <c r="I38" s="10"/>
      <c r="J38" s="55"/>
    </row>
    <row r="39" spans="2:10">
      <c r="B39" s="5"/>
      <c r="C39" s="157" t="s">
        <v>267</v>
      </c>
      <c r="D39" s="112" t="s">
        <v>145</v>
      </c>
      <c r="E39" s="113" t="b">
        <v>0</v>
      </c>
      <c r="F39" s="9"/>
      <c r="G39" s="71" t="s">
        <v>183</v>
      </c>
      <c r="H39" s="75">
        <v>1.1300000000000001E-3</v>
      </c>
      <c r="I39" s="10"/>
      <c r="J39" s="55"/>
    </row>
    <row r="40" spans="2:10">
      <c r="B40" s="5"/>
      <c r="C40" s="158"/>
      <c r="D40" s="28" t="s">
        <v>146</v>
      </c>
      <c r="E40" s="35" t="s">
        <v>2</v>
      </c>
      <c r="F40" s="9"/>
      <c r="G40" s="72" t="s">
        <v>47</v>
      </c>
      <c r="H40" s="76">
        <v>1.1925E-3</v>
      </c>
      <c r="I40" s="10"/>
      <c r="J40" s="55"/>
    </row>
    <row r="41" spans="2:10">
      <c r="B41" s="5"/>
      <c r="C41" s="158"/>
      <c r="D41" s="28" t="s">
        <v>147</v>
      </c>
      <c r="E41" s="35" t="s">
        <v>148</v>
      </c>
      <c r="F41" s="9"/>
      <c r="G41" s="72" t="s">
        <v>43</v>
      </c>
      <c r="H41" s="76">
        <v>1.2425000000000001E-3</v>
      </c>
      <c r="I41" s="10"/>
      <c r="J41" s="55"/>
    </row>
    <row r="42" spans="2:10">
      <c r="B42" s="5"/>
      <c r="C42" s="158"/>
      <c r="D42" s="28" t="s">
        <v>149</v>
      </c>
      <c r="E42" s="68" t="s">
        <v>130</v>
      </c>
      <c r="F42" s="9"/>
      <c r="G42" s="72" t="s">
        <v>50</v>
      </c>
      <c r="H42" s="76">
        <v>1.2975E-3</v>
      </c>
      <c r="I42" s="10"/>
      <c r="J42" s="55"/>
    </row>
    <row r="43" spans="2:10">
      <c r="B43" s="5"/>
      <c r="C43" s="158"/>
      <c r="D43" s="28" t="s">
        <v>150</v>
      </c>
      <c r="E43" s="68" t="s">
        <v>22</v>
      </c>
      <c r="F43" s="9"/>
      <c r="G43" s="72" t="s">
        <v>52</v>
      </c>
      <c r="H43" s="76">
        <v>1.3324999999999999E-3</v>
      </c>
      <c r="I43" s="10"/>
      <c r="J43" s="55"/>
    </row>
    <row r="44" spans="2:10">
      <c r="B44" s="5"/>
      <c r="C44" s="158"/>
      <c r="D44" s="28" t="s">
        <v>151</v>
      </c>
      <c r="E44" s="35" t="s">
        <v>123</v>
      </c>
      <c r="F44" s="9"/>
      <c r="G44" s="72" t="s">
        <v>54</v>
      </c>
      <c r="H44" s="76">
        <v>1.3074999999999999E-3</v>
      </c>
      <c r="I44" s="10"/>
      <c r="J44" s="55"/>
    </row>
    <row r="45" spans="2:10">
      <c r="B45" s="5"/>
      <c r="C45" s="158"/>
      <c r="D45" s="28" t="s">
        <v>152</v>
      </c>
      <c r="E45" s="35" t="s">
        <v>9</v>
      </c>
      <c r="F45" s="9"/>
      <c r="G45" s="72" t="s">
        <v>56</v>
      </c>
      <c r="H45" s="76">
        <v>1.2725E-3</v>
      </c>
      <c r="I45" s="10"/>
      <c r="J45" s="55"/>
    </row>
    <row r="46" spans="2:10">
      <c r="B46" s="5"/>
      <c r="C46" s="158"/>
      <c r="D46" s="28" t="s">
        <v>153</v>
      </c>
      <c r="E46" s="35" t="s">
        <v>188</v>
      </c>
      <c r="F46" s="9"/>
      <c r="G46" s="72" t="s">
        <v>58</v>
      </c>
      <c r="H46" s="76">
        <v>1.2275000000000001E-3</v>
      </c>
      <c r="I46" s="10"/>
      <c r="J46" s="55"/>
    </row>
    <row r="47" spans="2:10">
      <c r="B47" s="5"/>
      <c r="C47" s="158"/>
      <c r="D47" s="28" t="s">
        <v>154</v>
      </c>
      <c r="E47" s="35" t="s">
        <v>104</v>
      </c>
      <c r="F47" s="9"/>
      <c r="G47" s="72" t="s">
        <v>60</v>
      </c>
      <c r="H47" s="76">
        <v>1.1675000000000001E-3</v>
      </c>
      <c r="I47" s="10"/>
      <c r="J47" s="55"/>
    </row>
    <row r="48" spans="2:10">
      <c r="B48" s="5"/>
      <c r="C48" s="158"/>
      <c r="D48" s="28" t="s">
        <v>155</v>
      </c>
      <c r="E48" s="35" t="s">
        <v>148</v>
      </c>
      <c r="F48" s="9"/>
      <c r="G48" s="72" t="s">
        <v>61</v>
      </c>
      <c r="H48" s="76">
        <v>1.1025E-3</v>
      </c>
      <c r="I48" s="10"/>
      <c r="J48" s="55"/>
    </row>
    <row r="49" spans="2:10">
      <c r="B49" s="5"/>
      <c r="C49" s="158"/>
      <c r="D49" s="28" t="s">
        <v>156</v>
      </c>
      <c r="E49" s="35" t="s">
        <v>2</v>
      </c>
      <c r="F49" s="9"/>
      <c r="G49" s="72" t="s">
        <v>62</v>
      </c>
      <c r="H49" s="76">
        <v>1.0425E-3</v>
      </c>
      <c r="I49" s="10"/>
      <c r="J49" s="55"/>
    </row>
    <row r="50" spans="2:10">
      <c r="B50" s="5"/>
      <c r="C50" s="158"/>
      <c r="D50" s="28" t="s">
        <v>157</v>
      </c>
      <c r="E50" s="35" t="s">
        <v>100</v>
      </c>
      <c r="F50" s="9"/>
      <c r="G50" s="72" t="s">
        <v>63</v>
      </c>
      <c r="H50" s="76">
        <v>9.9250000000000011E-4</v>
      </c>
      <c r="I50" s="10"/>
      <c r="J50" s="55"/>
    </row>
    <row r="51" spans="2:10">
      <c r="B51" s="5"/>
      <c r="C51" s="158"/>
      <c r="D51" s="28" t="s">
        <v>158</v>
      </c>
      <c r="E51" s="35" t="s">
        <v>2</v>
      </c>
      <c r="F51" s="9"/>
      <c r="G51" s="72" t="s">
        <v>64</v>
      </c>
      <c r="H51" s="76">
        <v>8.6249999999999999E-4</v>
      </c>
      <c r="I51" s="10"/>
      <c r="J51" s="55"/>
    </row>
    <row r="52" spans="2:10">
      <c r="B52" s="5"/>
      <c r="C52" s="158"/>
      <c r="D52" s="28" t="s">
        <v>159</v>
      </c>
      <c r="E52" s="35" t="s">
        <v>123</v>
      </c>
      <c r="F52" s="9"/>
      <c r="G52" s="72" t="s">
        <v>65</v>
      </c>
      <c r="H52" s="76">
        <v>6.8749999999999996E-4</v>
      </c>
      <c r="I52" s="10"/>
      <c r="J52" s="55"/>
    </row>
    <row r="53" spans="2:10">
      <c r="B53" s="5"/>
      <c r="C53" s="159"/>
      <c r="D53" s="114" t="s">
        <v>160</v>
      </c>
      <c r="E53" s="68" t="s">
        <v>22</v>
      </c>
      <c r="F53" s="9"/>
      <c r="G53" s="72" t="s">
        <v>66</v>
      </c>
      <c r="H53" s="76">
        <v>5.8250000000000001E-4</v>
      </c>
      <c r="I53" s="10"/>
      <c r="J53" s="55"/>
    </row>
    <row r="54" spans="2:10">
      <c r="B54" s="5"/>
      <c r="C54" s="160" t="s">
        <v>268</v>
      </c>
      <c r="D54" s="112" t="s">
        <v>161</v>
      </c>
      <c r="E54" s="113" t="s">
        <v>2</v>
      </c>
      <c r="F54" s="9"/>
      <c r="G54" s="72" t="s">
        <v>67</v>
      </c>
      <c r="H54" s="76">
        <v>5.1250000000000004E-4</v>
      </c>
      <c r="I54" s="10"/>
      <c r="J54" s="55"/>
    </row>
    <row r="55" spans="2:10">
      <c r="B55" s="5"/>
      <c r="C55" s="161"/>
      <c r="D55" s="28" t="s">
        <v>162</v>
      </c>
      <c r="E55" s="35" t="s">
        <v>148</v>
      </c>
      <c r="F55" s="9"/>
      <c r="G55" s="72"/>
      <c r="H55" s="76"/>
      <c r="I55" s="10"/>
      <c r="J55" s="55"/>
    </row>
    <row r="56" spans="2:10">
      <c r="B56" s="5"/>
      <c r="C56" s="161"/>
      <c r="D56" s="28" t="s">
        <v>163</v>
      </c>
      <c r="E56" s="68" t="s">
        <v>28</v>
      </c>
      <c r="F56" s="9"/>
      <c r="G56" s="72"/>
      <c r="H56" s="76"/>
      <c r="I56" s="10"/>
      <c r="J56" s="55"/>
    </row>
    <row r="57" spans="2:10">
      <c r="B57" s="5"/>
      <c r="C57" s="161"/>
      <c r="D57" s="28" t="s">
        <v>164</v>
      </c>
      <c r="E57" s="68" t="s">
        <v>22</v>
      </c>
      <c r="F57" s="9"/>
      <c r="G57" s="72"/>
      <c r="H57" s="76"/>
      <c r="I57" s="10"/>
      <c r="J57" s="55"/>
    </row>
    <row r="58" spans="2:10">
      <c r="B58" s="5"/>
      <c r="C58" s="161"/>
      <c r="D58" s="28" t="s">
        <v>165</v>
      </c>
      <c r="E58" s="35" t="s">
        <v>123</v>
      </c>
      <c r="F58" s="9"/>
      <c r="G58" s="72"/>
      <c r="H58" s="76"/>
      <c r="I58" s="10"/>
      <c r="J58" s="55"/>
    </row>
    <row r="59" spans="2:10">
      <c r="B59" s="5"/>
      <c r="C59" s="161"/>
      <c r="D59" s="28" t="s">
        <v>166</v>
      </c>
      <c r="E59" s="35" t="s">
        <v>9</v>
      </c>
      <c r="F59" s="9"/>
      <c r="G59" s="72"/>
      <c r="H59" s="76"/>
      <c r="I59" s="10"/>
      <c r="J59" s="55"/>
    </row>
    <row r="60" spans="2:10">
      <c r="B60" s="5"/>
      <c r="C60" s="161"/>
      <c r="D60" s="28" t="s">
        <v>167</v>
      </c>
      <c r="E60" s="35" t="s">
        <v>90</v>
      </c>
      <c r="F60" s="9"/>
      <c r="G60" s="72"/>
      <c r="H60" s="76"/>
      <c r="I60" s="10"/>
      <c r="J60" s="55"/>
    </row>
    <row r="61" spans="2:10">
      <c r="B61" s="5"/>
      <c r="C61" s="161"/>
      <c r="D61" s="28" t="s">
        <v>168</v>
      </c>
      <c r="E61" s="35" t="s">
        <v>169</v>
      </c>
      <c r="F61" s="9"/>
      <c r="G61" s="72"/>
      <c r="H61" s="76"/>
      <c r="I61" s="10"/>
      <c r="J61" s="55"/>
    </row>
    <row r="62" spans="2:10">
      <c r="B62" s="5"/>
      <c r="C62" s="161"/>
      <c r="D62" s="28" t="s">
        <v>170</v>
      </c>
      <c r="E62" s="35" t="s">
        <v>148</v>
      </c>
      <c r="F62" s="9"/>
      <c r="G62" s="72"/>
      <c r="H62" s="76"/>
      <c r="I62" s="10"/>
      <c r="J62" s="55"/>
    </row>
    <row r="63" spans="2:10">
      <c r="B63" s="5"/>
      <c r="C63" s="161"/>
      <c r="D63" s="28" t="s">
        <v>171</v>
      </c>
      <c r="E63" s="35" t="s">
        <v>2</v>
      </c>
      <c r="F63" s="9"/>
      <c r="G63" s="72"/>
      <c r="H63" s="76"/>
      <c r="I63" s="10"/>
      <c r="J63" s="55"/>
    </row>
    <row r="64" spans="2:10">
      <c r="B64" s="5"/>
      <c r="C64" s="161"/>
      <c r="D64" s="28" t="s">
        <v>172</v>
      </c>
      <c r="E64" s="35" t="s">
        <v>100</v>
      </c>
      <c r="F64" s="9"/>
      <c r="G64" s="72"/>
      <c r="H64" s="76"/>
      <c r="I64" s="10"/>
      <c r="J64" s="55"/>
    </row>
    <row r="65" spans="2:10">
      <c r="B65" s="5"/>
      <c r="C65" s="161"/>
      <c r="D65" s="28" t="s">
        <v>173</v>
      </c>
      <c r="E65" s="35" t="s">
        <v>2</v>
      </c>
      <c r="F65" s="9"/>
      <c r="G65" s="72"/>
      <c r="H65" s="76"/>
      <c r="I65" s="10"/>
      <c r="J65" s="55"/>
    </row>
    <row r="66" spans="2:10">
      <c r="B66" s="5"/>
      <c r="C66" s="161"/>
      <c r="D66" s="28" t="s">
        <v>174</v>
      </c>
      <c r="E66" s="35" t="s">
        <v>123</v>
      </c>
      <c r="F66" s="9"/>
      <c r="G66" s="72"/>
      <c r="H66" s="76"/>
      <c r="I66" s="10"/>
      <c r="J66" s="55"/>
    </row>
    <row r="67" spans="2:10">
      <c r="B67" s="5"/>
      <c r="C67" s="162"/>
      <c r="D67" s="114" t="s">
        <v>175</v>
      </c>
      <c r="E67" s="68" t="s">
        <v>22</v>
      </c>
      <c r="F67" s="9"/>
      <c r="G67" s="72"/>
      <c r="H67" s="76"/>
      <c r="I67" s="10"/>
      <c r="J67" s="55"/>
    </row>
    <row r="68" spans="2:10">
      <c r="B68" s="5"/>
      <c r="C68" s="163" t="str">
        <f>"Solving For :"&amp;CHAR(32)&amp;$E$68</f>
        <v>Solving For : Leg2Forecast</v>
      </c>
      <c r="D68" s="124" t="s">
        <v>176</v>
      </c>
      <c r="E68" s="123" t="s">
        <v>177</v>
      </c>
      <c r="F68" s="9"/>
      <c r="G68" s="72"/>
      <c r="H68" s="76"/>
      <c r="I68" s="10"/>
      <c r="J68" s="55"/>
    </row>
    <row r="69" spans="2:10">
      <c r="B69" s="5"/>
      <c r="C69" s="164"/>
      <c r="D69" s="28" t="s">
        <v>134</v>
      </c>
      <c r="E69" s="35" t="b">
        <v>1</v>
      </c>
      <c r="F69" s="9"/>
      <c r="G69" s="72"/>
      <c r="H69" s="76"/>
      <c r="I69" s="10"/>
      <c r="J69" s="55"/>
    </row>
    <row r="70" spans="2:10">
      <c r="B70" s="5"/>
      <c r="C70" s="164"/>
      <c r="D70" s="28" t="s">
        <v>178</v>
      </c>
      <c r="E70" s="111" t="s">
        <v>84</v>
      </c>
      <c r="F70" s="9"/>
      <c r="G70" s="72"/>
      <c r="H70" s="76"/>
      <c r="I70" s="10"/>
      <c r="J70" s="55"/>
    </row>
    <row r="71" spans="2:10">
      <c r="B71" s="5"/>
      <c r="C71" s="164"/>
      <c r="D71" s="28" t="s">
        <v>179</v>
      </c>
      <c r="E71" s="35" t="b">
        <v>1</v>
      </c>
      <c r="F71" s="9"/>
      <c r="G71" s="72"/>
      <c r="H71" s="76"/>
      <c r="I71" s="10"/>
      <c r="J71" s="55"/>
    </row>
    <row r="72" spans="2:10">
      <c r="B72" s="5"/>
      <c r="C72" s="164"/>
      <c r="D72" s="28" t="s">
        <v>180</v>
      </c>
      <c r="E72" s="35" t="b">
        <v>1</v>
      </c>
      <c r="F72" s="9"/>
      <c r="G72" s="72"/>
      <c r="H72" s="76"/>
      <c r="I72" s="10"/>
      <c r="J72" s="55"/>
    </row>
    <row r="73" spans="2:10">
      <c r="B73" s="5"/>
      <c r="C73" s="164"/>
      <c r="D73" s="28" t="s">
        <v>181</v>
      </c>
      <c r="E73" s="35" t="s">
        <v>169</v>
      </c>
      <c r="F73" s="9"/>
      <c r="G73" s="72"/>
      <c r="H73" s="76"/>
      <c r="I73" s="10"/>
      <c r="J73" s="55"/>
    </row>
    <row r="74" spans="2:10">
      <c r="B74" s="5"/>
      <c r="C74" s="164"/>
      <c r="D74" s="28" t="s">
        <v>182</v>
      </c>
      <c r="E74" s="35" t="b">
        <v>0</v>
      </c>
      <c r="F74" s="9"/>
      <c r="G74" s="72"/>
      <c r="H74" s="76"/>
      <c r="I74" s="10"/>
      <c r="J74" s="55"/>
    </row>
    <row r="75" spans="2:10">
      <c r="B75" s="5"/>
      <c r="C75" s="164"/>
      <c r="D75" s="28" t="s">
        <v>135</v>
      </c>
      <c r="E75" s="38">
        <v>1.0000000000000001E-9</v>
      </c>
      <c r="F75" s="9"/>
      <c r="G75" s="72"/>
      <c r="H75" s="76"/>
      <c r="I75" s="10"/>
      <c r="J75" s="55"/>
    </row>
    <row r="76" spans="2:10">
      <c r="B76" s="5"/>
      <c r="C76" s="164"/>
      <c r="D76" s="28" t="s">
        <v>136</v>
      </c>
      <c r="E76" s="106">
        <v>1000</v>
      </c>
      <c r="F76" s="9"/>
      <c r="G76" s="72"/>
      <c r="H76" s="76"/>
      <c r="I76" s="10"/>
      <c r="J76" s="55"/>
    </row>
    <row r="77" spans="2:10">
      <c r="B77" s="5"/>
      <c r="C77" s="164"/>
      <c r="D77" s="28"/>
      <c r="E77" s="35"/>
      <c r="F77" s="9"/>
      <c r="G77" s="72"/>
      <c r="H77" s="76"/>
      <c r="I77" s="10"/>
      <c r="J77" s="55"/>
    </row>
    <row r="78" spans="2:10">
      <c r="B78" s="5"/>
      <c r="C78" s="164"/>
      <c r="D78" s="28"/>
      <c r="E78" s="35"/>
      <c r="F78" s="9"/>
      <c r="G78" s="72"/>
      <c r="H78" s="76"/>
      <c r="I78" s="10"/>
      <c r="J78" s="55"/>
    </row>
    <row r="79" spans="2:10">
      <c r="B79" s="5"/>
      <c r="C79" s="164"/>
      <c r="D79" s="28"/>
      <c r="E79" s="35"/>
      <c r="F79" s="9"/>
      <c r="G79" s="72"/>
      <c r="H79" s="76"/>
      <c r="I79" s="10"/>
      <c r="J79" s="55"/>
    </row>
    <row r="80" spans="2:10">
      <c r="B80" s="5"/>
      <c r="C80" s="165"/>
      <c r="D80" s="33"/>
      <c r="E80" s="40"/>
      <c r="F80" s="9"/>
      <c r="G80" s="73"/>
      <c r="H80" s="77"/>
      <c r="I80" s="10"/>
      <c r="J80" s="55"/>
    </row>
    <row r="81" spans="2:10">
      <c r="B81" s="5"/>
      <c r="C81" s="7"/>
      <c r="D81" s="9"/>
      <c r="E81" s="9"/>
      <c r="F81" s="9"/>
      <c r="G81" s="10"/>
      <c r="H81" s="10"/>
      <c r="I81" s="10"/>
      <c r="J81" s="55"/>
    </row>
    <row r="82" spans="2:10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disablePrompts="1" count="3">
    <dataValidation type="list" allowBlank="1" showInputMessage="1" showErrorMessage="1" sqref="E70 E2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42 E56">
      <formula1>"Annual,Semi-Annual,Quarterly,Monthly"</formula1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3"/>
  </sheetPr>
  <dimension ref="A1:I76"/>
  <sheetViews>
    <sheetView showGridLines="0" workbookViewId="0"/>
  </sheetViews>
  <sheetFormatPr defaultRowHeight="15"/>
  <cols>
    <col min="2" max="2" width="2.7109375" customWidth="1"/>
    <col min="3" max="3" width="11" customWidth="1"/>
    <col min="4" max="4" width="30.7109375" customWidth="1"/>
    <col min="5" max="5" width="35.7109375" customWidth="1"/>
    <col min="6" max="6" width="9.140625" customWidth="1"/>
    <col min="7" max="8" width="20.7109375" customWidth="1"/>
    <col min="9" max="9" width="2.7109375" customWidth="1"/>
  </cols>
  <sheetData>
    <row r="1" spans="1:9">
      <c r="A1" s="125"/>
    </row>
    <row r="2" spans="1:9">
      <c r="B2" s="56" t="s">
        <v>313</v>
      </c>
    </row>
    <row r="5" spans="1:9">
      <c r="B5" s="56" t="s">
        <v>310</v>
      </c>
      <c r="C5" s="56"/>
    </row>
    <row r="6" spans="1:9">
      <c r="B6" s="2"/>
      <c r="C6" s="3"/>
      <c r="D6" s="45"/>
      <c r="E6" s="46"/>
      <c r="F6" s="3"/>
      <c r="G6" s="3"/>
      <c r="H6" s="3"/>
      <c r="I6" s="4"/>
    </row>
    <row r="7" spans="1:9">
      <c r="B7" s="5"/>
      <c r="C7" s="7"/>
      <c r="D7" s="64" t="s">
        <v>310</v>
      </c>
      <c r="E7" s="61" t="str">
        <f ca="1">IF(AND(isEUR3MLLoaded,NOW()),_xll.meCurveCalibrateBasis(CurveCollection,StaticDataTable,IndexName,CurveBuildProperties,XccyBasisSwapConventions,XccyBasisMarketData),"Error Building Xccy Basis Curve")</f>
        <v>EURYC XccyBasis Curve has been set (0.00300 sec)</v>
      </c>
      <c r="F7" s="62"/>
      <c r="G7" s="63"/>
      <c r="H7" s="7"/>
      <c r="I7" s="8"/>
    </row>
    <row r="8" spans="1:9">
      <c r="B8" s="5"/>
      <c r="C8" s="7"/>
      <c r="D8" s="128" t="s">
        <v>299</v>
      </c>
      <c r="E8" s="129" t="b">
        <f ca="1">LEFT(E7,10)="EURYC Xccy"</f>
        <v>1</v>
      </c>
      <c r="F8" s="7"/>
      <c r="G8" s="7"/>
      <c r="H8" s="7"/>
      <c r="I8" s="8"/>
    </row>
    <row r="9" spans="1:9">
      <c r="B9" s="5"/>
      <c r="C9" s="7"/>
      <c r="D9" s="6"/>
      <c r="E9" s="60"/>
      <c r="F9" s="7"/>
      <c r="G9" s="7"/>
      <c r="H9" s="7"/>
      <c r="I9" s="8"/>
    </row>
    <row r="10" spans="1:9">
      <c r="B10" s="5"/>
      <c r="C10" s="7"/>
      <c r="D10" s="48" t="s">
        <v>0</v>
      </c>
      <c r="E10" s="57"/>
      <c r="F10" s="7"/>
      <c r="G10" s="7"/>
      <c r="H10" s="7"/>
      <c r="I10" s="8"/>
    </row>
    <row r="11" spans="1:9">
      <c r="B11" s="5"/>
      <c r="C11" s="7"/>
      <c r="D11" s="27" t="s">
        <v>88</v>
      </c>
      <c r="E11" s="107" t="s">
        <v>80</v>
      </c>
      <c r="F11" s="7"/>
      <c r="G11" s="7"/>
      <c r="H11" s="7"/>
      <c r="I11" s="8"/>
    </row>
    <row r="12" spans="1:9">
      <c r="B12" s="5"/>
      <c r="C12" s="7"/>
      <c r="D12" s="28" t="s">
        <v>87</v>
      </c>
      <c r="E12" s="108" t="s">
        <v>191</v>
      </c>
      <c r="F12" s="7"/>
      <c r="G12" s="7"/>
      <c r="H12" s="7"/>
      <c r="I12" s="8"/>
    </row>
    <row r="13" spans="1:9">
      <c r="B13" s="5"/>
      <c r="C13" s="7"/>
      <c r="D13" s="59" t="s">
        <v>89</v>
      </c>
      <c r="E13" s="110" t="s">
        <v>192</v>
      </c>
      <c r="F13" s="7"/>
      <c r="G13" s="7"/>
      <c r="H13" s="7"/>
      <c r="I13" s="8" t="s">
        <v>4</v>
      </c>
    </row>
    <row r="14" spans="1:9">
      <c r="B14" s="11"/>
      <c r="C14" s="12"/>
      <c r="D14" s="12"/>
      <c r="E14" s="12"/>
      <c r="F14" s="12"/>
      <c r="G14" s="12"/>
      <c r="H14" s="12"/>
      <c r="I14" s="13"/>
    </row>
    <row r="17" spans="2:9">
      <c r="B17" s="56" t="s">
        <v>70</v>
      </c>
      <c r="C17" s="56"/>
    </row>
    <row r="18" spans="2:9">
      <c r="B18" s="2"/>
      <c r="C18" s="3"/>
      <c r="D18" s="45"/>
      <c r="E18" s="46"/>
      <c r="F18" s="3"/>
      <c r="G18" s="3"/>
      <c r="H18" s="3"/>
      <c r="I18" s="4"/>
    </row>
    <row r="19" spans="2:9">
      <c r="B19" s="5"/>
      <c r="C19" s="7"/>
      <c r="D19" s="48" t="s">
        <v>70</v>
      </c>
      <c r="E19" s="47"/>
      <c r="F19" s="7"/>
      <c r="G19" s="50" t="s">
        <v>81</v>
      </c>
      <c r="H19" s="7"/>
      <c r="I19" s="8"/>
    </row>
    <row r="20" spans="2:9">
      <c r="B20" s="5"/>
      <c r="C20" s="7"/>
      <c r="D20" s="27" t="s">
        <v>10</v>
      </c>
      <c r="E20" s="107">
        <v>42419</v>
      </c>
      <c r="F20" s="7"/>
      <c r="G20" s="14" t="s">
        <v>82</v>
      </c>
      <c r="H20" s="16"/>
      <c r="I20" s="8"/>
    </row>
    <row r="21" spans="2:9">
      <c r="B21" s="5"/>
      <c r="C21" s="7"/>
      <c r="D21" s="28" t="s">
        <v>16</v>
      </c>
      <c r="E21" s="108" t="s">
        <v>17</v>
      </c>
      <c r="F21" s="7"/>
      <c r="G21" s="17" t="s">
        <v>83</v>
      </c>
      <c r="H21" s="18"/>
      <c r="I21" s="8"/>
    </row>
    <row r="22" spans="2:9">
      <c r="B22" s="5"/>
      <c r="C22" s="7"/>
      <c r="D22" s="28" t="s">
        <v>351</v>
      </c>
      <c r="E22" s="111" t="s">
        <v>84</v>
      </c>
      <c r="F22" s="7"/>
      <c r="G22" s="17" t="s">
        <v>84</v>
      </c>
      <c r="H22" s="18"/>
      <c r="I22" s="8"/>
    </row>
    <row r="23" spans="2:9">
      <c r="B23" s="5"/>
      <c r="C23" s="7"/>
      <c r="D23" s="28" t="s">
        <v>350</v>
      </c>
      <c r="E23" s="108" t="b">
        <v>1</v>
      </c>
      <c r="F23" s="7"/>
      <c r="G23" s="17" t="s">
        <v>85</v>
      </c>
      <c r="H23" s="18"/>
      <c r="I23" s="8"/>
    </row>
    <row r="24" spans="2:9">
      <c r="B24" s="5"/>
      <c r="C24" s="7"/>
      <c r="D24" s="28"/>
      <c r="E24" s="108"/>
      <c r="F24" s="7"/>
      <c r="G24" s="17" t="s">
        <v>86</v>
      </c>
      <c r="H24" s="18"/>
      <c r="I24" s="8"/>
    </row>
    <row r="25" spans="2:9">
      <c r="B25" s="5"/>
      <c r="C25" s="7"/>
      <c r="D25" s="44"/>
      <c r="E25" s="110"/>
      <c r="F25" s="7"/>
      <c r="G25" s="21"/>
      <c r="H25" s="22"/>
      <c r="I25" s="8"/>
    </row>
    <row r="26" spans="2:9">
      <c r="B26" s="11"/>
      <c r="C26" s="12"/>
      <c r="D26" s="12"/>
      <c r="E26" s="12"/>
      <c r="F26" s="12"/>
      <c r="G26" s="12"/>
      <c r="H26" s="12"/>
      <c r="I26" s="13"/>
    </row>
    <row r="29" spans="2:9">
      <c r="B29" s="56" t="s">
        <v>189</v>
      </c>
      <c r="C29" s="56"/>
    </row>
    <row r="30" spans="2:9">
      <c r="B30" s="2"/>
      <c r="C30" s="3"/>
      <c r="D30" s="3"/>
      <c r="E30" s="3"/>
      <c r="F30" s="3"/>
      <c r="G30" s="3"/>
      <c r="H30" s="3"/>
      <c r="I30" s="4"/>
    </row>
    <row r="31" spans="2:9">
      <c r="B31" s="5"/>
      <c r="C31" s="7"/>
      <c r="D31" s="49" t="s">
        <v>265</v>
      </c>
      <c r="E31" s="10"/>
      <c r="F31" s="10"/>
      <c r="G31" s="49" t="s">
        <v>190</v>
      </c>
      <c r="H31" s="10"/>
      <c r="I31" s="55"/>
    </row>
    <row r="32" spans="2:9">
      <c r="B32" s="5"/>
      <c r="C32" s="122"/>
      <c r="D32" s="117" t="s">
        <v>143</v>
      </c>
      <c r="E32" s="119" t="s">
        <v>193</v>
      </c>
      <c r="F32" s="7"/>
      <c r="G32" s="78" t="s">
        <v>11</v>
      </c>
      <c r="H32" s="78" t="s">
        <v>12</v>
      </c>
      <c r="I32" s="55"/>
    </row>
    <row r="33" spans="2:9" ht="15" customHeight="1">
      <c r="B33" s="5"/>
      <c r="C33" s="160" t="s">
        <v>269</v>
      </c>
      <c r="D33" s="118" t="s">
        <v>194</v>
      </c>
      <c r="E33" s="111" t="s">
        <v>84</v>
      </c>
      <c r="F33" s="9"/>
      <c r="G33" s="71" t="s">
        <v>183</v>
      </c>
      <c r="H33" s="75">
        <v>1.1300000000000001E-3</v>
      </c>
      <c r="I33" s="55"/>
    </row>
    <row r="34" spans="2:9">
      <c r="B34" s="5"/>
      <c r="C34" s="166"/>
      <c r="D34" s="29" t="s">
        <v>195</v>
      </c>
      <c r="E34" s="121" t="b">
        <v>1</v>
      </c>
      <c r="F34" s="9"/>
      <c r="G34" s="72" t="s">
        <v>47</v>
      </c>
      <c r="H34" s="76">
        <v>1.1925E-3</v>
      </c>
      <c r="I34" s="55"/>
    </row>
    <row r="35" spans="2:9">
      <c r="B35" s="5"/>
      <c r="C35" s="166"/>
      <c r="D35" s="29" t="s">
        <v>196</v>
      </c>
      <c r="E35" s="108" t="s">
        <v>229</v>
      </c>
      <c r="F35" s="9"/>
      <c r="G35" s="72" t="s">
        <v>43</v>
      </c>
      <c r="H35" s="76">
        <v>1.2425000000000001E-3</v>
      </c>
      <c r="I35" s="55"/>
    </row>
    <row r="36" spans="2:9">
      <c r="B36" s="5"/>
      <c r="C36" s="166"/>
      <c r="D36" s="29" t="s">
        <v>197</v>
      </c>
      <c r="E36" s="108" t="s">
        <v>148</v>
      </c>
      <c r="F36" s="9"/>
      <c r="G36" s="72" t="s">
        <v>50</v>
      </c>
      <c r="H36" s="76">
        <v>1.2975E-3</v>
      </c>
      <c r="I36" s="55"/>
    </row>
    <row r="37" spans="2:9">
      <c r="B37" s="5"/>
      <c r="C37" s="166"/>
      <c r="D37" s="29" t="s">
        <v>198</v>
      </c>
      <c r="E37" s="108" t="s">
        <v>28</v>
      </c>
      <c r="F37" s="9"/>
      <c r="G37" s="72" t="s">
        <v>52</v>
      </c>
      <c r="H37" s="76">
        <v>1.3324999999999999E-3</v>
      </c>
      <c r="I37" s="55"/>
    </row>
    <row r="38" spans="2:9">
      <c r="B38" s="5"/>
      <c r="C38" s="166"/>
      <c r="D38" s="29" t="s">
        <v>199</v>
      </c>
      <c r="E38" s="68" t="s">
        <v>22</v>
      </c>
      <c r="F38" s="9"/>
      <c r="G38" s="72" t="s">
        <v>54</v>
      </c>
      <c r="H38" s="76">
        <v>1.3074999999999999E-3</v>
      </c>
      <c r="I38" s="55"/>
    </row>
    <row r="39" spans="2:9">
      <c r="B39" s="5"/>
      <c r="C39" s="166"/>
      <c r="D39" s="29" t="s">
        <v>200</v>
      </c>
      <c r="E39" s="108" t="s">
        <v>30</v>
      </c>
      <c r="F39" s="9"/>
      <c r="G39" s="72" t="s">
        <v>56</v>
      </c>
      <c r="H39" s="76">
        <v>1.2725E-3</v>
      </c>
      <c r="I39" s="55"/>
    </row>
    <row r="40" spans="2:9">
      <c r="B40" s="5"/>
      <c r="C40" s="166"/>
      <c r="D40" s="29" t="s">
        <v>201</v>
      </c>
      <c r="E40" s="108" t="s">
        <v>231</v>
      </c>
      <c r="F40" s="9"/>
      <c r="G40" s="72" t="s">
        <v>58</v>
      </c>
      <c r="H40" s="76">
        <v>1.2275000000000001E-3</v>
      </c>
      <c r="I40" s="55"/>
    </row>
    <row r="41" spans="2:9">
      <c r="B41" s="5"/>
      <c r="C41" s="166"/>
      <c r="D41" s="29" t="s">
        <v>202</v>
      </c>
      <c r="E41" s="108" t="s">
        <v>232</v>
      </c>
      <c r="F41" s="9"/>
      <c r="G41" s="72" t="s">
        <v>60</v>
      </c>
      <c r="H41" s="76">
        <v>1.1675000000000001E-3</v>
      </c>
      <c r="I41" s="55"/>
    </row>
    <row r="42" spans="2:9">
      <c r="B42" s="5"/>
      <c r="C42" s="166"/>
      <c r="D42" s="29" t="s">
        <v>203</v>
      </c>
      <c r="E42" s="108" t="s">
        <v>169</v>
      </c>
      <c r="F42" s="9"/>
      <c r="G42" s="72" t="s">
        <v>61</v>
      </c>
      <c r="H42" s="76">
        <v>1.1025E-3</v>
      </c>
      <c r="I42" s="55"/>
    </row>
    <row r="43" spans="2:9">
      <c r="B43" s="5"/>
      <c r="C43" s="166"/>
      <c r="D43" s="29" t="s">
        <v>204</v>
      </c>
      <c r="E43" s="108" t="s">
        <v>148</v>
      </c>
      <c r="F43" s="9"/>
      <c r="G43" s="72" t="s">
        <v>62</v>
      </c>
      <c r="H43" s="76">
        <v>1.0425E-3</v>
      </c>
      <c r="I43" s="55"/>
    </row>
    <row r="44" spans="2:9">
      <c r="B44" s="5"/>
      <c r="C44" s="166"/>
      <c r="D44" s="29" t="s">
        <v>205</v>
      </c>
      <c r="E44" s="108" t="s">
        <v>2</v>
      </c>
      <c r="F44" s="9"/>
      <c r="G44" s="72" t="s">
        <v>63</v>
      </c>
      <c r="H44" s="76">
        <v>9.9250000000000011E-4</v>
      </c>
      <c r="I44" s="55"/>
    </row>
    <row r="45" spans="2:9">
      <c r="B45" s="5"/>
      <c r="C45" s="166"/>
      <c r="D45" s="29" t="s">
        <v>206</v>
      </c>
      <c r="E45" s="108" t="s">
        <v>100</v>
      </c>
      <c r="F45" s="9"/>
      <c r="G45" s="72" t="s">
        <v>64</v>
      </c>
      <c r="H45" s="76">
        <v>8.6249999999999999E-4</v>
      </c>
      <c r="I45" s="55"/>
    </row>
    <row r="46" spans="2:9">
      <c r="B46" s="5"/>
      <c r="C46" s="166"/>
      <c r="D46" s="29" t="s">
        <v>207</v>
      </c>
      <c r="E46" s="108" t="s">
        <v>230</v>
      </c>
      <c r="F46" s="9"/>
      <c r="G46" s="72" t="s">
        <v>65</v>
      </c>
      <c r="H46" s="76">
        <v>6.8749999999999996E-4</v>
      </c>
      <c r="I46" s="55"/>
    </row>
    <row r="47" spans="2:9">
      <c r="B47" s="5"/>
      <c r="C47" s="166"/>
      <c r="D47" s="29" t="s">
        <v>208</v>
      </c>
      <c r="E47" s="108">
        <v>2</v>
      </c>
      <c r="F47" s="9"/>
      <c r="G47" s="72" t="s">
        <v>66</v>
      </c>
      <c r="H47" s="76">
        <v>5.8250000000000001E-4</v>
      </c>
      <c r="I47" s="55"/>
    </row>
    <row r="48" spans="2:9">
      <c r="B48" s="5"/>
      <c r="C48" s="167"/>
      <c r="D48" s="29" t="s">
        <v>209</v>
      </c>
      <c r="E48" s="68" t="s">
        <v>22</v>
      </c>
      <c r="F48" s="9"/>
      <c r="G48" s="72" t="s">
        <v>67</v>
      </c>
      <c r="H48" s="76">
        <v>5.1250000000000004E-4</v>
      </c>
      <c r="I48" s="55"/>
    </row>
    <row r="49" spans="2:9">
      <c r="B49" s="5"/>
      <c r="C49" s="163" t="s">
        <v>267</v>
      </c>
      <c r="D49" s="118" t="s">
        <v>210</v>
      </c>
      <c r="E49" s="120" t="s">
        <v>229</v>
      </c>
      <c r="F49" s="9"/>
      <c r="G49" s="72"/>
      <c r="H49" s="76"/>
      <c r="I49" s="55"/>
    </row>
    <row r="50" spans="2:9">
      <c r="B50" s="5"/>
      <c r="C50" s="168"/>
      <c r="D50" s="29" t="s">
        <v>211</v>
      </c>
      <c r="E50" s="108" t="s">
        <v>148</v>
      </c>
      <c r="F50" s="9"/>
      <c r="G50" s="72"/>
      <c r="H50" s="76"/>
      <c r="I50" s="55"/>
    </row>
    <row r="51" spans="2:9">
      <c r="B51" s="5"/>
      <c r="C51" s="168"/>
      <c r="D51" s="29" t="s">
        <v>212</v>
      </c>
      <c r="E51" s="108" t="s">
        <v>28</v>
      </c>
      <c r="F51" s="9"/>
      <c r="G51" s="72"/>
      <c r="H51" s="76"/>
      <c r="I51" s="55"/>
    </row>
    <row r="52" spans="2:9">
      <c r="B52" s="5"/>
      <c r="C52" s="168"/>
      <c r="D52" s="29" t="s">
        <v>213</v>
      </c>
      <c r="E52" s="68" t="s">
        <v>22</v>
      </c>
      <c r="F52" s="9"/>
      <c r="G52" s="72"/>
      <c r="H52" s="76"/>
      <c r="I52" s="55"/>
    </row>
    <row r="53" spans="2:9">
      <c r="B53" s="5"/>
      <c r="C53" s="168"/>
      <c r="D53" s="29" t="s">
        <v>214</v>
      </c>
      <c r="E53" s="108">
        <v>2</v>
      </c>
      <c r="F53" s="9"/>
      <c r="G53" s="72"/>
      <c r="H53" s="76"/>
      <c r="I53" s="55"/>
    </row>
    <row r="54" spans="2:9">
      <c r="B54" s="5"/>
      <c r="C54" s="168"/>
      <c r="D54" s="29" t="s">
        <v>215</v>
      </c>
      <c r="E54" s="108" t="s">
        <v>216</v>
      </c>
      <c r="F54" s="9"/>
      <c r="G54" s="72"/>
      <c r="H54" s="76"/>
      <c r="I54" s="55"/>
    </row>
    <row r="55" spans="2:9">
      <c r="B55" s="5"/>
      <c r="C55" s="168"/>
      <c r="D55" s="29" t="s">
        <v>217</v>
      </c>
      <c r="E55" s="108" t="s">
        <v>233</v>
      </c>
      <c r="F55" s="9"/>
      <c r="G55" s="72"/>
      <c r="H55" s="76"/>
      <c r="I55" s="55"/>
    </row>
    <row r="56" spans="2:9">
      <c r="B56" s="5"/>
      <c r="C56" s="168"/>
      <c r="D56" s="29" t="s">
        <v>218</v>
      </c>
      <c r="E56" s="108" t="s">
        <v>169</v>
      </c>
      <c r="F56" s="9"/>
      <c r="G56" s="72"/>
      <c r="H56" s="76"/>
      <c r="I56" s="55"/>
    </row>
    <row r="57" spans="2:9">
      <c r="B57" s="5"/>
      <c r="C57" s="168"/>
      <c r="D57" s="29" t="s">
        <v>219</v>
      </c>
      <c r="E57" s="108" t="s">
        <v>148</v>
      </c>
      <c r="F57" s="9"/>
      <c r="G57" s="72"/>
      <c r="H57" s="76"/>
      <c r="I57" s="55"/>
    </row>
    <row r="58" spans="2:9">
      <c r="B58" s="5"/>
      <c r="C58" s="168"/>
      <c r="D58" s="29" t="s">
        <v>220</v>
      </c>
      <c r="E58" s="108" t="s">
        <v>230</v>
      </c>
      <c r="F58" s="9"/>
      <c r="G58" s="72"/>
      <c r="H58" s="76"/>
      <c r="I58" s="55"/>
    </row>
    <row r="59" spans="2:9">
      <c r="B59" s="5"/>
      <c r="C59" s="168"/>
      <c r="D59" s="29" t="s">
        <v>221</v>
      </c>
      <c r="E59" s="108" t="s">
        <v>100</v>
      </c>
      <c r="F59" s="9"/>
      <c r="G59" s="72"/>
      <c r="H59" s="76"/>
      <c r="I59" s="55"/>
    </row>
    <row r="60" spans="2:9">
      <c r="B60" s="5"/>
      <c r="C60" s="168"/>
      <c r="D60" s="29" t="s">
        <v>222</v>
      </c>
      <c r="E60" s="108" t="s">
        <v>230</v>
      </c>
      <c r="F60" s="9"/>
      <c r="G60" s="72"/>
      <c r="H60" s="76"/>
      <c r="I60" s="55"/>
    </row>
    <row r="61" spans="2:9">
      <c r="B61" s="5"/>
      <c r="C61" s="168"/>
      <c r="D61" s="29" t="s">
        <v>223</v>
      </c>
      <c r="E61" s="108" t="s">
        <v>123</v>
      </c>
      <c r="F61" s="9"/>
      <c r="G61" s="72"/>
      <c r="H61" s="76"/>
      <c r="I61" s="55"/>
    </row>
    <row r="62" spans="2:9">
      <c r="B62" s="5"/>
      <c r="C62" s="169"/>
      <c r="D62" s="29" t="s">
        <v>224</v>
      </c>
      <c r="E62" s="68" t="s">
        <v>22</v>
      </c>
      <c r="F62" s="9"/>
      <c r="G62" s="72"/>
      <c r="H62" s="76"/>
      <c r="I62" s="55"/>
    </row>
    <row r="63" spans="2:9">
      <c r="B63" s="5"/>
      <c r="C63" s="163" t="str">
        <f>"Solving For : "&amp;CHAR(32)&amp;$E$63</f>
        <v>Solving For :  Leg1Discount</v>
      </c>
      <c r="D63" s="118" t="s">
        <v>225</v>
      </c>
      <c r="E63" s="123" t="s">
        <v>226</v>
      </c>
      <c r="F63" s="9"/>
      <c r="G63" s="72"/>
      <c r="H63" s="76"/>
      <c r="I63" s="55"/>
    </row>
    <row r="64" spans="2:9">
      <c r="B64" s="5"/>
      <c r="C64" s="170"/>
      <c r="D64" s="29" t="s">
        <v>134</v>
      </c>
      <c r="E64" s="108" t="b">
        <v>1</v>
      </c>
      <c r="F64" s="9"/>
      <c r="G64" s="72"/>
      <c r="H64" s="76"/>
      <c r="I64" s="55"/>
    </row>
    <row r="65" spans="2:9">
      <c r="B65" s="5"/>
      <c r="C65" s="170"/>
      <c r="D65" s="29" t="s">
        <v>179</v>
      </c>
      <c r="E65" s="108" t="b">
        <v>1</v>
      </c>
      <c r="F65" s="9"/>
      <c r="G65" s="72"/>
      <c r="H65" s="76"/>
      <c r="I65" s="55"/>
    </row>
    <row r="66" spans="2:9">
      <c r="B66" s="5"/>
      <c r="C66" s="170"/>
      <c r="D66" s="29" t="s">
        <v>178</v>
      </c>
      <c r="E66" s="111" t="s">
        <v>84</v>
      </c>
      <c r="F66" s="9"/>
      <c r="G66" s="72"/>
      <c r="H66" s="76"/>
      <c r="I66" s="55"/>
    </row>
    <row r="67" spans="2:9">
      <c r="B67" s="5"/>
      <c r="C67" s="170"/>
      <c r="D67" s="29" t="s">
        <v>182</v>
      </c>
      <c r="E67" s="108" t="s">
        <v>227</v>
      </c>
      <c r="F67" s="9"/>
      <c r="G67" s="72"/>
      <c r="H67" s="76"/>
      <c r="I67" s="55"/>
    </row>
    <row r="68" spans="2:9">
      <c r="B68" s="5"/>
      <c r="C68" s="170"/>
      <c r="D68" s="29" t="s">
        <v>181</v>
      </c>
      <c r="E68" s="108" t="s">
        <v>169</v>
      </c>
      <c r="F68" s="9"/>
      <c r="G68" s="72"/>
      <c r="H68" s="76"/>
      <c r="I68" s="55"/>
    </row>
    <row r="69" spans="2:9">
      <c r="B69" s="5"/>
      <c r="C69" s="170"/>
      <c r="D69" s="28" t="s">
        <v>135</v>
      </c>
      <c r="E69" s="38">
        <v>1.0000000000000001E-9</v>
      </c>
      <c r="F69" s="9"/>
      <c r="G69" s="72"/>
      <c r="H69" s="76"/>
      <c r="I69" s="55"/>
    </row>
    <row r="70" spans="2:9">
      <c r="B70" s="5"/>
      <c r="C70" s="170"/>
      <c r="D70" s="28" t="s">
        <v>136</v>
      </c>
      <c r="E70" s="106">
        <v>1000</v>
      </c>
      <c r="F70" s="9"/>
      <c r="G70" s="72"/>
      <c r="H70" s="76"/>
      <c r="I70" s="55"/>
    </row>
    <row r="71" spans="2:9">
      <c r="B71" s="5"/>
      <c r="C71" s="170"/>
      <c r="D71" s="28" t="s">
        <v>180</v>
      </c>
      <c r="E71" s="38" t="b">
        <v>1</v>
      </c>
      <c r="F71" s="9"/>
      <c r="G71" s="72"/>
      <c r="H71" s="76"/>
      <c r="I71" s="55"/>
    </row>
    <row r="72" spans="2:9">
      <c r="B72" s="5"/>
      <c r="C72" s="170"/>
      <c r="D72" s="28"/>
      <c r="E72" s="35"/>
      <c r="F72" s="9"/>
      <c r="G72" s="72"/>
      <c r="H72" s="76"/>
      <c r="I72" s="55"/>
    </row>
    <row r="73" spans="2:9">
      <c r="B73" s="5"/>
      <c r="C73" s="170"/>
      <c r="D73" s="28"/>
      <c r="E73" s="35"/>
      <c r="F73" s="9"/>
      <c r="G73" s="72"/>
      <c r="H73" s="76"/>
      <c r="I73" s="55"/>
    </row>
    <row r="74" spans="2:9">
      <c r="B74" s="5"/>
      <c r="C74" s="171"/>
      <c r="D74" s="33"/>
      <c r="E74" s="40"/>
      <c r="F74" s="9"/>
      <c r="G74" s="73"/>
      <c r="H74" s="77"/>
      <c r="I74" s="55"/>
    </row>
    <row r="75" spans="2:9">
      <c r="B75" s="5"/>
      <c r="C75" s="7"/>
      <c r="D75" s="9"/>
      <c r="E75" s="9"/>
      <c r="F75" s="9"/>
      <c r="G75" s="10"/>
      <c r="H75" s="10"/>
      <c r="I75" s="55"/>
    </row>
    <row r="76" spans="2:9">
      <c r="B76" s="11"/>
      <c r="C76" s="12"/>
      <c r="D76" s="12"/>
      <c r="E76" s="12"/>
      <c r="F76" s="12"/>
      <c r="G76" s="12"/>
      <c r="H76" s="12"/>
      <c r="I76" s="13"/>
    </row>
  </sheetData>
  <mergeCells count="3">
    <mergeCell ref="C33:C48"/>
    <mergeCell ref="C49:C62"/>
    <mergeCell ref="C63:C74"/>
  </mergeCells>
  <dataValidations disablePrompts="1" count="2">
    <dataValidation type="list" allowBlank="1" showInputMessage="1" showErrorMessage="1" sqref="E22 E66 E3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38 E48 E52 E62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/>
  </sheetPr>
  <dimension ref="A1:E39"/>
  <sheetViews>
    <sheetView showGridLines="0" zoomScaleNormal="100" workbookViewId="0"/>
  </sheetViews>
  <sheetFormatPr defaultRowHeight="15"/>
  <cols>
    <col min="2" max="2" width="2.7109375" customWidth="1"/>
    <col min="3" max="3" width="31.140625" customWidth="1"/>
    <col min="4" max="4" width="58.28515625" customWidth="1"/>
    <col min="5" max="5" width="2.7109375" customWidth="1"/>
  </cols>
  <sheetData>
    <row r="1" spans="1:5">
      <c r="A1" s="130"/>
    </row>
    <row r="2" spans="1:5">
      <c r="B2" s="56" t="s">
        <v>315</v>
      </c>
    </row>
    <row r="5" spans="1:5">
      <c r="B5" s="56" t="s">
        <v>314</v>
      </c>
    </row>
    <row r="6" spans="1:5">
      <c r="B6" s="2"/>
      <c r="C6" s="45"/>
      <c r="D6" s="46"/>
      <c r="E6" s="4"/>
    </row>
    <row r="7" spans="1:5">
      <c r="B7" s="5"/>
      <c r="C7" s="64" t="s">
        <v>314</v>
      </c>
      <c r="D7" s="61" t="str">
        <f ca="1">IF(AND(isGBPXCCYLoaded,isEURXCCYLoaded,NOW()),_xll.meCurveCalibrateFXForwards(CurveCollection,StaticDataTable,IndexName,CurveBuildProperties,FXForwardConventions),"Error Building FX Forward Curve")</f>
        <v>EURYC FwdFXConstGBP Curve has been set (0.00000 sec)</v>
      </c>
      <c r="E7" s="8"/>
    </row>
    <row r="8" spans="1:5">
      <c r="B8" s="5"/>
      <c r="C8" s="128" t="s">
        <v>299</v>
      </c>
      <c r="D8" s="129" t="b">
        <f ca="1">LEFT(D7,11)="EURYC FwdFX"</f>
        <v>1</v>
      </c>
      <c r="E8" s="8"/>
    </row>
    <row r="9" spans="1:5">
      <c r="B9" s="5"/>
      <c r="C9" s="6"/>
      <c r="D9" s="60"/>
      <c r="E9" s="8"/>
    </row>
    <row r="10" spans="1:5">
      <c r="B10" s="5"/>
      <c r="C10" s="48" t="s">
        <v>0</v>
      </c>
      <c r="D10" s="57"/>
      <c r="E10" s="8"/>
    </row>
    <row r="11" spans="1:5">
      <c r="B11" s="5"/>
      <c r="C11" s="27" t="s">
        <v>88</v>
      </c>
      <c r="D11" s="107" t="s">
        <v>80</v>
      </c>
      <c r="E11" s="8"/>
    </row>
    <row r="12" spans="1:5">
      <c r="B12" s="5"/>
      <c r="C12" s="28" t="s">
        <v>87</v>
      </c>
      <c r="D12" s="108" t="s">
        <v>301</v>
      </c>
      <c r="E12" s="8"/>
    </row>
    <row r="13" spans="1:5">
      <c r="B13" s="5"/>
      <c r="C13" s="59" t="s">
        <v>89</v>
      </c>
      <c r="D13" s="110" t="s">
        <v>302</v>
      </c>
      <c r="E13" s="8" t="s">
        <v>4</v>
      </c>
    </row>
    <row r="14" spans="1:5">
      <c r="B14" s="11"/>
      <c r="C14" s="12"/>
      <c r="D14" s="12"/>
      <c r="E14" s="13"/>
    </row>
    <row r="17" spans="2:5">
      <c r="B17" s="56" t="s">
        <v>70</v>
      </c>
    </row>
    <row r="18" spans="2:5">
      <c r="B18" s="2"/>
      <c r="C18" s="45"/>
      <c r="D18" s="46"/>
      <c r="E18" s="4"/>
    </row>
    <row r="19" spans="2:5">
      <c r="B19" s="5"/>
      <c r="C19" s="48" t="s">
        <v>70</v>
      </c>
      <c r="D19" s="47"/>
      <c r="E19" s="8"/>
    </row>
    <row r="20" spans="2:5">
      <c r="B20" s="5"/>
      <c r="C20" s="27" t="s">
        <v>10</v>
      </c>
      <c r="D20" s="107">
        <v>42419</v>
      </c>
      <c r="E20" s="8"/>
    </row>
    <row r="21" spans="2:5">
      <c r="B21" s="5"/>
      <c r="C21" s="28" t="s">
        <v>16</v>
      </c>
      <c r="D21" s="108" t="s">
        <v>17</v>
      </c>
      <c r="E21" s="8"/>
    </row>
    <row r="22" spans="2:5">
      <c r="B22" s="5"/>
      <c r="C22" s="44"/>
      <c r="D22" s="110"/>
      <c r="E22" s="8"/>
    </row>
    <row r="23" spans="2:5">
      <c r="B23" s="11"/>
      <c r="C23" s="12"/>
      <c r="D23" s="12"/>
      <c r="E23" s="13"/>
    </row>
    <row r="26" spans="2:5">
      <c r="B26" s="56" t="s">
        <v>298</v>
      </c>
    </row>
    <row r="27" spans="2:5">
      <c r="B27" s="2"/>
      <c r="C27" s="45"/>
      <c r="D27" s="46"/>
      <c r="E27" s="4"/>
    </row>
    <row r="28" spans="2:5">
      <c r="B28" s="5"/>
      <c r="C28" s="48" t="s">
        <v>290</v>
      </c>
      <c r="D28" s="47"/>
      <c r="E28" s="8"/>
    </row>
    <row r="29" spans="2:5">
      <c r="B29" s="5"/>
      <c r="C29" s="27" t="s">
        <v>201</v>
      </c>
      <c r="D29" s="107" t="s">
        <v>300</v>
      </c>
      <c r="E29" s="8"/>
    </row>
    <row r="30" spans="2:5">
      <c r="B30" s="5"/>
      <c r="C30" s="28" t="s">
        <v>202</v>
      </c>
      <c r="D30" s="108" t="s">
        <v>294</v>
      </c>
      <c r="E30" s="8"/>
    </row>
    <row r="31" spans="2:5">
      <c r="B31" s="5"/>
      <c r="C31" s="28" t="s">
        <v>215</v>
      </c>
      <c r="D31" s="108" t="s">
        <v>291</v>
      </c>
      <c r="E31" s="8"/>
    </row>
    <row r="32" spans="2:5">
      <c r="B32" s="5"/>
      <c r="C32" s="28" t="s">
        <v>217</v>
      </c>
      <c r="D32" s="108" t="s">
        <v>293</v>
      </c>
      <c r="E32" s="8"/>
    </row>
    <row r="33" spans="2:5">
      <c r="B33" s="5"/>
      <c r="C33" s="28" t="s">
        <v>225</v>
      </c>
      <c r="D33" s="108" t="s">
        <v>292</v>
      </c>
      <c r="E33" s="8"/>
    </row>
    <row r="34" spans="2:5">
      <c r="B34" s="5"/>
      <c r="C34" s="44"/>
      <c r="D34" s="110"/>
      <c r="E34" s="8"/>
    </row>
    <row r="35" spans="2:5">
      <c r="B35" s="5"/>
      <c r="C35" s="7"/>
      <c r="D35" s="7"/>
      <c r="E35" s="8"/>
    </row>
    <row r="36" spans="2:5">
      <c r="B36" s="5"/>
      <c r="C36" s="126" t="s">
        <v>297</v>
      </c>
      <c r="D36" s="7"/>
      <c r="E36" s="8"/>
    </row>
    <row r="37" spans="2:5">
      <c r="B37" s="5"/>
      <c r="C37" s="10" t="s">
        <v>296</v>
      </c>
      <c r="D37" s="7"/>
      <c r="E37" s="8"/>
    </row>
    <row r="38" spans="2:5">
      <c r="B38" s="5"/>
      <c r="C38" s="127" t="s">
        <v>295</v>
      </c>
      <c r="D38" s="7"/>
      <c r="E38" s="8"/>
    </row>
    <row r="39" spans="2:5">
      <c r="B39" s="11"/>
      <c r="C39" s="12"/>
      <c r="D39" s="12"/>
      <c r="E39" s="1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116</vt:i4>
      </vt:variant>
    </vt:vector>
  </HeadingPairs>
  <TitlesOfParts>
    <vt:vector size="128" baseType="lpstr">
      <vt:lpstr>meUtility Setup Functions</vt:lpstr>
      <vt:lpstr>USD OIS</vt:lpstr>
      <vt:lpstr>USD SWAP 3ML</vt:lpstr>
      <vt:lpstr>GBP OIS</vt:lpstr>
      <vt:lpstr>GBP SWAP 6ML</vt:lpstr>
      <vt:lpstr>GBP BASIS 3ML</vt:lpstr>
      <vt:lpstr>GBP XCCY BASIS</vt:lpstr>
      <vt:lpstr>EUR OIS</vt:lpstr>
      <vt:lpstr>EUR SWAP 6ML</vt:lpstr>
      <vt:lpstr>EUR BASIS 3ML</vt:lpstr>
      <vt:lpstr>EUR XCCY BASIS</vt:lpstr>
      <vt:lpstr>EURGBP FX FWDS</vt:lpstr>
      <vt:lpstr>COB</vt:lpstr>
      <vt:lpstr>Curve.BuildProperties</vt:lpstr>
      <vt:lpstr>Curve.CollectionName</vt:lpstr>
      <vt:lpstr>Curve.MarketDataTable</vt:lpstr>
      <vt:lpstr>Curve.OISIndexName</vt:lpstr>
      <vt:lpstr>'EUR XCCY BASIS'!CurveBuildProperties</vt:lpstr>
      <vt:lpstr>'EURGBP FX FWDS'!CurveBuildProperties</vt:lpstr>
      <vt:lpstr>'GBP BASIS 3ML'!CurveBuildProperties</vt:lpstr>
      <vt:lpstr>'GBP OIS'!CurveBuildProperties</vt:lpstr>
      <vt:lpstr>'GBP SWAP 6ML'!CurveBuildProperties</vt:lpstr>
      <vt:lpstr>'GBP XCCY BASIS'!CurveBuildProperties</vt:lpstr>
      <vt:lpstr>'USD OIS'!CurveBuildProperties</vt:lpstr>
      <vt:lpstr>'USD SWAP 3ML'!CurveBuildProperties</vt:lpstr>
      <vt:lpstr>'EUR XCCY BASIS'!CurveCollection</vt:lpstr>
      <vt:lpstr>'EURGBP FX FWDS'!CurveCollection</vt:lpstr>
      <vt:lpstr>'GBP BASIS 3ML'!CurveCollection</vt:lpstr>
      <vt:lpstr>'GBP OIS'!CurveCollection</vt:lpstr>
      <vt:lpstr>'GBP SWAP 6ML'!CurveCollection</vt:lpstr>
      <vt:lpstr>'GBP XCCY BASIS'!CurveCollection</vt:lpstr>
      <vt:lpstr>'USD OIS'!CurveCollection</vt:lpstr>
      <vt:lpstr>'USD SWAP 3ML'!CurveCollection</vt:lpstr>
      <vt:lpstr>FRA.Conventions</vt:lpstr>
      <vt:lpstr>FRA.MarketDataX3</vt:lpstr>
      <vt:lpstr>FRA.MarketDataX6</vt:lpstr>
      <vt:lpstr>'GBP SWAP 6ML'!FRAConventions</vt:lpstr>
      <vt:lpstr>'USD SWAP 3ML'!FRAConventions</vt:lpstr>
      <vt:lpstr>'GBP SWAP 6ML'!FRAMarketData3M</vt:lpstr>
      <vt:lpstr>'USD SWAP 3ML'!FRAMarketData3M</vt:lpstr>
      <vt:lpstr>'GBP SWAP 6ML'!FRAMarketData6M</vt:lpstr>
      <vt:lpstr>'USD SWAP 3ML'!FRAMarketData6M</vt:lpstr>
      <vt:lpstr>Futures.Conventions</vt:lpstr>
      <vt:lpstr>Futures.MarketData</vt:lpstr>
      <vt:lpstr>'GBP SWAP 6ML'!FuturesConventions</vt:lpstr>
      <vt:lpstr>'USD SWAP 3ML'!FuturesConventions</vt:lpstr>
      <vt:lpstr>'GBP SWAP 6ML'!FuturesMarketData</vt:lpstr>
      <vt:lpstr>'USD SWAP 3ML'!FuturesMarketData</vt:lpstr>
      <vt:lpstr>'EURGBP FX FWDS'!FXForwardConventions</vt:lpstr>
      <vt:lpstr>'EUR XCCY BASIS'!IndexName</vt:lpstr>
      <vt:lpstr>'EURGBP FX FWDS'!IndexName</vt:lpstr>
      <vt:lpstr>'GBP BASIS 3ML'!IndexName</vt:lpstr>
      <vt:lpstr>'GBP SWAP 6ML'!IndexName</vt:lpstr>
      <vt:lpstr>'GBP XCCY BASIS'!IndexName</vt:lpstr>
      <vt:lpstr>'USD OIS'!IndexName</vt:lpstr>
      <vt:lpstr>'USD SWAP 3ML'!IndexName</vt:lpstr>
      <vt:lpstr>'GBP OIS'!IndexNames</vt:lpstr>
      <vt:lpstr>isEUR3MLLoaded</vt:lpstr>
      <vt:lpstr>isEUR6MLLoaded</vt:lpstr>
      <vt:lpstr>isEURGBPLoaded</vt:lpstr>
      <vt:lpstr>isEUROISLoaded</vt:lpstr>
      <vt:lpstr>isEURXCCYLoaded</vt:lpstr>
      <vt:lpstr>isGBP3MLLoaded</vt:lpstr>
      <vt:lpstr>isGBP6MLLoaded</vt:lpstr>
      <vt:lpstr>isGBPOISLoaded</vt:lpstr>
      <vt:lpstr>isGBPXCCYLoaded</vt:lpstr>
      <vt:lpstr>isUSD3MLLoaded</vt:lpstr>
      <vt:lpstr>isUSDOISLoaded</vt:lpstr>
      <vt:lpstr>Libor.Conventions</vt:lpstr>
      <vt:lpstr>Libor.MarketData</vt:lpstr>
      <vt:lpstr>'GBP SWAP 6ML'!LiborConventions</vt:lpstr>
      <vt:lpstr>'USD SWAP 3ML'!LiborConventions</vt:lpstr>
      <vt:lpstr>'GBP SWAP 6ML'!LiborMarketData</vt:lpstr>
      <vt:lpstr>'USD SWAP 3ML'!LiborMarketData</vt:lpstr>
      <vt:lpstr>LiborOISBasis.Conventions</vt:lpstr>
      <vt:lpstr>LiborOISBasis.MarketData</vt:lpstr>
      <vt:lpstr>'GBP OIS'!LiborOISConventions</vt:lpstr>
      <vt:lpstr>'GBP OIS'!LiborOISMarketData</vt:lpstr>
      <vt:lpstr>'USD OIS'!LiborSwap.Conventions</vt:lpstr>
      <vt:lpstr>LiborSwap.Conventions</vt:lpstr>
      <vt:lpstr>'USD OIS'!LiborSwap.MarketData</vt:lpstr>
      <vt:lpstr>LiborSwap.MarketData</vt:lpstr>
      <vt:lpstr>'GBP OIS'!LiborSwapConventions</vt:lpstr>
      <vt:lpstr>'GBP OIS'!LiborSwapMarketData</vt:lpstr>
      <vt:lpstr>MoneyMarket.Conventions</vt:lpstr>
      <vt:lpstr>'GBP SWAP 6ML'!MoneyMarketConventions</vt:lpstr>
      <vt:lpstr>'USD SWAP 3ML'!MoneyMarketConventions</vt:lpstr>
      <vt:lpstr>OIS.Conventions</vt:lpstr>
      <vt:lpstr>OIS.FixingTable</vt:lpstr>
      <vt:lpstr>OIS.MarketData</vt:lpstr>
      <vt:lpstr>'USD OIS'!OISBasis.Conventions</vt:lpstr>
      <vt:lpstr>'USD OIS'!OISBasis.Spreads</vt:lpstr>
      <vt:lpstr>'GBP OIS'!OISConventions</vt:lpstr>
      <vt:lpstr>'USD OIS'!OISConventions</vt:lpstr>
      <vt:lpstr>'GBP OIS'!OISFixingTable</vt:lpstr>
      <vt:lpstr>'USD OIS'!OISFixingTable</vt:lpstr>
      <vt:lpstr>'GBP OIS'!OISMarketData</vt:lpstr>
      <vt:lpstr>'USD OIS'!OISMarketData</vt:lpstr>
      <vt:lpstr>'EUR XCCY BASIS'!StaticDataTable</vt:lpstr>
      <vt:lpstr>'EURGBP FX FWDS'!StaticDataTable</vt:lpstr>
      <vt:lpstr>'GBP BASIS 3ML'!StaticDataTable</vt:lpstr>
      <vt:lpstr>'GBP OIS'!StaticDataTable</vt:lpstr>
      <vt:lpstr>'GBP SWAP 6ML'!StaticDataTable</vt:lpstr>
      <vt:lpstr>'GBP XCCY BASIS'!StaticDataTable</vt:lpstr>
      <vt:lpstr>'USD OIS'!StaticDataTable</vt:lpstr>
      <vt:lpstr>'USD SWAP 3ML'!StaticDataTable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'GBP SWAP 6ML'!SwapConventions</vt:lpstr>
      <vt:lpstr>'USD SWAP 3ML'!SwapConventions</vt:lpstr>
      <vt:lpstr>'GBP SWAP 6ML'!SwapMarketData</vt:lpstr>
      <vt:lpstr>'USD SWAP 3ML'!SwapMarketData</vt:lpstr>
      <vt:lpstr>'GBP BASIS 3ML'!TenorBasisConventions</vt:lpstr>
      <vt:lpstr>TenorBasisCurve3M6M.BuildProperties</vt:lpstr>
      <vt:lpstr>TenorBasisCurve3M6M.CollectionName</vt:lpstr>
      <vt:lpstr>TenorBasisCurve3M6M.IndexName</vt:lpstr>
      <vt:lpstr>TenorBasisCurve3M6M.StaticDataTable</vt:lpstr>
      <vt:lpstr>'GBP BASIS 3ML'!TenorBasisMarketData</vt:lpstr>
      <vt:lpstr>TenorBasisSwap3M6M.Conventions</vt:lpstr>
      <vt:lpstr>TenorBasisSwap3M6M.MarketData</vt:lpstr>
      <vt:lpstr>'EUR XCCY BASIS'!XccyBasisMarketData</vt:lpstr>
      <vt:lpstr>'GBP XCCY BASIS'!XccyBasisMarketData</vt:lpstr>
      <vt:lpstr>'EUR XCCY BASIS'!XccyBasisSwapConventions</vt:lpstr>
      <vt:lpstr>'GBP XCCY BASIS'!XccyBasisSwapConventions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2016-10-10T16:21:20Z</dcterms:modified>
</cp:coreProperties>
</file>