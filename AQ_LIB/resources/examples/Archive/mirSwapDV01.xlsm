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0700" windowHeight="11760" tabRatio="703" activeTab="5"/>
  </bookViews>
  <sheets>
    <sheet name="Settings" sheetId="26" r:id="rId1"/>
    <sheet name="EUR OIS" sheetId="2" r:id="rId2"/>
    <sheet name="EUR SWAP 6ML" sheetId="3" r:id="rId3"/>
    <sheet name="EUR OIS Bumped" sheetId="22" r:id="rId4"/>
    <sheet name="EUR SWAP 6ML Bumped" sheetId="23" r:id="rId5"/>
    <sheet name="Swap Pricing &amp; Risk" sheetId="21" r:id="rId6"/>
  </sheets>
  <definedNames>
    <definedName name="Bump">Settings!$D$13</definedName>
    <definedName name="BumpOIS">Settings!$D$15</definedName>
    <definedName name="BumpSTD">Settings!$D$16</definedName>
    <definedName name="COB">Settings!$D$12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CollectionBase">'EUR OIS'!$D$11</definedName>
    <definedName name="CurveCollectionBumped">'EUR OIS Bumped'!$D$11</definedName>
    <definedName name="EffectiveLag">'Swap Pricing &amp; Risk'!$C$3</definedName>
    <definedName name="FixingFromEUR6MLCurve">'EUR SWAP 6ML'!$J$39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Interpolation">Settings!$D$17</definedName>
    <definedName name="InterpolationLabelForCurves">Settings!$E$17</definedName>
    <definedName name="isBumpedEUR6MLLoaded">'EUR SWAP 6ML Bumped'!$D$9</definedName>
    <definedName name="isBumpedEUROISLoaded">'EUR OIS Bumped'!$D$8</definedName>
    <definedName name="isEUR6MLLoaded">'EUR SWAP 6ML'!$D$9</definedName>
    <definedName name="isEUROISLoaded">'EUR OIS'!$D$8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Notional">'Swap Pricing &amp; Risk'!$D$3</definedName>
    <definedName name="OIS.Conventions">'EUR OIS'!$C$31:$D$57</definedName>
    <definedName name="OIS.FixingTable">'EUR OIS'!$L$32:$M$57</definedName>
    <definedName name="OIS.MarketData">'EUR OIS'!$F$32:$J$57</definedName>
    <definedName name="PayRec">'Swap Pricing &amp; Risk'!$F$3</definedName>
    <definedName name="Rate">'Swap Pricing &amp; Risk'!$H$3</definedName>
    <definedName name="Spread">'Swap Pricing &amp; Risk'!$J$3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TenorInterval">'Swap Pricing &amp; Risk'!$G$3</definedName>
  </definedNames>
  <calcPr calcId="145621" calcMode="manual" calcCompleted="0" calcOnSave="0"/>
  <fileRecoveryPr repairLoad="1"/>
</workbook>
</file>

<file path=xl/calcChain.xml><?xml version="1.0" encoding="utf-8"?>
<calcChain xmlns="http://schemas.openxmlformats.org/spreadsheetml/2006/main">
  <c r="AM29" i="21" l="1"/>
  <c r="AM30" i="21"/>
  <c r="AM31" i="21"/>
  <c r="AM32" i="21"/>
  <c r="AM33" i="21"/>
  <c r="AM34" i="21"/>
  <c r="AM35" i="21"/>
  <c r="AM36" i="21"/>
  <c r="AM37" i="21"/>
  <c r="AM38" i="21"/>
  <c r="AM39" i="21"/>
  <c r="AM40" i="21"/>
  <c r="AM41" i="21"/>
  <c r="AM42" i="21"/>
  <c r="AM43" i="21"/>
  <c r="AM44" i="21"/>
  <c r="AM45" i="21"/>
  <c r="AM46" i="21"/>
  <c r="AM47" i="21"/>
  <c r="AM48" i="21"/>
  <c r="AM52" i="21"/>
  <c r="AM53" i="21"/>
  <c r="AM54" i="21"/>
  <c r="AM55" i="21"/>
  <c r="AM56" i="21"/>
  <c r="AM57" i="21"/>
  <c r="AM58" i="21"/>
  <c r="AM59" i="21"/>
  <c r="AM60" i="21"/>
  <c r="AM61" i="21"/>
  <c r="AM62" i="21"/>
  <c r="AM63" i="21"/>
  <c r="AM64" i="21"/>
  <c r="AM65" i="21"/>
  <c r="AM66" i="21"/>
  <c r="AM67" i="21"/>
  <c r="AM68" i="21"/>
  <c r="AM69" i="21"/>
  <c r="AM70" i="21"/>
  <c r="AM71" i="21"/>
  <c r="K6" i="21"/>
  <c r="K29" i="21" s="1"/>
  <c r="K7" i="21"/>
  <c r="K30" i="21" s="1"/>
  <c r="K8" i="21"/>
  <c r="K31" i="21" s="1"/>
  <c r="K9" i="21"/>
  <c r="K55" i="21" s="1"/>
  <c r="K10" i="21"/>
  <c r="K33" i="21" s="1"/>
  <c r="K11" i="21"/>
  <c r="K57" i="21" s="1"/>
  <c r="K12" i="21"/>
  <c r="K35" i="21" s="1"/>
  <c r="K13" i="21"/>
  <c r="K36" i="21" s="1"/>
  <c r="K14" i="21"/>
  <c r="K60" i="21" s="1"/>
  <c r="K15" i="21"/>
  <c r="K38" i="21" s="1"/>
  <c r="K16" i="21"/>
  <c r="K39" i="21" s="1"/>
  <c r="K17" i="21"/>
  <c r="K40" i="21" s="1"/>
  <c r="K18" i="21"/>
  <c r="K41" i="21" s="1"/>
  <c r="K19" i="21"/>
  <c r="K42" i="21" s="1"/>
  <c r="K20" i="21"/>
  <c r="K43" i="21" s="1"/>
  <c r="K21" i="21"/>
  <c r="K44" i="21" s="1"/>
  <c r="K22" i="21"/>
  <c r="K68" i="21" s="1"/>
  <c r="K23" i="21"/>
  <c r="K46" i="21" s="1"/>
  <c r="K24" i="21"/>
  <c r="K70" i="21" s="1"/>
  <c r="K25" i="21"/>
  <c r="K71" i="21" s="1"/>
  <c r="J25" i="21"/>
  <c r="K34" i="21" l="1"/>
  <c r="K52" i="21"/>
  <c r="K47" i="21"/>
  <c r="K45" i="21"/>
  <c r="K62" i="21"/>
  <c r="K37" i="21"/>
  <c r="K54" i="21"/>
  <c r="K32" i="21"/>
  <c r="K53" i="21"/>
  <c r="K48" i="21"/>
  <c r="K69" i="21"/>
  <c r="K61" i="21"/>
  <c r="K63" i="21"/>
  <c r="K58" i="21"/>
  <c r="K65" i="21"/>
  <c r="K67" i="21"/>
  <c r="K66" i="21"/>
  <c r="K56" i="21"/>
  <c r="K59" i="21"/>
  <c r="K64" i="21"/>
  <c r="G7" i="2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G25" i="21" s="1"/>
  <c r="G29" i="21"/>
  <c r="C6" i="21" l="1"/>
  <c r="C52" i="21" s="1"/>
  <c r="C7" i="21"/>
  <c r="C30" i="21" s="1"/>
  <c r="C8" i="21"/>
  <c r="C54" i="21" s="1"/>
  <c r="C9" i="21"/>
  <c r="C32" i="21" s="1"/>
  <c r="C10" i="21"/>
  <c r="C56" i="21" s="1"/>
  <c r="C11" i="21"/>
  <c r="C34" i="21" s="1"/>
  <c r="C12" i="21"/>
  <c r="C58" i="21" s="1"/>
  <c r="C13" i="21"/>
  <c r="C36" i="21" s="1"/>
  <c r="C14" i="21"/>
  <c r="C37" i="21" s="1"/>
  <c r="C15" i="21"/>
  <c r="C38" i="21" s="1"/>
  <c r="C16" i="21"/>
  <c r="C39" i="21" s="1"/>
  <c r="C17" i="21"/>
  <c r="C40" i="21" s="1"/>
  <c r="C18" i="21"/>
  <c r="C64" i="21" s="1"/>
  <c r="C19" i="21"/>
  <c r="C42" i="21" s="1"/>
  <c r="C20" i="21"/>
  <c r="C43" i="21" s="1"/>
  <c r="C21" i="21"/>
  <c r="C44" i="21" s="1"/>
  <c r="C22" i="21"/>
  <c r="C45" i="21" s="1"/>
  <c r="C23" i="21"/>
  <c r="C46" i="21" s="1"/>
  <c r="C24" i="21"/>
  <c r="C70" i="21" s="1"/>
  <c r="C25" i="21"/>
  <c r="C48" i="21" s="1"/>
  <c r="E52" i="21"/>
  <c r="I52" i="21"/>
  <c r="E53" i="21"/>
  <c r="G53" i="21"/>
  <c r="I53" i="21"/>
  <c r="E54" i="21"/>
  <c r="G54" i="21"/>
  <c r="I54" i="21"/>
  <c r="E55" i="21"/>
  <c r="G55" i="21"/>
  <c r="I55" i="21"/>
  <c r="E56" i="21"/>
  <c r="G56" i="21"/>
  <c r="I56" i="21"/>
  <c r="E57" i="21"/>
  <c r="G57" i="21"/>
  <c r="I57" i="21"/>
  <c r="E58" i="21"/>
  <c r="G58" i="21"/>
  <c r="I58" i="21"/>
  <c r="E59" i="21"/>
  <c r="G59" i="21"/>
  <c r="I59" i="21"/>
  <c r="E60" i="21"/>
  <c r="G60" i="21"/>
  <c r="I60" i="21"/>
  <c r="E61" i="21"/>
  <c r="G61" i="21"/>
  <c r="I61" i="21"/>
  <c r="E62" i="21"/>
  <c r="G62" i="21"/>
  <c r="I62" i="21"/>
  <c r="E63" i="21"/>
  <c r="G63" i="21"/>
  <c r="I63" i="21"/>
  <c r="E64" i="21"/>
  <c r="G64" i="21"/>
  <c r="I64" i="21"/>
  <c r="E65" i="21"/>
  <c r="G65" i="21"/>
  <c r="I65" i="21"/>
  <c r="E66" i="21"/>
  <c r="G66" i="21"/>
  <c r="I66" i="21"/>
  <c r="E67" i="21"/>
  <c r="G67" i="21"/>
  <c r="I67" i="21"/>
  <c r="E68" i="21"/>
  <c r="G68" i="21"/>
  <c r="I68" i="21"/>
  <c r="E69" i="21"/>
  <c r="G69" i="21"/>
  <c r="I69" i="21"/>
  <c r="E70" i="21"/>
  <c r="G70" i="21"/>
  <c r="I70" i="21"/>
  <c r="E71" i="21"/>
  <c r="G71" i="21"/>
  <c r="I71" i="21"/>
  <c r="E29" i="21"/>
  <c r="I29" i="21"/>
  <c r="E30" i="21"/>
  <c r="G30" i="21"/>
  <c r="I30" i="21"/>
  <c r="E31" i="21"/>
  <c r="G31" i="21"/>
  <c r="I31" i="21"/>
  <c r="E32" i="21"/>
  <c r="G32" i="21"/>
  <c r="I32" i="21"/>
  <c r="E33" i="21"/>
  <c r="G33" i="21"/>
  <c r="I33" i="21"/>
  <c r="E34" i="21"/>
  <c r="G34" i="21"/>
  <c r="I34" i="21"/>
  <c r="E35" i="21"/>
  <c r="G35" i="21"/>
  <c r="I35" i="21"/>
  <c r="E36" i="21"/>
  <c r="G36" i="21"/>
  <c r="I36" i="21"/>
  <c r="E37" i="21"/>
  <c r="G37" i="21"/>
  <c r="I37" i="21"/>
  <c r="E38" i="21"/>
  <c r="G38" i="21"/>
  <c r="I38" i="21"/>
  <c r="E39" i="21"/>
  <c r="G39" i="21"/>
  <c r="I39" i="21"/>
  <c r="E40" i="21"/>
  <c r="G40" i="21"/>
  <c r="I40" i="21"/>
  <c r="E41" i="21"/>
  <c r="G41" i="21"/>
  <c r="I41" i="21"/>
  <c r="E42" i="21"/>
  <c r="G42" i="21"/>
  <c r="I42" i="21"/>
  <c r="E43" i="21"/>
  <c r="G43" i="21"/>
  <c r="I43" i="21"/>
  <c r="E44" i="21"/>
  <c r="G44" i="21"/>
  <c r="I44" i="21"/>
  <c r="E45" i="21"/>
  <c r="G45" i="21"/>
  <c r="I45" i="21"/>
  <c r="E46" i="21"/>
  <c r="G46" i="21"/>
  <c r="I46" i="21"/>
  <c r="E47" i="21"/>
  <c r="G47" i="21"/>
  <c r="I47" i="21"/>
  <c r="E48" i="21"/>
  <c r="G48" i="21"/>
  <c r="I48" i="21"/>
  <c r="AO71" i="21"/>
  <c r="AO70" i="21"/>
  <c r="AO69" i="21"/>
  <c r="AO68" i="21"/>
  <c r="AO67" i="21"/>
  <c r="AO66" i="21"/>
  <c r="AO65" i="21"/>
  <c r="AO64" i="21"/>
  <c r="AO63" i="21"/>
  <c r="AO62" i="21"/>
  <c r="AO61" i="21"/>
  <c r="AO60" i="21"/>
  <c r="AO59" i="21"/>
  <c r="AO58" i="21"/>
  <c r="AO57" i="21"/>
  <c r="AO56" i="21"/>
  <c r="AO55" i="21"/>
  <c r="AO54" i="21"/>
  <c r="AO53" i="21"/>
  <c r="AO52" i="21"/>
  <c r="AO48" i="21"/>
  <c r="AO47" i="21"/>
  <c r="AO46" i="21"/>
  <c r="AO45" i="21"/>
  <c r="AO44" i="21"/>
  <c r="AO43" i="21"/>
  <c r="AO42" i="21"/>
  <c r="AO41" i="21"/>
  <c r="AO40" i="21"/>
  <c r="AO39" i="21"/>
  <c r="AO38" i="21"/>
  <c r="AO37" i="21"/>
  <c r="AO36" i="21"/>
  <c r="AO35" i="21"/>
  <c r="AO34" i="21"/>
  <c r="AO33" i="21"/>
  <c r="AO32" i="21"/>
  <c r="AO31" i="21"/>
  <c r="AO30" i="21"/>
  <c r="AO29" i="21"/>
  <c r="AO6" i="21"/>
  <c r="AO7" i="21"/>
  <c r="AO8" i="21"/>
  <c r="AO9" i="21"/>
  <c r="AO10" i="21"/>
  <c r="AO11" i="21"/>
  <c r="AO12" i="21"/>
  <c r="AO13" i="21"/>
  <c r="AO14" i="21"/>
  <c r="AO15" i="21"/>
  <c r="AO16" i="21"/>
  <c r="AO17" i="21"/>
  <c r="AO18" i="21"/>
  <c r="AO19" i="21"/>
  <c r="AO20" i="21"/>
  <c r="AO21" i="21"/>
  <c r="AO22" i="21"/>
  <c r="AO23" i="21"/>
  <c r="AO24" i="21"/>
  <c r="AO25" i="21"/>
  <c r="E17" i="26"/>
  <c r="D24" i="3" s="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F6" i="21"/>
  <c r="F29" i="21" s="1"/>
  <c r="F7" i="21"/>
  <c r="F30" i="21" s="1"/>
  <c r="F8" i="21"/>
  <c r="F31" i="21" s="1"/>
  <c r="F9" i="21"/>
  <c r="F32" i="21" s="1"/>
  <c r="F10" i="21"/>
  <c r="F56" i="21" s="1"/>
  <c r="F11" i="21"/>
  <c r="F34" i="21" s="1"/>
  <c r="F12" i="21"/>
  <c r="F35" i="21" s="1"/>
  <c r="F13" i="21"/>
  <c r="F59" i="21" s="1"/>
  <c r="F14" i="21"/>
  <c r="F37" i="21" s="1"/>
  <c r="F15" i="21"/>
  <c r="F38" i="21" s="1"/>
  <c r="F16" i="21"/>
  <c r="F39" i="21" s="1"/>
  <c r="F17" i="21"/>
  <c r="F40" i="21" s="1"/>
  <c r="F18" i="21"/>
  <c r="F64" i="21" s="1"/>
  <c r="F19" i="21"/>
  <c r="F42" i="21" s="1"/>
  <c r="F20" i="21"/>
  <c r="F43" i="21" s="1"/>
  <c r="F21" i="21"/>
  <c r="F67" i="21" s="1"/>
  <c r="F22" i="21"/>
  <c r="F45" i="21" s="1"/>
  <c r="F23" i="21"/>
  <c r="F69" i="21" s="1"/>
  <c r="F24" i="21"/>
  <c r="F47" i="21" s="1"/>
  <c r="F25" i="21"/>
  <c r="F48" i="21" s="1"/>
  <c r="D6" i="21"/>
  <c r="D52" i="21" s="1"/>
  <c r="D7" i="21"/>
  <c r="D30" i="21" s="1"/>
  <c r="D8" i="21"/>
  <c r="D54" i="21" s="1"/>
  <c r="D9" i="21"/>
  <c r="D55" i="21" s="1"/>
  <c r="D10" i="21"/>
  <c r="D33" i="21" s="1"/>
  <c r="D11" i="21"/>
  <c r="D57" i="21" s="1"/>
  <c r="D12" i="21"/>
  <c r="D35" i="21" s="1"/>
  <c r="D13" i="21"/>
  <c r="D59" i="21" s="1"/>
  <c r="D14" i="21"/>
  <c r="D60" i="21" s="1"/>
  <c r="D15" i="21"/>
  <c r="D38" i="21" s="1"/>
  <c r="D16" i="21"/>
  <c r="D62" i="21" s="1"/>
  <c r="D17" i="21"/>
  <c r="D63" i="21" s="1"/>
  <c r="D18" i="21"/>
  <c r="D41" i="21" s="1"/>
  <c r="D19" i="21"/>
  <c r="D65" i="21" s="1"/>
  <c r="D20" i="21"/>
  <c r="D43" i="21" s="1"/>
  <c r="D21" i="21"/>
  <c r="D67" i="21" s="1"/>
  <c r="D22" i="21"/>
  <c r="D68" i="21" s="1"/>
  <c r="D23" i="21"/>
  <c r="D46" i="21" s="1"/>
  <c r="D24" i="21"/>
  <c r="D70" i="21" s="1"/>
  <c r="D25" i="21"/>
  <c r="D71" i="21" s="1"/>
  <c r="E14" i="26"/>
  <c r="H25" i="21"/>
  <c r="H48" i="21" s="1"/>
  <c r="H24" i="21"/>
  <c r="H47" i="21" s="1"/>
  <c r="H23" i="21"/>
  <c r="H69" i="21" s="1"/>
  <c r="H22" i="21"/>
  <c r="H68" i="21" s="1"/>
  <c r="H21" i="21"/>
  <c r="H44" i="21" s="1"/>
  <c r="H20" i="21"/>
  <c r="H66" i="21" s="1"/>
  <c r="H19" i="21"/>
  <c r="H42" i="21" s="1"/>
  <c r="H18" i="21"/>
  <c r="H64" i="21" s="1"/>
  <c r="H17" i="21"/>
  <c r="H40" i="21" s="1"/>
  <c r="H16" i="21"/>
  <c r="H39" i="21" s="1"/>
  <c r="H15" i="21"/>
  <c r="H61" i="21" s="1"/>
  <c r="H14" i="21"/>
  <c r="H60" i="21" s="1"/>
  <c r="H13" i="21"/>
  <c r="H59" i="21" s="1"/>
  <c r="H12" i="21"/>
  <c r="H58" i="21" s="1"/>
  <c r="H11" i="21"/>
  <c r="H34" i="21" s="1"/>
  <c r="H10" i="21"/>
  <c r="H56" i="21" s="1"/>
  <c r="H9" i="21"/>
  <c r="H32" i="21" s="1"/>
  <c r="H8" i="21"/>
  <c r="H31" i="21" s="1"/>
  <c r="H7" i="21"/>
  <c r="H53" i="21" s="1"/>
  <c r="H6" i="21"/>
  <c r="H52" i="21" s="1"/>
  <c r="D13" i="26"/>
  <c r="J39" i="23" s="1"/>
  <c r="N6" i="21"/>
  <c r="O6" i="21"/>
  <c r="P6" i="21"/>
  <c r="Q6" i="21"/>
  <c r="R6" i="21"/>
  <c r="S6" i="21"/>
  <c r="U6" i="21"/>
  <c r="V6" i="21"/>
  <c r="Y6" i="21"/>
  <c r="Z6" i="21"/>
  <c r="AA6" i="21"/>
  <c r="AB6" i="21"/>
  <c r="AC6" i="21"/>
  <c r="AD6" i="21"/>
  <c r="AF6" i="21"/>
  <c r="AH6" i="21"/>
  <c r="AI6" i="21"/>
  <c r="AJ6" i="21"/>
  <c r="AK6" i="21"/>
  <c r="AP6" i="21"/>
  <c r="AQ6" i="21"/>
  <c r="AW7" i="21"/>
  <c r="N7" i="21"/>
  <c r="O7" i="21"/>
  <c r="P7" i="21"/>
  <c r="Q7" i="21"/>
  <c r="R7" i="21"/>
  <c r="S7" i="21"/>
  <c r="U7" i="21"/>
  <c r="V7" i="21"/>
  <c r="Y7" i="21"/>
  <c r="Z7" i="21"/>
  <c r="AA7" i="21"/>
  <c r="AB7" i="21"/>
  <c r="AC7" i="21"/>
  <c r="AD7" i="21"/>
  <c r="AF7" i="21"/>
  <c r="AH7" i="21"/>
  <c r="AI7" i="21"/>
  <c r="AJ7" i="21"/>
  <c r="AK7" i="21"/>
  <c r="AP7" i="21"/>
  <c r="AQ7" i="21"/>
  <c r="AW8" i="21"/>
  <c r="N8" i="21"/>
  <c r="O8" i="21"/>
  <c r="P8" i="21"/>
  <c r="Q8" i="21"/>
  <c r="R8" i="21"/>
  <c r="S8" i="21"/>
  <c r="U8" i="21"/>
  <c r="V8" i="21"/>
  <c r="Y8" i="21"/>
  <c r="Z8" i="21"/>
  <c r="AA8" i="21"/>
  <c r="AB8" i="21"/>
  <c r="AC8" i="21"/>
  <c r="AD8" i="21"/>
  <c r="AF8" i="21"/>
  <c r="AH8" i="21"/>
  <c r="AI8" i="21"/>
  <c r="AJ8" i="21"/>
  <c r="AK8" i="21"/>
  <c r="AP8" i="21"/>
  <c r="AQ8" i="21"/>
  <c r="AW9" i="21"/>
  <c r="N9" i="21"/>
  <c r="O9" i="21"/>
  <c r="P9" i="21"/>
  <c r="Q9" i="21"/>
  <c r="R9" i="21"/>
  <c r="S9" i="21"/>
  <c r="U9" i="21"/>
  <c r="V9" i="21"/>
  <c r="Y9" i="21"/>
  <c r="Z9" i="21"/>
  <c r="AA9" i="21"/>
  <c r="AB9" i="21"/>
  <c r="AC9" i="21"/>
  <c r="AD9" i="21"/>
  <c r="AF9" i="21"/>
  <c r="AH9" i="21"/>
  <c r="AI9" i="21"/>
  <c r="AJ9" i="21"/>
  <c r="AK9" i="21"/>
  <c r="AP9" i="21"/>
  <c r="AQ9" i="21"/>
  <c r="AW10" i="21"/>
  <c r="N10" i="21"/>
  <c r="O10" i="21"/>
  <c r="P10" i="21"/>
  <c r="Q10" i="21"/>
  <c r="R10" i="21"/>
  <c r="S10" i="21"/>
  <c r="U10" i="21"/>
  <c r="V10" i="21"/>
  <c r="Y10" i="21"/>
  <c r="Z10" i="21"/>
  <c r="AA10" i="21"/>
  <c r="AB10" i="21"/>
  <c r="AC10" i="21"/>
  <c r="AD10" i="21"/>
  <c r="AF10" i="21"/>
  <c r="AH10" i="21"/>
  <c r="AI10" i="21"/>
  <c r="AJ10" i="21"/>
  <c r="AK10" i="21"/>
  <c r="AP10" i="21"/>
  <c r="AQ10" i="21"/>
  <c r="AW11" i="21"/>
  <c r="N11" i="21"/>
  <c r="O11" i="21"/>
  <c r="P11" i="21"/>
  <c r="Q11" i="21"/>
  <c r="R11" i="21"/>
  <c r="S11" i="21"/>
  <c r="U11" i="21"/>
  <c r="V11" i="21"/>
  <c r="Y11" i="21"/>
  <c r="Z11" i="21"/>
  <c r="AA11" i="21"/>
  <c r="AB11" i="21"/>
  <c r="AC11" i="21"/>
  <c r="AD11" i="21"/>
  <c r="AF11" i="21"/>
  <c r="AH11" i="21"/>
  <c r="AI11" i="21"/>
  <c r="AJ11" i="21"/>
  <c r="AK11" i="21"/>
  <c r="AP11" i="21"/>
  <c r="AQ11" i="21"/>
  <c r="AW12" i="21"/>
  <c r="N12" i="21"/>
  <c r="O12" i="21"/>
  <c r="P12" i="21"/>
  <c r="Q12" i="21"/>
  <c r="R12" i="21"/>
  <c r="S12" i="21"/>
  <c r="U12" i="21"/>
  <c r="V12" i="21"/>
  <c r="Y12" i="21"/>
  <c r="Z12" i="21"/>
  <c r="AA12" i="21"/>
  <c r="AB12" i="21"/>
  <c r="AC12" i="21"/>
  <c r="AD12" i="21"/>
  <c r="AF12" i="21"/>
  <c r="AH12" i="21"/>
  <c r="AI12" i="21"/>
  <c r="AJ12" i="21"/>
  <c r="AK12" i="21"/>
  <c r="AP12" i="21"/>
  <c r="AQ12" i="21"/>
  <c r="AW13" i="21"/>
  <c r="N13" i="21"/>
  <c r="O13" i="21"/>
  <c r="P13" i="21"/>
  <c r="Q13" i="21"/>
  <c r="R13" i="21"/>
  <c r="S13" i="21"/>
  <c r="U13" i="21"/>
  <c r="V13" i="21"/>
  <c r="Y13" i="21"/>
  <c r="Z13" i="21"/>
  <c r="AA13" i="21"/>
  <c r="AB13" i="21"/>
  <c r="AC13" i="21"/>
  <c r="AD13" i="21"/>
  <c r="AF13" i="21"/>
  <c r="AH13" i="21"/>
  <c r="AI13" i="21"/>
  <c r="AJ13" i="21"/>
  <c r="AK13" i="21"/>
  <c r="AP13" i="21"/>
  <c r="AQ13" i="21"/>
  <c r="AW14" i="21"/>
  <c r="N14" i="21"/>
  <c r="O14" i="21"/>
  <c r="P14" i="21"/>
  <c r="Q14" i="21"/>
  <c r="R14" i="21"/>
  <c r="S14" i="21"/>
  <c r="U14" i="21"/>
  <c r="V14" i="21"/>
  <c r="Y14" i="21"/>
  <c r="Z14" i="21"/>
  <c r="AA14" i="21"/>
  <c r="AB14" i="21"/>
  <c r="AC14" i="21"/>
  <c r="AD14" i="21"/>
  <c r="AF14" i="21"/>
  <c r="AH14" i="21"/>
  <c r="AI14" i="21"/>
  <c r="AJ14" i="21"/>
  <c r="AK14" i="21"/>
  <c r="AP14" i="21"/>
  <c r="AQ14" i="21"/>
  <c r="AW15" i="21"/>
  <c r="N15" i="21"/>
  <c r="O15" i="21"/>
  <c r="P15" i="21"/>
  <c r="Q15" i="21"/>
  <c r="R15" i="21"/>
  <c r="S15" i="21"/>
  <c r="U15" i="21"/>
  <c r="V15" i="21"/>
  <c r="Y15" i="21"/>
  <c r="Z15" i="21"/>
  <c r="AA15" i="21"/>
  <c r="AB15" i="21"/>
  <c r="AC15" i="21"/>
  <c r="AD15" i="21"/>
  <c r="AF15" i="21"/>
  <c r="AH15" i="21"/>
  <c r="AI15" i="21"/>
  <c r="AJ15" i="21"/>
  <c r="AK15" i="21"/>
  <c r="AP15" i="21"/>
  <c r="AQ15" i="21"/>
  <c r="AW16" i="21"/>
  <c r="N16" i="21"/>
  <c r="O16" i="21"/>
  <c r="P16" i="21"/>
  <c r="Q16" i="21"/>
  <c r="R16" i="21"/>
  <c r="S16" i="21"/>
  <c r="U16" i="21"/>
  <c r="V16" i="21"/>
  <c r="Y16" i="21"/>
  <c r="Z16" i="21"/>
  <c r="AA16" i="21"/>
  <c r="AB16" i="21"/>
  <c r="AC16" i="21"/>
  <c r="AD16" i="21"/>
  <c r="AF16" i="21"/>
  <c r="AH16" i="21"/>
  <c r="AI16" i="21"/>
  <c r="AJ16" i="21"/>
  <c r="AK16" i="21"/>
  <c r="AP16" i="21"/>
  <c r="AQ16" i="21"/>
  <c r="AW17" i="21"/>
  <c r="N17" i="21"/>
  <c r="O17" i="21"/>
  <c r="P17" i="21"/>
  <c r="Q17" i="21"/>
  <c r="R17" i="21"/>
  <c r="S17" i="21"/>
  <c r="U17" i="21"/>
  <c r="V17" i="21"/>
  <c r="Y17" i="21"/>
  <c r="Z17" i="21"/>
  <c r="AA17" i="21"/>
  <c r="AB17" i="21"/>
  <c r="AC17" i="21"/>
  <c r="AD17" i="21"/>
  <c r="AF17" i="21"/>
  <c r="AH17" i="21"/>
  <c r="AI17" i="21"/>
  <c r="AJ17" i="21"/>
  <c r="AK17" i="21"/>
  <c r="AP17" i="21"/>
  <c r="AQ17" i="21"/>
  <c r="AW18" i="21"/>
  <c r="N18" i="21"/>
  <c r="O18" i="21"/>
  <c r="P18" i="21"/>
  <c r="Q18" i="21"/>
  <c r="R18" i="21"/>
  <c r="S18" i="21"/>
  <c r="U18" i="21"/>
  <c r="V18" i="21"/>
  <c r="Y18" i="21"/>
  <c r="Z18" i="21"/>
  <c r="AA18" i="21"/>
  <c r="AB18" i="21"/>
  <c r="AC18" i="21"/>
  <c r="AD18" i="21"/>
  <c r="AF18" i="21"/>
  <c r="AH18" i="21"/>
  <c r="AI18" i="21"/>
  <c r="AJ18" i="21"/>
  <c r="AK18" i="21"/>
  <c r="AP18" i="21"/>
  <c r="AQ18" i="21"/>
  <c r="AW19" i="21"/>
  <c r="N19" i="21"/>
  <c r="O19" i="21"/>
  <c r="P19" i="21"/>
  <c r="Q19" i="21"/>
  <c r="R19" i="21"/>
  <c r="S19" i="21"/>
  <c r="U19" i="21"/>
  <c r="V19" i="21"/>
  <c r="Y19" i="21"/>
  <c r="Z19" i="21"/>
  <c r="AA19" i="21"/>
  <c r="AB19" i="21"/>
  <c r="AC19" i="21"/>
  <c r="AD19" i="21"/>
  <c r="AF19" i="21"/>
  <c r="AH19" i="21"/>
  <c r="AI19" i="21"/>
  <c r="AJ19" i="21"/>
  <c r="AK19" i="21"/>
  <c r="AP19" i="21"/>
  <c r="AQ19" i="21"/>
  <c r="AW20" i="21"/>
  <c r="N20" i="21"/>
  <c r="O20" i="21"/>
  <c r="P20" i="21"/>
  <c r="Q20" i="21"/>
  <c r="R20" i="21"/>
  <c r="S20" i="21"/>
  <c r="U20" i="21"/>
  <c r="V20" i="21"/>
  <c r="Y20" i="21"/>
  <c r="Z20" i="21"/>
  <c r="AA20" i="21"/>
  <c r="AB20" i="21"/>
  <c r="AC20" i="21"/>
  <c r="AD20" i="21"/>
  <c r="AF20" i="21"/>
  <c r="AH20" i="21"/>
  <c r="AI20" i="21"/>
  <c r="AJ20" i="21"/>
  <c r="AK20" i="21"/>
  <c r="AP20" i="21"/>
  <c r="AQ20" i="21"/>
  <c r="AW21" i="21"/>
  <c r="N21" i="21"/>
  <c r="O21" i="21"/>
  <c r="P21" i="21"/>
  <c r="Q21" i="21"/>
  <c r="R21" i="21"/>
  <c r="S21" i="21"/>
  <c r="U21" i="21"/>
  <c r="V21" i="21"/>
  <c r="Y21" i="21"/>
  <c r="Z21" i="21"/>
  <c r="AA21" i="21"/>
  <c r="AB21" i="21"/>
  <c r="AC21" i="21"/>
  <c r="AD21" i="21"/>
  <c r="AF21" i="21"/>
  <c r="AH21" i="21"/>
  <c r="AI21" i="21"/>
  <c r="AJ21" i="21"/>
  <c r="AK21" i="21"/>
  <c r="AP21" i="21"/>
  <c r="AQ21" i="21"/>
  <c r="AW22" i="21"/>
  <c r="N22" i="21"/>
  <c r="O22" i="21"/>
  <c r="P22" i="21"/>
  <c r="Q22" i="21"/>
  <c r="R22" i="21"/>
  <c r="S22" i="21"/>
  <c r="U22" i="21"/>
  <c r="V22" i="21"/>
  <c r="Y22" i="21"/>
  <c r="Z22" i="21"/>
  <c r="AA22" i="21"/>
  <c r="AB22" i="21"/>
  <c r="AC22" i="21"/>
  <c r="AD22" i="21"/>
  <c r="AF22" i="21"/>
  <c r="AH22" i="21"/>
  <c r="AI22" i="21"/>
  <c r="AJ22" i="21"/>
  <c r="AK22" i="21"/>
  <c r="AP22" i="21"/>
  <c r="AQ22" i="21"/>
  <c r="AW23" i="21"/>
  <c r="N23" i="21"/>
  <c r="O23" i="21"/>
  <c r="P23" i="21"/>
  <c r="Q23" i="21"/>
  <c r="R23" i="21"/>
  <c r="S23" i="21"/>
  <c r="U23" i="21"/>
  <c r="V23" i="21"/>
  <c r="Y23" i="21"/>
  <c r="Z23" i="21"/>
  <c r="AA23" i="21"/>
  <c r="AB23" i="21"/>
  <c r="AC23" i="21"/>
  <c r="AD23" i="21"/>
  <c r="AF23" i="21"/>
  <c r="AH23" i="21"/>
  <c r="AI23" i="21"/>
  <c r="AJ23" i="21"/>
  <c r="AK23" i="21"/>
  <c r="AP23" i="21"/>
  <c r="AQ23" i="21"/>
  <c r="AW24" i="21"/>
  <c r="N24" i="21"/>
  <c r="O24" i="21"/>
  <c r="P24" i="21"/>
  <c r="Q24" i="21"/>
  <c r="R24" i="21"/>
  <c r="S24" i="21"/>
  <c r="U24" i="21"/>
  <c r="V24" i="21"/>
  <c r="Y24" i="21"/>
  <c r="Z24" i="21"/>
  <c r="AA24" i="21"/>
  <c r="AB24" i="21"/>
  <c r="AC24" i="21"/>
  <c r="AD24" i="21"/>
  <c r="AF24" i="21"/>
  <c r="AH24" i="21"/>
  <c r="AI24" i="21"/>
  <c r="AJ24" i="21"/>
  <c r="AK24" i="21"/>
  <c r="AP24" i="21"/>
  <c r="AQ24" i="21"/>
  <c r="AW25" i="21"/>
  <c r="N25" i="21"/>
  <c r="O25" i="21"/>
  <c r="P25" i="21"/>
  <c r="Q25" i="21"/>
  <c r="R25" i="21"/>
  <c r="S25" i="21"/>
  <c r="U25" i="21"/>
  <c r="V25" i="21"/>
  <c r="Y25" i="21"/>
  <c r="Z25" i="21"/>
  <c r="AA25" i="21"/>
  <c r="AB25" i="21"/>
  <c r="AC25" i="21"/>
  <c r="AD25" i="21"/>
  <c r="AF25" i="21"/>
  <c r="AH25" i="21"/>
  <c r="AI25" i="21"/>
  <c r="AJ25" i="21"/>
  <c r="AK25" i="21"/>
  <c r="AP25" i="21"/>
  <c r="AQ25" i="21"/>
  <c r="B22" i="21"/>
  <c r="C61" i="21" l="1"/>
  <c r="C60" i="21"/>
  <c r="C62" i="21"/>
  <c r="J71" i="21"/>
  <c r="J48" i="21"/>
  <c r="J55" i="21"/>
  <c r="J32" i="21"/>
  <c r="J65" i="21"/>
  <c r="J42" i="21"/>
  <c r="J57" i="21"/>
  <c r="J34" i="21"/>
  <c r="J64" i="21"/>
  <c r="J41" i="21"/>
  <c r="J56" i="21"/>
  <c r="J33" i="21"/>
  <c r="J63" i="21"/>
  <c r="J40" i="21"/>
  <c r="J61" i="21"/>
  <c r="J38" i="21"/>
  <c r="J68" i="21"/>
  <c r="J45" i="21"/>
  <c r="J60" i="21"/>
  <c r="J37" i="21"/>
  <c r="J52" i="21"/>
  <c r="J29" i="21"/>
  <c r="J70" i="21"/>
  <c r="J47" i="21"/>
  <c r="J69" i="21"/>
  <c r="J46" i="21"/>
  <c r="J53" i="21"/>
  <c r="J30" i="21"/>
  <c r="J67" i="21"/>
  <c r="J44" i="21"/>
  <c r="J59" i="21"/>
  <c r="J36" i="21"/>
  <c r="J62" i="21"/>
  <c r="J39" i="21"/>
  <c r="J31" i="21"/>
  <c r="J54" i="21"/>
  <c r="J66" i="21"/>
  <c r="J43" i="21"/>
  <c r="J58" i="21"/>
  <c r="J35" i="21"/>
  <c r="D22" i="2"/>
  <c r="D22" i="22"/>
  <c r="D99" i="3"/>
  <c r="D99" i="23"/>
  <c r="D24" i="23"/>
  <c r="C29" i="21"/>
  <c r="C47" i="21"/>
  <c r="C68" i="21"/>
  <c r="C31" i="21"/>
  <c r="C53" i="21"/>
  <c r="C35" i="21"/>
  <c r="C69" i="21"/>
  <c r="C66" i="21"/>
  <c r="C59" i="21"/>
  <c r="C67" i="21"/>
  <c r="C71" i="21"/>
  <c r="C65" i="21"/>
  <c r="C63" i="21"/>
  <c r="C57" i="21"/>
  <c r="C55" i="21"/>
  <c r="C41" i="21"/>
  <c r="C33" i="21"/>
  <c r="AW6" i="21"/>
  <c r="D66" i="21"/>
  <c r="F46" i="21"/>
  <c r="F53" i="21"/>
  <c r="H63" i="21"/>
  <c r="F54" i="21"/>
  <c r="G52" i="21"/>
  <c r="F65" i="21"/>
  <c r="H67" i="21"/>
  <c r="F57" i="21"/>
  <c r="H55" i="21"/>
  <c r="D39" i="21"/>
  <c r="H43" i="21"/>
  <c r="H70" i="21"/>
  <c r="H45" i="21"/>
  <c r="D44" i="21"/>
  <c r="H29" i="21"/>
  <c r="H54" i="21"/>
  <c r="H36" i="21"/>
  <c r="H71" i="21"/>
  <c r="H62" i="21"/>
  <c r="F61" i="21"/>
  <c r="F70" i="21"/>
  <c r="D47" i="21"/>
  <c r="D31" i="21"/>
  <c r="D58" i="21"/>
  <c r="F33" i="21"/>
  <c r="H37" i="21"/>
  <c r="D36" i="21"/>
  <c r="F41" i="21"/>
  <c r="H35" i="21"/>
  <c r="F62" i="21"/>
  <c r="B68" i="21"/>
  <c r="B45" i="21"/>
  <c r="F52" i="21"/>
  <c r="D48" i="21"/>
  <c r="D40" i="21"/>
  <c r="D45" i="21"/>
  <c r="H41" i="21"/>
  <c r="D37" i="21"/>
  <c r="H33" i="21"/>
  <c r="D29" i="21"/>
  <c r="F66" i="21"/>
  <c r="D64" i="21"/>
  <c r="F58" i="21"/>
  <c r="D56" i="21"/>
  <c r="D32" i="21"/>
  <c r="H46" i="21"/>
  <c r="F44" i="21"/>
  <c r="D42" i="21"/>
  <c r="H38" i="21"/>
  <c r="F36" i="21"/>
  <c r="D34" i="21"/>
  <c r="H30" i="21"/>
  <c r="F71" i="21"/>
  <c r="D69" i="21"/>
  <c r="H65" i="21"/>
  <c r="F63" i="21"/>
  <c r="D61" i="21"/>
  <c r="H57" i="21"/>
  <c r="F55" i="21"/>
  <c r="D53" i="21"/>
  <c r="F68" i="21"/>
  <c r="F60" i="21"/>
  <c r="B25" i="21"/>
  <c r="B16" i="21"/>
  <c r="B19" i="21"/>
  <c r="B9" i="21"/>
  <c r="B15" i="21"/>
  <c r="B13" i="21"/>
  <c r="B7" i="21"/>
  <c r="B14" i="21"/>
  <c r="B21" i="21"/>
  <c r="B6" i="21"/>
  <c r="B10" i="21"/>
  <c r="B17" i="21"/>
  <c r="B8" i="21"/>
  <c r="B20" i="21"/>
  <c r="B24" i="21"/>
  <c r="B23" i="21"/>
  <c r="B11" i="21"/>
  <c r="B12" i="21"/>
  <c r="B18" i="21"/>
  <c r="D7" i="2"/>
  <c r="B60" i="21" l="1"/>
  <c r="B37" i="21"/>
  <c r="B52" i="21"/>
  <c r="B29" i="21"/>
  <c r="B47" i="21"/>
  <c r="B70" i="21"/>
  <c r="B39" i="21"/>
  <c r="B62" i="21"/>
  <c r="B63" i="21"/>
  <c r="B40" i="21"/>
  <c r="B33" i="21"/>
  <c r="B56" i="21"/>
  <c r="B55" i="21"/>
  <c r="B32" i="21"/>
  <c r="B71" i="21"/>
  <c r="B48" i="21"/>
  <c r="B34" i="21"/>
  <c r="B57" i="21"/>
  <c r="B42" i="21"/>
  <c r="B65" i="21"/>
  <c r="B58" i="21"/>
  <c r="B35" i="21"/>
  <c r="B66" i="21"/>
  <c r="B43" i="21"/>
  <c r="B36" i="21"/>
  <c r="B59" i="21"/>
  <c r="B69" i="21"/>
  <c r="B46" i="21"/>
  <c r="B41" i="21"/>
  <c r="B64" i="21"/>
  <c r="B53" i="21"/>
  <c r="B30" i="21"/>
  <c r="B61" i="21"/>
  <c r="B38" i="21"/>
  <c r="B31" i="21"/>
  <c r="B54" i="21"/>
  <c r="B44" i="21"/>
  <c r="B67" i="21"/>
  <c r="D8" i="2"/>
  <c r="D8" i="3"/>
  <c r="H32" i="22" l="1"/>
  <c r="I32" i="22"/>
  <c r="J32" i="22"/>
  <c r="H33" i="22"/>
  <c r="I33" i="22"/>
  <c r="J33" i="22"/>
  <c r="H34" i="22"/>
  <c r="I34" i="22"/>
  <c r="J34" i="22"/>
  <c r="H35" i="22"/>
  <c r="I35" i="22"/>
  <c r="J35" i="22"/>
  <c r="H36" i="22"/>
  <c r="I36" i="22"/>
  <c r="J36" i="22"/>
  <c r="H37" i="22"/>
  <c r="I37" i="22"/>
  <c r="J37" i="22"/>
  <c r="H38" i="22"/>
  <c r="I38" i="22"/>
  <c r="J38" i="22"/>
  <c r="H39" i="22"/>
  <c r="I39" i="22"/>
  <c r="J39" i="22"/>
  <c r="H40" i="22"/>
  <c r="I40" i="22"/>
  <c r="J40" i="22"/>
  <c r="H41" i="22"/>
  <c r="I41" i="22"/>
  <c r="J41" i="22"/>
  <c r="H42" i="22"/>
  <c r="I42" i="22"/>
  <c r="J42" i="22"/>
  <c r="H43" i="22"/>
  <c r="I43" i="22"/>
  <c r="J43" i="22"/>
  <c r="H44" i="22"/>
  <c r="I44" i="22"/>
  <c r="J44" i="22"/>
  <c r="H45" i="22"/>
  <c r="I45" i="22"/>
  <c r="J45" i="22"/>
  <c r="H46" i="22"/>
  <c r="I46" i="22"/>
  <c r="J46" i="22"/>
  <c r="H47" i="22"/>
  <c r="I47" i="22"/>
  <c r="J47" i="22"/>
  <c r="H48" i="22"/>
  <c r="I48" i="22"/>
  <c r="J48" i="22"/>
  <c r="H49" i="22"/>
  <c r="I49" i="22"/>
  <c r="J49" i="22"/>
  <c r="H50" i="22"/>
  <c r="I50" i="22"/>
  <c r="J50" i="22"/>
  <c r="H51" i="22"/>
  <c r="I51" i="22"/>
  <c r="J51" i="22"/>
  <c r="H52" i="22"/>
  <c r="I52" i="22"/>
  <c r="J52" i="22"/>
  <c r="H53" i="22"/>
  <c r="I53" i="22"/>
  <c r="J53" i="22"/>
  <c r="H54" i="22"/>
  <c r="I54" i="22"/>
  <c r="J54" i="22"/>
  <c r="H55" i="22"/>
  <c r="I55" i="22"/>
  <c r="J55" i="22"/>
  <c r="H56" i="22"/>
  <c r="I56" i="22"/>
  <c r="J56" i="22"/>
  <c r="F32" i="22"/>
  <c r="F33" i="22"/>
  <c r="F34" i="22"/>
  <c r="F35" i="22"/>
  <c r="F36" i="22"/>
  <c r="F37" i="22"/>
  <c r="F38" i="22"/>
  <c r="F39" i="22"/>
  <c r="F40" i="22"/>
  <c r="F41" i="22"/>
  <c r="F42" i="22"/>
  <c r="F43" i="22"/>
  <c r="F44" i="22"/>
  <c r="F45" i="22"/>
  <c r="F46" i="22"/>
  <c r="F47" i="22"/>
  <c r="F48" i="22"/>
  <c r="F49" i="22"/>
  <c r="F50" i="22"/>
  <c r="F51" i="22"/>
  <c r="F52" i="22"/>
  <c r="F53" i="22"/>
  <c r="F54" i="22"/>
  <c r="F55" i="22"/>
  <c r="F56" i="22"/>
  <c r="X52" i="21" l="1"/>
  <c r="W52" i="21"/>
  <c r="X29" i="21"/>
  <c r="X6" i="21" s="1"/>
  <c r="W29" i="21"/>
  <c r="W6" i="21" s="1"/>
  <c r="X53" i="21"/>
  <c r="W53" i="21"/>
  <c r="X30" i="21"/>
  <c r="X7" i="21" s="1"/>
  <c r="W30" i="21"/>
  <c r="W7" i="21" s="1"/>
  <c r="X54" i="21"/>
  <c r="W54" i="21"/>
  <c r="X31" i="21"/>
  <c r="X8" i="21" s="1"/>
  <c r="W31" i="21"/>
  <c r="W8" i="21" s="1"/>
  <c r="X55" i="21"/>
  <c r="W55" i="21"/>
  <c r="X32" i="21"/>
  <c r="X9" i="21" s="1"/>
  <c r="W32" i="21"/>
  <c r="W9" i="21" s="1"/>
  <c r="X56" i="21"/>
  <c r="W56" i="21"/>
  <c r="X33" i="21"/>
  <c r="X10" i="21" s="1"/>
  <c r="W33" i="21"/>
  <c r="W10" i="21" s="1"/>
  <c r="X57" i="21"/>
  <c r="W57" i="21"/>
  <c r="X34" i="21"/>
  <c r="X11" i="21" s="1"/>
  <c r="W34" i="21"/>
  <c r="W11" i="21" s="1"/>
  <c r="X58" i="21"/>
  <c r="W58" i="21"/>
  <c r="X35" i="21"/>
  <c r="X12" i="21" s="1"/>
  <c r="W35" i="21"/>
  <c r="W12" i="21" s="1"/>
  <c r="X59" i="21"/>
  <c r="W59" i="21"/>
  <c r="X36" i="21"/>
  <c r="X13" i="21" s="1"/>
  <c r="W36" i="21"/>
  <c r="W13" i="21" s="1"/>
  <c r="X60" i="21"/>
  <c r="W60" i="21"/>
  <c r="X37" i="21"/>
  <c r="X14" i="21" s="1"/>
  <c r="W37" i="21"/>
  <c r="W14" i="21" s="1"/>
  <c r="X61" i="21"/>
  <c r="W61" i="21"/>
  <c r="X38" i="21"/>
  <c r="X15" i="21" s="1"/>
  <c r="W38" i="21"/>
  <c r="W15" i="21" s="1"/>
  <c r="X62" i="21"/>
  <c r="W62" i="21"/>
  <c r="X39" i="21"/>
  <c r="X16" i="21" s="1"/>
  <c r="W39" i="21"/>
  <c r="W16" i="21" s="1"/>
  <c r="X63" i="21"/>
  <c r="W63" i="21"/>
  <c r="X40" i="21"/>
  <c r="X17" i="21" s="1"/>
  <c r="W40" i="21"/>
  <c r="W17" i="21" s="1"/>
  <c r="X64" i="21"/>
  <c r="W64" i="21"/>
  <c r="X41" i="21"/>
  <c r="X18" i="21" s="1"/>
  <c r="W41" i="21"/>
  <c r="W18" i="21" s="1"/>
  <c r="X65" i="21"/>
  <c r="W65" i="21"/>
  <c r="X42" i="21"/>
  <c r="X19" i="21" s="1"/>
  <c r="W42" i="21"/>
  <c r="W19" i="21" s="1"/>
  <c r="X66" i="21"/>
  <c r="W66" i="21"/>
  <c r="X43" i="21"/>
  <c r="X20" i="21" s="1"/>
  <c r="W43" i="21"/>
  <c r="W20" i="21" s="1"/>
  <c r="X67" i="21"/>
  <c r="W67" i="21"/>
  <c r="X44" i="21"/>
  <c r="X21" i="21" s="1"/>
  <c r="W44" i="21"/>
  <c r="W21" i="21" s="1"/>
  <c r="X68" i="21"/>
  <c r="W68" i="21"/>
  <c r="X45" i="21"/>
  <c r="X22" i="21" s="1"/>
  <c r="W45" i="21"/>
  <c r="W22" i="21" s="1"/>
  <c r="X69" i="21"/>
  <c r="W69" i="21"/>
  <c r="X46" i="21"/>
  <c r="X23" i="21" s="1"/>
  <c r="W46" i="21"/>
  <c r="W23" i="21" s="1"/>
  <c r="X70" i="21"/>
  <c r="W70" i="21"/>
  <c r="X47" i="21"/>
  <c r="X24" i="21" s="1"/>
  <c r="W47" i="21"/>
  <c r="W24" i="21" s="1"/>
  <c r="X71" i="21"/>
  <c r="W71" i="21"/>
  <c r="X48" i="21"/>
  <c r="X25" i="21" s="1"/>
  <c r="W48" i="21"/>
  <c r="W25" i="21" s="1"/>
  <c r="AG30" i="21"/>
  <c r="AG44" i="21"/>
  <c r="AG46" i="21"/>
  <c r="AG67" i="21"/>
  <c r="AG39" i="21"/>
  <c r="AG69" i="21"/>
  <c r="AG63" i="21"/>
  <c r="AG37" i="21"/>
  <c r="AG55" i="21"/>
  <c r="AG65" i="21"/>
  <c r="AG52" i="21"/>
  <c r="AG41" i="21"/>
  <c r="AG64" i="21"/>
  <c r="AG40" i="21"/>
  <c r="AG47" i="21"/>
  <c r="AG54" i="21"/>
  <c r="AG35" i="21"/>
  <c r="AG62" i="21"/>
  <c r="AG33" i="21"/>
  <c r="AG59" i="21"/>
  <c r="AG38" i="21"/>
  <c r="AG57" i="21"/>
  <c r="AG31" i="21"/>
  <c r="AG32" i="21"/>
  <c r="AG66" i="21"/>
  <c r="AG58" i="21"/>
  <c r="AG45" i="21"/>
  <c r="AG42" i="21"/>
  <c r="AG70" i="21"/>
  <c r="AG43" i="21"/>
  <c r="AG71" i="21"/>
  <c r="AG53" i="21"/>
  <c r="AG61" i="21"/>
  <c r="AG56" i="21"/>
  <c r="AG48" i="21"/>
  <c r="AG60" i="21"/>
  <c r="AG36" i="21"/>
  <c r="AG34" i="21"/>
  <c r="AG68" i="21"/>
  <c r="AG29" i="21"/>
  <c r="AG12" i="21" l="1"/>
  <c r="AG18" i="21"/>
  <c r="AG15" i="21"/>
  <c r="AG10" i="21"/>
  <c r="AG11" i="21"/>
  <c r="AG8" i="21"/>
  <c r="AG23" i="21"/>
  <c r="AG22" i="21"/>
  <c r="AG13" i="21"/>
  <c r="AG24" i="21"/>
  <c r="AG17" i="21"/>
  <c r="AG21" i="21"/>
  <c r="AG6" i="21"/>
  <c r="AG20" i="21"/>
  <c r="AG25" i="21"/>
  <c r="AG9" i="21"/>
  <c r="AG14" i="21"/>
  <c r="AG16" i="21"/>
  <c r="AG19" i="21"/>
  <c r="AG7" i="21"/>
  <c r="J54" i="23"/>
  <c r="G53" i="22"/>
  <c r="G56" i="22"/>
  <c r="G54" i="22"/>
  <c r="G55" i="22"/>
  <c r="G101" i="23"/>
  <c r="G36" i="22"/>
  <c r="G40" i="22"/>
  <c r="G48" i="22"/>
  <c r="G41" i="22"/>
  <c r="G49" i="22"/>
  <c r="G42" i="22"/>
  <c r="G50" i="22"/>
  <c r="G52" i="22"/>
  <c r="G43" i="22"/>
  <c r="G51" i="22"/>
  <c r="G44" i="22"/>
  <c r="G45" i="22"/>
  <c r="G46" i="22"/>
  <c r="G47" i="22"/>
  <c r="G35" i="22"/>
  <c r="J53" i="23"/>
  <c r="G98" i="23"/>
  <c r="G32" i="22"/>
  <c r="J52" i="23"/>
  <c r="G97" i="23"/>
  <c r="G109" i="23"/>
  <c r="G106" i="23"/>
  <c r="G39" i="22"/>
  <c r="J60" i="23"/>
  <c r="G105" i="23"/>
  <c r="J62" i="23"/>
  <c r="J61" i="23"/>
  <c r="G38" i="22"/>
  <c r="J58" i="23"/>
  <c r="G104" i="23"/>
  <c r="G96" i="23"/>
  <c r="G95" i="23"/>
  <c r="G37" i="22"/>
  <c r="J55" i="23"/>
  <c r="G103" i="23"/>
  <c r="T33" i="21"/>
  <c r="T10" i="21" s="1"/>
  <c r="AE33" i="21"/>
  <c r="AE10" i="21" s="1"/>
  <c r="T67" i="21"/>
  <c r="AE67" i="21"/>
  <c r="T47" i="21"/>
  <c r="T24" i="21" s="1"/>
  <c r="AE47" i="21"/>
  <c r="AE24" i="21" s="1"/>
  <c r="T53" i="21"/>
  <c r="AE53" i="21"/>
  <c r="T69" i="21"/>
  <c r="AE69" i="21"/>
  <c r="AE46" i="21"/>
  <c r="AE23" i="21" s="1"/>
  <c r="T46" i="21"/>
  <c r="T23" i="21" s="1"/>
  <c r="T41" i="21"/>
  <c r="T18" i="21" s="1"/>
  <c r="AE41" i="21"/>
  <c r="AE18" i="21" s="1"/>
  <c r="T59" i="21"/>
  <c r="AE59" i="21"/>
  <c r="T61" i="21"/>
  <c r="AE61" i="21"/>
  <c r="T31" i="21"/>
  <c r="T8" i="21" s="1"/>
  <c r="AE31" i="21"/>
  <c r="AE8" i="21" s="1"/>
  <c r="T39" i="21"/>
  <c r="T16" i="21" s="1"/>
  <c r="AE39" i="21"/>
  <c r="AE16" i="21" s="1"/>
  <c r="T48" i="21"/>
  <c r="T25" i="21" s="1"/>
  <c r="AE48" i="21"/>
  <c r="AE25" i="21" s="1"/>
  <c r="T68" i="21"/>
  <c r="AE68" i="21"/>
  <c r="T40" i="21"/>
  <c r="T17" i="21" s="1"/>
  <c r="AE40" i="21"/>
  <c r="AE17" i="21" s="1"/>
  <c r="T60" i="21"/>
  <c r="AE60" i="21"/>
  <c r="T32" i="21"/>
  <c r="T9" i="21" s="1"/>
  <c r="AE32" i="21"/>
  <c r="AE9" i="21" s="1"/>
  <c r="T52" i="21"/>
  <c r="AE52" i="21"/>
  <c r="T66" i="21"/>
  <c r="AE66" i="21"/>
  <c r="AE38" i="21"/>
  <c r="AE15" i="21" s="1"/>
  <c r="T38" i="21"/>
  <c r="T15" i="21" s="1"/>
  <c r="T58" i="21"/>
  <c r="AE58" i="21"/>
  <c r="AE30" i="21"/>
  <c r="AE7" i="21" s="1"/>
  <c r="T30" i="21"/>
  <c r="T7" i="21" s="1"/>
  <c r="AE45" i="21"/>
  <c r="AE22" i="21" s="1"/>
  <c r="T45" i="21"/>
  <c r="T22" i="21" s="1"/>
  <c r="T65" i="21"/>
  <c r="AE65" i="21"/>
  <c r="AE37" i="21"/>
  <c r="AE14" i="21" s="1"/>
  <c r="T37" i="21"/>
  <c r="T14" i="21" s="1"/>
  <c r="T57" i="21"/>
  <c r="AE57" i="21"/>
  <c r="AE29" i="21"/>
  <c r="AE6" i="21" s="1"/>
  <c r="T29" i="21"/>
  <c r="T6" i="21" s="1"/>
  <c r="AE44" i="21"/>
  <c r="AE21" i="21" s="1"/>
  <c r="T44" i="21"/>
  <c r="T21" i="21" s="1"/>
  <c r="AE71" i="21"/>
  <c r="T71" i="21"/>
  <c r="T43" i="21"/>
  <c r="T20" i="21" s="1"/>
  <c r="AE43" i="21"/>
  <c r="AE20" i="21" s="1"/>
  <c r="AE63" i="21"/>
  <c r="T63" i="21"/>
  <c r="T35" i="21"/>
  <c r="T12" i="21" s="1"/>
  <c r="AE35" i="21"/>
  <c r="AE12" i="21" s="1"/>
  <c r="AE55" i="21"/>
  <c r="T55" i="21"/>
  <c r="AE64" i="21"/>
  <c r="T64" i="21"/>
  <c r="AE36" i="21"/>
  <c r="AE13" i="21" s="1"/>
  <c r="T36" i="21"/>
  <c r="T13" i="21" s="1"/>
  <c r="AE56" i="21"/>
  <c r="T56" i="21"/>
  <c r="AE70" i="21"/>
  <c r="T70" i="21"/>
  <c r="T42" i="21"/>
  <c r="T19" i="21" s="1"/>
  <c r="AE42" i="21"/>
  <c r="AE19" i="21" s="1"/>
  <c r="AE62" i="21"/>
  <c r="T62" i="21"/>
  <c r="T34" i="21"/>
  <c r="T11" i="21" s="1"/>
  <c r="AE34" i="21"/>
  <c r="AE11" i="21" s="1"/>
  <c r="AE54" i="21"/>
  <c r="T54" i="21"/>
  <c r="J59" i="23"/>
  <c r="G110" i="23"/>
  <c r="G102" i="23"/>
  <c r="G94" i="23"/>
  <c r="G34" i="22"/>
  <c r="J57" i="23"/>
  <c r="G108" i="23"/>
  <c r="G100" i="23"/>
  <c r="G33" i="22"/>
  <c r="J56" i="23"/>
  <c r="G107" i="23"/>
  <c r="G99" i="23"/>
  <c r="D7" i="22"/>
  <c r="D9" i="3" l="1"/>
  <c r="D8" i="22"/>
  <c r="D8" i="23"/>
  <c r="D9" i="23" l="1"/>
  <c r="M33" i="21" l="1"/>
  <c r="M10" i="21" s="1"/>
  <c r="M71" i="21"/>
  <c r="M40" i="21"/>
  <c r="M17" i="21" s="1"/>
  <c r="M59" i="21"/>
  <c r="M69" i="21"/>
  <c r="M43" i="21"/>
  <c r="M20" i="21" s="1"/>
  <c r="M61" i="21"/>
  <c r="M35" i="21"/>
  <c r="M12" i="21" s="1"/>
  <c r="M42" i="21"/>
  <c r="M19" i="21" s="1"/>
  <c r="M53" i="21"/>
  <c r="M55" i="21"/>
  <c r="M34" i="21"/>
  <c r="M11" i="21" s="1"/>
  <c r="M68" i="21"/>
  <c r="M62" i="21"/>
  <c r="M39" i="21"/>
  <c r="M16" i="21" s="1"/>
  <c r="M41" i="21"/>
  <c r="M18" i="21" s="1"/>
  <c r="M64" i="21"/>
  <c r="M60" i="21"/>
  <c r="M37" i="21"/>
  <c r="M14" i="21" s="1"/>
  <c r="M54" i="21"/>
  <c r="M31" i="21"/>
  <c r="M8" i="21" s="1"/>
  <c r="M52" i="21"/>
  <c r="M29" i="21"/>
  <c r="M6" i="21" s="1"/>
  <c r="M70" i="21"/>
  <c r="M47" i="21"/>
  <c r="M24" i="21" s="1"/>
  <c r="M67" i="21"/>
  <c r="M44" i="21"/>
  <c r="M21" i="21" s="1"/>
  <c r="M38" i="21" l="1"/>
  <c r="M32" i="21"/>
  <c r="M36" i="21"/>
  <c r="M63" i="21"/>
  <c r="M56" i="21"/>
  <c r="M66" i="21"/>
  <c r="M48" i="21"/>
  <c r="M57" i="21"/>
  <c r="M30" i="21"/>
  <c r="M46" i="21"/>
  <c r="M45" i="21"/>
  <c r="M65" i="21"/>
  <c r="M58" i="21"/>
  <c r="M25" i="21" l="1"/>
  <c r="M22" i="21"/>
  <c r="M13" i="21"/>
  <c r="M23" i="21"/>
  <c r="M9" i="21"/>
  <c r="M7" i="21"/>
  <c r="M15" i="21"/>
  <c r="L62" i="21"/>
  <c r="AL62" i="21" s="1"/>
  <c r="AN62" i="21" s="1"/>
  <c r="L29" i="21"/>
  <c r="AL29" i="21" s="1"/>
  <c r="L52" i="21"/>
  <c r="AL52" i="21" s="1"/>
  <c r="AN52" i="21" s="1"/>
  <c r="AT52" i="21"/>
  <c r="AR52" i="21"/>
  <c r="AS52" i="21"/>
  <c r="AT62" i="21"/>
  <c r="AR62" i="21"/>
  <c r="AS62" i="21"/>
  <c r="AL6" i="21" l="1"/>
  <c r="AN29" i="21"/>
  <c r="AT29" i="21"/>
  <c r="AR29" i="21"/>
  <c r="AS29" i="21"/>
  <c r="AR6" i="21" l="1"/>
  <c r="AS6" i="21"/>
  <c r="AU6" i="21"/>
  <c r="AT6" i="21"/>
  <c r="AN6" i="21"/>
  <c r="AV6" i="21"/>
  <c r="AY6" i="21" l="1"/>
  <c r="AX6" i="21"/>
  <c r="L37" i="21"/>
  <c r="AL37" i="21" s="1"/>
  <c r="L60" i="21"/>
  <c r="AL60" i="21" s="1"/>
  <c r="AN60" i="21" s="1"/>
  <c r="AS60" i="21"/>
  <c r="AT60" i="21"/>
  <c r="AR60" i="21"/>
  <c r="AL14" i="21" l="1"/>
  <c r="AN37" i="21"/>
  <c r="L39" i="21"/>
  <c r="AL39" i="21" s="1"/>
  <c r="AL16" i="21" s="1"/>
  <c r="AR37" i="21"/>
  <c r="AS37" i="21"/>
  <c r="AT37" i="21"/>
  <c r="AR14" i="21" l="1"/>
  <c r="AN39" i="21"/>
  <c r="AN14" i="21"/>
  <c r="AT39" i="21"/>
  <c r="AS39" i="21"/>
  <c r="AR39" i="21"/>
  <c r="AR16" i="21" l="1"/>
  <c r="AU14" i="21"/>
  <c r="AS14" i="21"/>
  <c r="AT14" i="21"/>
  <c r="AN16" i="21"/>
  <c r="AV14" i="21"/>
  <c r="AS16" i="21" l="1"/>
  <c r="AT16" i="21"/>
  <c r="AU16" i="21"/>
  <c r="AY14" i="21"/>
  <c r="AX14" i="21"/>
  <c r="L47" i="21"/>
  <c r="AL47" i="21" s="1"/>
  <c r="L70" i="21"/>
  <c r="AL70" i="21" s="1"/>
  <c r="AN70" i="21" s="1"/>
  <c r="AT70" i="21"/>
  <c r="AS70" i="21"/>
  <c r="AR70" i="21"/>
  <c r="AV16" i="21"/>
  <c r="AY16" i="21" l="1"/>
  <c r="AX16" i="21"/>
  <c r="AL24" i="21"/>
  <c r="AN47" i="21"/>
  <c r="AT47" i="21"/>
  <c r="AS47" i="21"/>
  <c r="AR47" i="21"/>
  <c r="AR24" i="21" l="1"/>
  <c r="AN24" i="21"/>
  <c r="AT24" i="21" l="1"/>
  <c r="AU24" i="21"/>
  <c r="AS24" i="21"/>
  <c r="L41" i="21"/>
  <c r="AL41" i="21" s="1"/>
  <c r="L64" i="21"/>
  <c r="AL64" i="21" s="1"/>
  <c r="AN64" i="21" s="1"/>
  <c r="AT64" i="21"/>
  <c r="AS64" i="21"/>
  <c r="AV24" i="21"/>
  <c r="AR64" i="21"/>
  <c r="AY24" i="21" l="1"/>
  <c r="AX24" i="21"/>
  <c r="AL18" i="21"/>
  <c r="AN41" i="21"/>
  <c r="AS41" i="21"/>
  <c r="AR41" i="21"/>
  <c r="AT41" i="21"/>
  <c r="AR18" i="21" l="1"/>
  <c r="AN18" i="21"/>
  <c r="AT18" i="21" l="1"/>
  <c r="AS18" i="21"/>
  <c r="AU18" i="21"/>
  <c r="L31" i="21"/>
  <c r="AL31" i="21" s="1"/>
  <c r="L54" i="21"/>
  <c r="AL54" i="21" s="1"/>
  <c r="AN54" i="21" s="1"/>
  <c r="AR54" i="21"/>
  <c r="AS54" i="21"/>
  <c r="AT54" i="21"/>
  <c r="AV18" i="21"/>
  <c r="AX18" i="21" l="1"/>
  <c r="AY18" i="21"/>
  <c r="AL8" i="21"/>
  <c r="AN31" i="21"/>
  <c r="AR31" i="21"/>
  <c r="AT31" i="21"/>
  <c r="AS31" i="21"/>
  <c r="AR8" i="21" l="1"/>
  <c r="AN8" i="21"/>
  <c r="AS8" i="21" l="1"/>
  <c r="AU8" i="21"/>
  <c r="AT8" i="21"/>
  <c r="L44" i="21"/>
  <c r="AL44" i="21" s="1"/>
  <c r="L67" i="21"/>
  <c r="AL67" i="21" s="1"/>
  <c r="AN67" i="21" s="1"/>
  <c r="AR67" i="21"/>
  <c r="AV8" i="21"/>
  <c r="AS67" i="21"/>
  <c r="AT67" i="21"/>
  <c r="AY8" i="21" l="1"/>
  <c r="AX8" i="21"/>
  <c r="AL21" i="21"/>
  <c r="AN44" i="21"/>
  <c r="L55" i="21"/>
  <c r="AL55" i="21" s="1"/>
  <c r="AN55" i="21" s="1"/>
  <c r="AT44" i="21"/>
  <c r="AR44" i="21"/>
  <c r="AS44" i="21"/>
  <c r="AT55" i="21"/>
  <c r="AS55" i="21"/>
  <c r="AR55" i="21"/>
  <c r="AR21" i="21" l="1"/>
  <c r="AN21" i="21"/>
  <c r="AU21" i="21" l="1"/>
  <c r="AT21" i="21"/>
  <c r="AS21" i="21"/>
  <c r="L46" i="21"/>
  <c r="AL46" i="21" s="1"/>
  <c r="L69" i="21"/>
  <c r="AL69" i="21" s="1"/>
  <c r="AN69" i="21" s="1"/>
  <c r="AV21" i="21"/>
  <c r="AS69" i="21"/>
  <c r="AT69" i="21"/>
  <c r="AR69" i="21"/>
  <c r="AY21" i="21" l="1"/>
  <c r="AX21" i="21"/>
  <c r="AL23" i="21"/>
  <c r="AN46" i="21"/>
  <c r="L71" i="21"/>
  <c r="AL71" i="21" s="1"/>
  <c r="AN71" i="21" s="1"/>
  <c r="AT46" i="21"/>
  <c r="AS71" i="21"/>
  <c r="AS46" i="21"/>
  <c r="AR71" i="21"/>
  <c r="AR46" i="21"/>
  <c r="AT71" i="21"/>
  <c r="AR23" i="21" l="1"/>
  <c r="AN23" i="21"/>
  <c r="AT23" i="21" l="1"/>
  <c r="AS23" i="21"/>
  <c r="AU23" i="21"/>
  <c r="L59" i="21"/>
  <c r="AL59" i="21" s="1"/>
  <c r="AN59" i="21" s="1"/>
  <c r="L68" i="21"/>
  <c r="AL68" i="21" s="1"/>
  <c r="AN68" i="21" s="1"/>
  <c r="L36" i="21"/>
  <c r="AL36" i="21" s="1"/>
  <c r="AS59" i="21"/>
  <c r="AR68" i="21"/>
  <c r="AS68" i="21"/>
  <c r="AT68" i="21"/>
  <c r="AT59" i="21"/>
  <c r="AV23" i="21"/>
  <c r="AR59" i="21"/>
  <c r="AY23" i="21" l="1"/>
  <c r="AX23" i="21"/>
  <c r="AL13" i="21"/>
  <c r="AN36" i="21"/>
  <c r="AS36" i="21"/>
  <c r="AR36" i="21"/>
  <c r="AT36" i="21"/>
  <c r="AZ24" i="21" l="1"/>
  <c r="AR13" i="21"/>
  <c r="AN13" i="21"/>
  <c r="L65" i="21"/>
  <c r="AL65" i="21" s="1"/>
  <c r="AN65" i="21" s="1"/>
  <c r="AR65" i="21"/>
  <c r="AT65" i="21"/>
  <c r="AS65" i="21"/>
  <c r="AS13" i="21" l="1"/>
  <c r="AT13" i="21"/>
  <c r="AU13" i="21"/>
  <c r="L38" i="21"/>
  <c r="AL38" i="21" s="1"/>
  <c r="L61" i="21"/>
  <c r="AL61" i="21" s="1"/>
  <c r="AN61" i="21" s="1"/>
  <c r="AR61" i="21"/>
  <c r="AS61" i="21"/>
  <c r="AV13" i="21"/>
  <c r="AT61" i="21"/>
  <c r="AY13" i="21" l="1"/>
  <c r="AX13" i="21"/>
  <c r="AZ14" i="21" s="1"/>
  <c r="AL15" i="21"/>
  <c r="AN38" i="21"/>
  <c r="L45" i="21"/>
  <c r="AL45" i="21" s="1"/>
  <c r="AL22" i="21" s="1"/>
  <c r="AS38" i="21"/>
  <c r="AT38" i="21"/>
  <c r="AR38" i="21"/>
  <c r="AR15" i="21" l="1"/>
  <c r="AN15" i="21"/>
  <c r="AN45" i="21"/>
  <c r="AT45" i="21"/>
  <c r="AR45" i="21"/>
  <c r="AS45" i="21"/>
  <c r="AR22" i="21" l="1"/>
  <c r="AU15" i="21"/>
  <c r="AS15" i="21"/>
  <c r="AT15" i="21"/>
  <c r="AN22" i="21"/>
  <c r="L32" i="21"/>
  <c r="AL32" i="21" s="1"/>
  <c r="AV15" i="21"/>
  <c r="AU22" i="21" l="1"/>
  <c r="AS22" i="21"/>
  <c r="AT22" i="21"/>
  <c r="AY15" i="21"/>
  <c r="AX15" i="21"/>
  <c r="AL9" i="21"/>
  <c r="AN32" i="21"/>
  <c r="AN9" i="21" s="1"/>
  <c r="AS32" i="21"/>
  <c r="AV22" i="21"/>
  <c r="AT32" i="21"/>
  <c r="AR32" i="21"/>
  <c r="AY22" i="21" l="1"/>
  <c r="AX22" i="21"/>
  <c r="AZ15" i="21"/>
  <c r="AZ16" i="21"/>
  <c r="AR9" i="21"/>
  <c r="L48" i="21"/>
  <c r="AL48" i="21" s="1"/>
  <c r="AZ22" i="21" l="1"/>
  <c r="AZ23" i="21"/>
  <c r="AT9" i="21"/>
  <c r="AU9" i="21"/>
  <c r="AS9" i="21"/>
  <c r="AL25" i="21"/>
  <c r="AN48" i="21"/>
  <c r="AT48" i="21"/>
  <c r="AS48" i="21"/>
  <c r="AR48" i="21"/>
  <c r="AV9" i="21"/>
  <c r="AR25" i="21" l="1"/>
  <c r="AX9" i="21"/>
  <c r="AZ9" i="21" s="1"/>
  <c r="AY9" i="21"/>
  <c r="AN25" i="21"/>
  <c r="L35" i="21"/>
  <c r="AL35" i="21" s="1"/>
  <c r="L58" i="21"/>
  <c r="AL58" i="21" s="1"/>
  <c r="AN58" i="21" s="1"/>
  <c r="AR58" i="21"/>
  <c r="AS58" i="21"/>
  <c r="AV48" i="21"/>
  <c r="AT58" i="21"/>
  <c r="AT25" i="21" l="1"/>
  <c r="AU25" i="21"/>
  <c r="AS25" i="21"/>
  <c r="AL12" i="21"/>
  <c r="AN35" i="21"/>
  <c r="L43" i="21"/>
  <c r="AL43" i="21" s="1"/>
  <c r="L66" i="21"/>
  <c r="AL66" i="21" s="1"/>
  <c r="AN66" i="21" s="1"/>
  <c r="AR35" i="21"/>
  <c r="AT35" i="21"/>
  <c r="AS35" i="21"/>
  <c r="AT66" i="21"/>
  <c r="AR66" i="21"/>
  <c r="AS66" i="21"/>
  <c r="AV25" i="21"/>
  <c r="AY25" i="21" l="1"/>
  <c r="AX25" i="21"/>
  <c r="AZ25" i="21" s="1"/>
  <c r="AR12" i="21"/>
  <c r="AL20" i="21"/>
  <c r="AN43" i="21"/>
  <c r="AN12" i="21"/>
  <c r="L53" i="21"/>
  <c r="AL53" i="21" s="1"/>
  <c r="AN53" i="21" s="1"/>
  <c r="AT53" i="21"/>
  <c r="AT43" i="21"/>
  <c r="AR43" i="21"/>
  <c r="AR53" i="21"/>
  <c r="AS43" i="21"/>
  <c r="AS53" i="21"/>
  <c r="AR20" i="21" l="1"/>
  <c r="AS12" i="21"/>
  <c r="AT12" i="21"/>
  <c r="AU12" i="21"/>
  <c r="AN20" i="21"/>
  <c r="L57" i="21"/>
  <c r="AL57" i="21" s="1"/>
  <c r="AN57" i="21" s="1"/>
  <c r="AT57" i="21"/>
  <c r="AS57" i="21"/>
  <c r="AR57" i="21"/>
  <c r="AV12" i="21"/>
  <c r="AS20" i="21" l="1"/>
  <c r="AT20" i="21"/>
  <c r="AU20" i="21"/>
  <c r="AY12" i="21"/>
  <c r="AX12" i="21"/>
  <c r="AZ13" i="21" s="1"/>
  <c r="L34" i="21"/>
  <c r="AL34" i="21" s="1"/>
  <c r="AV20" i="21"/>
  <c r="AY20" i="21" l="1"/>
  <c r="AX20" i="21"/>
  <c r="AL11" i="21"/>
  <c r="AN34" i="21"/>
  <c r="AN11" i="21" s="1"/>
  <c r="AR34" i="21"/>
  <c r="AT34" i="21"/>
  <c r="AS34" i="21"/>
  <c r="AZ21" i="21" l="1"/>
  <c r="AR11" i="21"/>
  <c r="L42" i="21"/>
  <c r="AL42" i="21" s="1"/>
  <c r="AT11" i="21" l="1"/>
  <c r="AU11" i="21"/>
  <c r="AS11" i="21"/>
  <c r="AL19" i="21"/>
  <c r="AN42" i="21"/>
  <c r="AR42" i="21"/>
  <c r="AV11" i="21"/>
  <c r="AS42" i="21"/>
  <c r="AT42" i="21"/>
  <c r="AR19" i="21" l="1"/>
  <c r="AX11" i="21"/>
  <c r="AZ12" i="21" s="1"/>
  <c r="AY11" i="21"/>
  <c r="AN19" i="21"/>
  <c r="L33" i="21"/>
  <c r="AL33" i="21" s="1"/>
  <c r="L56" i="21"/>
  <c r="AL56" i="21" s="1"/>
  <c r="AN56" i="21" s="1"/>
  <c r="AS56" i="21"/>
  <c r="AT56" i="21"/>
  <c r="AR56" i="21"/>
  <c r="AS19" i="21" l="1"/>
  <c r="AT19" i="21"/>
  <c r="AU19" i="21"/>
  <c r="AL10" i="21"/>
  <c r="AN33" i="21"/>
  <c r="L40" i="21"/>
  <c r="AL40" i="21" s="1"/>
  <c r="L63" i="21"/>
  <c r="AL63" i="21" s="1"/>
  <c r="AN63" i="21" s="1"/>
  <c r="AS33" i="21"/>
  <c r="AS63" i="21"/>
  <c r="AV19" i="21"/>
  <c r="AR33" i="21"/>
  <c r="AT63" i="21"/>
  <c r="AR63" i="21"/>
  <c r="AT33" i="21"/>
  <c r="AY19" i="21" l="1"/>
  <c r="AX19" i="21"/>
  <c r="AR10" i="21"/>
  <c r="AN10" i="21"/>
  <c r="AL17" i="21"/>
  <c r="AN40" i="21"/>
  <c r="L30" i="21"/>
  <c r="AL30" i="21" s="1"/>
  <c r="AT40" i="21"/>
  <c r="AS40" i="21"/>
  <c r="AR40" i="21"/>
  <c r="AR17" i="21" l="1"/>
  <c r="AZ19" i="21"/>
  <c r="AZ20" i="21"/>
  <c r="AT10" i="21"/>
  <c r="AS10" i="21"/>
  <c r="AU10" i="21"/>
  <c r="AL7" i="21"/>
  <c r="AN30" i="21"/>
  <c r="AN17" i="21"/>
  <c r="AV10" i="21"/>
  <c r="AR30" i="21"/>
  <c r="AS30" i="21"/>
  <c r="AT30" i="21"/>
  <c r="AU17" i="21" l="1"/>
  <c r="AS17" i="21"/>
  <c r="AT17" i="21"/>
  <c r="AR7" i="21"/>
  <c r="AY10" i="21"/>
  <c r="AX10" i="21"/>
  <c r="AZ10" i="21" s="1"/>
  <c r="AN7" i="21"/>
  <c r="AV17" i="21"/>
  <c r="AZ11" i="21" l="1"/>
  <c r="AY17" i="21"/>
  <c r="AX17" i="21"/>
  <c r="AU7" i="21"/>
  <c r="AS7" i="21"/>
  <c r="AT7" i="21"/>
  <c r="AV7" i="21"/>
  <c r="AY7" i="21" l="1"/>
  <c r="AZ17" i="21"/>
  <c r="AZ18" i="21"/>
  <c r="AX7" i="21"/>
  <c r="AZ8" i="21" l="1"/>
  <c r="AZ7" i="21"/>
</calcChain>
</file>

<file path=xl/comments1.xml><?xml version="1.0" encoding="utf-8"?>
<comments xmlns="http://schemas.openxmlformats.org/spreadsheetml/2006/main">
  <authors>
    <author>Nicholas Burgess</author>
  </authors>
  <commentList>
    <comment ref="D41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41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<sst xmlns="http://schemas.openxmlformats.org/spreadsheetml/2006/main" count="1304" uniqueCount="224">
  <si>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</si>
  <si>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</si>
  <si>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</si>
  <si>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</si>
  <si>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</si>
  <si>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</si>
  <si>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</si>
  <si>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</si>
  <si>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</si>
  <si>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</si>
  <si>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</si>
  <si>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</si>
  <si>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</si>
  <si>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</si>
  <si>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</si>
  <si>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</si>
  <si>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</si>
  <si>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</si>
  <si>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</si>
  <si>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</si>
  <si>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</si>
  <si>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</si>
  <si>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</si>
  <si>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</si>
  <si>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</si>
  <si>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</si>
  <si>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</si>
  <si>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</si>
  <si>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</si>
  <si>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</si>
  <si>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</si>
  <si>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</si>
  <si>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</si>
  <si>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</si>
  <si>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</si>
  <si>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</si>
  <si>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</si>
  <si>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3Y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</si>
  <si>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</si>
  <si>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</si>
  <si>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</si>
  <si>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</si>
  <si>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</si>
  <si>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</si>
  <si>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</si>
  <si>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</si>
  <si>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</si>
  <si>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</si>
  <si>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</si>
  <si>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</si>
  <si>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</si>
  <si>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</si>
  <si>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</si>
  <si>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</si>
  <si>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</si>
  <si>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</si>
  <si>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</si>
  <si>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</si>
  <si>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</si>
  <si>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</si>
  <si>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</si>
  <si>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</si>
  <si>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</si>
  <si>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</si>
  <si>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</si>
  <si>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</si>
  <si>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</si>
  <si>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</si>
  <si>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</si>
  <si>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</si>
  <si>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</si>
  <si>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</si>
  <si>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</si>
  <si>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</si>
  <si>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</si>
  <si>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</si>
  <si>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</si>
  <si>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</si>
  <si>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</si>
  <si>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</si>
  <si>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</si>
  <si>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</si>
  <si>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</si>
  <si>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</si>
  <si>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</si>
  <si>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STD:EUR6ML</t>
  </si>
  <si>
    <t>isfutureuse</t>
  </si>
  <si>
    <t>isfrause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</si>
  <si>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</si>
  <si>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</si>
  <si>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</si>
  <si>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</si>
  <si>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</si>
  <si>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</si>
  <si>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</si>
  <si>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</si>
  <si>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</si>
  <si>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</si>
  <si>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</si>
  <si>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</si>
  <si>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</si>
  <si>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</si>
  <si>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</si>
  <si>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</si>
  <si>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</si>
  <si>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</si>
  <si>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</si>
  <si>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</si>
  <si>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</si>
  <si>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</si>
  <si>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</si>
  <si>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</si>
  <si>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</si>
  <si>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</si>
  <si>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</si>
  <si>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</si>
  <si>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</si>
  <si>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</si>
  <si>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</si>
  <si>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</si>
  <si>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</si>
  <si>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</si>
  <si>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</si>
  <si>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</si>
  <si>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</si>
  <si>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</si>
  <si>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</si>
  <si>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</si>
  <si>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</si>
  <si>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</si>
  <si>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</si>
  <si>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</si>
  <si>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</si>
  <si>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</si>
  <si>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</si>
  <si>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</si>
  <si>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</si>
  <si>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</si>
  <si>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</si>
  <si>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</si>
  <si>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</si>
  <si>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1Y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</si>
  <si>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</si>
  <si>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OIS:EUROIS:EURDF:EURDF_NOCSA</t>
  </si>
  <si>
    <t>Curve Loaded</t>
  </si>
  <si>
    <t>Notional</t>
  </si>
  <si>
    <t>0D</t>
  </si>
  <si>
    <t>ShortStart</t>
  </si>
  <si>
    <t>Discount Curve</t>
  </si>
  <si>
    <t>EOM Roll</t>
  </si>
  <si>
    <t>Effective
Date</t>
  </si>
  <si>
    <t>Effective Lag</t>
  </si>
  <si>
    <t>Pay / Rec
Fixed Rate</t>
  </si>
  <si>
    <t>Maturity
Or Tenor</t>
  </si>
  <si>
    <t>Fixed
Rate</t>
  </si>
  <si>
    <t>Float
Index</t>
  </si>
  <si>
    <t>Float
Spread</t>
  </si>
  <si>
    <t>Float
First Fixing</t>
  </si>
  <si>
    <t>CSA</t>
  </si>
  <si>
    <t>Fixed
Frequency</t>
  </si>
  <si>
    <t>Fixed
Daycount</t>
  </si>
  <si>
    <t>Fixed
Roll Convention</t>
  </si>
  <si>
    <t>Fixed Calendar</t>
  </si>
  <si>
    <t>Fixed
First Stub</t>
  </si>
  <si>
    <t>Fixed
Last Stub</t>
  </si>
  <si>
    <t>Fixed
Roll Day</t>
  </si>
  <si>
    <t>Fixed
Pay Lag</t>
  </si>
  <si>
    <t>Fixed
Stub Type</t>
  </si>
  <si>
    <t>Float Spread</t>
  </si>
  <si>
    <t>Float
Frequency</t>
  </si>
  <si>
    <t>Float
Daycount</t>
  </si>
  <si>
    <t>Float
Roll Convention</t>
  </si>
  <si>
    <t>Float
Calendar</t>
  </si>
  <si>
    <t>Float
First Stub</t>
  </si>
  <si>
    <t>Float
Last Stub</t>
  </si>
  <si>
    <t>Float
Roll Day</t>
  </si>
  <si>
    <t>Float
Fixing Lag</t>
  </si>
  <si>
    <t>Float
Fixing Date</t>
  </si>
  <si>
    <t>Float
Last Fixing</t>
  </si>
  <si>
    <t>Float
Pay Lag</t>
  </si>
  <si>
    <t>Float
Stub Type</t>
  </si>
  <si>
    <t>Use Interp Fwd Method</t>
  </si>
  <si>
    <t>Par Rate</t>
  </si>
  <si>
    <t>Present Value</t>
  </si>
  <si>
    <t>PV01</t>
  </si>
  <si>
    <t>2D</t>
  </si>
  <si>
    <t>6ML</t>
  </si>
  <si>
    <t>NOCSA</t>
  </si>
  <si>
    <t>Curve Collection</t>
  </si>
  <si>
    <t>COB</t>
  </si>
  <si>
    <t>Numerical
DV01</t>
  </si>
  <si>
    <t>+/-</t>
  </si>
  <si>
    <t>Analytical
DV01</t>
  </si>
  <si>
    <t>RECEIVER</t>
  </si>
  <si>
    <t>Fixed Rate</t>
  </si>
  <si>
    <t>BumpOIS</t>
  </si>
  <si>
    <t>BumpSTD</t>
  </si>
  <si>
    <t>EURYC_RISK</t>
  </si>
  <si>
    <t>Base PVs</t>
  </si>
  <si>
    <t>Bumped PVs</t>
  </si>
  <si>
    <t>BumpUnit</t>
  </si>
  <si>
    <t>+/-  (%)</t>
  </si>
  <si>
    <t>BumpSize</t>
  </si>
  <si>
    <t>Instructions</t>
  </si>
  <si>
    <t>Swap Pricing &amp; Risk</t>
  </si>
  <si>
    <t>Numerical Risk Settings</t>
  </si>
  <si>
    <t>Pay / Rec</t>
  </si>
  <si>
    <t>Spread</t>
  </si>
  <si>
    <t>-</t>
  </si>
  <si>
    <t>Tenor</t>
  </si>
  <si>
    <t>Index</t>
  </si>
  <si>
    <t>Pricing &amp; Risk</t>
  </si>
  <si>
    <t>Start Lag</t>
  </si>
  <si>
    <t>Effective</t>
  </si>
  <si>
    <t>or   2. Refresh using the Macro Button</t>
  </si>
  <si>
    <t>or   3. Refresh using F9</t>
  </si>
  <si>
    <t xml:space="preserve">       1. Refresh Worksheets from Left to Right</t>
  </si>
  <si>
    <t>Tenor Interval</t>
  </si>
  <si>
    <t>Convexity
Adj</t>
  </si>
  <si>
    <t>* Don't display values beyond 50Y, which is our maximum calibration instrument</t>
  </si>
  <si>
    <t>EURYC_BUMPED</t>
  </si>
  <si>
    <t>EURYC_BASE</t>
  </si>
  <si>
    <t>Spline</t>
  </si>
  <si>
    <t>mirSwapDV01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</si>
</sst>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  <numFmt numFmtId="170" formatCode="0.000%;[Red]\-0.000%"/>
    <numFmt numFmtId="171" formatCode="0.0%;[Red]\-0.0%"/>
  </numFmts>
  <fonts count="2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2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39"/>
      <name val="Tahoma"/>
      <family val="2"/>
    </font>
    <font>
      <sz val="18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499984740745262"/>
      </left>
      <right/>
      <top style="thin">
        <color theme="0" tint="-0.34998626667073579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6" fillId="0" borderId="0" applyFont="0" applyFill="0" applyBorder="0" applyAlignment="0" applyProtection="0"/>
  </cellStyleXfs>
  <cellXfs count="289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8" fillId="0" borderId="0" xfId="0" applyFont="1"/>
    <xf numFmtId="3" fontId="0" fillId="0" borderId="0" xfId="0" applyNumberFormat="1"/>
    <xf numFmtId="0" fontId="0" fillId="3" borderId="16" xfId="0" applyNumberFormat="1" applyFill="1" applyBorder="1" applyAlignment="1">
      <alignment horizontal="center" vertical="top" wrapText="1"/>
    </xf>
    <xf numFmtId="0" fontId="0" fillId="3" borderId="17" xfId="0" applyNumberFormat="1" applyFill="1" applyBorder="1" applyAlignment="1">
      <alignment horizontal="center" vertical="top" wrapText="1"/>
    </xf>
    <xf numFmtId="0" fontId="0" fillId="3" borderId="17" xfId="0" applyNumberFormat="1" applyFill="1" applyBorder="1" applyAlignment="1">
      <alignment horizontal="center" vertical="center" wrapText="1"/>
    </xf>
    <xf numFmtId="0" fontId="0" fillId="3" borderId="18" xfId="0" applyNumberFormat="1" applyFill="1" applyBorder="1" applyAlignment="1">
      <alignment horizontal="center" vertical="center" wrapText="1"/>
    </xf>
    <xf numFmtId="167" fontId="9" fillId="3" borderId="19" xfId="0" applyNumberFormat="1" applyFont="1" applyFill="1" applyBorder="1" applyAlignment="1">
      <alignment horizontal="center" vertical="center"/>
    </xf>
    <xf numFmtId="3" fontId="0" fillId="0" borderId="20" xfId="0" applyNumberFormat="1" applyFill="1" applyBorder="1" applyAlignment="1">
      <alignment horizontal="center"/>
    </xf>
    <xf numFmtId="165" fontId="6" fillId="0" borderId="20" xfId="0" applyNumberFormat="1" applyFont="1" applyFill="1" applyBorder="1" applyAlignment="1">
      <alignment horizontal="center" vertical="center"/>
    </xf>
    <xf numFmtId="167" fontId="6" fillId="0" borderId="21" xfId="0" applyNumberFormat="1" applyFont="1" applyFill="1" applyBorder="1" applyAlignment="1">
      <alignment horizontal="center" vertical="center"/>
    </xf>
    <xf numFmtId="169" fontId="9" fillId="2" borderId="22" xfId="0" applyNumberFormat="1" applyFont="1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20" xfId="0" quotePrefix="1" applyFill="1" applyBorder="1" applyAlignment="1">
      <alignment horizontal="center" vertical="center"/>
    </xf>
    <xf numFmtId="167" fontId="9" fillId="2" borderId="20" xfId="0" applyNumberFormat="1" applyFont="1" applyFill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0" xfId="0" quotePrefix="1" applyFont="1" applyFill="1" applyBorder="1" applyAlignment="1">
      <alignment horizontal="center" vertical="center"/>
    </xf>
    <xf numFmtId="0" fontId="9" fillId="2" borderId="20" xfId="0" applyFont="1" applyFill="1" applyBorder="1" applyAlignment="1">
      <alignment horizontal="center"/>
    </xf>
    <xf numFmtId="4" fontId="9" fillId="2" borderId="20" xfId="0" applyNumberFormat="1" applyFont="1" applyFill="1" applyBorder="1" applyAlignment="1">
      <alignment horizontal="center" vertical="center"/>
    </xf>
    <xf numFmtId="165" fontId="9" fillId="2" borderId="20" xfId="0" applyNumberFormat="1" applyFont="1" applyFill="1" applyBorder="1" applyAlignment="1">
      <alignment horizontal="center" vertical="center"/>
    </xf>
    <xf numFmtId="165" fontId="6" fillId="2" borderId="20" xfId="0" applyNumberFormat="1" applyFont="1" applyFill="1" applyBorder="1" applyAlignment="1">
      <alignment horizontal="center" vertical="center"/>
    </xf>
    <xf numFmtId="0" fontId="0" fillId="2" borderId="20" xfId="0" applyFill="1" applyBorder="1" applyAlignment="1">
      <alignment horizontal="center"/>
    </xf>
    <xf numFmtId="0" fontId="6" fillId="2" borderId="20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168" fontId="9" fillId="3" borderId="20" xfId="0" applyNumberFormat="1" applyFont="1" applyFill="1" applyBorder="1" applyAlignment="1">
      <alignment horizontal="center" vertical="center"/>
    </xf>
    <xf numFmtId="167" fontId="9" fillId="3" borderId="23" xfId="0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167" fontId="6" fillId="0" borderId="24" xfId="0" applyNumberFormat="1" applyFont="1" applyFill="1" applyBorder="1" applyAlignment="1">
      <alignment horizontal="center" vertical="center"/>
    </xf>
    <xf numFmtId="169" fontId="9" fillId="2" borderId="25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4" fontId="9" fillId="2" borderId="0" xfId="0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8" fontId="9" fillId="3" borderId="0" xfId="0" applyNumberFormat="1" applyFont="1" applyFill="1" applyBorder="1" applyAlignment="1">
      <alignment horizontal="center" vertical="center"/>
    </xf>
    <xf numFmtId="169" fontId="9" fillId="2" borderId="25" xfId="0" applyNumberFormat="1" applyFont="1" applyFill="1" applyBorder="1" applyAlignment="1">
      <alignment horizontal="center"/>
    </xf>
    <xf numFmtId="167" fontId="9" fillId="3" borderId="26" xfId="0" applyNumberFormat="1" applyFont="1" applyFill="1" applyBorder="1" applyAlignment="1">
      <alignment horizontal="center" vertical="center"/>
    </xf>
    <xf numFmtId="3" fontId="0" fillId="0" borderId="28" xfId="0" applyNumberFormat="1" applyFill="1" applyBorder="1" applyAlignment="1">
      <alignment horizontal="center" vertical="center"/>
    </xf>
    <xf numFmtId="165" fontId="6" fillId="0" borderId="28" xfId="0" applyNumberFormat="1" applyFont="1" applyFill="1" applyBorder="1" applyAlignment="1">
      <alignment horizontal="center" vertical="center"/>
    </xf>
    <xf numFmtId="167" fontId="6" fillId="0" borderId="29" xfId="0" applyNumberFormat="1" applyFont="1" applyFill="1" applyBorder="1" applyAlignment="1">
      <alignment horizontal="center" vertical="center"/>
    </xf>
    <xf numFmtId="169" fontId="9" fillId="2" borderId="27" xfId="0" applyNumberFormat="1" applyFont="1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9" fillId="2" borderId="28" xfId="0" applyFont="1" applyFill="1" applyBorder="1" applyAlignment="1">
      <alignment horizontal="center"/>
    </xf>
    <xf numFmtId="4" fontId="9" fillId="2" borderId="28" xfId="0" applyNumberFormat="1" applyFont="1" applyFill="1" applyBorder="1" applyAlignment="1">
      <alignment horizontal="center"/>
    </xf>
    <xf numFmtId="167" fontId="9" fillId="2" borderId="28" xfId="0" applyNumberFormat="1" applyFont="1" applyFill="1" applyBorder="1" applyAlignment="1">
      <alignment horizontal="center" vertical="center"/>
    </xf>
    <xf numFmtId="165" fontId="9" fillId="2" borderId="28" xfId="0" applyNumberFormat="1" applyFont="1" applyFill="1" applyBorder="1" applyAlignment="1">
      <alignment horizontal="center"/>
    </xf>
    <xf numFmtId="165" fontId="0" fillId="2" borderId="28" xfId="0" applyNumberFormat="1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168" fontId="9" fillId="3" borderId="28" xfId="0" applyNumberFormat="1" applyFont="1" applyFill="1" applyBorder="1" applyAlignment="1">
      <alignment horizontal="center" vertical="center"/>
    </xf>
    <xf numFmtId="14" fontId="0" fillId="0" borderId="0" xfId="0" applyNumberFormat="1"/>
    <xf numFmtId="3" fontId="9" fillId="3" borderId="21" xfId="0" applyNumberFormat="1" applyFont="1" applyFill="1" applyBorder="1" applyAlignment="1">
      <alignment horizontal="center" vertical="center"/>
    </xf>
    <xf numFmtId="3" fontId="9" fillId="3" borderId="24" xfId="0" applyNumberFormat="1" applyFont="1" applyFill="1" applyBorder="1" applyAlignment="1">
      <alignment horizontal="center" vertical="center"/>
    </xf>
    <xf numFmtId="3" fontId="9" fillId="3" borderId="2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2" fillId="0" borderId="0" xfId="0" applyFont="1"/>
    <xf numFmtId="168" fontId="0" fillId="0" borderId="0" xfId="0" applyNumberFormat="1" applyAlignment="1">
      <alignment horizontal="center"/>
    </xf>
    <xf numFmtId="10" fontId="6" fillId="2" borderId="0" xfId="0" applyNumberFormat="1" applyFont="1" applyFill="1" applyBorder="1" applyAlignment="1">
      <alignment horizontal="center" vertical="center"/>
    </xf>
    <xf numFmtId="10" fontId="6" fillId="2" borderId="0" xfId="0" applyNumberFormat="1" applyFont="1" applyFill="1" applyBorder="1" applyAlignment="1">
      <alignment horizontal="center"/>
    </xf>
    <xf numFmtId="164" fontId="6" fillId="2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6" fillId="0" borderId="0" xfId="0" applyFont="1"/>
    <xf numFmtId="0" fontId="6" fillId="3" borderId="17" xfId="0" applyNumberFormat="1" applyFont="1" applyFill="1" applyBorder="1" applyAlignment="1">
      <alignment horizontal="center" vertical="top" wrapText="1"/>
    </xf>
    <xf numFmtId="0" fontId="6" fillId="2" borderId="2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/>
    </xf>
    <xf numFmtId="0" fontId="6" fillId="2" borderId="28" xfId="0" applyFont="1" applyFill="1" applyBorder="1" applyAlignment="1">
      <alignment horizontal="center"/>
    </xf>
    <xf numFmtId="3" fontId="6" fillId="0" borderId="0" xfId="0" applyNumberFormat="1" applyFont="1" applyAlignment="1">
      <alignment horizontal="center" vertical="center"/>
    </xf>
    <xf numFmtId="10" fontId="0" fillId="0" borderId="0" xfId="0" applyNumberFormat="1"/>
    <xf numFmtId="10" fontId="0" fillId="3" borderId="17" xfId="0" applyNumberFormat="1" applyFill="1" applyBorder="1" applyAlignment="1">
      <alignment horizontal="center" vertical="top" wrapText="1"/>
    </xf>
    <xf numFmtId="10" fontId="0" fillId="0" borderId="0" xfId="0" applyNumberFormat="1" applyAlignment="1">
      <alignment horizontal="center" vertical="center"/>
    </xf>
    <xf numFmtId="164" fontId="0" fillId="0" borderId="0" xfId="0" applyNumberFormat="1"/>
    <xf numFmtId="164" fontId="0" fillId="3" borderId="17" xfId="0" applyNumberFormat="1" applyFill="1" applyBorder="1" applyAlignment="1">
      <alignment horizontal="center" vertical="top" wrapText="1"/>
    </xf>
    <xf numFmtId="164" fontId="9" fillId="2" borderId="20" xfId="0" applyNumberFormat="1" applyFont="1" applyFill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/>
    </xf>
    <xf numFmtId="164" fontId="0" fillId="2" borderId="28" xfId="0" applyNumberFormat="1" applyFill="1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3" fontId="9" fillId="3" borderId="0" xfId="0" applyNumberFormat="1" applyFont="1" applyFill="1" applyBorder="1" applyAlignment="1">
      <alignment horizontal="center" vertical="center"/>
    </xf>
    <xf numFmtId="3" fontId="9" fillId="3" borderId="28" xfId="0" applyNumberFormat="1" applyFont="1" applyFill="1" applyBorder="1" applyAlignment="1">
      <alignment horizontal="center" vertical="center"/>
    </xf>
    <xf numFmtId="0" fontId="0" fillId="3" borderId="17" xfId="0" quotePrefix="1" applyNumberFormat="1" applyFill="1" applyBorder="1" applyAlignment="1">
      <alignment horizontal="center" vertical="center" wrapText="1"/>
    </xf>
    <xf numFmtId="170" fontId="0" fillId="0" borderId="0" xfId="0" applyNumberFormat="1"/>
    <xf numFmtId="170" fontId="0" fillId="3" borderId="17" xfId="0" applyNumberFormat="1" applyFill="1" applyBorder="1" applyAlignment="1">
      <alignment horizontal="center" vertical="center" wrapText="1"/>
    </xf>
    <xf numFmtId="170" fontId="9" fillId="3" borderId="31" xfId="0" applyNumberFormat="1" applyFont="1" applyFill="1" applyBorder="1" applyAlignment="1">
      <alignment horizontal="center" vertical="center"/>
    </xf>
    <xf numFmtId="170" fontId="9" fillId="3" borderId="32" xfId="0" applyNumberFormat="1" applyFont="1" applyFill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0" fontId="9" fillId="3" borderId="25" xfId="0" applyNumberFormat="1" applyFont="1" applyFill="1" applyBorder="1" applyAlignment="1">
      <alignment horizontal="center" vertical="center"/>
    </xf>
    <xf numFmtId="170" fontId="9" fillId="3" borderId="27" xfId="0" applyNumberFormat="1" applyFont="1" applyFill="1" applyBorder="1" applyAlignment="1">
      <alignment horizontal="center" vertical="center"/>
    </xf>
    <xf numFmtId="10" fontId="9" fillId="0" borderId="20" xfId="0" applyNumberFormat="1" applyFont="1" applyFill="1" applyBorder="1" applyAlignment="1">
      <alignment horizontal="center" vertical="center"/>
    </xf>
    <xf numFmtId="10" fontId="9" fillId="0" borderId="0" xfId="0" applyNumberFormat="1" applyFont="1" applyFill="1" applyBorder="1" applyAlignment="1">
      <alignment horizontal="center" vertical="center"/>
    </xf>
    <xf numFmtId="10" fontId="9" fillId="0" borderId="28" xfId="0" applyNumberFormat="1" applyFont="1" applyFill="1" applyBorder="1" applyAlignment="1">
      <alignment horizontal="center" vertical="center"/>
    </xf>
    <xf numFmtId="171" fontId="0" fillId="0" borderId="0" xfId="0" applyNumberFormat="1"/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171" fontId="0" fillId="3" borderId="18" xfId="0" quotePrefix="1" applyNumberFormat="1" applyFill="1" applyBorder="1" applyAlignment="1">
      <alignment horizontal="center" vertical="center" wrapText="1"/>
    </xf>
    <xf numFmtId="0" fontId="0" fillId="2" borderId="33" xfId="0" applyFill="1" applyBorder="1"/>
    <xf numFmtId="0" fontId="0" fillId="2" borderId="34" xfId="0" applyFill="1" applyBorder="1"/>
    <xf numFmtId="0" fontId="0" fillId="2" borderId="35" xfId="0" applyFill="1" applyBorder="1"/>
    <xf numFmtId="0" fontId="0" fillId="2" borderId="36" xfId="0" applyFill="1" applyBorder="1"/>
    <xf numFmtId="0" fontId="0" fillId="2" borderId="37" xfId="0" applyFill="1" applyBorder="1"/>
    <xf numFmtId="0" fontId="0" fillId="2" borderId="38" xfId="0" applyFill="1" applyBorder="1"/>
    <xf numFmtId="0" fontId="0" fillId="2" borderId="39" xfId="0" applyFill="1" applyBorder="1"/>
    <xf numFmtId="0" fontId="0" fillId="2" borderId="40" xfId="0" applyFill="1" applyBorder="1"/>
    <xf numFmtId="0" fontId="0" fillId="3" borderId="1" xfId="0" applyFill="1" applyBorder="1"/>
    <xf numFmtId="0" fontId="0" fillId="3" borderId="4" xfId="0" quotePrefix="1" applyFill="1" applyBorder="1"/>
    <xf numFmtId="0" fontId="0" fillId="3" borderId="4" xfId="0" applyFill="1" applyBorder="1"/>
    <xf numFmtId="0" fontId="0" fillId="3" borderId="11" xfId="0" applyFill="1" applyBorder="1"/>
    <xf numFmtId="0" fontId="0" fillId="0" borderId="0" xfId="0" applyFont="1"/>
    <xf numFmtId="0" fontId="9" fillId="2" borderId="0" xfId="0" applyFont="1" applyFill="1" applyBorder="1"/>
    <xf numFmtId="0" fontId="11" fillId="2" borderId="0" xfId="0" applyFont="1" applyFill="1" applyBorder="1"/>
    <xf numFmtId="0" fontId="0" fillId="3" borderId="17" xfId="0" applyNumberFormat="1" applyFont="1" applyFill="1" applyBorder="1" applyAlignment="1">
      <alignment horizontal="center" vertical="top" wrapText="1"/>
    </xf>
    <xf numFmtId="3" fontId="0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8" fontId="11" fillId="3" borderId="0" xfId="0" applyNumberFormat="1" applyFont="1" applyFill="1" applyBorder="1" applyAlignment="1">
      <alignment horizontal="center" vertical="center"/>
    </xf>
    <xf numFmtId="3" fontId="2" fillId="0" borderId="0" xfId="0" applyNumberFormat="1" applyFont="1"/>
    <xf numFmtId="0" fontId="0" fillId="2" borderId="0" xfId="0" applyFill="1"/>
    <xf numFmtId="15" fontId="6" fillId="2" borderId="1" xfId="0" applyNumberFormat="1" applyFont="1" applyFill="1" applyBorder="1" applyAlignment="1">
      <alignment horizontal="center" vertical="center"/>
    </xf>
    <xf numFmtId="10" fontId="6" fillId="2" borderId="4" xfId="0" applyNumberFormat="1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4" xfId="0" applyFont="1" applyBorder="1"/>
    <xf numFmtId="0" fontId="7" fillId="4" borderId="4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7" xfId="0" applyFont="1" applyFill="1" applyBorder="1" applyAlignment="1">
      <alignment horizontal="center" vertical="center"/>
    </xf>
    <xf numFmtId="0" fontId="0" fillId="2" borderId="7" xfId="0" quotePrefix="1" applyFont="1" applyFill="1" applyBorder="1" applyAlignment="1">
      <alignment horizontal="center" vertical="center"/>
    </xf>
    <xf numFmtId="0" fontId="6" fillId="4" borderId="7" xfId="0" quotePrefix="1" applyFont="1" applyFill="1" applyBorder="1" applyAlignment="1">
      <alignment horizontal="center" vertical="center"/>
    </xf>
    <xf numFmtId="10" fontId="6" fillId="4" borderId="7" xfId="0" applyNumberFormat="1" applyFont="1" applyFill="1" applyBorder="1" applyAlignment="1">
      <alignment horizontal="center" vertical="center"/>
    </xf>
    <xf numFmtId="3" fontId="9" fillId="0" borderId="20" xfId="0" applyNumberFormat="1" applyFont="1" applyFill="1" applyBorder="1" applyAlignment="1">
      <alignment horizontal="center"/>
    </xf>
    <xf numFmtId="3" fontId="9" fillId="0" borderId="0" xfId="0" applyNumberFormat="1" applyFont="1" applyFill="1" applyBorder="1" applyAlignment="1">
      <alignment horizontal="center" vertical="center"/>
    </xf>
    <xf numFmtId="3" fontId="9" fillId="0" borderId="28" xfId="0" applyNumberFormat="1" applyFont="1" applyFill="1" applyBorder="1" applyAlignment="1">
      <alignment horizontal="center" vertical="center"/>
    </xf>
    <xf numFmtId="0" fontId="9" fillId="0" borderId="2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9" fillId="0" borderId="28" xfId="0" applyFont="1" applyFill="1" applyBorder="1" applyAlignment="1">
      <alignment horizontal="center"/>
    </xf>
    <xf numFmtId="0" fontId="0" fillId="3" borderId="17" xfId="0" applyNumberFormat="1" applyFont="1" applyFill="1" applyBorder="1" applyAlignment="1">
      <alignment horizontal="center" vertical="center" wrapText="1"/>
    </xf>
    <xf numFmtId="3" fontId="0" fillId="0" borderId="0" xfId="0" applyNumberFormat="1" applyFont="1"/>
    <xf numFmtId="0" fontId="11" fillId="4" borderId="11" xfId="0" applyFont="1" applyFill="1" applyBorder="1" applyAlignment="1">
      <alignment horizontal="center" vertical="center"/>
    </xf>
    <xf numFmtId="3" fontId="6" fillId="4" borderId="6" xfId="0" quotePrefix="1" applyNumberFormat="1" applyFont="1" applyFill="1" applyBorder="1" applyAlignment="1">
      <alignment horizontal="center" vertical="center"/>
    </xf>
    <xf numFmtId="3" fontId="6" fillId="4" borderId="7" xfId="0" applyNumberFormat="1" applyFont="1" applyFill="1" applyBorder="1" applyAlignment="1">
      <alignment horizontal="center" vertical="center"/>
    </xf>
    <xf numFmtId="167" fontId="9" fillId="0" borderId="20" xfId="0" quotePrefix="1" applyNumberFormat="1" applyFont="1" applyFill="1" applyBorder="1" applyAlignment="1">
      <alignment horizontal="center" vertical="center"/>
    </xf>
    <xf numFmtId="0" fontId="9" fillId="0" borderId="0" xfId="0" quotePrefix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27" xfId="0" applyFont="1" applyFill="1" applyBorder="1" applyAlignment="1">
      <alignment horizontal="center" vertical="center"/>
    </xf>
    <xf numFmtId="3" fontId="6" fillId="4" borderId="7" xfId="0" quotePrefix="1" applyNumberFormat="1" applyFont="1" applyFill="1" applyBorder="1" applyAlignment="1">
      <alignment horizontal="center" vertical="center"/>
    </xf>
    <xf numFmtId="3" fontId="0" fillId="2" borderId="8" xfId="0" applyNumberFormat="1" applyFont="1" applyFill="1" applyBorder="1" applyAlignment="1">
      <alignment horizontal="center" vertical="center"/>
    </xf>
    <xf numFmtId="3" fontId="6" fillId="4" borderId="8" xfId="0" applyNumberFormat="1" applyFont="1" applyFill="1" applyBorder="1" applyAlignment="1">
      <alignment horizontal="center" vertical="center"/>
    </xf>
    <xf numFmtId="3" fontId="0" fillId="3" borderId="17" xfId="0" applyNumberFormat="1" applyFill="1" applyBorder="1" applyAlignment="1">
      <alignment horizontal="center" vertical="top" wrapText="1"/>
    </xf>
    <xf numFmtId="3" fontId="9" fillId="0" borderId="20" xfId="0" applyNumberFormat="1" applyFont="1" applyFill="1" applyBorder="1" applyAlignment="1">
      <alignment horizontal="center" vertical="center"/>
    </xf>
    <xf numFmtId="10" fontId="0" fillId="2" borderId="7" xfId="0" quotePrefix="1" applyNumberFormat="1" applyFont="1" applyFill="1" applyBorder="1" applyAlignment="1">
      <alignment horizontal="center" vertical="center"/>
    </xf>
    <xf numFmtId="170" fontId="9" fillId="5" borderId="30" xfId="0" applyNumberFormat="1" applyFont="1" applyFill="1" applyBorder="1" applyAlignment="1">
      <alignment horizontal="center" vertical="center"/>
    </xf>
    <xf numFmtId="168" fontId="9" fillId="5" borderId="20" xfId="0" applyNumberFormat="1" applyFont="1" applyFill="1" applyBorder="1" applyAlignment="1">
      <alignment horizontal="center" vertical="center"/>
    </xf>
    <xf numFmtId="168" fontId="11" fillId="5" borderId="20" xfId="0" applyNumberFormat="1" applyFont="1" applyFill="1" applyBorder="1" applyAlignment="1">
      <alignment horizontal="center" vertical="center"/>
    </xf>
    <xf numFmtId="3" fontId="9" fillId="5" borderId="20" xfId="0" applyNumberFormat="1" applyFont="1" applyFill="1" applyBorder="1" applyAlignment="1">
      <alignment horizontal="center" vertical="center"/>
    </xf>
    <xf numFmtId="3" fontId="9" fillId="5" borderId="21" xfId="0" applyNumberFormat="1" applyFont="1" applyFill="1" applyBorder="1" applyAlignment="1">
      <alignment horizontal="center" vertical="center"/>
    </xf>
    <xf numFmtId="168" fontId="9" fillId="3" borderId="12" xfId="0" applyNumberFormat="1" applyFont="1" applyFill="1" applyBorder="1" applyAlignment="1">
      <alignment horizontal="center" vertical="center"/>
    </xf>
    <xf numFmtId="168" fontId="11" fillId="3" borderId="12" xfId="0" applyNumberFormat="1" applyFont="1" applyFill="1" applyBorder="1" applyAlignment="1">
      <alignment horizontal="center" vertical="center"/>
    </xf>
    <xf numFmtId="170" fontId="0" fillId="3" borderId="17" xfId="0" applyNumberFormat="1" applyFill="1" applyBorder="1" applyAlignment="1">
      <alignment horizontal="center" vertical="top" wrapText="1"/>
    </xf>
    <xf numFmtId="170" fontId="6" fillId="0" borderId="20" xfId="0" applyNumberFormat="1" applyFont="1" applyFill="1" applyBorder="1" applyAlignment="1">
      <alignment horizontal="center" vertical="center"/>
    </xf>
    <xf numFmtId="170" fontId="6" fillId="0" borderId="0" xfId="0" applyNumberFormat="1" applyFont="1" applyFill="1" applyBorder="1" applyAlignment="1">
      <alignment horizontal="center" vertical="center"/>
    </xf>
    <xf numFmtId="170" fontId="6" fillId="0" borderId="28" xfId="0" applyNumberFormat="1" applyFont="1" applyFill="1" applyBorder="1" applyAlignment="1">
      <alignment horizontal="center" vertical="center"/>
    </xf>
    <xf numFmtId="167" fontId="9" fillId="0" borderId="0" xfId="0" applyNumberFormat="1" applyFont="1" applyFill="1" applyBorder="1" applyAlignment="1">
      <alignment horizontal="center" vertical="center"/>
    </xf>
    <xf numFmtId="167" fontId="9" fillId="0" borderId="28" xfId="0" applyNumberFormat="1" applyFont="1" applyFill="1" applyBorder="1" applyAlignment="1">
      <alignment horizontal="center" vertical="center"/>
    </xf>
    <xf numFmtId="167" fontId="6" fillId="4" borderId="20" xfId="0" applyNumberFormat="1" applyFont="1" applyFill="1" applyBorder="1" applyAlignment="1">
      <alignment horizontal="center" vertical="center"/>
    </xf>
    <xf numFmtId="3" fontId="0" fillId="0" borderId="25" xfId="0" applyNumberFormat="1" applyBorder="1"/>
    <xf numFmtId="167" fontId="9" fillId="0" borderId="20" xfId="0" applyNumberFormat="1" applyFont="1" applyFill="1" applyBorder="1" applyAlignment="1">
      <alignment horizontal="center" vertical="center"/>
    </xf>
    <xf numFmtId="165" fontId="9" fillId="0" borderId="20" xfId="0" applyNumberFormat="1" applyFont="1" applyFill="1" applyBorder="1" applyAlignment="1">
      <alignment horizontal="center" vertical="center"/>
    </xf>
    <xf numFmtId="165" fontId="9" fillId="0" borderId="28" xfId="0" applyNumberFormat="1" applyFont="1" applyFill="1" applyBorder="1" applyAlignment="1">
      <alignment horizontal="center" vertical="center"/>
    </xf>
    <xf numFmtId="0" fontId="0" fillId="3" borderId="18" xfId="0" quotePrefix="1" applyNumberFormat="1" applyFill="1" applyBorder="1" applyAlignment="1">
      <alignment horizontal="center" vertical="center" wrapText="1"/>
    </xf>
    <xf numFmtId="171" fontId="9" fillId="5" borderId="21" xfId="0" applyNumberFormat="1" applyFont="1" applyFill="1" applyBorder="1" applyAlignment="1">
      <alignment horizontal="center" vertical="center"/>
    </xf>
    <xf numFmtId="171" fontId="9" fillId="3" borderId="24" xfId="0" applyNumberFormat="1" applyFont="1" applyFill="1" applyBorder="1" applyAlignment="1">
      <alignment horizontal="center" vertical="center"/>
    </xf>
    <xf numFmtId="171" fontId="9" fillId="3" borderId="29" xfId="0" applyNumberFormat="1" applyFont="1" applyFill="1" applyBorder="1" applyAlignment="1">
      <alignment horizontal="center" vertical="center"/>
    </xf>
    <xf numFmtId="170" fontId="4" fillId="0" borderId="0" xfId="0" applyNumberFormat="1" applyFont="1"/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00FF"/>
      <color rgb="FF006600"/>
      <color rgb="FFFFFF99"/>
      <color rgb="FF00CC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baseline="0"/>
            </a:pPr>
            <a:r>
              <a:rPr lang="en-US" sz="1200" b="0" baseline="0"/>
              <a:t>Convexity Adjustment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Rate of Change</c:v>
          </c:tx>
          <c:marker>
            <c:symbol val="none"/>
          </c:marker>
          <c:cat>
            <c:strRef>
              <c:f>'Swap Pricing &amp; Risk'!$G$6:$G$24</c:f>
              <c:strCache>
                <c:ptCount val="19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11Y</c:v>
                </c:pt>
                <c:pt idx="11">
                  <c:v>12Y</c:v>
                </c:pt>
                <c:pt idx="12">
                  <c:v>13Y</c:v>
                </c:pt>
                <c:pt idx="13">
                  <c:v>14Y</c:v>
                </c:pt>
                <c:pt idx="14">
                  <c:v>15Y</c:v>
                </c:pt>
                <c:pt idx="15">
                  <c:v>16Y</c:v>
                </c:pt>
                <c:pt idx="16">
                  <c:v>17Y</c:v>
                </c:pt>
                <c:pt idx="17">
                  <c:v>18Y</c:v>
                </c:pt>
                <c:pt idx="18">
                  <c:v>19Y</c:v>
                </c:pt>
              </c:strCache>
            </c:strRef>
          </c:cat>
          <c:val>
            <c:numRef>
              <c:f>'Swap Pricing &amp; Risk'!$AZ$7:$AZ$25</c:f>
              <c:numCache>
                <c:formatCode>#,##0</c:formatCode>
                <c:ptCount val="19"/>
                <c:pt idx="0">
                  <c:v>1.3771851338302668</c:v>
                </c:pt>
                <c:pt idx="1">
                  <c:v>0.15600050368601615</c:v>
                </c:pt>
                <c:pt idx="2">
                  <c:v>2.2867943319511141E-3</c:v>
                </c:pt>
                <c:pt idx="3">
                  <c:v>0.25266691228068794</c:v>
                </c:pt>
                <c:pt idx="4">
                  <c:v>0.52131977132194152</c:v>
                </c:pt>
                <c:pt idx="5">
                  <c:v>0.8840778835369747</c:v>
                </c:pt>
                <c:pt idx="6">
                  <c:v>1.1937504433614095</c:v>
                </c:pt>
                <c:pt idx="7">
                  <c:v>1.2837723207720728</c:v>
                </c:pt>
                <c:pt idx="8">
                  <c:v>1.2569099722434203</c:v>
                </c:pt>
                <c:pt idx="9">
                  <c:v>1.1408114500702595</c:v>
                </c:pt>
                <c:pt idx="10">
                  <c:v>0.88452571383550094</c:v>
                </c:pt>
                <c:pt idx="11">
                  <c:v>0.52350271036675622</c:v>
                </c:pt>
                <c:pt idx="12">
                  <c:v>0.22021582008187579</c:v>
                </c:pt>
                <c:pt idx="13">
                  <c:v>0.20100607049403152</c:v>
                </c:pt>
                <c:pt idx="14">
                  <c:v>0.63650465038699622</c:v>
                </c:pt>
                <c:pt idx="15">
                  <c:v>1.150704069690164</c:v>
                </c:pt>
                <c:pt idx="16">
                  <c:v>1.5495130242834421</c:v>
                </c:pt>
                <c:pt idx="17">
                  <c:v>1.9624119043314749</c:v>
                </c:pt>
                <c:pt idx="18">
                  <c:v>2.3543399721907008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695616"/>
        <c:axId val="673697152"/>
      </c:lineChart>
      <c:catAx>
        <c:axId val="673695616"/>
        <c:scaling>
          <c:orientation val="minMax"/>
        </c:scaling>
        <c:delete val="0"/>
        <c:axPos val="b"/>
        <c:majorTickMark val="out"/>
        <c:minorTickMark val="none"/>
        <c:tickLblPos val="nextTo"/>
        <c:crossAx val="673697152"/>
        <c:crosses val="autoZero"/>
        <c:auto val="1"/>
        <c:lblAlgn val="ctr"/>
        <c:lblOffset val="100"/>
        <c:tickLblSkip val="2"/>
        <c:noMultiLvlLbl val="0"/>
      </c:catAx>
      <c:valAx>
        <c:axId val="67369715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6736956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Risk Curves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66675</xdr:colOff>
      <xdr:row>3</xdr:row>
      <xdr:rowOff>180975</xdr:rowOff>
    </xdr:from>
    <xdr:to>
      <xdr:col>59</xdr:col>
      <xdr:colOff>485775</xdr:colOff>
      <xdr:row>19</xdr:row>
      <xdr:rowOff>157162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1"/>
  </sheetPr>
  <dimension ref="B2:L19"/>
  <sheetViews>
    <sheetView showGridLines="0" workbookViewId="0">
      <selection activeCell="C2" sqref="C2"/>
    </sheetView>
  </sheetViews>
  <sheetFormatPr defaultRowHeight="15" x14ac:dyDescent="0.25"/>
  <cols>
    <col min="2" max="2" width="4.7109375" customWidth="1"/>
    <col min="3" max="3" width="15" customWidth="1"/>
    <col min="4" max="4" width="20" customWidth="1"/>
    <col min="5" max="8" width="9.140625" customWidth="1"/>
    <col min="9" max="9" width="12.7109375" customWidth="1"/>
    <col min="10" max="11" width="9.140625" customWidth="1"/>
    <col min="12" max="12" width="4.7109375" customWidth="1"/>
  </cols>
  <sheetData>
    <row r="2" spans="2:12" x14ac:dyDescent="0.25">
      <c r="C2" s="56" t="s">
        <v>204</v>
      </c>
    </row>
    <row r="3" spans="2:12" x14ac:dyDescent="0.25">
      <c r="B3" s="212"/>
      <c r="C3" s="213"/>
      <c r="D3" s="213"/>
      <c r="E3" s="213"/>
      <c r="F3" s="213"/>
      <c r="G3" s="213"/>
      <c r="H3" s="213"/>
      <c r="I3" s="213"/>
      <c r="J3" s="213"/>
      <c r="K3" s="213"/>
      <c r="L3" s="214"/>
    </row>
    <row r="4" spans="2:12" x14ac:dyDescent="0.25">
      <c r="B4" s="215"/>
      <c r="C4" s="233"/>
      <c r="D4" s="233"/>
      <c r="E4" s="233"/>
      <c r="F4" s="233"/>
      <c r="G4" s="233"/>
      <c r="H4" s="233"/>
      <c r="I4" s="233"/>
      <c r="J4" s="7"/>
      <c r="K4" s="7"/>
      <c r="L4" s="216"/>
    </row>
    <row r="5" spans="2:12" x14ac:dyDescent="0.25">
      <c r="B5" s="215"/>
      <c r="C5" s="50" t="s">
        <v>203</v>
      </c>
      <c r="D5" s="233"/>
      <c r="E5" s="233"/>
      <c r="F5" s="233"/>
      <c r="G5" s="233"/>
      <c r="H5" s="233"/>
      <c r="I5" s="233"/>
      <c r="J5" s="7"/>
      <c r="K5" s="7"/>
      <c r="L5" s="216"/>
    </row>
    <row r="6" spans="2:12" x14ac:dyDescent="0.25">
      <c r="B6" s="215"/>
      <c r="C6" s="7" t="s">
        <v>216</v>
      </c>
      <c r="D6" s="233"/>
      <c r="E6" s="233"/>
      <c r="F6" s="233"/>
      <c r="G6" s="233"/>
      <c r="H6" s="233"/>
      <c r="I6" s="233"/>
      <c r="J6" s="7"/>
      <c r="K6" s="7"/>
      <c r="L6" s="216"/>
    </row>
    <row r="7" spans="2:12" x14ac:dyDescent="0.25">
      <c r="B7" s="215"/>
      <c r="C7" s="7" t="s">
        <v>214</v>
      </c>
      <c r="D7" s="233"/>
      <c r="E7" s="233"/>
      <c r="F7" s="233"/>
      <c r="G7" s="233"/>
      <c r="H7" s="233"/>
      <c r="I7" s="233"/>
      <c r="J7" s="233"/>
      <c r="K7" s="226"/>
      <c r="L7" s="216"/>
    </row>
    <row r="8" spans="2:12" x14ac:dyDescent="0.25">
      <c r="B8" s="215"/>
      <c r="C8" s="7" t="s">
        <v>215</v>
      </c>
      <c r="D8" s="233"/>
      <c r="E8" s="233"/>
      <c r="F8" s="233"/>
      <c r="G8" s="233"/>
      <c r="H8" s="233"/>
      <c r="I8" s="233"/>
      <c r="J8" s="7"/>
      <c r="K8" s="7"/>
      <c r="L8" s="216"/>
    </row>
    <row r="9" spans="2:12" x14ac:dyDescent="0.25">
      <c r="B9" s="215"/>
      <c r="C9" s="7"/>
      <c r="D9" s="233"/>
      <c r="E9" s="233"/>
      <c r="F9" s="233"/>
      <c r="G9" s="233"/>
      <c r="H9" s="233"/>
      <c r="I9" s="233"/>
      <c r="J9" s="7"/>
      <c r="K9" s="7"/>
      <c r="L9" s="216"/>
    </row>
    <row r="10" spans="2:12" x14ac:dyDescent="0.25">
      <c r="B10" s="215"/>
      <c r="C10" s="233"/>
      <c r="D10" s="233"/>
      <c r="E10" s="233"/>
      <c r="F10" s="233"/>
      <c r="G10" s="233"/>
      <c r="H10" s="233"/>
      <c r="I10" s="233"/>
      <c r="J10" s="7"/>
      <c r="K10" s="7"/>
      <c r="L10" s="216"/>
    </row>
    <row r="11" spans="2:12" x14ac:dyDescent="0.25">
      <c r="B11" s="215"/>
      <c r="C11" s="49" t="s">
        <v>205</v>
      </c>
      <c r="D11" s="7"/>
      <c r="E11" s="233"/>
      <c r="F11" s="233"/>
      <c r="G11" s="233"/>
      <c r="H11" s="233"/>
      <c r="I11" s="233"/>
      <c r="J11" s="7"/>
      <c r="K11" s="7"/>
      <c r="L11" s="216"/>
    </row>
    <row r="12" spans="2:12" x14ac:dyDescent="0.25">
      <c r="B12" s="215"/>
      <c r="C12" s="220" t="s">
        <v>189</v>
      </c>
      <c r="D12" s="234">
        <v>42419</v>
      </c>
      <c r="E12" s="7"/>
      <c r="F12" s="7"/>
      <c r="G12" s="7"/>
      <c r="H12" s="7"/>
      <c r="I12" s="7"/>
      <c r="J12" s="7"/>
      <c r="K12" s="7"/>
      <c r="L12" s="216"/>
    </row>
    <row r="13" spans="2:12" x14ac:dyDescent="0.25">
      <c r="B13" s="215"/>
      <c r="C13" s="221" t="s">
        <v>200</v>
      </c>
      <c r="D13" s="235">
        <f>(1/10000)*D14</f>
        <v>-1E-4</v>
      </c>
      <c r="E13" s="7"/>
      <c r="F13" s="7"/>
      <c r="G13" s="7"/>
      <c r="H13" s="7"/>
      <c r="I13" s="7"/>
      <c r="J13" s="7"/>
      <c r="K13" s="7"/>
      <c r="L13" s="216"/>
    </row>
    <row r="14" spans="2:12" x14ac:dyDescent="0.25">
      <c r="B14" s="215"/>
      <c r="C14" s="222" t="s">
        <v>202</v>
      </c>
      <c r="D14" s="238">
        <v>-1</v>
      </c>
      <c r="E14" s="225" t="str">
        <f>"Shift Size "&amp;D14&amp;" Basis Point(s)"</f>
        <v>Shift Size -1 Basis Point(s)</v>
      </c>
      <c r="F14" s="7"/>
      <c r="G14" s="7"/>
      <c r="H14" s="7"/>
      <c r="I14" s="7"/>
      <c r="J14" s="7"/>
      <c r="K14" s="7"/>
      <c r="L14" s="216"/>
    </row>
    <row r="15" spans="2:12" x14ac:dyDescent="0.25">
      <c r="B15" s="215"/>
      <c r="C15" s="222" t="s">
        <v>195</v>
      </c>
      <c r="D15" s="236" t="b">
        <v>1</v>
      </c>
      <c r="E15" s="7"/>
      <c r="F15" s="7"/>
      <c r="G15" s="7"/>
      <c r="H15" s="7"/>
      <c r="I15" s="7"/>
      <c r="J15" s="7"/>
      <c r="K15" s="7"/>
      <c r="L15" s="216"/>
    </row>
    <row r="16" spans="2:12" x14ac:dyDescent="0.25">
      <c r="B16" s="215"/>
      <c r="C16" s="222" t="s">
        <v>196</v>
      </c>
      <c r="D16" s="237" t="b">
        <v>1</v>
      </c>
      <c r="E16" s="7"/>
      <c r="F16" s="7"/>
      <c r="G16" s="7"/>
      <c r="H16" s="7"/>
      <c r="I16" s="7"/>
      <c r="J16" s="7"/>
      <c r="K16" s="7"/>
      <c r="L16" s="216"/>
    </row>
    <row r="17" spans="2:12" x14ac:dyDescent="0.25">
      <c r="B17" s="215"/>
      <c r="C17" s="223" t="s">
        <v>126</v>
      </c>
      <c r="D17" s="253" t="s">
        <v>222</v>
      </c>
      <c r="E17" s="225" t="str">
        <f>"fn_"&amp;Interpolation&amp;"Interpolation"</f>
        <v>fn_SplineInterpolation</v>
      </c>
      <c r="F17" s="7"/>
      <c r="G17" s="7"/>
      <c r="H17" s="7"/>
      <c r="I17" s="7"/>
      <c r="J17" s="7"/>
      <c r="K17" s="7"/>
      <c r="L17" s="216"/>
    </row>
    <row r="18" spans="2:12" x14ac:dyDescent="0.25">
      <c r="B18" s="215"/>
      <c r="C18" s="7"/>
      <c r="D18" s="7"/>
      <c r="E18" s="7"/>
      <c r="F18" s="7"/>
      <c r="G18" s="7"/>
      <c r="H18" s="7"/>
      <c r="I18" s="7"/>
      <c r="J18" s="7"/>
      <c r="K18" s="7"/>
      <c r="L18" s="216"/>
    </row>
    <row r="19" spans="2:12" x14ac:dyDescent="0.25">
      <c r="B19" s="217"/>
      <c r="C19" s="218"/>
      <c r="D19" s="218"/>
      <c r="E19" s="218"/>
      <c r="F19" s="218"/>
      <c r="G19" s="218"/>
      <c r="H19" s="218"/>
      <c r="I19" s="218"/>
      <c r="J19" s="218"/>
      <c r="K19" s="218"/>
      <c r="L19" s="219"/>
    </row>
  </sheetData>
  <dataValidations count="2">
    <dataValidation type="list" allowBlank="1" showInputMessage="1" showErrorMessage="1" sqref="D15:D16">
      <formula1>"TRUE,FALSE"</formula1>
    </dataValidation>
    <dataValidation type="list" allowBlank="1" showInputMessage="1" showErrorMessage="1" sqref="D17">
      <formula1>"Linear,Spline,MonotoneConvex"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3" r:id="rId4" name="Button 5">
              <controlPr defaultSize="0" print="0" autoFill="0" autoPict="0" macro="[0]!RefreshCurvesAndPricing">
                <anchor moveWithCells="1" siz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82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72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72</v>
      </c>
      <c r="D7" s="61" t="str">
        <f ca="1">IF(NOW(),_xll.mirSetUpOISCurve(Curve.CollectionName,Curve.MarketDataTable,Curve.BuildProperties,OIS.Conventions,OIS.MarketData,Curve.OISIndexName,OIS.FixingTable),"Error Building OIS Curve")</f>
        <v>OIS OIS Curve has been set (0.00600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1" t="s">
        <v>144</v>
      </c>
      <c r="D8" s="112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80</v>
      </c>
      <c r="D11" s="107" t="s">
        <v>221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79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81</v>
      </c>
      <c r="D13" s="109" t="s">
        <v>143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62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62</v>
      </c>
      <c r="D19" s="47"/>
      <c r="E19" s="7"/>
      <c r="F19" s="50" t="s">
        <v>73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74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75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23</v>
      </c>
      <c r="D22" s="110" t="str">
        <f>InterpolationLabelForCurves</f>
        <v>fn_SplineInterpolation</v>
      </c>
      <c r="E22" s="7"/>
      <c r="F22" s="17" t="s">
        <v>76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77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9"/>
      <c r="E24" s="7"/>
      <c r="F24" s="21" t="s">
        <v>78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71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64</v>
      </c>
      <c r="G30" s="10"/>
      <c r="H30" s="10"/>
      <c r="I30" s="10"/>
      <c r="J30" s="10"/>
      <c r="K30" s="10"/>
      <c r="L30" s="49" t="s">
        <v>66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67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38</v>
      </c>
      <c r="G32" s="19">
        <v>-2.4299999999999999E-3</v>
      </c>
      <c r="H32" s="20" t="s">
        <v>34</v>
      </c>
      <c r="I32" s="20" t="s">
        <v>34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24</v>
      </c>
      <c r="D33" s="35" t="s">
        <v>25</v>
      </c>
      <c r="E33" s="9"/>
      <c r="F33" s="24" t="s">
        <v>40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27</v>
      </c>
      <c r="E34" s="9"/>
      <c r="F34" s="24" t="s">
        <v>41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22</v>
      </c>
      <c r="D35" s="35" t="s">
        <v>21</v>
      </c>
      <c r="E35" s="9"/>
      <c r="F35" s="24" t="s">
        <v>43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28</v>
      </c>
      <c r="D36" s="35" t="b">
        <v>0</v>
      </c>
      <c r="E36" s="9"/>
      <c r="F36" s="24" t="s">
        <v>45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29</v>
      </c>
      <c r="D37" s="36">
        <v>31</v>
      </c>
      <c r="E37" s="9"/>
      <c r="F37" s="24" t="s">
        <v>47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30</v>
      </c>
      <c r="D38" s="35" t="s">
        <v>31</v>
      </c>
      <c r="E38" s="9"/>
      <c r="F38" s="24" t="s">
        <v>49</v>
      </c>
      <c r="G38" s="19">
        <v>-3.6900000000000001E-3</v>
      </c>
      <c r="H38" s="20" t="s">
        <v>34</v>
      </c>
      <c r="I38" s="20" t="s">
        <v>34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32</v>
      </c>
      <c r="D39" s="35" t="s">
        <v>33</v>
      </c>
      <c r="E39" s="9"/>
      <c r="F39" s="24" t="s">
        <v>51</v>
      </c>
      <c r="G39" s="19">
        <v>-3.79E-3</v>
      </c>
      <c r="H39" s="20" t="s">
        <v>34</v>
      </c>
      <c r="I39" s="20" t="s">
        <v>34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35</v>
      </c>
      <c r="D40" s="35" t="s">
        <v>36</v>
      </c>
      <c r="E40" s="9"/>
      <c r="F40" s="24" t="s">
        <v>39</v>
      </c>
      <c r="G40" s="19">
        <v>-3.7699999999999999E-3</v>
      </c>
      <c r="H40" s="20" t="s">
        <v>34</v>
      </c>
      <c r="I40" s="20" t="s">
        <v>34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131</v>
      </c>
      <c r="D41" s="38">
        <v>1E-10</v>
      </c>
      <c r="E41" s="9"/>
      <c r="F41" s="24" t="s">
        <v>37</v>
      </c>
      <c r="G41" s="19">
        <v>-3.4399999999999999E-3</v>
      </c>
      <c r="H41" s="20" t="s">
        <v>34</v>
      </c>
      <c r="I41" s="20" t="s">
        <v>34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134</v>
      </c>
      <c r="D42" s="106">
        <v>1000</v>
      </c>
      <c r="E42" s="9"/>
      <c r="F42" s="24" t="s">
        <v>42</v>
      </c>
      <c r="G42" s="19">
        <v>-2.7200000000000002E-3</v>
      </c>
      <c r="H42" s="20" t="s">
        <v>34</v>
      </c>
      <c r="I42" s="20" t="s">
        <v>34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31"/>
      <c r="D43" s="37"/>
      <c r="E43" s="9"/>
      <c r="F43" s="24" t="s">
        <v>44</v>
      </c>
      <c r="G43" s="19">
        <v>-1.7600000000000001E-3</v>
      </c>
      <c r="H43" s="20" t="s">
        <v>34</v>
      </c>
      <c r="I43" s="20" t="s">
        <v>34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31"/>
      <c r="D44" s="37"/>
      <c r="E44" s="9"/>
      <c r="F44" s="24" t="s">
        <v>46</v>
      </c>
      <c r="G44" s="19">
        <v>-6.2999999999999992E-4</v>
      </c>
      <c r="H44" s="20" t="s">
        <v>34</v>
      </c>
      <c r="I44" s="20" t="s">
        <v>34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31"/>
      <c r="D45" s="37"/>
      <c r="E45" s="9"/>
      <c r="F45" s="24" t="s">
        <v>48</v>
      </c>
      <c r="G45" s="19">
        <v>6.0000000000000006E-4</v>
      </c>
      <c r="H45" s="20" t="s">
        <v>34</v>
      </c>
      <c r="I45" s="20" t="s">
        <v>34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50</v>
      </c>
      <c r="G46" s="19">
        <v>1.8800000000000002E-3</v>
      </c>
      <c r="H46" s="20" t="s">
        <v>34</v>
      </c>
      <c r="I46" s="20" t="s">
        <v>34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52</v>
      </c>
      <c r="G47" s="19">
        <v>3.13E-3</v>
      </c>
      <c r="H47" s="20" t="s">
        <v>34</v>
      </c>
      <c r="I47" s="20" t="s">
        <v>34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53</v>
      </c>
      <c r="G48" s="19">
        <v>4.2700000000000004E-3</v>
      </c>
      <c r="H48" s="20" t="s">
        <v>34</v>
      </c>
      <c r="I48" s="20" t="s">
        <v>34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54</v>
      </c>
      <c r="G49" s="19">
        <v>5.3000000000000009E-3</v>
      </c>
      <c r="H49" s="20" t="s">
        <v>34</v>
      </c>
      <c r="I49" s="20" t="s">
        <v>34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55</v>
      </c>
      <c r="G50" s="19">
        <v>6.1999999999999998E-3</v>
      </c>
      <c r="H50" s="20" t="s">
        <v>34</v>
      </c>
      <c r="I50" s="20" t="s">
        <v>34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56</v>
      </c>
      <c r="G51" s="19">
        <v>8.2299999999999995E-3</v>
      </c>
      <c r="H51" s="20" t="s">
        <v>34</v>
      </c>
      <c r="I51" s="20" t="s">
        <v>34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57</v>
      </c>
      <c r="G52" s="19">
        <v>9.9099999999999987E-3</v>
      </c>
      <c r="H52" s="20" t="s">
        <v>34</v>
      </c>
      <c r="I52" s="20" t="s">
        <v>34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58</v>
      </c>
      <c r="G53" s="19">
        <v>1.0499999999999999E-2</v>
      </c>
      <c r="H53" s="20" t="s">
        <v>34</v>
      </c>
      <c r="I53" s="20" t="s">
        <v>34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59</v>
      </c>
      <c r="G54" s="19">
        <v>1.0699999999999999E-2</v>
      </c>
      <c r="H54" s="20" t="s">
        <v>34</v>
      </c>
      <c r="I54" s="20" t="s">
        <v>34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60</v>
      </c>
      <c r="G55" s="19">
        <v>1.0779999999999998E-2</v>
      </c>
      <c r="H55" s="20" t="s">
        <v>34</v>
      </c>
      <c r="I55" s="20" t="s">
        <v>34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61</v>
      </c>
      <c r="G56" s="19">
        <v>1.026E-2</v>
      </c>
      <c r="H56" s="20" t="s">
        <v>34</v>
      </c>
      <c r="I56" s="20" t="s">
        <v>34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70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63</v>
      </c>
      <c r="D63" s="10"/>
      <c r="E63" s="10"/>
      <c r="F63" s="49" t="s">
        <v>65</v>
      </c>
      <c r="G63" s="10"/>
      <c r="H63" s="10"/>
      <c r="I63" s="49" t="s">
        <v>68</v>
      </c>
      <c r="J63" s="10"/>
      <c r="K63" s="10"/>
      <c r="L63" s="49" t="s">
        <v>69</v>
      </c>
      <c r="M63" s="10"/>
      <c r="N63" s="55"/>
    </row>
    <row r="64" spans="2:14" x14ac:dyDescent="0.25">
      <c r="B64" s="5"/>
      <c r="C64" s="27"/>
      <c r="D64" s="34"/>
      <c r="E64" s="7"/>
      <c r="F64" s="58" t="s">
        <v>11</v>
      </c>
      <c r="G64" s="58" t="s">
        <v>12</v>
      </c>
      <c r="H64" s="10"/>
      <c r="I64" s="27"/>
      <c r="J64" s="34"/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/>
      <c r="D65" s="35"/>
      <c r="E65" s="9"/>
      <c r="F65" s="24"/>
      <c r="G65" s="51"/>
      <c r="H65" s="10"/>
      <c r="I65" s="28"/>
      <c r="J65" s="35"/>
      <c r="K65" s="10"/>
      <c r="L65" s="24"/>
      <c r="M65" s="51"/>
      <c r="N65" s="55"/>
    </row>
    <row r="66" spans="2:14" x14ac:dyDescent="0.25">
      <c r="B66" s="5"/>
      <c r="C66" s="28"/>
      <c r="D66" s="35"/>
      <c r="E66" s="9"/>
      <c r="F66" s="24"/>
      <c r="G66" s="51"/>
      <c r="H66" s="10"/>
      <c r="I66" s="28"/>
      <c r="J66" s="35"/>
      <c r="K66" s="10"/>
      <c r="L66" s="24"/>
      <c r="M66" s="51"/>
      <c r="N66" s="55"/>
    </row>
    <row r="67" spans="2:14" x14ac:dyDescent="0.25">
      <c r="B67" s="5"/>
      <c r="C67" s="28"/>
      <c r="D67" s="35"/>
      <c r="E67" s="9"/>
      <c r="F67" s="24"/>
      <c r="G67" s="51"/>
      <c r="H67" s="10"/>
      <c r="I67" s="28"/>
      <c r="J67" s="35"/>
      <c r="K67" s="10"/>
      <c r="L67" s="24"/>
      <c r="M67" s="51"/>
      <c r="N67" s="55"/>
    </row>
    <row r="68" spans="2:14" x14ac:dyDescent="0.25">
      <c r="B68" s="5"/>
      <c r="C68" s="28"/>
      <c r="D68" s="35"/>
      <c r="E68" s="9"/>
      <c r="F68" s="24"/>
      <c r="G68" s="51"/>
      <c r="H68" s="10"/>
      <c r="I68" s="28"/>
      <c r="J68" s="35"/>
      <c r="K68" s="10"/>
      <c r="L68" s="24"/>
      <c r="M68" s="51"/>
      <c r="N68" s="55"/>
    </row>
    <row r="69" spans="2:14" x14ac:dyDescent="0.25">
      <c r="B69" s="5"/>
      <c r="C69" s="29"/>
      <c r="D69" s="35"/>
      <c r="E69" s="9"/>
      <c r="F69" s="24"/>
      <c r="G69" s="51"/>
      <c r="H69" s="10"/>
      <c r="I69" s="29"/>
      <c r="J69" s="35"/>
      <c r="K69" s="10"/>
      <c r="L69" s="24"/>
      <c r="M69" s="51"/>
      <c r="N69" s="55"/>
    </row>
    <row r="70" spans="2:14" x14ac:dyDescent="0.25">
      <c r="B70" s="5"/>
      <c r="C70" s="30"/>
      <c r="D70" s="36"/>
      <c r="E70" s="9"/>
      <c r="F70" s="24"/>
      <c r="G70" s="51"/>
      <c r="H70" s="10"/>
      <c r="I70" s="30"/>
      <c r="J70" s="36"/>
      <c r="K70" s="10"/>
      <c r="L70" s="24"/>
      <c r="M70" s="51"/>
      <c r="N70" s="55"/>
    </row>
    <row r="71" spans="2:14" x14ac:dyDescent="0.25">
      <c r="B71" s="5"/>
      <c r="C71" s="28"/>
      <c r="D71" s="35"/>
      <c r="E71" s="9"/>
      <c r="F71" s="24"/>
      <c r="G71" s="51"/>
      <c r="H71" s="10"/>
      <c r="I71" s="28"/>
      <c r="J71" s="35"/>
      <c r="K71" s="10"/>
      <c r="L71" s="24"/>
      <c r="M71" s="51"/>
      <c r="N71" s="55"/>
    </row>
    <row r="72" spans="2:14" x14ac:dyDescent="0.25">
      <c r="B72" s="5"/>
      <c r="C72" s="28"/>
      <c r="D72" s="35"/>
      <c r="E72" s="9"/>
      <c r="F72" s="24"/>
      <c r="G72" s="51"/>
      <c r="H72" s="10"/>
      <c r="I72" s="28"/>
      <c r="J72" s="35"/>
      <c r="K72" s="10"/>
      <c r="L72" s="24"/>
      <c r="M72" s="51"/>
      <c r="N72" s="55"/>
    </row>
    <row r="73" spans="2:14" x14ac:dyDescent="0.25">
      <c r="B73" s="5"/>
      <c r="C73" s="28"/>
      <c r="D73" s="35"/>
      <c r="E73" s="9"/>
      <c r="F73" s="24"/>
      <c r="G73" s="51"/>
      <c r="H73" s="10"/>
      <c r="I73" s="28"/>
      <c r="J73" s="35"/>
      <c r="K73" s="10"/>
      <c r="L73" s="24"/>
      <c r="M73" s="51"/>
      <c r="N73" s="55"/>
    </row>
    <row r="74" spans="2:14" x14ac:dyDescent="0.25">
      <c r="B74" s="5"/>
      <c r="C74" s="28"/>
      <c r="D74" s="35"/>
      <c r="E74" s="9"/>
      <c r="F74" s="24"/>
      <c r="G74" s="51"/>
      <c r="H74" s="10"/>
      <c r="I74" s="28"/>
      <c r="J74" s="35"/>
      <c r="K74" s="10"/>
      <c r="L74" s="24"/>
      <c r="M74" s="51"/>
      <c r="N74" s="55"/>
    </row>
    <row r="75" spans="2:14" x14ac:dyDescent="0.25">
      <c r="B75" s="5"/>
      <c r="C75" s="28"/>
      <c r="D75" s="35"/>
      <c r="E75" s="9"/>
      <c r="F75" s="24"/>
      <c r="G75" s="51"/>
      <c r="H75" s="10"/>
      <c r="I75" s="28"/>
      <c r="J75" s="35"/>
      <c r="K75" s="10"/>
      <c r="L75" s="24"/>
      <c r="M75" s="51"/>
      <c r="N75" s="55"/>
    </row>
    <row r="76" spans="2:14" x14ac:dyDescent="0.25">
      <c r="B76" s="5"/>
      <c r="C76" s="29"/>
      <c r="D76" s="35"/>
      <c r="E76" s="9"/>
      <c r="F76" s="24"/>
      <c r="G76" s="51"/>
      <c r="H76" s="10"/>
      <c r="I76" s="29"/>
      <c r="J76" s="35"/>
      <c r="K76" s="10"/>
      <c r="L76" s="24"/>
      <c r="M76" s="51"/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t="s">
        <v>138</v>
      </c>
    </row>
    <row r="3" spans="2:12" x14ac:dyDescent="0.25">
      <c r="B3" t="s">
        <v>139</v>
      </c>
    </row>
    <row r="6" spans="2:12" x14ac:dyDescent="0.25">
      <c r="B6" s="56" t="s">
        <v>83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83</v>
      </c>
      <c r="D8" s="61" t="str">
        <f ca="1">IF(AND(isEUROISLoaded,NOW()),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,"Error Building Swap Curve")</f>
        <v>STD Swap Curve has been set (0.01000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1" t="s">
        <v>144</v>
      </c>
      <c r="D9" s="112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80</v>
      </c>
      <c r="D13" s="107" t="s">
        <v>221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79</v>
      </c>
      <c r="D14" s="108" t="s">
        <v>84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81</v>
      </c>
      <c r="D15" s="109" t="s">
        <v>85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62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62</v>
      </c>
      <c r="D21" s="47"/>
      <c r="E21" s="7"/>
      <c r="F21" s="50" t="s">
        <v>73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74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17</v>
      </c>
      <c r="E23" s="7"/>
      <c r="F23" s="17" t="s">
        <v>75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23</v>
      </c>
      <c r="D24" s="110" t="str">
        <f>InterpolationLabelForCurves</f>
        <v>fn_SplineInterpolation</v>
      </c>
      <c r="E24" s="7"/>
      <c r="F24" s="17" t="s">
        <v>76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87</v>
      </c>
      <c r="D25" s="108" t="b">
        <v>1</v>
      </c>
      <c r="E25" s="7"/>
      <c r="F25" s="17" t="s">
        <v>77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86</v>
      </c>
      <c r="D26" s="108" t="b">
        <v>0</v>
      </c>
      <c r="E26" s="7"/>
      <c r="F26" s="17" t="s">
        <v>78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26</v>
      </c>
      <c r="D27" s="108" t="s">
        <v>124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88</v>
      </c>
      <c r="D28" s="108" t="s">
        <v>9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/>
      <c r="D29" s="108"/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9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89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90</v>
      </c>
      <c r="D37" s="10"/>
      <c r="E37" s="10"/>
      <c r="F37" s="49" t="s">
        <v>97</v>
      </c>
      <c r="G37" s="10"/>
      <c r="H37" s="10"/>
      <c r="I37" s="49" t="s">
        <v>135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91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98</v>
      </c>
      <c r="J39" s="75">
        <v>-1.31E-3</v>
      </c>
      <c r="K39" s="78"/>
      <c r="L39" s="55"/>
    </row>
    <row r="40" spans="2:12" x14ac:dyDescent="0.25">
      <c r="B40" s="5"/>
      <c r="C40" s="28" t="s">
        <v>92</v>
      </c>
      <c r="D40" s="35" t="s">
        <v>93</v>
      </c>
      <c r="E40" s="9"/>
      <c r="F40" s="29" t="s">
        <v>26</v>
      </c>
      <c r="G40" s="35" t="s">
        <v>94</v>
      </c>
      <c r="H40" s="10"/>
      <c r="I40" s="72"/>
      <c r="J40" s="76"/>
      <c r="K40" s="78"/>
      <c r="L40" s="55"/>
    </row>
    <row r="41" spans="2:12" x14ac:dyDescent="0.25">
      <c r="B41" s="5"/>
      <c r="C41" s="28"/>
      <c r="D41" s="35"/>
      <c r="E41" s="9"/>
      <c r="F41" s="29" t="s">
        <v>95</v>
      </c>
      <c r="G41" s="69">
        <v>2</v>
      </c>
      <c r="H41" s="10"/>
      <c r="I41" s="72"/>
      <c r="J41" s="76"/>
      <c r="K41" s="78"/>
      <c r="L41" s="55"/>
    </row>
    <row r="42" spans="2:12" x14ac:dyDescent="0.25">
      <c r="B42" s="5"/>
      <c r="C42" s="28"/>
      <c r="D42" s="35"/>
      <c r="E42" s="9"/>
      <c r="F42" s="29" t="s">
        <v>20</v>
      </c>
      <c r="G42" s="69" t="s">
        <v>21</v>
      </c>
      <c r="H42" s="10"/>
      <c r="I42" s="72"/>
      <c r="J42" s="76"/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142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99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100</v>
      </c>
      <c r="D50" s="10"/>
      <c r="E50" s="10"/>
      <c r="F50" s="49" t="s">
        <v>136</v>
      </c>
      <c r="G50" s="10"/>
      <c r="H50" s="10"/>
      <c r="I50" s="49" t="s">
        <v>137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91</v>
      </c>
      <c r="D52" s="35" t="s">
        <v>6</v>
      </c>
      <c r="E52" s="9"/>
      <c r="F52" s="71"/>
      <c r="G52" s="75"/>
      <c r="H52" s="10"/>
      <c r="I52" s="71" t="s">
        <v>104</v>
      </c>
      <c r="J52" s="75">
        <v>-1.2900000000000001E-3</v>
      </c>
      <c r="K52" s="78"/>
      <c r="L52" s="55"/>
    </row>
    <row r="53" spans="2:12" x14ac:dyDescent="0.25">
      <c r="B53" s="5"/>
      <c r="C53" s="28" t="s">
        <v>101</v>
      </c>
      <c r="D53" s="35">
        <v>2</v>
      </c>
      <c r="E53" s="9"/>
      <c r="F53" s="72"/>
      <c r="G53" s="76"/>
      <c r="H53" s="10"/>
      <c r="I53" s="72" t="s">
        <v>105</v>
      </c>
      <c r="J53" s="76">
        <v>-1.2900000000000001E-3</v>
      </c>
      <c r="K53" s="78"/>
      <c r="L53" s="55"/>
    </row>
    <row r="54" spans="2:12" x14ac:dyDescent="0.25">
      <c r="B54" s="5"/>
      <c r="C54" s="28" t="s">
        <v>20</v>
      </c>
      <c r="D54" s="68" t="s">
        <v>21</v>
      </c>
      <c r="E54" s="9"/>
      <c r="F54" s="72"/>
      <c r="G54" s="76"/>
      <c r="H54" s="10"/>
      <c r="I54" s="72" t="s">
        <v>106</v>
      </c>
      <c r="J54" s="76">
        <v>-1.33E-3</v>
      </c>
      <c r="K54" s="78"/>
      <c r="L54" s="55"/>
    </row>
    <row r="55" spans="2:12" x14ac:dyDescent="0.25">
      <c r="B55" s="5"/>
      <c r="C55" s="28" t="s">
        <v>96</v>
      </c>
      <c r="D55" s="35" t="b">
        <v>0</v>
      </c>
      <c r="E55" s="9"/>
      <c r="F55" s="72"/>
      <c r="G55" s="76"/>
      <c r="H55" s="10"/>
      <c r="I55" s="72" t="s">
        <v>107</v>
      </c>
      <c r="J55" s="76">
        <v>-1.3900000000000002E-3</v>
      </c>
      <c r="K55" s="78"/>
      <c r="L55" s="55"/>
    </row>
    <row r="56" spans="2:12" x14ac:dyDescent="0.25">
      <c r="B56" s="5"/>
      <c r="C56" s="28" t="s">
        <v>102</v>
      </c>
      <c r="D56" s="35" t="b">
        <v>1</v>
      </c>
      <c r="E56" s="9"/>
      <c r="F56" s="72"/>
      <c r="G56" s="76"/>
      <c r="H56" s="10"/>
      <c r="I56" s="72" t="s">
        <v>108</v>
      </c>
      <c r="J56" s="76">
        <v>-1.4399999999999999E-3</v>
      </c>
      <c r="K56" s="78"/>
      <c r="L56" s="55"/>
    </row>
    <row r="57" spans="2:12" x14ac:dyDescent="0.25">
      <c r="B57" s="5"/>
      <c r="C57" s="28" t="s">
        <v>103</v>
      </c>
      <c r="D57" s="35">
        <v>2</v>
      </c>
      <c r="E57" s="9"/>
      <c r="F57" s="72"/>
      <c r="G57" s="76"/>
      <c r="H57" s="10"/>
      <c r="I57" s="72" t="s">
        <v>109</v>
      </c>
      <c r="J57" s="76">
        <v>-1.4399999999999999E-3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110</v>
      </c>
      <c r="J58" s="76">
        <v>-1.4599999999999999E-3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111</v>
      </c>
      <c r="J59" s="76">
        <v>-1.47E-3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112</v>
      </c>
      <c r="J60" s="76">
        <v>-1.4599999999999999E-3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113</v>
      </c>
      <c r="J61" s="76">
        <v>-1.4299999999999998E-3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 t="s">
        <v>114</v>
      </c>
      <c r="J62" s="76">
        <v>-1.4099999999999998E-3</v>
      </c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115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116</v>
      </c>
      <c r="D71" s="10"/>
      <c r="E71" s="10"/>
      <c r="F71" s="49" t="s">
        <v>118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140</v>
      </c>
      <c r="G72" s="97" t="s">
        <v>13</v>
      </c>
      <c r="H72" s="97" t="s">
        <v>14</v>
      </c>
      <c r="I72" s="97" t="s">
        <v>12</v>
      </c>
      <c r="J72" s="97" t="s">
        <v>117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119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120</v>
      </c>
      <c r="D92" s="10"/>
      <c r="E92" s="10"/>
      <c r="F92" s="49" t="s">
        <v>121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91</v>
      </c>
      <c r="D94" s="35" t="s">
        <v>19</v>
      </c>
      <c r="E94" s="9"/>
      <c r="F94" s="101" t="s">
        <v>39</v>
      </c>
      <c r="G94" s="98">
        <v>-1.33E-3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122</v>
      </c>
      <c r="D95" s="35" t="s">
        <v>19</v>
      </c>
      <c r="E95" s="9"/>
      <c r="F95" s="24" t="s">
        <v>37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123</v>
      </c>
      <c r="D96" s="35" t="s">
        <v>6</v>
      </c>
      <c r="E96" s="9"/>
      <c r="F96" s="24" t="s">
        <v>42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26</v>
      </c>
      <c r="D97" s="35" t="s">
        <v>25</v>
      </c>
      <c r="E97" s="9"/>
      <c r="F97" s="24" t="s">
        <v>44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125</v>
      </c>
      <c r="D98" s="35" t="s">
        <v>124</v>
      </c>
      <c r="E98" s="9"/>
      <c r="F98" s="24" t="s">
        <v>46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126</v>
      </c>
      <c r="D99" s="110" t="str">
        <f>InterpolationLabelForCurves</f>
        <v>fn_SplineInterpolation</v>
      </c>
      <c r="E99" s="9"/>
      <c r="F99" s="24" t="s">
        <v>48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96</v>
      </c>
      <c r="D100" s="35" t="b">
        <v>0</v>
      </c>
      <c r="E100" s="9"/>
      <c r="F100" s="24" t="s">
        <v>50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95</v>
      </c>
      <c r="D101" s="35">
        <v>2</v>
      </c>
      <c r="E101" s="9"/>
      <c r="F101" s="24" t="s">
        <v>52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20</v>
      </c>
      <c r="D102" s="68" t="s">
        <v>21</v>
      </c>
      <c r="E102" s="9"/>
      <c r="F102" s="24" t="s">
        <v>53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127</v>
      </c>
      <c r="D103" s="35" t="b">
        <v>1</v>
      </c>
      <c r="E103" s="9"/>
      <c r="F103" s="24" t="s">
        <v>54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128</v>
      </c>
      <c r="D104" s="35" t="b">
        <v>1</v>
      </c>
      <c r="E104" s="9"/>
      <c r="F104" s="24" t="s">
        <v>55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129</v>
      </c>
      <c r="D105" s="35" t="s">
        <v>130</v>
      </c>
      <c r="E105" s="9"/>
      <c r="F105" s="24" t="s">
        <v>56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131</v>
      </c>
      <c r="D106" s="38">
        <v>1.0000000000000001E-9</v>
      </c>
      <c r="E106" s="9"/>
      <c r="F106" s="24" t="s">
        <v>57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132</v>
      </c>
      <c r="D107" s="38">
        <v>1.0000000000000001E-15</v>
      </c>
      <c r="E107" s="9"/>
      <c r="F107" s="24" t="s">
        <v>58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133</v>
      </c>
      <c r="D108" s="38">
        <v>1E-10</v>
      </c>
      <c r="E108" s="9"/>
      <c r="F108" s="24" t="s">
        <v>59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134</v>
      </c>
      <c r="D109" s="106">
        <v>1000</v>
      </c>
      <c r="E109" s="9"/>
      <c r="F109" s="24" t="s">
        <v>60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 t="s">
        <v>61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99 D24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82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72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72</v>
      </c>
      <c r="D7" s="61" t="str">
        <f ca="1">IF(NOW(),_xll.mirSetUpOISCurve(D11,D12,C20:D24,C31:D57,F32:J57,D13,L32:M57),"Error Building OIS Curve")</f>
        <v>OIS OIS Curve has been set (0.00700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1" t="s">
        <v>144</v>
      </c>
      <c r="D8" s="112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80</v>
      </c>
      <c r="D11" s="107" t="s">
        <v>220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79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81</v>
      </c>
      <c r="D13" s="109" t="s">
        <v>143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62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62</v>
      </c>
      <c r="D19" s="47"/>
      <c r="E19" s="7"/>
      <c r="F19" s="50" t="s">
        <v>73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74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75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23</v>
      </c>
      <c r="D22" s="110" t="str">
        <f>InterpolationLabelForCurves</f>
        <v>fn_SplineInterpolation</v>
      </c>
      <c r="E22" s="7"/>
      <c r="F22" s="17" t="s">
        <v>76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77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9"/>
      <c r="E24" s="7"/>
      <c r="F24" s="21" t="s">
        <v>78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8" spans="2:14" x14ac:dyDescent="0.25">
      <c r="B28" s="56" t="s">
        <v>71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64</v>
      </c>
      <c r="G30" s="10"/>
      <c r="H30" s="10"/>
      <c r="I30" s="10"/>
      <c r="J30" s="10"/>
      <c r="K30" s="10"/>
      <c r="L30" s="49" t="s">
        <v>66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67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tr">
        <f>'EUR OIS'!F32</f>
        <v>ON</v>
      </c>
      <c r="G32" s="19">
        <f>'EUR OIS'!G32+IF(BumpOIS,Bump,0)</f>
        <v>-2.5299999999999997E-3</v>
      </c>
      <c r="H32" s="20" t="str">
        <f>'EUR OIS'!H32</f>
        <v/>
      </c>
      <c r="I32" s="20" t="str">
        <f>'EUR OIS'!I32</f>
        <v/>
      </c>
      <c r="J32" s="41" t="b">
        <f>'EUR OIS'!J32</f>
        <v>1</v>
      </c>
      <c r="K32" s="174"/>
      <c r="L32" s="53"/>
      <c r="M32" s="51"/>
      <c r="N32" s="55"/>
    </row>
    <row r="33" spans="2:14" x14ac:dyDescent="0.25">
      <c r="B33" s="5"/>
      <c r="C33" s="28" t="s">
        <v>24</v>
      </c>
      <c r="D33" s="35" t="s">
        <v>25</v>
      </c>
      <c r="E33" s="9"/>
      <c r="F33" s="24" t="str">
        <f>'EUR OIS'!F33</f>
        <v>EUSF1A</v>
      </c>
      <c r="G33" s="19">
        <f>'EUR OIS'!G33+IF(BumpOIS,Bump,0)</f>
        <v>-3.49E-3</v>
      </c>
      <c r="H33" s="20">
        <f>'EUR OIS'!H33</f>
        <v>42481</v>
      </c>
      <c r="I33" s="20">
        <f>'EUR OIS'!I33</f>
        <v>42523</v>
      </c>
      <c r="J33" s="41" t="b">
        <f>'EUR OIS'!J33</f>
        <v>1</v>
      </c>
      <c r="K33" s="175"/>
      <c r="L33" s="53"/>
      <c r="M33" s="51"/>
      <c r="N33" s="55"/>
    </row>
    <row r="34" spans="2:14" x14ac:dyDescent="0.25">
      <c r="B34" s="5"/>
      <c r="C34" s="28" t="s">
        <v>15</v>
      </c>
      <c r="D34" s="35" t="s">
        <v>27</v>
      </c>
      <c r="E34" s="9"/>
      <c r="F34" s="24" t="str">
        <f>'EUR OIS'!F34</f>
        <v>EUSF2A</v>
      </c>
      <c r="G34" s="19">
        <f>'EUR OIS'!G34+IF(BumpOIS,Bump,0)</f>
        <v>-3.6299999999999995E-3</v>
      </c>
      <c r="H34" s="20">
        <f>'EUR OIS'!H34</f>
        <v>42523</v>
      </c>
      <c r="I34" s="20">
        <f>'EUR OIS'!I34</f>
        <v>42572</v>
      </c>
      <c r="J34" s="41" t="b">
        <f>'EUR OIS'!J34</f>
        <v>1</v>
      </c>
      <c r="K34" s="175"/>
      <c r="L34" s="53"/>
      <c r="M34" s="51"/>
      <c r="N34" s="55"/>
    </row>
    <row r="35" spans="2:14" x14ac:dyDescent="0.25">
      <c r="B35" s="5"/>
      <c r="C35" s="28" t="s">
        <v>22</v>
      </c>
      <c r="D35" s="35" t="s">
        <v>21</v>
      </c>
      <c r="E35" s="9"/>
      <c r="F35" s="24" t="str">
        <f>'EUR OIS'!F35</f>
        <v>EUSF3A</v>
      </c>
      <c r="G35" s="19">
        <f>'EUR OIS'!G35+IF(BumpOIS,Bump,0)</f>
        <v>-3.6699999999999997E-3</v>
      </c>
      <c r="H35" s="20">
        <f>'EUR OIS'!H35</f>
        <v>42572</v>
      </c>
      <c r="I35" s="20">
        <f>'EUR OIS'!I35</f>
        <v>42621</v>
      </c>
      <c r="J35" s="41" t="b">
        <f>'EUR OIS'!J35</f>
        <v>1</v>
      </c>
      <c r="K35" s="175"/>
      <c r="L35" s="53"/>
      <c r="M35" s="51"/>
      <c r="N35" s="55"/>
    </row>
    <row r="36" spans="2:14" x14ac:dyDescent="0.25">
      <c r="B36" s="5"/>
      <c r="C36" s="29" t="s">
        <v>28</v>
      </c>
      <c r="D36" s="35" t="b">
        <v>0</v>
      </c>
      <c r="E36" s="9"/>
      <c r="F36" s="24" t="str">
        <f>'EUR OIS'!F36</f>
        <v>EUSF4A</v>
      </c>
      <c r="G36" s="19">
        <f>'EUR OIS'!G36+IF(BumpOIS,Bump,0)</f>
        <v>-3.8799999999999998E-3</v>
      </c>
      <c r="H36" s="20">
        <f>'EUR OIS'!H36</f>
        <v>42621</v>
      </c>
      <c r="I36" s="20">
        <f>'EUR OIS'!I36</f>
        <v>42663</v>
      </c>
      <c r="J36" s="41" t="b">
        <f>'EUR OIS'!J36</f>
        <v>1</v>
      </c>
      <c r="K36" s="175"/>
      <c r="L36" s="53"/>
      <c r="M36" s="51"/>
      <c r="N36" s="55"/>
    </row>
    <row r="37" spans="2:14" x14ac:dyDescent="0.25">
      <c r="B37" s="5"/>
      <c r="C37" s="30" t="s">
        <v>29</v>
      </c>
      <c r="D37" s="36">
        <v>31</v>
      </c>
      <c r="E37" s="9"/>
      <c r="F37" s="24" t="str">
        <f>'EUR OIS'!F37</f>
        <v>EUSF5A</v>
      </c>
      <c r="G37" s="19">
        <f>'EUR OIS'!G37+IF(BumpOIS,Bump,0)</f>
        <v>-3.96E-3</v>
      </c>
      <c r="H37" s="20">
        <f>'EUR OIS'!H37</f>
        <v>42663</v>
      </c>
      <c r="I37" s="20">
        <f>'EUR OIS'!I37</f>
        <v>42712</v>
      </c>
      <c r="J37" s="41" t="b">
        <f>'EUR OIS'!J37</f>
        <v>1</v>
      </c>
      <c r="K37" s="175"/>
      <c r="L37" s="53"/>
      <c r="M37" s="51"/>
      <c r="N37" s="55"/>
    </row>
    <row r="38" spans="2:14" x14ac:dyDescent="0.25">
      <c r="B38" s="5"/>
      <c r="C38" s="28" t="s">
        <v>30</v>
      </c>
      <c r="D38" s="35" t="s">
        <v>31</v>
      </c>
      <c r="E38" s="9"/>
      <c r="F38" s="24" t="str">
        <f>'EUR OIS'!F38</f>
        <v>12M</v>
      </c>
      <c r="G38" s="19">
        <f>'EUR OIS'!G38+IF(BumpOIS,Bump,0)</f>
        <v>-3.79E-3</v>
      </c>
      <c r="H38" s="20" t="str">
        <f>'EUR OIS'!H38</f>
        <v/>
      </c>
      <c r="I38" s="20" t="str">
        <f>'EUR OIS'!I38</f>
        <v/>
      </c>
      <c r="J38" s="41" t="b">
        <f>'EUR OIS'!J38</f>
        <v>1</v>
      </c>
      <c r="K38" s="175"/>
      <c r="L38" s="53"/>
      <c r="M38" s="51"/>
      <c r="N38" s="55"/>
    </row>
    <row r="39" spans="2:14" x14ac:dyDescent="0.25">
      <c r="B39" s="5"/>
      <c r="C39" s="28" t="s">
        <v>32</v>
      </c>
      <c r="D39" s="35" t="s">
        <v>33</v>
      </c>
      <c r="E39" s="9"/>
      <c r="F39" s="24" t="str">
        <f>'EUR OIS'!F39</f>
        <v>18M</v>
      </c>
      <c r="G39" s="19">
        <f>'EUR OIS'!G39+IF(BumpOIS,Bump,0)</f>
        <v>-3.8899999999999998E-3</v>
      </c>
      <c r="H39" s="20" t="str">
        <f>'EUR OIS'!H39</f>
        <v/>
      </c>
      <c r="I39" s="20" t="str">
        <f>'EUR OIS'!I39</f>
        <v/>
      </c>
      <c r="J39" s="41" t="b">
        <f>'EUR OIS'!J39</f>
        <v>1</v>
      </c>
      <c r="K39" s="175"/>
      <c r="L39" s="53"/>
      <c r="M39" s="51"/>
      <c r="N39" s="55"/>
    </row>
    <row r="40" spans="2:14" x14ac:dyDescent="0.25">
      <c r="B40" s="5"/>
      <c r="C40" s="28" t="s">
        <v>35</v>
      </c>
      <c r="D40" s="35" t="s">
        <v>36</v>
      </c>
      <c r="E40" s="9"/>
      <c r="F40" s="24" t="str">
        <f>'EUR OIS'!F40</f>
        <v>2Y</v>
      </c>
      <c r="G40" s="19">
        <f>'EUR OIS'!G40+IF(BumpOIS,Bump,0)</f>
        <v>-3.8699999999999997E-3</v>
      </c>
      <c r="H40" s="20" t="str">
        <f>'EUR OIS'!H40</f>
        <v/>
      </c>
      <c r="I40" s="20" t="str">
        <f>'EUR OIS'!I40</f>
        <v/>
      </c>
      <c r="J40" s="41" t="b">
        <f>'EUR OIS'!J40</f>
        <v>1</v>
      </c>
      <c r="K40" s="175"/>
      <c r="L40" s="53"/>
      <c r="M40" s="51"/>
      <c r="N40" s="55"/>
    </row>
    <row r="41" spans="2:14" x14ac:dyDescent="0.25">
      <c r="B41" s="5"/>
      <c r="C41" s="28" t="s">
        <v>131</v>
      </c>
      <c r="D41" s="38">
        <v>1E-10</v>
      </c>
      <c r="E41" s="9"/>
      <c r="F41" s="24" t="str">
        <f>'EUR OIS'!F41</f>
        <v>3Y</v>
      </c>
      <c r="G41" s="19">
        <f>'EUR OIS'!G41+IF(BumpOIS,Bump,0)</f>
        <v>-3.5399999999999997E-3</v>
      </c>
      <c r="H41" s="20" t="str">
        <f>'EUR OIS'!H41</f>
        <v/>
      </c>
      <c r="I41" s="20" t="str">
        <f>'EUR OIS'!I41</f>
        <v/>
      </c>
      <c r="J41" s="41" t="b">
        <f>'EUR OIS'!J41</f>
        <v>1</v>
      </c>
      <c r="K41" s="175"/>
      <c r="L41" s="53"/>
      <c r="M41" s="51"/>
      <c r="N41" s="55"/>
    </row>
    <row r="42" spans="2:14" x14ac:dyDescent="0.25">
      <c r="B42" s="5"/>
      <c r="C42" s="28" t="s">
        <v>134</v>
      </c>
      <c r="D42" s="106">
        <v>1000</v>
      </c>
      <c r="E42" s="9"/>
      <c r="F42" s="24" t="str">
        <f>'EUR OIS'!F42</f>
        <v>4Y</v>
      </c>
      <c r="G42" s="19">
        <f>'EUR OIS'!G42+IF(BumpOIS,Bump,0)</f>
        <v>-2.82E-3</v>
      </c>
      <c r="H42" s="20" t="str">
        <f>'EUR OIS'!H42</f>
        <v/>
      </c>
      <c r="I42" s="20" t="str">
        <f>'EUR OIS'!I42</f>
        <v/>
      </c>
      <c r="J42" s="41" t="b">
        <f>'EUR OIS'!J42</f>
        <v>1</v>
      </c>
      <c r="K42" s="175"/>
      <c r="L42" s="53"/>
      <c r="M42" s="51"/>
      <c r="N42" s="55"/>
    </row>
    <row r="43" spans="2:14" x14ac:dyDescent="0.25">
      <c r="B43" s="5"/>
      <c r="C43" s="31"/>
      <c r="D43" s="37"/>
      <c r="E43" s="9"/>
      <c r="F43" s="24" t="str">
        <f>'EUR OIS'!F43</f>
        <v>5Y</v>
      </c>
      <c r="G43" s="19">
        <f>'EUR OIS'!G43+IF(BumpOIS,Bump,0)</f>
        <v>-1.8600000000000001E-3</v>
      </c>
      <c r="H43" s="20" t="str">
        <f>'EUR OIS'!H43</f>
        <v/>
      </c>
      <c r="I43" s="20" t="str">
        <f>'EUR OIS'!I43</f>
        <v/>
      </c>
      <c r="J43" s="41" t="b">
        <f>'EUR OIS'!J43</f>
        <v>1</v>
      </c>
      <c r="K43" s="175"/>
      <c r="L43" s="53"/>
      <c r="M43" s="51"/>
      <c r="N43" s="55"/>
    </row>
    <row r="44" spans="2:14" x14ac:dyDescent="0.25">
      <c r="B44" s="5"/>
      <c r="C44" s="31"/>
      <c r="D44" s="37"/>
      <c r="E44" s="9"/>
      <c r="F44" s="24" t="str">
        <f>'EUR OIS'!F44</f>
        <v>6Y</v>
      </c>
      <c r="G44" s="19">
        <f>'EUR OIS'!G44+IF(BumpOIS,Bump,0)</f>
        <v>-7.2999999999999996E-4</v>
      </c>
      <c r="H44" s="20" t="str">
        <f>'EUR OIS'!H44</f>
        <v/>
      </c>
      <c r="I44" s="20" t="str">
        <f>'EUR OIS'!I44</f>
        <v/>
      </c>
      <c r="J44" s="41" t="b">
        <f>'EUR OIS'!J44</f>
        <v>1</v>
      </c>
      <c r="K44" s="175"/>
      <c r="L44" s="53"/>
      <c r="M44" s="51"/>
      <c r="N44" s="55"/>
    </row>
    <row r="45" spans="2:14" x14ac:dyDescent="0.25">
      <c r="B45" s="5"/>
      <c r="C45" s="31"/>
      <c r="D45" s="37"/>
      <c r="E45" s="9"/>
      <c r="F45" s="24" t="str">
        <f>'EUR OIS'!F45</f>
        <v>7Y</v>
      </c>
      <c r="G45" s="19">
        <f>'EUR OIS'!G45+IF(BumpOIS,Bump,0)</f>
        <v>5.0000000000000001E-4</v>
      </c>
      <c r="H45" s="20" t="str">
        <f>'EUR OIS'!H45</f>
        <v/>
      </c>
      <c r="I45" s="20" t="str">
        <f>'EUR OIS'!I45</f>
        <v/>
      </c>
      <c r="J45" s="41" t="b">
        <f>'EUR OIS'!J45</f>
        <v>1</v>
      </c>
      <c r="K45" s="175"/>
      <c r="L45" s="53"/>
      <c r="M45" s="51"/>
      <c r="N45" s="55"/>
    </row>
    <row r="46" spans="2:14" x14ac:dyDescent="0.25">
      <c r="B46" s="5"/>
      <c r="C46" s="31"/>
      <c r="D46" s="37"/>
      <c r="E46" s="9"/>
      <c r="F46" s="24" t="str">
        <f>'EUR OIS'!F46</f>
        <v>8Y</v>
      </c>
      <c r="G46" s="19">
        <f>'EUR OIS'!G46+IF(BumpOIS,Bump,0)</f>
        <v>1.7800000000000001E-3</v>
      </c>
      <c r="H46" s="20" t="str">
        <f>'EUR OIS'!H46</f>
        <v/>
      </c>
      <c r="I46" s="20" t="str">
        <f>'EUR OIS'!I46</f>
        <v/>
      </c>
      <c r="J46" s="41" t="b">
        <f>'EUR OIS'!J46</f>
        <v>1</v>
      </c>
      <c r="K46" s="175"/>
      <c r="L46" s="53"/>
      <c r="M46" s="51"/>
      <c r="N46" s="55"/>
    </row>
    <row r="47" spans="2:14" x14ac:dyDescent="0.25">
      <c r="B47" s="5"/>
      <c r="C47" s="32"/>
      <c r="D47" s="35"/>
      <c r="E47" s="9"/>
      <c r="F47" s="24" t="str">
        <f>'EUR OIS'!F47</f>
        <v>9Y</v>
      </c>
      <c r="G47" s="19">
        <f>'EUR OIS'!G47+IF(BumpOIS,Bump,0)</f>
        <v>3.0300000000000001E-3</v>
      </c>
      <c r="H47" s="20" t="str">
        <f>'EUR OIS'!H47</f>
        <v/>
      </c>
      <c r="I47" s="20" t="str">
        <f>'EUR OIS'!I47</f>
        <v/>
      </c>
      <c r="J47" s="41" t="b">
        <f>'EUR OIS'!J47</f>
        <v>1</v>
      </c>
      <c r="K47" s="175"/>
      <c r="L47" s="53"/>
      <c r="M47" s="51"/>
      <c r="N47" s="55"/>
    </row>
    <row r="48" spans="2:14" x14ac:dyDescent="0.25">
      <c r="B48" s="5"/>
      <c r="C48" s="32"/>
      <c r="D48" s="39"/>
      <c r="E48" s="9"/>
      <c r="F48" s="24" t="str">
        <f>'EUR OIS'!F48</f>
        <v>10Y</v>
      </c>
      <c r="G48" s="19">
        <f>'EUR OIS'!G48+IF(BumpOIS,Bump,0)</f>
        <v>4.1700000000000001E-3</v>
      </c>
      <c r="H48" s="20" t="str">
        <f>'EUR OIS'!H48</f>
        <v/>
      </c>
      <c r="I48" s="20" t="str">
        <f>'EUR OIS'!I48</f>
        <v/>
      </c>
      <c r="J48" s="41" t="b">
        <f>'EUR OIS'!J48</f>
        <v>1</v>
      </c>
      <c r="K48" s="175"/>
      <c r="L48" s="53"/>
      <c r="M48" s="51"/>
      <c r="N48" s="55"/>
    </row>
    <row r="49" spans="2:14" x14ac:dyDescent="0.25">
      <c r="B49" s="5"/>
      <c r="C49" s="32"/>
      <c r="D49" s="39"/>
      <c r="E49" s="9"/>
      <c r="F49" s="24" t="str">
        <f>'EUR OIS'!F49</f>
        <v>11Y</v>
      </c>
      <c r="G49" s="19">
        <f>'EUR OIS'!G49+IF(BumpOIS,Bump,0)</f>
        <v>5.2000000000000006E-3</v>
      </c>
      <c r="H49" s="20" t="str">
        <f>'EUR OIS'!H49</f>
        <v/>
      </c>
      <c r="I49" s="20" t="str">
        <f>'EUR OIS'!I49</f>
        <v/>
      </c>
      <c r="J49" s="41" t="b">
        <f>'EUR OIS'!J49</f>
        <v>1</v>
      </c>
      <c r="K49" s="175"/>
      <c r="L49" s="53"/>
      <c r="M49" s="51"/>
      <c r="N49" s="55"/>
    </row>
    <row r="50" spans="2:14" x14ac:dyDescent="0.25">
      <c r="B50" s="5"/>
      <c r="C50" s="32"/>
      <c r="D50" s="39"/>
      <c r="E50" s="9"/>
      <c r="F50" s="24" t="str">
        <f>'EUR OIS'!F50</f>
        <v>12Y</v>
      </c>
      <c r="G50" s="19">
        <f>'EUR OIS'!G50+IF(BumpOIS,Bump,0)</f>
        <v>6.0999999999999995E-3</v>
      </c>
      <c r="H50" s="20" t="str">
        <f>'EUR OIS'!H50</f>
        <v/>
      </c>
      <c r="I50" s="20" t="str">
        <f>'EUR OIS'!I50</f>
        <v/>
      </c>
      <c r="J50" s="41" t="b">
        <f>'EUR OIS'!J50</f>
        <v>1</v>
      </c>
      <c r="K50" s="175"/>
      <c r="L50" s="53"/>
      <c r="M50" s="51"/>
      <c r="N50" s="55"/>
    </row>
    <row r="51" spans="2:14" x14ac:dyDescent="0.25">
      <c r="B51" s="5"/>
      <c r="C51" s="32"/>
      <c r="D51" s="39"/>
      <c r="E51" s="9"/>
      <c r="F51" s="24" t="str">
        <f>'EUR OIS'!F51</f>
        <v>15Y</v>
      </c>
      <c r="G51" s="19">
        <f>'EUR OIS'!G51+IF(BumpOIS,Bump,0)</f>
        <v>8.1300000000000001E-3</v>
      </c>
      <c r="H51" s="20" t="str">
        <f>'EUR OIS'!H51</f>
        <v/>
      </c>
      <c r="I51" s="20" t="str">
        <f>'EUR OIS'!I51</f>
        <v/>
      </c>
      <c r="J51" s="41" t="b">
        <f>'EUR OIS'!J51</f>
        <v>1</v>
      </c>
      <c r="K51" s="175"/>
      <c r="L51" s="53"/>
      <c r="M51" s="51"/>
      <c r="N51" s="55"/>
    </row>
    <row r="52" spans="2:14" x14ac:dyDescent="0.25">
      <c r="B52" s="5"/>
      <c r="C52" s="32"/>
      <c r="D52" s="39"/>
      <c r="E52" s="9"/>
      <c r="F52" s="24" t="str">
        <f>'EUR OIS'!F52</f>
        <v>20Y</v>
      </c>
      <c r="G52" s="19">
        <f>'EUR OIS'!G52+IF(BumpOIS,Bump,0)</f>
        <v>9.8099999999999993E-3</v>
      </c>
      <c r="H52" s="20" t="str">
        <f>'EUR OIS'!H52</f>
        <v/>
      </c>
      <c r="I52" s="20" t="str">
        <f>'EUR OIS'!I52</f>
        <v/>
      </c>
      <c r="J52" s="41" t="b">
        <f>'EUR OIS'!J52</f>
        <v>1</v>
      </c>
      <c r="K52" s="175"/>
      <c r="L52" s="53"/>
      <c r="M52" s="51"/>
      <c r="N52" s="55"/>
    </row>
    <row r="53" spans="2:14" x14ac:dyDescent="0.25">
      <c r="B53" s="5"/>
      <c r="C53" s="32"/>
      <c r="D53" s="39"/>
      <c r="E53" s="9"/>
      <c r="F53" s="24" t="str">
        <f>'EUR OIS'!F53</f>
        <v>25Y</v>
      </c>
      <c r="G53" s="19">
        <f>'EUR OIS'!G53+IF(BumpOIS,Bump,0)</f>
        <v>1.04E-2</v>
      </c>
      <c r="H53" s="20" t="str">
        <f>'EUR OIS'!H53</f>
        <v/>
      </c>
      <c r="I53" s="20" t="str">
        <f>'EUR OIS'!I53</f>
        <v/>
      </c>
      <c r="J53" s="41" t="b">
        <f>'EUR OIS'!J53</f>
        <v>1</v>
      </c>
      <c r="K53" s="175"/>
      <c r="L53" s="53"/>
      <c r="M53" s="51"/>
      <c r="N53" s="55"/>
    </row>
    <row r="54" spans="2:14" x14ac:dyDescent="0.25">
      <c r="B54" s="5"/>
      <c r="C54" s="32"/>
      <c r="D54" s="39"/>
      <c r="E54" s="9"/>
      <c r="F54" s="24" t="str">
        <f>'EUR OIS'!F54</f>
        <v>30Y</v>
      </c>
      <c r="G54" s="19">
        <f>'EUR OIS'!G54+IF(BumpOIS,Bump,0)</f>
        <v>1.06E-2</v>
      </c>
      <c r="H54" s="20" t="str">
        <f>'EUR OIS'!H54</f>
        <v/>
      </c>
      <c r="I54" s="20" t="str">
        <f>'EUR OIS'!I54</f>
        <v/>
      </c>
      <c r="J54" s="41" t="b">
        <f>'EUR OIS'!J54</f>
        <v>1</v>
      </c>
      <c r="K54" s="175"/>
      <c r="L54" s="53"/>
      <c r="M54" s="51"/>
      <c r="N54" s="55"/>
    </row>
    <row r="55" spans="2:14" x14ac:dyDescent="0.25">
      <c r="B55" s="5"/>
      <c r="C55" s="32"/>
      <c r="D55" s="39"/>
      <c r="E55" s="9"/>
      <c r="F55" s="24" t="str">
        <f>'EUR OIS'!F55</f>
        <v>40Y</v>
      </c>
      <c r="G55" s="19">
        <f>'EUR OIS'!G55+IF(BumpOIS,Bump,0)</f>
        <v>1.0679999999999999E-2</v>
      </c>
      <c r="H55" s="20" t="str">
        <f>'EUR OIS'!H55</f>
        <v/>
      </c>
      <c r="I55" s="20" t="str">
        <f>'EUR OIS'!I55</f>
        <v/>
      </c>
      <c r="J55" s="41" t="b">
        <f>'EUR OIS'!J55</f>
        <v>1</v>
      </c>
      <c r="K55" s="175"/>
      <c r="L55" s="53"/>
      <c r="M55" s="51"/>
      <c r="N55" s="55"/>
    </row>
    <row r="56" spans="2:14" x14ac:dyDescent="0.25">
      <c r="B56" s="5"/>
      <c r="C56" s="32"/>
      <c r="D56" s="39"/>
      <c r="E56" s="9"/>
      <c r="F56" s="24" t="str">
        <f>'EUR OIS'!F56</f>
        <v>50Y</v>
      </c>
      <c r="G56" s="19">
        <f>'EUR OIS'!G56+IF(BumpOIS,Bump,0)</f>
        <v>1.0160000000000001E-2</v>
      </c>
      <c r="H56" s="20" t="str">
        <f>'EUR OIS'!H56</f>
        <v/>
      </c>
      <c r="I56" s="20" t="str">
        <f>'EUR OIS'!I56</f>
        <v/>
      </c>
      <c r="J56" s="41" t="b">
        <f>'EUR OIS'!J56</f>
        <v>1</v>
      </c>
      <c r="K56" s="175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76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70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63</v>
      </c>
      <c r="D63" s="10"/>
      <c r="E63" s="10"/>
      <c r="F63" s="49" t="s">
        <v>65</v>
      </c>
      <c r="G63" s="10"/>
      <c r="H63" s="10"/>
      <c r="I63" s="49" t="s">
        <v>68</v>
      </c>
      <c r="J63" s="10"/>
      <c r="K63" s="10"/>
      <c r="L63" s="49" t="s">
        <v>69</v>
      </c>
      <c r="M63" s="10"/>
      <c r="N63" s="55"/>
    </row>
    <row r="64" spans="2:14" x14ac:dyDescent="0.25">
      <c r="B64" s="5"/>
      <c r="C64" s="27"/>
      <c r="D64" s="34"/>
      <c r="E64" s="7"/>
      <c r="F64" s="58" t="s">
        <v>11</v>
      </c>
      <c r="G64" s="58" t="s">
        <v>12</v>
      </c>
      <c r="H64" s="10"/>
      <c r="I64" s="27"/>
      <c r="J64" s="34"/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/>
      <c r="D65" s="35"/>
      <c r="E65" s="9"/>
      <c r="F65" s="24"/>
      <c r="G65" s="51"/>
      <c r="H65" s="10"/>
      <c r="I65" s="28"/>
      <c r="J65" s="35"/>
      <c r="K65" s="10"/>
      <c r="L65" s="24"/>
      <c r="M65" s="51"/>
      <c r="N65" s="55"/>
    </row>
    <row r="66" spans="2:14" x14ac:dyDescent="0.25">
      <c r="B66" s="5"/>
      <c r="C66" s="28"/>
      <c r="D66" s="35"/>
      <c r="E66" s="9"/>
      <c r="F66" s="24"/>
      <c r="G66" s="51"/>
      <c r="H66" s="10"/>
      <c r="I66" s="28"/>
      <c r="J66" s="35"/>
      <c r="K66" s="10"/>
      <c r="L66" s="24"/>
      <c r="M66" s="51"/>
      <c r="N66" s="55"/>
    </row>
    <row r="67" spans="2:14" x14ac:dyDescent="0.25">
      <c r="B67" s="5"/>
      <c r="C67" s="28"/>
      <c r="D67" s="35"/>
      <c r="E67" s="9"/>
      <c r="F67" s="24"/>
      <c r="G67" s="51"/>
      <c r="H67" s="10"/>
      <c r="I67" s="28"/>
      <c r="J67" s="35"/>
      <c r="K67" s="10"/>
      <c r="L67" s="24"/>
      <c r="M67" s="51"/>
      <c r="N67" s="55"/>
    </row>
    <row r="68" spans="2:14" x14ac:dyDescent="0.25">
      <c r="B68" s="5"/>
      <c r="C68" s="28"/>
      <c r="D68" s="35"/>
      <c r="E68" s="9"/>
      <c r="F68" s="24"/>
      <c r="G68" s="51"/>
      <c r="H68" s="10"/>
      <c r="I68" s="28"/>
      <c r="J68" s="35"/>
      <c r="K68" s="10"/>
      <c r="L68" s="24"/>
      <c r="M68" s="51"/>
      <c r="N68" s="55"/>
    </row>
    <row r="69" spans="2:14" x14ac:dyDescent="0.25">
      <c r="B69" s="5"/>
      <c r="C69" s="29"/>
      <c r="D69" s="35"/>
      <c r="E69" s="9"/>
      <c r="F69" s="24"/>
      <c r="G69" s="51"/>
      <c r="H69" s="10"/>
      <c r="I69" s="29"/>
      <c r="J69" s="35"/>
      <c r="K69" s="10"/>
      <c r="L69" s="24"/>
      <c r="M69" s="51"/>
      <c r="N69" s="55"/>
    </row>
    <row r="70" spans="2:14" x14ac:dyDescent="0.25">
      <c r="B70" s="5"/>
      <c r="C70" s="30"/>
      <c r="D70" s="36"/>
      <c r="E70" s="9"/>
      <c r="F70" s="24"/>
      <c r="G70" s="51"/>
      <c r="H70" s="10"/>
      <c r="I70" s="30"/>
      <c r="J70" s="36"/>
      <c r="K70" s="10"/>
      <c r="L70" s="24"/>
      <c r="M70" s="51"/>
      <c r="N70" s="55"/>
    </row>
    <row r="71" spans="2:14" x14ac:dyDescent="0.25">
      <c r="B71" s="5"/>
      <c r="C71" s="28"/>
      <c r="D71" s="35"/>
      <c r="E71" s="9"/>
      <c r="F71" s="24"/>
      <c r="G71" s="51"/>
      <c r="H71" s="10"/>
      <c r="I71" s="28"/>
      <c r="J71" s="35"/>
      <c r="K71" s="10"/>
      <c r="L71" s="24"/>
      <c r="M71" s="51"/>
      <c r="N71" s="55"/>
    </row>
    <row r="72" spans="2:14" x14ac:dyDescent="0.25">
      <c r="B72" s="5"/>
      <c r="C72" s="28"/>
      <c r="D72" s="35"/>
      <c r="E72" s="9"/>
      <c r="F72" s="24"/>
      <c r="G72" s="51"/>
      <c r="H72" s="10"/>
      <c r="I72" s="28"/>
      <c r="J72" s="35"/>
      <c r="K72" s="10"/>
      <c r="L72" s="24"/>
      <c r="M72" s="51"/>
      <c r="N72" s="55"/>
    </row>
    <row r="73" spans="2:14" x14ac:dyDescent="0.25">
      <c r="B73" s="5"/>
      <c r="C73" s="28"/>
      <c r="D73" s="35"/>
      <c r="E73" s="9"/>
      <c r="F73" s="24"/>
      <c r="G73" s="51"/>
      <c r="H73" s="10"/>
      <c r="I73" s="28"/>
      <c r="J73" s="35"/>
      <c r="K73" s="10"/>
      <c r="L73" s="24"/>
      <c r="M73" s="51"/>
      <c r="N73" s="55"/>
    </row>
    <row r="74" spans="2:14" x14ac:dyDescent="0.25">
      <c r="B74" s="5"/>
      <c r="C74" s="28"/>
      <c r="D74" s="35"/>
      <c r="E74" s="9"/>
      <c r="F74" s="24"/>
      <c r="G74" s="51"/>
      <c r="H74" s="10"/>
      <c r="I74" s="28"/>
      <c r="J74" s="35"/>
      <c r="K74" s="10"/>
      <c r="L74" s="24"/>
      <c r="M74" s="51"/>
      <c r="N74" s="55"/>
    </row>
    <row r="75" spans="2:14" x14ac:dyDescent="0.25">
      <c r="B75" s="5"/>
      <c r="C75" s="28"/>
      <c r="D75" s="35"/>
      <c r="E75" s="9"/>
      <c r="F75" s="24"/>
      <c r="G75" s="51"/>
      <c r="H75" s="10"/>
      <c r="I75" s="28"/>
      <c r="J75" s="35"/>
      <c r="K75" s="10"/>
      <c r="L75" s="24"/>
      <c r="M75" s="51"/>
      <c r="N75" s="55"/>
    </row>
    <row r="76" spans="2:14" x14ac:dyDescent="0.25">
      <c r="B76" s="5"/>
      <c r="C76" s="29"/>
      <c r="D76" s="35"/>
      <c r="E76" s="9"/>
      <c r="F76" s="24"/>
      <c r="G76" s="51"/>
      <c r="H76" s="10"/>
      <c r="I76" s="29"/>
      <c r="J76" s="35"/>
      <c r="K76" s="10"/>
      <c r="L76" s="24"/>
      <c r="M76" s="51"/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t="s">
        <v>138</v>
      </c>
    </row>
    <row r="3" spans="2:12" x14ac:dyDescent="0.25">
      <c r="B3" t="s">
        <v>139</v>
      </c>
    </row>
    <row r="6" spans="2:12" x14ac:dyDescent="0.25">
      <c r="B6" s="56" t="s">
        <v>83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83</v>
      </c>
      <c r="D8" s="61" t="str">
        <f ca="1">IF(AND(NOW(),isBumpedEUROISLoaded),_xll.mirSetUpSwapCurve(D13,D14,C22:D31,C38:D43,F38:G43,I39:J43,C93:D111,F94:H111,C51:D64,F52:G64,I52:J64,C72:D85,F73:J85,,,D15),"Error Building Swap Curve")</f>
        <v>STD Swap Curve has been set (0.00900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1" t="s">
        <v>144</v>
      </c>
      <c r="D9" s="112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80</v>
      </c>
      <c r="D13" s="107" t="s">
        <v>220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79</v>
      </c>
      <c r="D14" s="108" t="s">
        <v>84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81</v>
      </c>
      <c r="D15" s="109" t="s">
        <v>85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62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62</v>
      </c>
      <c r="D21" s="47"/>
      <c r="E21" s="7"/>
      <c r="F21" s="50" t="s">
        <v>73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74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17</v>
      </c>
      <c r="E23" s="7"/>
      <c r="F23" s="17" t="s">
        <v>75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23</v>
      </c>
      <c r="D24" s="110" t="str">
        <f>InterpolationLabelForCurves</f>
        <v>fn_SplineInterpolation</v>
      </c>
      <c r="E24" s="7"/>
      <c r="F24" s="17" t="s">
        <v>76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87</v>
      </c>
      <c r="D25" s="108" t="b">
        <v>1</v>
      </c>
      <c r="E25" s="7"/>
      <c r="F25" s="17" t="s">
        <v>77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86</v>
      </c>
      <c r="D26" s="108" t="b">
        <v>0</v>
      </c>
      <c r="E26" s="7"/>
      <c r="F26" s="17" t="s">
        <v>78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26</v>
      </c>
      <c r="D27" s="108" t="s">
        <v>124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88</v>
      </c>
      <c r="D28" s="108" t="s">
        <v>9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/>
      <c r="D29" s="108"/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9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89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90</v>
      </c>
      <c r="D37" s="10"/>
      <c r="E37" s="10"/>
      <c r="F37" s="49" t="s">
        <v>97</v>
      </c>
      <c r="G37" s="10"/>
      <c r="H37" s="10"/>
      <c r="I37" s="49" t="s">
        <v>135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91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98</v>
      </c>
      <c r="J39" s="75">
        <f>FixingFromEUR6MLCurve+IF(BumpSTD,Bump,0)</f>
        <v>-1.41E-3</v>
      </c>
      <c r="K39" s="78"/>
      <c r="L39" s="55"/>
    </row>
    <row r="40" spans="2:12" x14ac:dyDescent="0.25">
      <c r="B40" s="5"/>
      <c r="C40" s="28" t="s">
        <v>92</v>
      </c>
      <c r="D40" s="35" t="s">
        <v>93</v>
      </c>
      <c r="E40" s="9"/>
      <c r="F40" s="29" t="s">
        <v>26</v>
      </c>
      <c r="G40" s="35" t="s">
        <v>94</v>
      </c>
      <c r="H40" s="10"/>
      <c r="I40" s="72"/>
      <c r="J40" s="76"/>
      <c r="K40" s="78"/>
      <c r="L40" s="55"/>
    </row>
    <row r="41" spans="2:12" x14ac:dyDescent="0.25">
      <c r="B41" s="5"/>
      <c r="C41" s="28"/>
      <c r="D41" s="35"/>
      <c r="E41" s="9"/>
      <c r="F41" s="29" t="s">
        <v>95</v>
      </c>
      <c r="G41" s="69">
        <v>2</v>
      </c>
      <c r="H41" s="10"/>
      <c r="I41" s="72"/>
      <c r="J41" s="76"/>
      <c r="K41" s="78"/>
      <c r="L41" s="55"/>
    </row>
    <row r="42" spans="2:12" x14ac:dyDescent="0.25">
      <c r="B42" s="5"/>
      <c r="C42" s="28"/>
      <c r="D42" s="35"/>
      <c r="E42" s="9"/>
      <c r="F42" s="29" t="s">
        <v>20</v>
      </c>
      <c r="G42" s="69" t="s">
        <v>21</v>
      </c>
      <c r="H42" s="10"/>
      <c r="I42" s="72"/>
      <c r="J42" s="76"/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142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99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100</v>
      </c>
      <c r="D50" s="10"/>
      <c r="E50" s="10"/>
      <c r="F50" s="49" t="s">
        <v>136</v>
      </c>
      <c r="G50" s="10"/>
      <c r="H50" s="10"/>
      <c r="I50" s="49" t="s">
        <v>137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91</v>
      </c>
      <c r="D52" s="35" t="s">
        <v>6</v>
      </c>
      <c r="E52" s="9"/>
      <c r="F52" s="71"/>
      <c r="G52" s="75"/>
      <c r="H52" s="10"/>
      <c r="I52" s="71" t="s">
        <v>104</v>
      </c>
      <c r="J52" s="75">
        <f>'EUR SWAP 6ML'!J52+IF(BumpSTD,Bump,0)</f>
        <v>-1.3900000000000002E-3</v>
      </c>
      <c r="K52" s="78"/>
      <c r="L52" s="55"/>
    </row>
    <row r="53" spans="2:12" x14ac:dyDescent="0.25">
      <c r="B53" s="5"/>
      <c r="C53" s="28" t="s">
        <v>101</v>
      </c>
      <c r="D53" s="35">
        <v>2</v>
      </c>
      <c r="E53" s="9"/>
      <c r="F53" s="72"/>
      <c r="G53" s="76"/>
      <c r="H53" s="10"/>
      <c r="I53" s="72" t="s">
        <v>105</v>
      </c>
      <c r="J53" s="76">
        <f>'EUR SWAP 6ML'!J53+IF(BumpSTD,Bump,0)</f>
        <v>-1.3900000000000002E-3</v>
      </c>
      <c r="K53" s="78"/>
      <c r="L53" s="55"/>
    </row>
    <row r="54" spans="2:12" x14ac:dyDescent="0.25">
      <c r="B54" s="5"/>
      <c r="C54" s="28" t="s">
        <v>20</v>
      </c>
      <c r="D54" s="68" t="s">
        <v>21</v>
      </c>
      <c r="E54" s="9"/>
      <c r="F54" s="72"/>
      <c r="G54" s="76"/>
      <c r="H54" s="10"/>
      <c r="I54" s="72" t="s">
        <v>106</v>
      </c>
      <c r="J54" s="76">
        <f>'EUR SWAP 6ML'!J54+IF(BumpSTD,Bump,0)</f>
        <v>-1.4300000000000001E-3</v>
      </c>
      <c r="K54" s="78"/>
      <c r="L54" s="55"/>
    </row>
    <row r="55" spans="2:12" x14ac:dyDescent="0.25">
      <c r="B55" s="5"/>
      <c r="C55" s="28" t="s">
        <v>96</v>
      </c>
      <c r="D55" s="35" t="b">
        <v>0</v>
      </c>
      <c r="E55" s="9"/>
      <c r="F55" s="72"/>
      <c r="G55" s="76"/>
      <c r="H55" s="10"/>
      <c r="I55" s="72" t="s">
        <v>107</v>
      </c>
      <c r="J55" s="76">
        <f>'EUR SWAP 6ML'!J55+IF(BumpSTD,Bump,0)</f>
        <v>-1.4900000000000002E-3</v>
      </c>
      <c r="K55" s="78"/>
      <c r="L55" s="55"/>
    </row>
    <row r="56" spans="2:12" x14ac:dyDescent="0.25">
      <c r="B56" s="5"/>
      <c r="C56" s="28" t="s">
        <v>102</v>
      </c>
      <c r="D56" s="35" t="b">
        <v>1</v>
      </c>
      <c r="E56" s="9"/>
      <c r="F56" s="72"/>
      <c r="G56" s="76"/>
      <c r="H56" s="10"/>
      <c r="I56" s="72" t="s">
        <v>108</v>
      </c>
      <c r="J56" s="76">
        <f>'EUR SWAP 6ML'!J56+IF(BumpSTD,Bump,0)</f>
        <v>-1.5399999999999999E-3</v>
      </c>
      <c r="K56" s="78"/>
      <c r="L56" s="55"/>
    </row>
    <row r="57" spans="2:12" x14ac:dyDescent="0.25">
      <c r="B57" s="5"/>
      <c r="C57" s="28" t="s">
        <v>103</v>
      </c>
      <c r="D57" s="35">
        <v>2</v>
      </c>
      <c r="E57" s="9"/>
      <c r="F57" s="72"/>
      <c r="G57" s="76"/>
      <c r="H57" s="10"/>
      <c r="I57" s="72" t="s">
        <v>109</v>
      </c>
      <c r="J57" s="76">
        <f>'EUR SWAP 6ML'!J57+IF(BumpSTD,Bump,0)</f>
        <v>-1.5399999999999999E-3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110</v>
      </c>
      <c r="J58" s="76">
        <f>'EUR SWAP 6ML'!J58+IF(BumpSTD,Bump,0)</f>
        <v>-1.56E-3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111</v>
      </c>
      <c r="J59" s="76">
        <f>'EUR SWAP 6ML'!J59+IF(BumpSTD,Bump,0)</f>
        <v>-1.57E-3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112</v>
      </c>
      <c r="J60" s="76">
        <f>'EUR SWAP 6ML'!J60+IF(BumpSTD,Bump,0)</f>
        <v>-1.56E-3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113</v>
      </c>
      <c r="J61" s="76">
        <f>'EUR SWAP 6ML'!J61+IF(BumpSTD,Bump,0)</f>
        <v>-1.5299999999999999E-3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 t="s">
        <v>114</v>
      </c>
      <c r="J62" s="76">
        <f>'EUR SWAP 6ML'!J62+IF(BumpSTD,Bump,0)</f>
        <v>-1.5099999999999998E-3</v>
      </c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115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116</v>
      </c>
      <c r="D71" s="10"/>
      <c r="E71" s="10"/>
      <c r="F71" s="49" t="s">
        <v>118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140</v>
      </c>
      <c r="G72" s="97" t="s">
        <v>13</v>
      </c>
      <c r="H72" s="97" t="s">
        <v>14</v>
      </c>
      <c r="I72" s="97" t="s">
        <v>12</v>
      </c>
      <c r="J72" s="97" t="s">
        <v>117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119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120</v>
      </c>
      <c r="D92" s="10"/>
      <c r="E92" s="10"/>
      <c r="F92" s="49" t="s">
        <v>121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91</v>
      </c>
      <c r="D94" s="35" t="s">
        <v>19</v>
      </c>
      <c r="E94" s="9"/>
      <c r="F94" s="101" t="s">
        <v>39</v>
      </c>
      <c r="G94" s="98">
        <f>'EUR SWAP 6ML'!G94+IF(BumpSTD,Bump,0)</f>
        <v>-1.4300000000000001E-3</v>
      </c>
      <c r="H94" s="75" t="b">
        <v>1</v>
      </c>
      <c r="I94" s="174"/>
      <c r="J94" s="10"/>
      <c r="K94" s="10"/>
      <c r="L94" s="55"/>
    </row>
    <row r="95" spans="2:12" x14ac:dyDescent="0.25">
      <c r="B95" s="5"/>
      <c r="C95" s="103" t="s">
        <v>122</v>
      </c>
      <c r="D95" s="35" t="s">
        <v>19</v>
      </c>
      <c r="E95" s="9"/>
      <c r="F95" s="24" t="s">
        <v>37</v>
      </c>
      <c r="G95" s="99">
        <f>'EUR SWAP 6ML'!G95+IF(BumpSTD,Bump,0)</f>
        <v>-9.6999999999999994E-4</v>
      </c>
      <c r="H95" s="76" t="b">
        <v>1</v>
      </c>
      <c r="I95" s="174"/>
      <c r="J95" s="10"/>
      <c r="K95" s="10"/>
      <c r="L95" s="55"/>
    </row>
    <row r="96" spans="2:12" x14ac:dyDescent="0.25">
      <c r="B96" s="5"/>
      <c r="C96" s="103" t="s">
        <v>123</v>
      </c>
      <c r="D96" s="35" t="s">
        <v>6</v>
      </c>
      <c r="E96" s="9"/>
      <c r="F96" s="24" t="s">
        <v>42</v>
      </c>
      <c r="G96" s="99">
        <f>'EUR SWAP 6ML'!G96+IF(BumpSTD,Bump,0)</f>
        <v>-1.8000000000000001E-4</v>
      </c>
      <c r="H96" s="76" t="b">
        <v>1</v>
      </c>
      <c r="I96" s="174"/>
      <c r="J96" s="10"/>
      <c r="K96" s="10"/>
      <c r="L96" s="55"/>
    </row>
    <row r="97" spans="2:12" x14ac:dyDescent="0.25">
      <c r="B97" s="5"/>
      <c r="C97" s="103" t="s">
        <v>26</v>
      </c>
      <c r="D97" s="35" t="s">
        <v>25</v>
      </c>
      <c r="E97" s="9"/>
      <c r="F97" s="24" t="s">
        <v>44</v>
      </c>
      <c r="G97" s="99">
        <f>'EUR SWAP 6ML'!G97+IF(BumpSTD,Bump,0)</f>
        <v>8.299999999999999E-4</v>
      </c>
      <c r="H97" s="76" t="b">
        <v>1</v>
      </c>
      <c r="I97" s="174"/>
      <c r="J97" s="10"/>
      <c r="K97" s="10"/>
      <c r="L97" s="55"/>
    </row>
    <row r="98" spans="2:12" x14ac:dyDescent="0.25">
      <c r="B98" s="5"/>
      <c r="C98" s="103" t="s">
        <v>125</v>
      </c>
      <c r="D98" s="35" t="s">
        <v>124</v>
      </c>
      <c r="E98" s="9"/>
      <c r="F98" s="24" t="s">
        <v>46</v>
      </c>
      <c r="G98" s="99">
        <f>'EUR SWAP 6ML'!G98+IF(BumpSTD,Bump,0)</f>
        <v>1.92E-3</v>
      </c>
      <c r="H98" s="76" t="b">
        <v>1</v>
      </c>
      <c r="I98" s="174"/>
      <c r="J98" s="10"/>
      <c r="K98" s="10"/>
      <c r="L98" s="55"/>
    </row>
    <row r="99" spans="2:12" x14ac:dyDescent="0.25">
      <c r="B99" s="5"/>
      <c r="C99" s="103" t="s">
        <v>126</v>
      </c>
      <c r="D99" s="110" t="str">
        <f>InterpolationLabelForCurves</f>
        <v>fn_SplineInterpolation</v>
      </c>
      <c r="E99" s="9"/>
      <c r="F99" s="24" t="s">
        <v>48</v>
      </c>
      <c r="G99" s="99">
        <f>'EUR SWAP 6ML'!G99+IF(BumpSTD,Bump,0)</f>
        <v>3.1100000000000004E-3</v>
      </c>
      <c r="H99" s="76" t="b">
        <v>1</v>
      </c>
      <c r="I99" s="174"/>
      <c r="J99" s="10"/>
      <c r="K99" s="10"/>
      <c r="L99" s="55"/>
    </row>
    <row r="100" spans="2:12" x14ac:dyDescent="0.25">
      <c r="B100" s="5"/>
      <c r="C100" s="103" t="s">
        <v>96</v>
      </c>
      <c r="D100" s="35" t="b">
        <v>0</v>
      </c>
      <c r="E100" s="9"/>
      <c r="F100" s="24" t="s">
        <v>50</v>
      </c>
      <c r="G100" s="99">
        <f>'EUR SWAP 6ML'!G100+IF(BumpSTD,Bump,0)</f>
        <v>4.3400000000000001E-3</v>
      </c>
      <c r="H100" s="76" t="b">
        <v>1</v>
      </c>
      <c r="I100" s="174"/>
      <c r="J100" s="10"/>
      <c r="K100" s="10"/>
      <c r="L100" s="55"/>
    </row>
    <row r="101" spans="2:12" x14ac:dyDescent="0.25">
      <c r="B101" s="5"/>
      <c r="C101" s="103" t="s">
        <v>95</v>
      </c>
      <c r="D101" s="35">
        <v>2</v>
      </c>
      <c r="E101" s="9"/>
      <c r="F101" s="24" t="s">
        <v>52</v>
      </c>
      <c r="G101" s="99">
        <f>'EUR SWAP 6ML'!G101+IF(BumpSTD,Bump,0)</f>
        <v>5.5100000000000001E-3</v>
      </c>
      <c r="H101" s="76" t="b">
        <v>1</v>
      </c>
      <c r="I101" s="174"/>
      <c r="J101" s="10"/>
      <c r="K101" s="10"/>
      <c r="L101" s="55"/>
    </row>
    <row r="102" spans="2:12" x14ac:dyDescent="0.25">
      <c r="B102" s="5"/>
      <c r="C102" s="103" t="s">
        <v>20</v>
      </c>
      <c r="D102" s="68" t="s">
        <v>21</v>
      </c>
      <c r="E102" s="9"/>
      <c r="F102" s="24" t="s">
        <v>53</v>
      </c>
      <c r="G102" s="99">
        <f>'EUR SWAP 6ML'!G102+IF(BumpSTD,Bump,0)</f>
        <v>6.5700000000000003E-3</v>
      </c>
      <c r="H102" s="76" t="b">
        <v>1</v>
      </c>
      <c r="I102" s="174"/>
      <c r="J102" s="10"/>
      <c r="K102" s="10"/>
      <c r="L102" s="55"/>
    </row>
    <row r="103" spans="2:12" x14ac:dyDescent="0.25">
      <c r="B103" s="5"/>
      <c r="C103" s="103" t="s">
        <v>127</v>
      </c>
      <c r="D103" s="35" t="b">
        <v>1</v>
      </c>
      <c r="E103" s="9"/>
      <c r="F103" s="24" t="s">
        <v>54</v>
      </c>
      <c r="G103" s="99">
        <f>'EUR SWAP 6ML'!G103+IF(BumpSTD,Bump,0)</f>
        <v>7.5300000000000002E-3</v>
      </c>
      <c r="H103" s="76" t="b">
        <v>1</v>
      </c>
      <c r="I103" s="174"/>
      <c r="J103" s="10"/>
      <c r="K103" s="10"/>
      <c r="L103" s="55"/>
    </row>
    <row r="104" spans="2:12" x14ac:dyDescent="0.25">
      <c r="B104" s="5"/>
      <c r="C104" s="103" t="s">
        <v>128</v>
      </c>
      <c r="D104" s="35" t="b">
        <v>1</v>
      </c>
      <c r="E104" s="9"/>
      <c r="F104" s="24" t="s">
        <v>55</v>
      </c>
      <c r="G104" s="99">
        <f>'EUR SWAP 6ML'!G104+IF(BumpSTD,Bump,0)</f>
        <v>8.3700000000000007E-3</v>
      </c>
      <c r="H104" s="76" t="b">
        <v>1</v>
      </c>
      <c r="I104" s="174"/>
      <c r="J104" s="10"/>
      <c r="K104" s="10"/>
      <c r="L104" s="55"/>
    </row>
    <row r="105" spans="2:12" x14ac:dyDescent="0.25">
      <c r="B105" s="5"/>
      <c r="C105" s="103" t="s">
        <v>129</v>
      </c>
      <c r="D105" s="35" t="s">
        <v>130</v>
      </c>
      <c r="E105" s="9"/>
      <c r="F105" s="24" t="s">
        <v>56</v>
      </c>
      <c r="G105" s="99">
        <f>'EUR SWAP 6ML'!G105+IF(BumpSTD,Bump,0)</f>
        <v>1.0200000000000001E-2</v>
      </c>
      <c r="H105" s="76" t="b">
        <v>1</v>
      </c>
      <c r="I105" s="174"/>
      <c r="J105" s="10"/>
      <c r="K105" s="10"/>
      <c r="L105" s="55"/>
    </row>
    <row r="106" spans="2:12" x14ac:dyDescent="0.25">
      <c r="B106" s="5"/>
      <c r="C106" s="103" t="s">
        <v>131</v>
      </c>
      <c r="D106" s="38">
        <v>1.0000000000000001E-9</v>
      </c>
      <c r="E106" s="9"/>
      <c r="F106" s="24" t="s">
        <v>57</v>
      </c>
      <c r="G106" s="99">
        <f>'EUR SWAP 6ML'!G106+IF(BumpSTD,Bump,0)</f>
        <v>1.1559999999999999E-2</v>
      </c>
      <c r="H106" s="76" t="b">
        <v>1</v>
      </c>
      <c r="I106" s="174"/>
      <c r="J106" s="10"/>
      <c r="K106" s="10"/>
      <c r="L106" s="55"/>
    </row>
    <row r="107" spans="2:12" x14ac:dyDescent="0.25">
      <c r="B107" s="5"/>
      <c r="C107" s="103" t="s">
        <v>132</v>
      </c>
      <c r="D107" s="38">
        <v>1.0000000000000001E-15</v>
      </c>
      <c r="E107" s="9"/>
      <c r="F107" s="24" t="s">
        <v>58</v>
      </c>
      <c r="G107" s="99">
        <f>'EUR SWAP 6ML'!G107+IF(BumpSTD,Bump,0)</f>
        <v>1.191E-2</v>
      </c>
      <c r="H107" s="76" t="b">
        <v>1</v>
      </c>
      <c r="I107" s="174"/>
      <c r="J107" s="10"/>
      <c r="K107" s="10"/>
      <c r="L107" s="55"/>
    </row>
    <row r="108" spans="2:12" x14ac:dyDescent="0.25">
      <c r="B108" s="5"/>
      <c r="C108" s="103" t="s">
        <v>133</v>
      </c>
      <c r="D108" s="38">
        <v>1E-10</v>
      </c>
      <c r="E108" s="9"/>
      <c r="F108" s="24" t="s">
        <v>59</v>
      </c>
      <c r="G108" s="99">
        <f>'EUR SWAP 6ML'!G108+IF(BumpSTD,Bump,0)</f>
        <v>1.1940000000000001E-2</v>
      </c>
      <c r="H108" s="76" t="b">
        <v>1</v>
      </c>
      <c r="I108" s="174"/>
      <c r="J108" s="10"/>
      <c r="K108" s="10"/>
      <c r="L108" s="55"/>
    </row>
    <row r="109" spans="2:12" x14ac:dyDescent="0.25">
      <c r="B109" s="5"/>
      <c r="C109" s="103" t="s">
        <v>134</v>
      </c>
      <c r="D109" s="106">
        <v>1000</v>
      </c>
      <c r="E109" s="9"/>
      <c r="F109" s="24" t="s">
        <v>60</v>
      </c>
      <c r="G109" s="99">
        <f>'EUR SWAP 6ML'!G109+IF(BumpSTD,Bump,0)</f>
        <v>1.176E-2</v>
      </c>
      <c r="H109" s="76" t="b">
        <v>1</v>
      </c>
      <c r="I109" s="174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 t="s">
        <v>61</v>
      </c>
      <c r="G110" s="99">
        <f>'EUR SWAP 6ML'!G110+IF(BumpSTD,Bump,0)</f>
        <v>1.1100000000000002E-2</v>
      </c>
      <c r="H110" s="76" t="b">
        <v>1</v>
      </c>
      <c r="I110" s="174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54 D102 D75">
      <formula1>"FOLLOWING,MOD_FOLLOWING,PRECEDING,MOD_PRECEEDING,NO_CHANGE"</formula1>
    </dataValidation>
    <dataValidation type="list" allowBlank="1" showInputMessage="1" showErrorMessage="1" sqref="D99 D24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BD104"/>
  <sheetViews>
    <sheetView showGridLines="0" tabSelected="1" zoomScaleNormal="100" workbookViewId="0">
      <selection activeCell="AV4" sqref="AV4"/>
    </sheetView>
  </sheetViews>
  <sheetFormatPr defaultRowHeight="15" x14ac:dyDescent="0.25"/>
  <cols>
    <col min="1" max="1" width="3.7109375" style="209" customWidth="1"/>
    <col min="2" max="2" width="16" bestFit="1" customWidth="1"/>
    <col min="3" max="3" width="9.42578125" customWidth="1"/>
    <col min="4" max="4" width="13.85546875" customWidth="1"/>
    <col min="5" max="5" width="9.140625" customWidth="1"/>
    <col min="6" max="6" width="12.7109375" customWidth="1"/>
    <col min="7" max="7" width="13.5703125" style="224" bestFit="1" customWidth="1"/>
    <col min="8" max="8" width="15.42578125" style="186" customWidth="1"/>
    <col min="9" max="9" width="10" customWidth="1"/>
    <col min="10" max="10" width="9.140625" style="116" customWidth="1"/>
    <col min="11" max="11" width="11.5703125" style="198" hidden="1" customWidth="1"/>
    <col min="12" max="12" width="11.42578125" hidden="1" customWidth="1"/>
    <col min="13" max="13" width="12.7109375" hidden="1" customWidth="1"/>
    <col min="14" max="14" width="14.140625" hidden="1" customWidth="1"/>
    <col min="15" max="15" width="9.140625" hidden="1" customWidth="1"/>
    <col min="16" max="16" width="17.42578125" hidden="1" customWidth="1"/>
    <col min="17" max="17" width="9.140625" hidden="1" customWidth="1"/>
    <col min="18" max="19" width="9.140625" style="189" hidden="1" customWidth="1"/>
    <col min="20" max="21" width="9.140625" hidden="1" customWidth="1"/>
    <col min="22" max="23" width="10.7109375" hidden="1" customWidth="1"/>
    <col min="24" max="24" width="9.140625" hidden="1" customWidth="1"/>
    <col min="25" max="25" width="17.42578125" style="180" hidden="1" customWidth="1"/>
    <col min="26" max="26" width="10.85546875" hidden="1" customWidth="1"/>
    <col min="27" max="27" width="20.140625" hidden="1" customWidth="1"/>
    <col min="28" max="28" width="9.140625" hidden="1" customWidth="1"/>
    <col min="29" max="30" width="9.140625" style="189" hidden="1" customWidth="1"/>
    <col min="31" max="31" width="9.140625" hidden="1" customWidth="1"/>
    <col min="32" max="32" width="11.28515625" hidden="1" customWidth="1"/>
    <col min="33" max="33" width="14.42578125" hidden="1" customWidth="1"/>
    <col min="34" max="34" width="12.28515625" hidden="1" customWidth="1"/>
    <col min="35" max="35" width="11.5703125" hidden="1" customWidth="1"/>
    <col min="36" max="36" width="9.140625" hidden="1" customWidth="1"/>
    <col min="37" max="37" width="14.140625" hidden="1" customWidth="1"/>
    <col min="38" max="38" width="10.7109375" hidden="1" customWidth="1"/>
    <col min="39" max="39" width="17.7109375" hidden="1" customWidth="1"/>
    <col min="40" max="40" width="16.140625" hidden="1" customWidth="1"/>
    <col min="41" max="41" width="19.42578125" hidden="1" customWidth="1"/>
    <col min="42" max="42" width="12.85546875" hidden="1" customWidth="1"/>
    <col min="43" max="43" width="9.140625" hidden="1" customWidth="1"/>
    <col min="44" max="44" width="10.7109375" style="198" customWidth="1"/>
    <col min="45" max="45" width="10.7109375" customWidth="1"/>
    <col min="46" max="46" width="9.140625" customWidth="1"/>
    <col min="47" max="48" width="10.7109375" style="224" customWidth="1"/>
    <col min="49" max="49" width="8.7109375" style="172" customWidth="1"/>
    <col min="50" max="50" width="8.7109375" customWidth="1"/>
    <col min="51" max="51" width="8.7109375" style="208" customWidth="1"/>
    <col min="52" max="52" width="10.5703125" hidden="1" customWidth="1"/>
    <col min="53" max="53" width="9.140625" hidden="1" customWidth="1"/>
    <col min="54" max="54" width="10.85546875" hidden="1" customWidth="1"/>
    <col min="55" max="55" width="13.85546875" hidden="1" customWidth="1"/>
    <col min="56" max="60" width="0" hidden="1" customWidth="1"/>
  </cols>
  <sheetData>
    <row r="1" spans="1:56" ht="23.25" x14ac:dyDescent="0.35">
      <c r="A1" s="114"/>
      <c r="B1" s="115" t="s">
        <v>211</v>
      </c>
    </row>
    <row r="2" spans="1:56" ht="15" customHeight="1" x14ac:dyDescent="0.25">
      <c r="A2" s="114"/>
      <c r="B2" s="240" t="s">
        <v>213</v>
      </c>
      <c r="C2" s="241" t="s">
        <v>212</v>
      </c>
      <c r="D2" s="241" t="s">
        <v>145</v>
      </c>
      <c r="E2" s="241" t="s">
        <v>16</v>
      </c>
      <c r="F2" s="242" t="s">
        <v>206</v>
      </c>
      <c r="G2" s="241" t="s">
        <v>217</v>
      </c>
      <c r="H2" s="265" t="s">
        <v>194</v>
      </c>
      <c r="I2" s="242" t="s">
        <v>210</v>
      </c>
      <c r="J2" s="261" t="s">
        <v>207</v>
      </c>
      <c r="AS2" t="s">
        <v>219</v>
      </c>
      <c r="AX2" s="172"/>
      <c r="AY2" s="172"/>
    </row>
    <row r="3" spans="1:56" ht="15" customHeight="1" x14ac:dyDescent="0.25">
      <c r="A3" s="114"/>
      <c r="B3" s="254" t="s">
        <v>208</v>
      </c>
      <c r="C3" s="260" t="s">
        <v>185</v>
      </c>
      <c r="D3" s="255">
        <v>1000000</v>
      </c>
      <c r="E3" s="243" t="s">
        <v>208</v>
      </c>
      <c r="F3" s="244" t="s">
        <v>193</v>
      </c>
      <c r="G3" s="243" t="s">
        <v>141</v>
      </c>
      <c r="H3" s="244">
        <v>0.05</v>
      </c>
      <c r="I3" s="243" t="s">
        <v>208</v>
      </c>
      <c r="J3" s="262">
        <v>10</v>
      </c>
      <c r="AT3" s="198"/>
      <c r="AU3" s="198"/>
      <c r="AV3" s="198"/>
      <c r="AW3" s="198"/>
      <c r="AX3" s="198"/>
      <c r="AY3" s="198"/>
    </row>
    <row r="4" spans="1:56" ht="15" customHeight="1" x14ac:dyDescent="0.25">
      <c r="F4" s="177"/>
      <c r="AG4" s="166"/>
      <c r="AS4" s="198"/>
      <c r="AT4" s="198"/>
      <c r="AU4" s="198"/>
      <c r="AV4" s="288" t="s">
        <v>223</v>
      </c>
      <c r="AW4" s="198"/>
      <c r="AX4" s="198"/>
      <c r="AY4" s="198"/>
    </row>
    <row r="5" spans="1:56" ht="30.75" customHeight="1" x14ac:dyDescent="0.25">
      <c r="B5" s="117" t="s">
        <v>150</v>
      </c>
      <c r="C5" s="118" t="s">
        <v>151</v>
      </c>
      <c r="D5" s="118" t="s">
        <v>145</v>
      </c>
      <c r="E5" s="118" t="s">
        <v>16</v>
      </c>
      <c r="F5" s="118" t="s">
        <v>152</v>
      </c>
      <c r="G5" s="227" t="s">
        <v>153</v>
      </c>
      <c r="H5" s="187" t="s">
        <v>154</v>
      </c>
      <c r="I5" s="118" t="s">
        <v>155</v>
      </c>
      <c r="J5" s="263" t="s">
        <v>156</v>
      </c>
      <c r="K5" s="273" t="s">
        <v>157</v>
      </c>
      <c r="L5" s="118" t="s">
        <v>158</v>
      </c>
      <c r="M5" s="118" t="s">
        <v>154</v>
      </c>
      <c r="N5" s="118" t="s">
        <v>159</v>
      </c>
      <c r="O5" s="118" t="s">
        <v>160</v>
      </c>
      <c r="P5" s="118" t="s">
        <v>161</v>
      </c>
      <c r="Q5" s="118" t="s">
        <v>162</v>
      </c>
      <c r="R5" s="190" t="s">
        <v>163</v>
      </c>
      <c r="S5" s="190" t="s">
        <v>164</v>
      </c>
      <c r="T5" s="118" t="s">
        <v>165</v>
      </c>
      <c r="U5" s="118" t="s">
        <v>166</v>
      </c>
      <c r="V5" s="118" t="s">
        <v>167</v>
      </c>
      <c r="W5" s="118" t="s">
        <v>155</v>
      </c>
      <c r="X5" s="118" t="s">
        <v>168</v>
      </c>
      <c r="Y5" s="181" t="s">
        <v>169</v>
      </c>
      <c r="Z5" s="118" t="s">
        <v>170</v>
      </c>
      <c r="AA5" s="118" t="s">
        <v>171</v>
      </c>
      <c r="AB5" s="118" t="s">
        <v>172</v>
      </c>
      <c r="AC5" s="190" t="s">
        <v>173</v>
      </c>
      <c r="AD5" s="190" t="s">
        <v>174</v>
      </c>
      <c r="AE5" s="118" t="s">
        <v>175</v>
      </c>
      <c r="AF5" s="118" t="s">
        <v>176</v>
      </c>
      <c r="AG5" s="118" t="s">
        <v>177</v>
      </c>
      <c r="AH5" s="118" t="s">
        <v>157</v>
      </c>
      <c r="AI5" s="118" t="s">
        <v>178</v>
      </c>
      <c r="AJ5" s="118" t="s">
        <v>179</v>
      </c>
      <c r="AK5" s="118" t="s">
        <v>180</v>
      </c>
      <c r="AL5" s="118" t="s">
        <v>158</v>
      </c>
      <c r="AM5" s="118" t="s">
        <v>188</v>
      </c>
      <c r="AN5" s="118" t="s">
        <v>148</v>
      </c>
      <c r="AO5" s="118" t="s">
        <v>126</v>
      </c>
      <c r="AP5" s="118" t="s">
        <v>181</v>
      </c>
      <c r="AQ5" s="118" t="s">
        <v>149</v>
      </c>
      <c r="AR5" s="199" t="s">
        <v>182</v>
      </c>
      <c r="AS5" s="119" t="s">
        <v>183</v>
      </c>
      <c r="AT5" s="119" t="s">
        <v>184</v>
      </c>
      <c r="AU5" s="251" t="s">
        <v>190</v>
      </c>
      <c r="AV5" s="251" t="s">
        <v>192</v>
      </c>
      <c r="AW5" s="251" t="s">
        <v>209</v>
      </c>
      <c r="AX5" s="197" t="s">
        <v>191</v>
      </c>
      <c r="AY5" s="284" t="s">
        <v>201</v>
      </c>
      <c r="AZ5" s="211" t="s">
        <v>218</v>
      </c>
      <c r="BA5" s="280"/>
      <c r="BB5" s="116"/>
      <c r="BC5" s="116"/>
      <c r="BD5" s="116"/>
    </row>
    <row r="6" spans="1:56" x14ac:dyDescent="0.25">
      <c r="A6" s="210">
        <v>1</v>
      </c>
      <c r="B6" s="121">
        <f>IF(OR(D6="",D6=0),"",_xll.mirGetDate(COB,C6,$P6,$Q6))</f>
        <v>42423</v>
      </c>
      <c r="C6" s="256" t="str">
        <f t="shared" ref="C6:C25" ca="1" si="0">EffectiveLag</f>
        <v>2D</v>
      </c>
      <c r="D6" s="245">
        <f t="shared" ref="D6:D25" ca="1" si="1">Notional</f>
        <v>1000000</v>
      </c>
      <c r="E6" s="122" t="s">
        <v>17</v>
      </c>
      <c r="F6" s="248" t="str">
        <f t="shared" ref="F6:F25" ca="1" si="2">PayRec</f>
        <v>RECEIVER</v>
      </c>
      <c r="G6" s="279" t="s">
        <v>141</v>
      </c>
      <c r="H6" s="205">
        <f t="shared" ref="H6:H25" ca="1" si="3">Rate</f>
        <v>0.05</v>
      </c>
      <c r="I6" s="123" t="s">
        <v>186</v>
      </c>
      <c r="J6" s="264">
        <f t="shared" ref="J6:J25" ca="1" si="4">Spread</f>
        <v>10</v>
      </c>
      <c r="K6" s="274">
        <f t="shared" ref="K6:K25" si="5">FixingFromEUR6MLCurve</f>
        <v>-1.31E-3</v>
      </c>
      <c r="L6" s="124" t="s">
        <v>187</v>
      </c>
      <c r="M6" s="125">
        <f t="shared" ref="M6:AL6" si="6">M29</f>
        <v>0.05</v>
      </c>
      <c r="N6" s="126" t="str">
        <f t="shared" si="6"/>
        <v>Annual</v>
      </c>
      <c r="O6" s="127" t="str">
        <f t="shared" si="6"/>
        <v>30/360</v>
      </c>
      <c r="P6" s="126" t="str">
        <f t="shared" si="6"/>
        <v>MOD_FOLLOWING</v>
      </c>
      <c r="Q6" s="126" t="str">
        <f t="shared" si="6"/>
        <v>TGT</v>
      </c>
      <c r="R6" s="191">
        <f t="shared" si="6"/>
        <v>0</v>
      </c>
      <c r="S6" s="191">
        <f t="shared" si="6"/>
        <v>0</v>
      </c>
      <c r="T6" s="129">
        <f t="shared" si="6"/>
        <v>23</v>
      </c>
      <c r="U6" s="130" t="str">
        <f t="shared" si="6"/>
        <v>0D</v>
      </c>
      <c r="V6" s="127" t="str">
        <f t="shared" si="6"/>
        <v>ShortStart</v>
      </c>
      <c r="W6" s="131" t="str">
        <f t="shared" si="6"/>
        <v>EUR6ML</v>
      </c>
      <c r="X6" s="132">
        <f t="shared" si="6"/>
        <v>10</v>
      </c>
      <c r="Y6" s="182" t="str">
        <f t="shared" si="6"/>
        <v>Semi-Annual</v>
      </c>
      <c r="Z6" s="127" t="str">
        <f t="shared" si="6"/>
        <v>ACT/360</v>
      </c>
      <c r="AA6" s="126" t="str">
        <f t="shared" si="6"/>
        <v>MOD_FOLLOWING</v>
      </c>
      <c r="AB6" s="126" t="str">
        <f t="shared" si="6"/>
        <v>TGT</v>
      </c>
      <c r="AC6" s="191">
        <f t="shared" si="6"/>
        <v>0</v>
      </c>
      <c r="AD6" s="191">
        <f t="shared" si="6"/>
        <v>0</v>
      </c>
      <c r="AE6" s="129">
        <f t="shared" si="6"/>
        <v>23</v>
      </c>
      <c r="AF6" s="130" t="str">
        <f t="shared" si="6"/>
        <v>0D</v>
      </c>
      <c r="AG6" s="128">
        <f t="shared" si="6"/>
        <v>42419</v>
      </c>
      <c r="AH6" s="133" t="str">
        <f t="shared" si="6"/>
        <v/>
      </c>
      <c r="AI6" s="134">
        <f t="shared" si="6"/>
        <v>0</v>
      </c>
      <c r="AJ6" s="130" t="str">
        <f t="shared" si="6"/>
        <v>0D</v>
      </c>
      <c r="AK6" s="127" t="str">
        <f t="shared" si="6"/>
        <v>ShortStart</v>
      </c>
      <c r="AL6" s="128" t="str">
        <f t="shared" si="6"/>
        <v>NOCSA</v>
      </c>
      <c r="AM6" s="128" t="s">
        <v>197</v>
      </c>
      <c r="AN6" s="131" t="str">
        <f t="shared" ref="AN6:AN25" si="7">AN29</f>
        <v>EURDF_NOCSA</v>
      </c>
      <c r="AO6" s="131" t="str">
        <f t="shared" ref="AO6:AO25" si="8">Interpolation</f>
        <v>Spline</v>
      </c>
      <c r="AP6" s="136" t="b">
        <f t="shared" ref="AP6:AT15" si="9">AP29</f>
        <v>1</v>
      </c>
      <c r="AQ6" s="135" t="b">
        <f t="shared" si="9"/>
        <v>0</v>
      </c>
      <c r="AR6" s="266">
        <f ca="1">AR29</f>
        <v>-3.8129654886880391E-4</v>
      </c>
      <c r="AS6" s="267">
        <f ca="1">AS29</f>
        <v>50572.514012826912</v>
      </c>
      <c r="AT6" s="267">
        <f t="shared" ca="1" si="9"/>
        <v>100.3795405776678</v>
      </c>
      <c r="AU6" s="267">
        <f t="shared" ref="AU6" ca="1" si="10">AS52-AS29</f>
        <v>107.16812527263392</v>
      </c>
      <c r="AV6" s="267">
        <f ca="1">IF(AND(NOW(),AT6=AT6),_xll.mirSwapDV01($D29,$F29,$B29,$G29,$AM29,$M29,$N29,$O29,$P29,$Q29,$R29,$S29,$T29,$U29,$V29,$X29,$Y29,$Z29,$AA29,$AB29,$AC29,$AD29,$AE29,$AF29,$AH29,$AI29,$AJ29,$AK29,$AO29,$W29,$AN29,$AP29,$AQ29),"LOAD")</f>
        <v>105.56212799591185</v>
      </c>
      <c r="AW6" s="268" t="str">
        <f>G6</f>
        <v>1Y</v>
      </c>
      <c r="AX6" s="269">
        <f t="shared" ref="AX6" ca="1" si="11">AU6-AV6</f>
        <v>1.6059972767220643</v>
      </c>
      <c r="AY6" s="285">
        <f ca="1">IF(AV6=0,0,((AV6-AU6)/AV6))</f>
        <v>-1.521376375421553E-2</v>
      </c>
      <c r="AZ6" s="270">
        <v>0</v>
      </c>
      <c r="BA6" s="280"/>
      <c r="BB6" s="116"/>
      <c r="BC6" s="116"/>
      <c r="BD6" s="116"/>
    </row>
    <row r="7" spans="1:56" x14ac:dyDescent="0.25">
      <c r="A7" s="210">
        <v>2</v>
      </c>
      <c r="B7" s="139">
        <f>IF(OR(D7="",D7=0),"",_xll.mirGetDate(COB,C7,$P7,$Q7))</f>
        <v>42423</v>
      </c>
      <c r="C7" s="257" t="str">
        <f t="shared" ca="1" si="0"/>
        <v>2D</v>
      </c>
      <c r="D7" s="246">
        <f t="shared" ca="1" si="1"/>
        <v>1000000</v>
      </c>
      <c r="E7" s="140" t="s">
        <v>17</v>
      </c>
      <c r="F7" s="249" t="str">
        <f t="shared" ca="1" si="2"/>
        <v>RECEIVER</v>
      </c>
      <c r="G7" s="277" t="str">
        <f t="shared" ref="G7:G25" ca="1" si="12">LEFT(G6,LEN(G6)-1)+LEFT(TenorInterval,LEN(TenorInterval)-1)&amp;"Y"</f>
        <v>2Y</v>
      </c>
      <c r="H7" s="206">
        <f t="shared" ca="1" si="3"/>
        <v>0.05</v>
      </c>
      <c r="I7" s="141" t="s">
        <v>186</v>
      </c>
      <c r="J7" s="246">
        <f t="shared" ca="1" si="4"/>
        <v>10</v>
      </c>
      <c r="K7" s="275">
        <f t="shared" si="5"/>
        <v>-1.31E-3</v>
      </c>
      <c r="L7" s="142" t="s">
        <v>187</v>
      </c>
      <c r="M7" s="143">
        <f t="shared" ref="M7:AL7" si="13">M30</f>
        <v>0.05</v>
      </c>
      <c r="N7" s="113" t="str">
        <f t="shared" si="13"/>
        <v>Annual</v>
      </c>
      <c r="O7" s="113" t="str">
        <f t="shared" si="13"/>
        <v>30/360</v>
      </c>
      <c r="P7" s="113" t="str">
        <f t="shared" si="13"/>
        <v>MOD_FOLLOWING</v>
      </c>
      <c r="Q7" s="113" t="str">
        <f t="shared" si="13"/>
        <v>TGT</v>
      </c>
      <c r="R7" s="192">
        <f t="shared" si="13"/>
        <v>0</v>
      </c>
      <c r="S7" s="192">
        <f t="shared" si="13"/>
        <v>0</v>
      </c>
      <c r="T7" s="145">
        <f t="shared" si="13"/>
        <v>23</v>
      </c>
      <c r="U7" s="144" t="str">
        <f t="shared" si="13"/>
        <v>0D</v>
      </c>
      <c r="V7" s="144" t="str">
        <f t="shared" si="13"/>
        <v>ShortStart</v>
      </c>
      <c r="W7" s="145" t="str">
        <f t="shared" si="13"/>
        <v>EUR6ML</v>
      </c>
      <c r="X7" s="146">
        <f t="shared" si="13"/>
        <v>10</v>
      </c>
      <c r="Y7" s="183" t="str">
        <f t="shared" si="13"/>
        <v>Semi-Annual</v>
      </c>
      <c r="Z7" s="144" t="str">
        <f t="shared" si="13"/>
        <v>ACT/360</v>
      </c>
      <c r="AA7" s="144" t="str">
        <f t="shared" si="13"/>
        <v>MOD_FOLLOWING</v>
      </c>
      <c r="AB7" s="144" t="str">
        <f t="shared" si="13"/>
        <v>TGT</v>
      </c>
      <c r="AC7" s="192">
        <f t="shared" si="13"/>
        <v>0</v>
      </c>
      <c r="AD7" s="192">
        <f t="shared" si="13"/>
        <v>0</v>
      </c>
      <c r="AE7" s="145">
        <f t="shared" si="13"/>
        <v>23</v>
      </c>
      <c r="AF7" s="144" t="str">
        <f t="shared" si="13"/>
        <v>0D</v>
      </c>
      <c r="AG7" s="147">
        <f t="shared" si="13"/>
        <v>42419</v>
      </c>
      <c r="AH7" s="148" t="str">
        <f t="shared" si="13"/>
        <v/>
      </c>
      <c r="AI7" s="149">
        <f t="shared" si="13"/>
        <v>0</v>
      </c>
      <c r="AJ7" s="144" t="str">
        <f t="shared" si="13"/>
        <v>0D</v>
      </c>
      <c r="AK7" s="144" t="str">
        <f t="shared" si="13"/>
        <v>ShortStart</v>
      </c>
      <c r="AL7" s="145" t="str">
        <f t="shared" si="13"/>
        <v>NOCSA</v>
      </c>
      <c r="AM7" s="145" t="s">
        <v>197</v>
      </c>
      <c r="AN7" s="145" t="str">
        <f t="shared" si="7"/>
        <v>EURDF_NOCSA</v>
      </c>
      <c r="AO7" s="145" t="str">
        <f t="shared" si="8"/>
        <v>Spline</v>
      </c>
      <c r="AP7" s="144" t="b">
        <f t="shared" si="9"/>
        <v>1</v>
      </c>
      <c r="AQ7" s="144" t="b">
        <f t="shared" si="9"/>
        <v>0</v>
      </c>
      <c r="AR7" s="200">
        <f t="shared" ref="AR7:AR25" ca="1" si="14">IF(VALUE(LEFT(AW7,LEN(AW7)-1))&lt;=50,AR30,NA())</f>
        <v>-3.1570992779280554E-4</v>
      </c>
      <c r="AS7" s="151">
        <f t="shared" ref="AS7:AS25" ca="1" si="15">IF(ISNA($AR7),NA(),AS30)</f>
        <v>101211.27608867125</v>
      </c>
      <c r="AT7" s="151">
        <f t="shared" ref="AT7:AT25" ca="1" si="16">IF(ISNA($AR7),NA(),AT30)</f>
        <v>201.15243575797254</v>
      </c>
      <c r="AU7" s="151">
        <f t="shared" ref="AU7:AU25" ca="1" si="17">IF(ISNA($AR7),NA(),AS53-AS30)</f>
        <v>216.83941280216095</v>
      </c>
      <c r="AV7" s="151">
        <f ca="1">IF(ISNA($AR7),NA(),IF(AND(NOW(),AT7=AT7),_xll.mirSwapDV01($D30,$F30,$B30,$G30,$AM30,$M30,$N30,$O30,$P30,$Q30,$R30,$S30,$T30,$U30,$V30,$X30,$Y30,$Z30,$AA30,$AB30,$AC30,$AD30,$AE30,$AF30,$AH30,$AI30,$AJ30,$AK30,$AO30,$W30,$AN30,$AP30,$AQ30),"LOAD"))</f>
        <v>216.61060065926915</v>
      </c>
      <c r="AW7" s="231" t="str">
        <f t="shared" ref="AW7:AW25" si="18">G7</f>
        <v>2Y</v>
      </c>
      <c r="AX7" s="195">
        <f t="shared" ref="AX7:AX25" ca="1" si="19">IF(ISNA($AR7),NA(),AU7-AV7)</f>
        <v>0.22881214289179752</v>
      </c>
      <c r="AY7" s="286">
        <f ca="1">IF(ISNA($AR7),NA(),IF(AV7=0,0,((AV7-AU7)/AV7)))</f>
        <v>-1.056329386444579E-3</v>
      </c>
      <c r="AZ7" s="168">
        <f ca="1">IF(VALUE(LEFT(AW7,LEN(AW7)-1))&lt;50,ABS(AX7-AX6),NA())</f>
        <v>1.3771851338302668</v>
      </c>
      <c r="BA7" s="280"/>
      <c r="BD7" s="116"/>
    </row>
    <row r="8" spans="1:56" x14ac:dyDescent="0.25">
      <c r="A8" s="210">
        <v>3</v>
      </c>
      <c r="B8" s="139">
        <f>IF(OR(D8="",D8=0),"",_xll.mirGetDate(COB,C8,$P8,$Q8))</f>
        <v>42423</v>
      </c>
      <c r="C8" s="257" t="str">
        <f t="shared" ca="1" si="0"/>
        <v>2D</v>
      </c>
      <c r="D8" s="246">
        <f t="shared" ca="1" si="1"/>
        <v>1000000</v>
      </c>
      <c r="E8" s="140" t="s">
        <v>17</v>
      </c>
      <c r="F8" s="249" t="str">
        <f t="shared" ca="1" si="2"/>
        <v>RECEIVER</v>
      </c>
      <c r="G8" s="277" t="str">
        <f t="shared" ca="1" si="12"/>
        <v>3Y</v>
      </c>
      <c r="H8" s="206">
        <f t="shared" ca="1" si="3"/>
        <v>0.05</v>
      </c>
      <c r="I8" s="141" t="s">
        <v>186</v>
      </c>
      <c r="J8" s="246">
        <f t="shared" ca="1" si="4"/>
        <v>10</v>
      </c>
      <c r="K8" s="275">
        <f t="shared" si="5"/>
        <v>-1.31E-3</v>
      </c>
      <c r="L8" s="142" t="s">
        <v>187</v>
      </c>
      <c r="M8" s="143">
        <f t="shared" ref="M8:AL8" si="20">M31</f>
        <v>0.05</v>
      </c>
      <c r="N8" s="113" t="str">
        <f t="shared" si="20"/>
        <v>Annual</v>
      </c>
      <c r="O8" s="113" t="str">
        <f t="shared" si="20"/>
        <v>30/360</v>
      </c>
      <c r="P8" s="113" t="str">
        <f t="shared" si="20"/>
        <v>MOD_FOLLOWING</v>
      </c>
      <c r="Q8" s="113" t="str">
        <f t="shared" si="20"/>
        <v>TGT</v>
      </c>
      <c r="R8" s="192">
        <f t="shared" si="20"/>
        <v>0</v>
      </c>
      <c r="S8" s="192">
        <f t="shared" si="20"/>
        <v>0</v>
      </c>
      <c r="T8" s="145">
        <f t="shared" si="20"/>
        <v>23</v>
      </c>
      <c r="U8" s="144" t="str">
        <f t="shared" si="20"/>
        <v>0D</v>
      </c>
      <c r="V8" s="144" t="str">
        <f t="shared" si="20"/>
        <v>ShortStart</v>
      </c>
      <c r="W8" s="145" t="str">
        <f t="shared" si="20"/>
        <v>EUR6ML</v>
      </c>
      <c r="X8" s="146">
        <f t="shared" si="20"/>
        <v>10</v>
      </c>
      <c r="Y8" s="183" t="str">
        <f t="shared" si="20"/>
        <v>Semi-Annual</v>
      </c>
      <c r="Z8" s="144" t="str">
        <f t="shared" si="20"/>
        <v>ACT/360</v>
      </c>
      <c r="AA8" s="144" t="str">
        <f t="shared" si="20"/>
        <v>MOD_FOLLOWING</v>
      </c>
      <c r="AB8" s="144" t="str">
        <f t="shared" si="20"/>
        <v>TGT</v>
      </c>
      <c r="AC8" s="192">
        <f t="shared" si="20"/>
        <v>0</v>
      </c>
      <c r="AD8" s="192">
        <f t="shared" si="20"/>
        <v>0</v>
      </c>
      <c r="AE8" s="145">
        <f t="shared" si="20"/>
        <v>23</v>
      </c>
      <c r="AF8" s="144" t="str">
        <f t="shared" si="20"/>
        <v>0D</v>
      </c>
      <c r="AG8" s="147">
        <f t="shared" si="20"/>
        <v>42419</v>
      </c>
      <c r="AH8" s="148" t="str">
        <f t="shared" si="20"/>
        <v/>
      </c>
      <c r="AI8" s="149">
        <f t="shared" si="20"/>
        <v>0</v>
      </c>
      <c r="AJ8" s="144" t="str">
        <f t="shared" si="20"/>
        <v>0D</v>
      </c>
      <c r="AK8" s="144" t="str">
        <f t="shared" si="20"/>
        <v>ShortStart</v>
      </c>
      <c r="AL8" s="145" t="str">
        <f t="shared" si="20"/>
        <v>NOCSA</v>
      </c>
      <c r="AM8" s="145" t="s">
        <v>197</v>
      </c>
      <c r="AN8" s="145" t="str">
        <f t="shared" si="7"/>
        <v>EURDF_NOCSA</v>
      </c>
      <c r="AO8" s="145" t="str">
        <f t="shared" si="8"/>
        <v>Spline</v>
      </c>
      <c r="AP8" s="144" t="b">
        <f t="shared" si="9"/>
        <v>1</v>
      </c>
      <c r="AQ8" s="144" t="b">
        <f t="shared" si="9"/>
        <v>0</v>
      </c>
      <c r="AR8" s="200">
        <f t="shared" ca="1" si="14"/>
        <v>1.4392502291130687E-4</v>
      </c>
      <c r="AS8" s="151">
        <f t="shared" ca="1" si="15"/>
        <v>150951.12599316656</v>
      </c>
      <c r="AT8" s="151">
        <f t="shared" ca="1" si="16"/>
        <v>302.77378646942424</v>
      </c>
      <c r="AU8" s="151">
        <f t="shared" ca="1" si="17"/>
        <v>333.9471835923905</v>
      </c>
      <c r="AV8" s="151">
        <f ca="1">IF(ISNA($AR8),NA(),IF(AND(NOW(),AT8=AT8),_xll.mirSwapDV01($D31,$F31,$B31,$G31,$AM31,$M31,$N31,$O31,$P31,$Q31,$R31,$S31,$T31,$U31,$V31,$X31,$Y31,$Z31,$AA31,$AB31,$AC31,$AD31,$AE31,$AF31,$AH31,$AI31,$AJ31,$AK31,$AO31,$W31,$AN31,$AP31,$AQ31),"LOAD"))</f>
        <v>333.56237094581269</v>
      </c>
      <c r="AW8" s="231" t="str">
        <f t="shared" si="18"/>
        <v>3Y</v>
      </c>
      <c r="AX8" s="195">
        <f t="shared" ca="1" si="19"/>
        <v>0.38481264657781367</v>
      </c>
      <c r="AY8" s="286">
        <f t="shared" ref="AY8:AY25" ca="1" si="21">IF(ISNA($AR8),NA(),IF(AV8=0,0,((AV8-AU8)/AV8)))</f>
        <v>-1.1536452552686964E-3</v>
      </c>
      <c r="AZ8" s="168">
        <f t="shared" ref="AZ8:AZ25" ca="1" si="22">IF(VALUE(LEFT(AW8,LEN(AW8)-1))&lt;50,ABS(AX8-AX7),NA())</f>
        <v>0.15600050368601615</v>
      </c>
      <c r="BA8" s="280"/>
    </row>
    <row r="9" spans="1:56" x14ac:dyDescent="0.25">
      <c r="A9" s="210">
        <v>4</v>
      </c>
      <c r="B9" s="139">
        <f>IF(OR(D9="",D9=0),"",_xll.mirGetDate(COB,C9,$P9,$Q9))</f>
        <v>42423</v>
      </c>
      <c r="C9" s="258" t="str">
        <f t="shared" ca="1" si="0"/>
        <v>2D</v>
      </c>
      <c r="D9" s="246">
        <f t="shared" ca="1" si="1"/>
        <v>1000000</v>
      </c>
      <c r="E9" s="140" t="s">
        <v>17</v>
      </c>
      <c r="F9" s="249" t="str">
        <f t="shared" ca="1" si="2"/>
        <v>RECEIVER</v>
      </c>
      <c r="G9" s="277" t="str">
        <f t="shared" ca="1" si="12"/>
        <v>4Y</v>
      </c>
      <c r="H9" s="206">
        <f t="shared" ca="1" si="3"/>
        <v>0.05</v>
      </c>
      <c r="I9" s="141" t="s">
        <v>186</v>
      </c>
      <c r="J9" s="246">
        <f t="shared" ca="1" si="4"/>
        <v>10</v>
      </c>
      <c r="K9" s="275">
        <f t="shared" si="5"/>
        <v>-1.31E-3</v>
      </c>
      <c r="L9" s="142" t="s">
        <v>187</v>
      </c>
      <c r="M9" s="152">
        <f t="shared" ref="M9:AL9" si="23">M32</f>
        <v>0.05</v>
      </c>
      <c r="N9" s="144" t="str">
        <f t="shared" si="23"/>
        <v>Annual</v>
      </c>
      <c r="O9" s="144" t="str">
        <f t="shared" si="23"/>
        <v>30/360</v>
      </c>
      <c r="P9" s="144" t="str">
        <f t="shared" si="23"/>
        <v>MOD_FOLLOWING</v>
      </c>
      <c r="Q9" s="144" t="str">
        <f t="shared" si="23"/>
        <v>TGT</v>
      </c>
      <c r="R9" s="192">
        <f t="shared" si="23"/>
        <v>0</v>
      </c>
      <c r="S9" s="192">
        <f t="shared" si="23"/>
        <v>0</v>
      </c>
      <c r="T9" s="145">
        <f t="shared" si="23"/>
        <v>23</v>
      </c>
      <c r="U9" s="144" t="str">
        <f t="shared" si="23"/>
        <v>0D</v>
      </c>
      <c r="V9" s="144" t="str">
        <f t="shared" si="23"/>
        <v>ShortStart</v>
      </c>
      <c r="W9" s="145" t="str">
        <f t="shared" si="23"/>
        <v>EUR6ML</v>
      </c>
      <c r="X9" s="146">
        <f t="shared" si="23"/>
        <v>10</v>
      </c>
      <c r="Y9" s="183" t="str">
        <f t="shared" si="23"/>
        <v>Semi-Annual</v>
      </c>
      <c r="Z9" s="144" t="str">
        <f t="shared" si="23"/>
        <v>ACT/360</v>
      </c>
      <c r="AA9" s="144" t="str">
        <f t="shared" si="23"/>
        <v>MOD_FOLLOWING</v>
      </c>
      <c r="AB9" s="144" t="str">
        <f t="shared" si="23"/>
        <v>TGT</v>
      </c>
      <c r="AC9" s="192">
        <f t="shared" si="23"/>
        <v>0</v>
      </c>
      <c r="AD9" s="192">
        <f t="shared" si="23"/>
        <v>0</v>
      </c>
      <c r="AE9" s="145">
        <f t="shared" si="23"/>
        <v>23</v>
      </c>
      <c r="AF9" s="144" t="str">
        <f t="shared" si="23"/>
        <v>0D</v>
      </c>
      <c r="AG9" s="147">
        <f t="shared" si="23"/>
        <v>42419</v>
      </c>
      <c r="AH9" s="148" t="str">
        <f t="shared" si="23"/>
        <v/>
      </c>
      <c r="AI9" s="149">
        <f t="shared" si="23"/>
        <v>0</v>
      </c>
      <c r="AJ9" s="144" t="str">
        <f t="shared" si="23"/>
        <v>0D</v>
      </c>
      <c r="AK9" s="144" t="str">
        <f t="shared" si="23"/>
        <v>ShortStart</v>
      </c>
      <c r="AL9" s="145" t="str">
        <f t="shared" si="23"/>
        <v>NOCSA</v>
      </c>
      <c r="AM9" s="145" t="s">
        <v>197</v>
      </c>
      <c r="AN9" s="145" t="str">
        <f t="shared" si="7"/>
        <v>EURDF_NOCSA</v>
      </c>
      <c r="AO9" s="145" t="str">
        <f t="shared" si="8"/>
        <v>Spline</v>
      </c>
      <c r="AP9" s="144" t="b">
        <f t="shared" si="9"/>
        <v>1</v>
      </c>
      <c r="AQ9" s="144" t="b">
        <f t="shared" si="9"/>
        <v>0</v>
      </c>
      <c r="AR9" s="200">
        <f t="shared" ca="1" si="14"/>
        <v>9.3392955211833251E-4</v>
      </c>
      <c r="AS9" s="151">
        <f t="shared" ca="1" si="15"/>
        <v>198035.41331962572</v>
      </c>
      <c r="AT9" s="151">
        <f t="shared" ca="1" si="16"/>
        <v>403.60968692200521</v>
      </c>
      <c r="AU9" s="151">
        <f t="shared" ca="1" si="17"/>
        <v>454.59434879492619</v>
      </c>
      <c r="AV9" s="151">
        <f ca="1">IF(ISNA($AR9),NA(),IF(AND(NOW(),AT9=AT9),_xll.mirSwapDV01($D32,$F32,$B32,$G32,$AM32,$M32,$N32,$O32,$P32,$Q32,$R32,$S32,$T32,$U32,$V32,$X32,$Y32,$Z32,$AA32,$AB32,$AC32,$AD32,$AE32,$AF32,$AH32,$AI32,$AJ32,$AK32,$AO32,$W32,$AN32,$AP32,$AQ32),"LOAD"))</f>
        <v>454.20724935401643</v>
      </c>
      <c r="AW9" s="231" t="str">
        <f t="shared" si="18"/>
        <v>4Y</v>
      </c>
      <c r="AX9" s="195">
        <f t="shared" ca="1" si="19"/>
        <v>0.38709944090976478</v>
      </c>
      <c r="AY9" s="286">
        <f t="shared" ca="1" si="21"/>
        <v>-8.5225288997545971E-4</v>
      </c>
      <c r="AZ9" s="168">
        <f t="shared" ca="1" si="22"/>
        <v>2.2867943319511141E-3</v>
      </c>
      <c r="BA9" s="280"/>
    </row>
    <row r="10" spans="1:56" x14ac:dyDescent="0.25">
      <c r="A10" s="210">
        <v>5</v>
      </c>
      <c r="B10" s="139">
        <f>IF(OR(D10="",D10=0),"",_xll.mirGetDate(COB,C10,$P10,$Q10))</f>
        <v>42423</v>
      </c>
      <c r="C10" s="258" t="str">
        <f t="shared" ca="1" si="0"/>
        <v>2D</v>
      </c>
      <c r="D10" s="246">
        <f t="shared" ca="1" si="1"/>
        <v>1000000</v>
      </c>
      <c r="E10" s="140" t="s">
        <v>17</v>
      </c>
      <c r="F10" s="249" t="str">
        <f t="shared" ca="1" si="2"/>
        <v>RECEIVER</v>
      </c>
      <c r="G10" s="277" t="str">
        <f t="shared" ca="1" si="12"/>
        <v>5Y</v>
      </c>
      <c r="H10" s="206">
        <f t="shared" ca="1" si="3"/>
        <v>0.05</v>
      </c>
      <c r="I10" s="141" t="s">
        <v>186</v>
      </c>
      <c r="J10" s="246">
        <f t="shared" ca="1" si="4"/>
        <v>10</v>
      </c>
      <c r="K10" s="275">
        <f t="shared" si="5"/>
        <v>-1.31E-3</v>
      </c>
      <c r="L10" s="142" t="s">
        <v>187</v>
      </c>
      <c r="M10" s="152">
        <f t="shared" ref="M10:AL10" si="24">M33</f>
        <v>0.05</v>
      </c>
      <c r="N10" s="144" t="str">
        <f t="shared" si="24"/>
        <v>Annual</v>
      </c>
      <c r="O10" s="144" t="str">
        <f t="shared" si="24"/>
        <v>30/360</v>
      </c>
      <c r="P10" s="144" t="str">
        <f t="shared" si="24"/>
        <v>MOD_FOLLOWING</v>
      </c>
      <c r="Q10" s="144" t="str">
        <f t="shared" si="24"/>
        <v>TGT</v>
      </c>
      <c r="R10" s="192">
        <f t="shared" si="24"/>
        <v>0</v>
      </c>
      <c r="S10" s="192">
        <f t="shared" si="24"/>
        <v>0</v>
      </c>
      <c r="T10" s="145">
        <f t="shared" si="24"/>
        <v>23</v>
      </c>
      <c r="U10" s="144" t="str">
        <f t="shared" si="24"/>
        <v>0D</v>
      </c>
      <c r="V10" s="144" t="str">
        <f t="shared" si="24"/>
        <v>ShortStart</v>
      </c>
      <c r="W10" s="145" t="str">
        <f t="shared" si="24"/>
        <v>EUR6ML</v>
      </c>
      <c r="X10" s="146">
        <f t="shared" si="24"/>
        <v>10</v>
      </c>
      <c r="Y10" s="183" t="str">
        <f t="shared" si="24"/>
        <v>Semi-Annual</v>
      </c>
      <c r="Z10" s="144" t="str">
        <f t="shared" si="24"/>
        <v>ACT/360</v>
      </c>
      <c r="AA10" s="144" t="str">
        <f t="shared" si="24"/>
        <v>MOD_FOLLOWING</v>
      </c>
      <c r="AB10" s="144" t="str">
        <f t="shared" si="24"/>
        <v>TGT</v>
      </c>
      <c r="AC10" s="192">
        <f t="shared" si="24"/>
        <v>0</v>
      </c>
      <c r="AD10" s="192">
        <f t="shared" si="24"/>
        <v>0</v>
      </c>
      <c r="AE10" s="145">
        <f t="shared" si="24"/>
        <v>23</v>
      </c>
      <c r="AF10" s="144" t="str">
        <f t="shared" si="24"/>
        <v>0D</v>
      </c>
      <c r="AG10" s="147">
        <f t="shared" si="24"/>
        <v>42419</v>
      </c>
      <c r="AH10" s="148" t="str">
        <f t="shared" si="24"/>
        <v/>
      </c>
      <c r="AI10" s="149">
        <f t="shared" si="24"/>
        <v>0</v>
      </c>
      <c r="AJ10" s="144" t="str">
        <f t="shared" si="24"/>
        <v>0D</v>
      </c>
      <c r="AK10" s="144" t="str">
        <f t="shared" si="24"/>
        <v>ShortStart</v>
      </c>
      <c r="AL10" s="145" t="str">
        <f t="shared" si="24"/>
        <v>NOCSA</v>
      </c>
      <c r="AM10" s="145" t="s">
        <v>197</v>
      </c>
      <c r="AN10" s="145" t="str">
        <f t="shared" si="7"/>
        <v>EURDF_NOCSA</v>
      </c>
      <c r="AO10" s="145" t="str">
        <f t="shared" si="8"/>
        <v>Spline</v>
      </c>
      <c r="AP10" s="144" t="b">
        <f t="shared" si="9"/>
        <v>1</v>
      </c>
      <c r="AQ10" s="144" t="b">
        <f t="shared" si="9"/>
        <v>0</v>
      </c>
      <c r="AR10" s="200">
        <f t="shared" ca="1" si="14"/>
        <v>1.9446285069135178E-3</v>
      </c>
      <c r="AS10" s="151">
        <f t="shared" ca="1" si="15"/>
        <v>242311.10169126891</v>
      </c>
      <c r="AT10" s="151">
        <f t="shared" ca="1" si="16"/>
        <v>504.23312558540761</v>
      </c>
      <c r="AU10" s="151">
        <f t="shared" ca="1" si="17"/>
        <v>578.97128657653229</v>
      </c>
      <c r="AV10" s="151">
        <f ca="1">IF(ISNA($AR10),NA(),IF(AND(NOW(),AT10=AT10),_xll.mirSwapDV01($D33,$F33,$B33,$G33,$AM33,$M33,$N33,$O33,$P33,$Q33,$R33,$S33,$T33,$U33,$V33,$X33,$Y33,$Z33,$AA33,$AB33,$AC33,$AD33,$AE33,$AF33,$AH33,$AI33,$AJ33,$AK33,$AO33,$W33,$AN33,$AP33,$AQ33),"LOAD"))</f>
        <v>578.83685404790322</v>
      </c>
      <c r="AW10" s="231" t="str">
        <f t="shared" si="18"/>
        <v>5Y</v>
      </c>
      <c r="AX10" s="195">
        <f t="shared" ca="1" si="19"/>
        <v>0.13443252862907684</v>
      </c>
      <c r="AY10" s="286">
        <f t="shared" ca="1" si="21"/>
        <v>-2.3224597343615496E-4</v>
      </c>
      <c r="AZ10" s="168">
        <f t="shared" ca="1" si="22"/>
        <v>0.25266691228068794</v>
      </c>
      <c r="BA10" s="280"/>
      <c r="BB10" s="170"/>
    </row>
    <row r="11" spans="1:56" x14ac:dyDescent="0.25">
      <c r="A11" s="210">
        <v>6</v>
      </c>
      <c r="B11" s="139">
        <f>IF(OR(D11="",D11=0),"",_xll.mirGetDate(COB,C11,$P11,$Q11))</f>
        <v>42423</v>
      </c>
      <c r="C11" s="258" t="str">
        <f t="shared" ca="1" si="0"/>
        <v>2D</v>
      </c>
      <c r="D11" s="246">
        <f t="shared" ca="1" si="1"/>
        <v>1000000</v>
      </c>
      <c r="E11" s="140" t="s">
        <v>17</v>
      </c>
      <c r="F11" s="249" t="str">
        <f t="shared" ca="1" si="2"/>
        <v>RECEIVER</v>
      </c>
      <c r="G11" s="277" t="str">
        <f t="shared" ca="1" si="12"/>
        <v>6Y</v>
      </c>
      <c r="H11" s="206">
        <f t="shared" ca="1" si="3"/>
        <v>0.05</v>
      </c>
      <c r="I11" s="141" t="s">
        <v>186</v>
      </c>
      <c r="J11" s="246">
        <f t="shared" ca="1" si="4"/>
        <v>10</v>
      </c>
      <c r="K11" s="275">
        <f t="shared" si="5"/>
        <v>-1.31E-3</v>
      </c>
      <c r="L11" s="142" t="s">
        <v>187</v>
      </c>
      <c r="M11" s="152">
        <f t="shared" ref="M11:AL11" si="25">M34</f>
        <v>0.05</v>
      </c>
      <c r="N11" s="144" t="str">
        <f t="shared" si="25"/>
        <v>Annual</v>
      </c>
      <c r="O11" s="144" t="str">
        <f t="shared" si="25"/>
        <v>30/360</v>
      </c>
      <c r="P11" s="144" t="str">
        <f t="shared" si="25"/>
        <v>MOD_FOLLOWING</v>
      </c>
      <c r="Q11" s="144" t="str">
        <f t="shared" si="25"/>
        <v>TGT</v>
      </c>
      <c r="R11" s="192">
        <f t="shared" si="25"/>
        <v>0</v>
      </c>
      <c r="S11" s="192">
        <f t="shared" si="25"/>
        <v>0</v>
      </c>
      <c r="T11" s="145">
        <f t="shared" si="25"/>
        <v>23</v>
      </c>
      <c r="U11" s="144" t="str">
        <f t="shared" si="25"/>
        <v>0D</v>
      </c>
      <c r="V11" s="144" t="str">
        <f t="shared" si="25"/>
        <v>ShortStart</v>
      </c>
      <c r="W11" s="145" t="str">
        <f t="shared" si="25"/>
        <v>EUR6ML</v>
      </c>
      <c r="X11" s="146">
        <f t="shared" si="25"/>
        <v>10</v>
      </c>
      <c r="Y11" s="183" t="str">
        <f t="shared" si="25"/>
        <v>Semi-Annual</v>
      </c>
      <c r="Z11" s="144" t="str">
        <f t="shared" si="25"/>
        <v>ACT/360</v>
      </c>
      <c r="AA11" s="144" t="str">
        <f t="shared" si="25"/>
        <v>MOD_FOLLOWING</v>
      </c>
      <c r="AB11" s="144" t="str">
        <f t="shared" si="25"/>
        <v>TGT</v>
      </c>
      <c r="AC11" s="192">
        <f t="shared" si="25"/>
        <v>0</v>
      </c>
      <c r="AD11" s="192">
        <f t="shared" si="25"/>
        <v>0</v>
      </c>
      <c r="AE11" s="145">
        <f t="shared" si="25"/>
        <v>23</v>
      </c>
      <c r="AF11" s="144" t="str">
        <f t="shared" si="25"/>
        <v>0D</v>
      </c>
      <c r="AG11" s="147">
        <f t="shared" si="25"/>
        <v>42419</v>
      </c>
      <c r="AH11" s="148" t="str">
        <f t="shared" si="25"/>
        <v/>
      </c>
      <c r="AI11" s="149">
        <f t="shared" si="25"/>
        <v>0</v>
      </c>
      <c r="AJ11" s="144" t="str">
        <f t="shared" si="25"/>
        <v>0D</v>
      </c>
      <c r="AK11" s="144" t="str">
        <f t="shared" si="25"/>
        <v>ShortStart</v>
      </c>
      <c r="AL11" s="145" t="str">
        <f t="shared" si="25"/>
        <v>NOCSA</v>
      </c>
      <c r="AM11" s="145" t="s">
        <v>197</v>
      </c>
      <c r="AN11" s="145" t="str">
        <f t="shared" si="7"/>
        <v>EURDF_NOCSA</v>
      </c>
      <c r="AO11" s="145" t="str">
        <f t="shared" si="8"/>
        <v>Spline</v>
      </c>
      <c r="AP11" s="144" t="b">
        <f t="shared" si="9"/>
        <v>1</v>
      </c>
      <c r="AQ11" s="144" t="b">
        <f t="shared" si="9"/>
        <v>0</v>
      </c>
      <c r="AR11" s="200">
        <f t="shared" ca="1" si="14"/>
        <v>3.0347537092075749E-3</v>
      </c>
      <c r="AS11" s="151">
        <f t="shared" ca="1" si="15"/>
        <v>283962.51542688889</v>
      </c>
      <c r="AT11" s="151">
        <f t="shared" ca="1" si="16"/>
        <v>604.62264728410457</v>
      </c>
      <c r="AU11" s="151">
        <f t="shared" ca="1" si="17"/>
        <v>706.70957311516395</v>
      </c>
      <c r="AV11" s="151">
        <f ca="1">IF(ISNA($AR11),NA(),IF(AND(NOW(),AT11=AT11),_xll.mirSwapDV01($D34,$F34,$B34,$G34,$AM34,$M34,$N34,$O34,$P34,$Q34,$R34,$S34,$T34,$U34,$V34,$X34,$Y34,$Z34,$AA34,$AB34,$AC34,$AD34,$AE34,$AF34,$AH34,$AI34,$AJ34,$AK34,$AO34,$W34,$AN34,$AP34,$AQ34),"LOAD"))</f>
        <v>707.09646035785681</v>
      </c>
      <c r="AW11" s="231" t="str">
        <f t="shared" si="18"/>
        <v>6Y</v>
      </c>
      <c r="AX11" s="195">
        <f t="shared" ca="1" si="19"/>
        <v>-0.38688724269286467</v>
      </c>
      <c r="AY11" s="286">
        <f t="shared" ca="1" si="21"/>
        <v>5.4714917183585341E-4</v>
      </c>
      <c r="AZ11" s="168">
        <f t="shared" ca="1" si="22"/>
        <v>0.52131977132194152</v>
      </c>
      <c r="BA11" s="280"/>
      <c r="BB11" s="171"/>
      <c r="BC11" s="116"/>
    </row>
    <row r="12" spans="1:56" x14ac:dyDescent="0.25">
      <c r="A12" s="210">
        <v>7</v>
      </c>
      <c r="B12" s="139">
        <f>IF(OR(D12="",D12=0),"",_xll.mirGetDate(COB,C12,$P12,$Q12))</f>
        <v>42423</v>
      </c>
      <c r="C12" s="258" t="str">
        <f t="shared" ca="1" si="0"/>
        <v>2D</v>
      </c>
      <c r="D12" s="246">
        <f t="shared" ca="1" si="1"/>
        <v>1000000</v>
      </c>
      <c r="E12" s="140" t="s">
        <v>17</v>
      </c>
      <c r="F12" s="249" t="str">
        <f t="shared" ca="1" si="2"/>
        <v>RECEIVER</v>
      </c>
      <c r="G12" s="277" t="str">
        <f t="shared" ca="1" si="12"/>
        <v>7Y</v>
      </c>
      <c r="H12" s="206">
        <f t="shared" ca="1" si="3"/>
        <v>0.05</v>
      </c>
      <c r="I12" s="141" t="s">
        <v>186</v>
      </c>
      <c r="J12" s="246">
        <f t="shared" ca="1" si="4"/>
        <v>10</v>
      </c>
      <c r="K12" s="275">
        <f t="shared" si="5"/>
        <v>-1.31E-3</v>
      </c>
      <c r="L12" s="142" t="s">
        <v>187</v>
      </c>
      <c r="M12" s="152">
        <f t="shared" ref="M12:AL12" si="26">M35</f>
        <v>0.05</v>
      </c>
      <c r="N12" s="144" t="str">
        <f t="shared" si="26"/>
        <v>Annual</v>
      </c>
      <c r="O12" s="144" t="str">
        <f t="shared" si="26"/>
        <v>30/360</v>
      </c>
      <c r="P12" s="144" t="str">
        <f t="shared" si="26"/>
        <v>MOD_FOLLOWING</v>
      </c>
      <c r="Q12" s="144" t="str">
        <f t="shared" si="26"/>
        <v>TGT</v>
      </c>
      <c r="R12" s="192">
        <f t="shared" si="26"/>
        <v>0</v>
      </c>
      <c r="S12" s="192">
        <f t="shared" si="26"/>
        <v>0</v>
      </c>
      <c r="T12" s="145">
        <f t="shared" si="26"/>
        <v>23</v>
      </c>
      <c r="U12" s="144" t="str">
        <f t="shared" si="26"/>
        <v>0D</v>
      </c>
      <c r="V12" s="144" t="str">
        <f t="shared" si="26"/>
        <v>ShortStart</v>
      </c>
      <c r="W12" s="145" t="str">
        <f t="shared" si="26"/>
        <v>EUR6ML</v>
      </c>
      <c r="X12" s="146">
        <f t="shared" si="26"/>
        <v>10</v>
      </c>
      <c r="Y12" s="183" t="str">
        <f t="shared" si="26"/>
        <v>Semi-Annual</v>
      </c>
      <c r="Z12" s="144" t="str">
        <f t="shared" si="26"/>
        <v>ACT/360</v>
      </c>
      <c r="AA12" s="144" t="str">
        <f t="shared" si="26"/>
        <v>MOD_FOLLOWING</v>
      </c>
      <c r="AB12" s="144" t="str">
        <f t="shared" si="26"/>
        <v>TGT</v>
      </c>
      <c r="AC12" s="192">
        <f t="shared" si="26"/>
        <v>0</v>
      </c>
      <c r="AD12" s="192">
        <f t="shared" si="26"/>
        <v>0</v>
      </c>
      <c r="AE12" s="145">
        <f t="shared" si="26"/>
        <v>23</v>
      </c>
      <c r="AF12" s="144" t="str">
        <f t="shared" si="26"/>
        <v>0D</v>
      </c>
      <c r="AG12" s="147">
        <f t="shared" si="26"/>
        <v>42419</v>
      </c>
      <c r="AH12" s="148" t="str">
        <f t="shared" si="26"/>
        <v/>
      </c>
      <c r="AI12" s="149">
        <f t="shared" si="26"/>
        <v>0</v>
      </c>
      <c r="AJ12" s="144" t="str">
        <f t="shared" si="26"/>
        <v>0D</v>
      </c>
      <c r="AK12" s="144" t="str">
        <f t="shared" si="26"/>
        <v>ShortStart</v>
      </c>
      <c r="AL12" s="145" t="str">
        <f t="shared" si="26"/>
        <v>NOCSA</v>
      </c>
      <c r="AM12" s="145" t="s">
        <v>197</v>
      </c>
      <c r="AN12" s="145" t="str">
        <f t="shared" si="7"/>
        <v>EURDF_NOCSA</v>
      </c>
      <c r="AO12" s="145" t="str">
        <f t="shared" si="8"/>
        <v>Spline</v>
      </c>
      <c r="AP12" s="144" t="b">
        <f t="shared" si="9"/>
        <v>1</v>
      </c>
      <c r="AQ12" s="144" t="b">
        <f t="shared" si="9"/>
        <v>0</v>
      </c>
      <c r="AR12" s="200">
        <f t="shared" ca="1" si="14"/>
        <v>4.2249519769588881E-3</v>
      </c>
      <c r="AS12" s="151">
        <f t="shared" ca="1" si="15"/>
        <v>322346.46554243093</v>
      </c>
      <c r="AT12" s="151">
        <f t="shared" ca="1" si="16"/>
        <v>704.1968921150584</v>
      </c>
      <c r="AU12" s="151">
        <f t="shared" ca="1" si="17"/>
        <v>836.50453620927874</v>
      </c>
      <c r="AV12" s="151">
        <f ca="1">IF(ISNA($AR12),NA(),IF(AND(NOW(),AT12=AT12),_xll.mirSwapDV01($D35,$F35,$B35,$G35,$AM35,$M35,$N35,$O35,$P35,$Q35,$R35,$S35,$T35,$U35,$V35,$X35,$Y35,$Z35,$AA35,$AB35,$AC35,$AD35,$AE35,$AF35,$AH35,$AI35,$AJ35,$AK35,$AO35,$W35,$AN35,$AP35,$AQ35),"LOAD"))</f>
        <v>837.77550133550858</v>
      </c>
      <c r="AW12" s="231" t="str">
        <f t="shared" si="18"/>
        <v>7Y</v>
      </c>
      <c r="AX12" s="195">
        <f t="shared" ca="1" si="19"/>
        <v>-1.2709651262298394</v>
      </c>
      <c r="AY12" s="286">
        <f t="shared" ca="1" si="21"/>
        <v>1.5170712490443772E-3</v>
      </c>
      <c r="AZ12" s="168">
        <f t="shared" ca="1" si="22"/>
        <v>0.8840778835369747</v>
      </c>
      <c r="BA12" s="280"/>
    </row>
    <row r="13" spans="1:56" x14ac:dyDescent="0.25">
      <c r="A13" s="210">
        <v>8</v>
      </c>
      <c r="B13" s="139">
        <f>IF(OR(D13="",D13=0),"",_xll.mirGetDate(COB,C13,$P13,$Q13))</f>
        <v>42423</v>
      </c>
      <c r="C13" s="258" t="str">
        <f t="shared" ca="1" si="0"/>
        <v>2D</v>
      </c>
      <c r="D13" s="246">
        <f t="shared" ca="1" si="1"/>
        <v>1000000</v>
      </c>
      <c r="E13" s="140" t="s">
        <v>17</v>
      </c>
      <c r="F13" s="249" t="str">
        <f t="shared" ca="1" si="2"/>
        <v>RECEIVER</v>
      </c>
      <c r="G13" s="277" t="str">
        <f t="shared" ca="1" si="12"/>
        <v>8Y</v>
      </c>
      <c r="H13" s="206">
        <f t="shared" ca="1" si="3"/>
        <v>0.05</v>
      </c>
      <c r="I13" s="141" t="s">
        <v>186</v>
      </c>
      <c r="J13" s="246">
        <f t="shared" ca="1" si="4"/>
        <v>10</v>
      </c>
      <c r="K13" s="275">
        <f t="shared" si="5"/>
        <v>-1.31E-3</v>
      </c>
      <c r="L13" s="142" t="s">
        <v>187</v>
      </c>
      <c r="M13" s="152">
        <f t="shared" ref="M13:AL13" si="27">M36</f>
        <v>0.05</v>
      </c>
      <c r="N13" s="144" t="str">
        <f t="shared" si="27"/>
        <v>Annual</v>
      </c>
      <c r="O13" s="144" t="str">
        <f t="shared" si="27"/>
        <v>30/360</v>
      </c>
      <c r="P13" s="144" t="str">
        <f t="shared" si="27"/>
        <v>MOD_FOLLOWING</v>
      </c>
      <c r="Q13" s="144" t="str">
        <f t="shared" si="27"/>
        <v>TGT</v>
      </c>
      <c r="R13" s="192">
        <f t="shared" si="27"/>
        <v>0</v>
      </c>
      <c r="S13" s="192">
        <f t="shared" si="27"/>
        <v>0</v>
      </c>
      <c r="T13" s="145">
        <f t="shared" si="27"/>
        <v>23</v>
      </c>
      <c r="U13" s="144" t="str">
        <f t="shared" si="27"/>
        <v>0D</v>
      </c>
      <c r="V13" s="144" t="str">
        <f t="shared" si="27"/>
        <v>ShortStart</v>
      </c>
      <c r="W13" s="145" t="str">
        <f t="shared" si="27"/>
        <v>EUR6ML</v>
      </c>
      <c r="X13" s="146">
        <f t="shared" si="27"/>
        <v>10</v>
      </c>
      <c r="Y13" s="183" t="str">
        <f t="shared" si="27"/>
        <v>Semi-Annual</v>
      </c>
      <c r="Z13" s="144" t="str">
        <f t="shared" si="27"/>
        <v>ACT/360</v>
      </c>
      <c r="AA13" s="144" t="str">
        <f t="shared" si="27"/>
        <v>MOD_FOLLOWING</v>
      </c>
      <c r="AB13" s="144" t="str">
        <f t="shared" si="27"/>
        <v>TGT</v>
      </c>
      <c r="AC13" s="192">
        <f t="shared" si="27"/>
        <v>0</v>
      </c>
      <c r="AD13" s="192">
        <f t="shared" si="27"/>
        <v>0</v>
      </c>
      <c r="AE13" s="145">
        <f t="shared" si="27"/>
        <v>23</v>
      </c>
      <c r="AF13" s="144" t="str">
        <f t="shared" si="27"/>
        <v>0D</v>
      </c>
      <c r="AG13" s="147">
        <f t="shared" si="27"/>
        <v>42419</v>
      </c>
      <c r="AH13" s="148" t="str">
        <f t="shared" si="27"/>
        <v/>
      </c>
      <c r="AI13" s="149">
        <f t="shared" si="27"/>
        <v>0</v>
      </c>
      <c r="AJ13" s="144" t="str">
        <f t="shared" si="27"/>
        <v>0D</v>
      </c>
      <c r="AK13" s="144" t="str">
        <f t="shared" si="27"/>
        <v>ShortStart</v>
      </c>
      <c r="AL13" s="145" t="str">
        <f t="shared" si="27"/>
        <v>NOCSA</v>
      </c>
      <c r="AM13" s="145" t="s">
        <v>197</v>
      </c>
      <c r="AN13" s="145" t="str">
        <f t="shared" si="7"/>
        <v>EURDF_NOCSA</v>
      </c>
      <c r="AO13" s="145" t="str">
        <f t="shared" si="8"/>
        <v>Spline</v>
      </c>
      <c r="AP13" s="144" t="b">
        <f t="shared" si="9"/>
        <v>1</v>
      </c>
      <c r="AQ13" s="144" t="b">
        <f t="shared" si="9"/>
        <v>0</v>
      </c>
      <c r="AR13" s="200">
        <f t="shared" ca="1" si="14"/>
        <v>5.4551899977647259E-3</v>
      </c>
      <c r="AS13" s="151">
        <f t="shared" ca="1" si="15"/>
        <v>357547.30604272056</v>
      </c>
      <c r="AT13" s="151">
        <f t="shared" ca="1" si="16"/>
        <v>802.66883173321128</v>
      </c>
      <c r="AU13" s="151">
        <f t="shared" ca="1" si="17"/>
        <v>967.57698358473135</v>
      </c>
      <c r="AV13" s="151">
        <f ca="1">IF(ISNA($AR13),NA(),IF(AND(NOW(),AT13=AT13),_xll.mirSwapDV01($D36,$F36,$B36,$G36,$AM36,$M36,$N36,$O36,$P36,$Q36,$R36,$S36,$T36,$U36,$V36,$X36,$Y36,$Z36,$AA36,$AB36,$AC36,$AD36,$AE36,$AF36,$AH36,$AI36,$AJ36,$AK36,$AO36,$W36,$AN36,$AP36,$AQ36),"LOAD"))</f>
        <v>970.0416991543226</v>
      </c>
      <c r="AW13" s="231" t="str">
        <f t="shared" si="18"/>
        <v>8Y</v>
      </c>
      <c r="AX13" s="195">
        <f t="shared" ca="1" si="19"/>
        <v>-2.4647155695912488</v>
      </c>
      <c r="AY13" s="286">
        <f t="shared" ca="1" si="21"/>
        <v>2.5408346586955747E-3</v>
      </c>
      <c r="AZ13" s="168">
        <f t="shared" ca="1" si="22"/>
        <v>1.1937504433614095</v>
      </c>
      <c r="BA13" s="280"/>
    </row>
    <row r="14" spans="1:56" x14ac:dyDescent="0.25">
      <c r="A14" s="210">
        <v>9</v>
      </c>
      <c r="B14" s="139">
        <f>IF(OR(D14="",D14=0),"",_xll.mirGetDate(COB,C14,$P14,$Q14))</f>
        <v>42423</v>
      </c>
      <c r="C14" s="258" t="str">
        <f t="shared" ca="1" si="0"/>
        <v>2D</v>
      </c>
      <c r="D14" s="246">
        <f t="shared" ca="1" si="1"/>
        <v>1000000</v>
      </c>
      <c r="E14" s="140" t="s">
        <v>17</v>
      </c>
      <c r="F14" s="249" t="str">
        <f t="shared" ca="1" si="2"/>
        <v>RECEIVER</v>
      </c>
      <c r="G14" s="277" t="str">
        <f t="shared" ca="1" si="12"/>
        <v>9Y</v>
      </c>
      <c r="H14" s="206">
        <f t="shared" ca="1" si="3"/>
        <v>0.05</v>
      </c>
      <c r="I14" s="141" t="s">
        <v>186</v>
      </c>
      <c r="J14" s="246">
        <f t="shared" ca="1" si="4"/>
        <v>10</v>
      </c>
      <c r="K14" s="275">
        <f t="shared" si="5"/>
        <v>-1.31E-3</v>
      </c>
      <c r="L14" s="142" t="s">
        <v>187</v>
      </c>
      <c r="M14" s="152">
        <f t="shared" ref="M14:AL14" si="28">M37</f>
        <v>0.05</v>
      </c>
      <c r="N14" s="144" t="str">
        <f t="shared" si="28"/>
        <v>Annual</v>
      </c>
      <c r="O14" s="144" t="str">
        <f t="shared" si="28"/>
        <v>30/360</v>
      </c>
      <c r="P14" s="144" t="str">
        <f t="shared" si="28"/>
        <v>MOD_FOLLOWING</v>
      </c>
      <c r="Q14" s="144" t="str">
        <f t="shared" si="28"/>
        <v>TGT</v>
      </c>
      <c r="R14" s="192">
        <f t="shared" si="28"/>
        <v>0</v>
      </c>
      <c r="S14" s="192">
        <f t="shared" si="28"/>
        <v>0</v>
      </c>
      <c r="T14" s="145">
        <f t="shared" si="28"/>
        <v>23</v>
      </c>
      <c r="U14" s="144" t="str">
        <f t="shared" si="28"/>
        <v>0D</v>
      </c>
      <c r="V14" s="144" t="str">
        <f t="shared" si="28"/>
        <v>ShortStart</v>
      </c>
      <c r="W14" s="145" t="str">
        <f t="shared" si="28"/>
        <v>EUR6ML</v>
      </c>
      <c r="X14" s="146">
        <f t="shared" si="28"/>
        <v>10</v>
      </c>
      <c r="Y14" s="183" t="str">
        <f t="shared" si="28"/>
        <v>Semi-Annual</v>
      </c>
      <c r="Z14" s="144" t="str">
        <f t="shared" si="28"/>
        <v>ACT/360</v>
      </c>
      <c r="AA14" s="144" t="str">
        <f t="shared" si="28"/>
        <v>MOD_FOLLOWING</v>
      </c>
      <c r="AB14" s="144" t="str">
        <f t="shared" si="28"/>
        <v>TGT</v>
      </c>
      <c r="AC14" s="192">
        <f t="shared" si="28"/>
        <v>0</v>
      </c>
      <c r="AD14" s="192">
        <f t="shared" si="28"/>
        <v>0</v>
      </c>
      <c r="AE14" s="145">
        <f t="shared" si="28"/>
        <v>23</v>
      </c>
      <c r="AF14" s="144" t="str">
        <f t="shared" si="28"/>
        <v>0D</v>
      </c>
      <c r="AG14" s="147">
        <f t="shared" si="28"/>
        <v>42419</v>
      </c>
      <c r="AH14" s="148" t="str">
        <f t="shared" si="28"/>
        <v/>
      </c>
      <c r="AI14" s="149">
        <f t="shared" si="28"/>
        <v>0</v>
      </c>
      <c r="AJ14" s="144" t="str">
        <f t="shared" si="28"/>
        <v>0D</v>
      </c>
      <c r="AK14" s="144" t="str">
        <f t="shared" si="28"/>
        <v>ShortStart</v>
      </c>
      <c r="AL14" s="145" t="str">
        <f t="shared" si="28"/>
        <v>NOCSA</v>
      </c>
      <c r="AM14" s="145" t="s">
        <v>197</v>
      </c>
      <c r="AN14" s="145" t="str">
        <f t="shared" si="7"/>
        <v>EURDF_NOCSA</v>
      </c>
      <c r="AO14" s="145" t="str">
        <f t="shared" si="8"/>
        <v>Spline</v>
      </c>
      <c r="AP14" s="144" t="b">
        <f t="shared" si="9"/>
        <v>1</v>
      </c>
      <c r="AQ14" s="144" t="b">
        <f t="shared" si="9"/>
        <v>0</v>
      </c>
      <c r="AR14" s="200">
        <f t="shared" ca="1" si="14"/>
        <v>6.6257340957065133E-3</v>
      </c>
      <c r="AS14" s="151">
        <f t="shared" ca="1" si="15"/>
        <v>390404.25178397575</v>
      </c>
      <c r="AT14" s="151">
        <f t="shared" ca="1" si="16"/>
        <v>900.08267262762092</v>
      </c>
      <c r="AU14" s="151">
        <f t="shared" ca="1" si="17"/>
        <v>1099.9592190881376</v>
      </c>
      <c r="AV14" s="151">
        <f ca="1">IF(ISNA($AR14),NA(),IF(AND(NOW(),AT14=AT14),_xll.mirSwapDV01($D37,$F37,$B37,$G37,$AM37,$M37,$N37,$O37,$P37,$Q37,$R37,$S37,$T37,$U37,$V37,$X37,$Y37,$Z37,$AA37,$AB37,$AC37,$AD37,$AE37,$AF37,$AH37,$AI37,$AJ37,$AK37,$AO37,$W37,$AN37,$AP37,$AQ37),"LOAD"))</f>
        <v>1103.7077069785009</v>
      </c>
      <c r="AW14" s="231" t="str">
        <f t="shared" si="18"/>
        <v>9Y</v>
      </c>
      <c r="AX14" s="195">
        <f t="shared" ca="1" si="19"/>
        <v>-3.7484878903633216</v>
      </c>
      <c r="AY14" s="286">
        <f t="shared" ca="1" si="21"/>
        <v>3.3962686557885368E-3</v>
      </c>
      <c r="AZ14" s="168">
        <f t="shared" ca="1" si="22"/>
        <v>1.2837723207720728</v>
      </c>
      <c r="BA14" s="280"/>
    </row>
    <row r="15" spans="1:56" x14ac:dyDescent="0.25">
      <c r="A15" s="210">
        <v>10</v>
      </c>
      <c r="B15" s="139">
        <f>IF(OR(D15="",D15=0),"",_xll.mirGetDate(COB,C15,$P15,$Q15))</f>
        <v>42423</v>
      </c>
      <c r="C15" s="258" t="str">
        <f t="shared" ca="1" si="0"/>
        <v>2D</v>
      </c>
      <c r="D15" s="246">
        <f t="shared" ca="1" si="1"/>
        <v>1000000</v>
      </c>
      <c r="E15" s="140" t="s">
        <v>17</v>
      </c>
      <c r="F15" s="249" t="str">
        <f t="shared" ca="1" si="2"/>
        <v>RECEIVER</v>
      </c>
      <c r="G15" s="277" t="str">
        <f t="shared" ca="1" si="12"/>
        <v>10Y</v>
      </c>
      <c r="H15" s="206">
        <f t="shared" ca="1" si="3"/>
        <v>0.05</v>
      </c>
      <c r="I15" s="141" t="s">
        <v>186</v>
      </c>
      <c r="J15" s="246">
        <f t="shared" ca="1" si="4"/>
        <v>10</v>
      </c>
      <c r="K15" s="275">
        <f t="shared" si="5"/>
        <v>-1.31E-3</v>
      </c>
      <c r="L15" s="142" t="s">
        <v>187</v>
      </c>
      <c r="M15" s="152">
        <f t="shared" ref="M15:AL15" si="29">M38</f>
        <v>0.05</v>
      </c>
      <c r="N15" s="144" t="str">
        <f t="shared" si="29"/>
        <v>Annual</v>
      </c>
      <c r="O15" s="144" t="str">
        <f t="shared" si="29"/>
        <v>30/360</v>
      </c>
      <c r="P15" s="144" t="str">
        <f t="shared" si="29"/>
        <v>MOD_FOLLOWING</v>
      </c>
      <c r="Q15" s="144" t="str">
        <f t="shared" si="29"/>
        <v>TGT</v>
      </c>
      <c r="R15" s="192">
        <f t="shared" si="29"/>
        <v>0</v>
      </c>
      <c r="S15" s="192">
        <f t="shared" si="29"/>
        <v>0</v>
      </c>
      <c r="T15" s="145">
        <f t="shared" si="29"/>
        <v>23</v>
      </c>
      <c r="U15" s="144" t="str">
        <f t="shared" si="29"/>
        <v>0D</v>
      </c>
      <c r="V15" s="144" t="str">
        <f t="shared" si="29"/>
        <v>ShortStart</v>
      </c>
      <c r="W15" s="145" t="str">
        <f t="shared" si="29"/>
        <v>EUR6ML</v>
      </c>
      <c r="X15" s="146">
        <f t="shared" si="29"/>
        <v>10</v>
      </c>
      <c r="Y15" s="183" t="str">
        <f t="shared" si="29"/>
        <v>Semi-Annual</v>
      </c>
      <c r="Z15" s="144" t="str">
        <f t="shared" si="29"/>
        <v>ACT/360</v>
      </c>
      <c r="AA15" s="144" t="str">
        <f t="shared" si="29"/>
        <v>MOD_FOLLOWING</v>
      </c>
      <c r="AB15" s="144" t="str">
        <f t="shared" si="29"/>
        <v>TGT</v>
      </c>
      <c r="AC15" s="192">
        <f t="shared" si="29"/>
        <v>0</v>
      </c>
      <c r="AD15" s="192">
        <f t="shared" si="29"/>
        <v>0</v>
      </c>
      <c r="AE15" s="145">
        <f t="shared" si="29"/>
        <v>23</v>
      </c>
      <c r="AF15" s="144" t="str">
        <f t="shared" si="29"/>
        <v>0D</v>
      </c>
      <c r="AG15" s="147">
        <f t="shared" si="29"/>
        <v>42419</v>
      </c>
      <c r="AH15" s="148" t="str">
        <f t="shared" si="29"/>
        <v/>
      </c>
      <c r="AI15" s="149">
        <f t="shared" si="29"/>
        <v>0</v>
      </c>
      <c r="AJ15" s="144" t="str">
        <f t="shared" si="29"/>
        <v>0D</v>
      </c>
      <c r="AK15" s="144" t="str">
        <f t="shared" si="29"/>
        <v>ShortStart</v>
      </c>
      <c r="AL15" s="145" t="str">
        <f t="shared" si="29"/>
        <v>NOCSA</v>
      </c>
      <c r="AM15" s="145" t="s">
        <v>197</v>
      </c>
      <c r="AN15" s="145" t="str">
        <f t="shared" si="7"/>
        <v>EURDF_NOCSA</v>
      </c>
      <c r="AO15" s="145" t="str">
        <f t="shared" si="8"/>
        <v>Spline</v>
      </c>
      <c r="AP15" s="144" t="b">
        <f t="shared" si="9"/>
        <v>1</v>
      </c>
      <c r="AQ15" s="144" t="b">
        <f t="shared" si="9"/>
        <v>0</v>
      </c>
      <c r="AR15" s="200">
        <f t="shared" ca="1" si="14"/>
        <v>7.6859363768615368E-3</v>
      </c>
      <c r="AS15" s="151">
        <f t="shared" ca="1" si="15"/>
        <v>421239.23008016177</v>
      </c>
      <c r="AT15" s="151">
        <f t="shared" ca="1" si="16"/>
        <v>995.50644398477687</v>
      </c>
      <c r="AU15" s="151">
        <f t="shared" ca="1" si="17"/>
        <v>1232.2952173313824</v>
      </c>
      <c r="AV15" s="151">
        <f ca="1">IF(ISNA($AR15),NA(),IF(AND(NOW(),AT15=AT15),_xll.mirSwapDV01($D38,$F38,$B38,$G38,$AM38,$M38,$N38,$O38,$P38,$Q38,$R38,$S38,$T38,$U38,$V38,$X38,$Y38,$Z38,$AA38,$AB38,$AC38,$AD38,$AE38,$AF38,$AH38,$AI38,$AJ38,$AK38,$AO38,$W38,$AN38,$AP38,$AQ38),"LOAD"))</f>
        <v>1237.3006151939892</v>
      </c>
      <c r="AW15" s="231" t="str">
        <f t="shared" si="18"/>
        <v>10Y</v>
      </c>
      <c r="AX15" s="195">
        <f t="shared" ca="1" si="19"/>
        <v>-5.0053978626067419</v>
      </c>
      <c r="AY15" s="286">
        <f t="shared" ca="1" si="21"/>
        <v>4.0454177433848397E-3</v>
      </c>
      <c r="AZ15" s="168">
        <f t="shared" ca="1" si="22"/>
        <v>1.2569099722434203</v>
      </c>
      <c r="BA15" s="280"/>
      <c r="BB15" s="170"/>
    </row>
    <row r="16" spans="1:56" x14ac:dyDescent="0.25">
      <c r="A16" s="210">
        <v>11</v>
      </c>
      <c r="B16" s="139">
        <f>IF(OR(D16="",D16=0),"",_xll.mirGetDate(COB,C16,$P16,$Q16))</f>
        <v>42423</v>
      </c>
      <c r="C16" s="258" t="str">
        <f t="shared" ca="1" si="0"/>
        <v>2D</v>
      </c>
      <c r="D16" s="246">
        <f t="shared" ca="1" si="1"/>
        <v>1000000</v>
      </c>
      <c r="E16" s="140" t="s">
        <v>17</v>
      </c>
      <c r="F16" s="249" t="str">
        <f t="shared" ca="1" si="2"/>
        <v>RECEIVER</v>
      </c>
      <c r="G16" s="277" t="str">
        <f t="shared" ca="1" si="12"/>
        <v>11Y</v>
      </c>
      <c r="H16" s="206">
        <f t="shared" ca="1" si="3"/>
        <v>0.05</v>
      </c>
      <c r="I16" s="141" t="s">
        <v>186</v>
      </c>
      <c r="J16" s="246">
        <f t="shared" ca="1" si="4"/>
        <v>10</v>
      </c>
      <c r="K16" s="275">
        <f t="shared" si="5"/>
        <v>-1.31E-3</v>
      </c>
      <c r="L16" s="142" t="s">
        <v>187</v>
      </c>
      <c r="M16" s="152">
        <f t="shared" ref="M16:AL16" si="30">M39</f>
        <v>0.05</v>
      </c>
      <c r="N16" s="144" t="str">
        <f t="shared" si="30"/>
        <v>Annual</v>
      </c>
      <c r="O16" s="144" t="str">
        <f t="shared" si="30"/>
        <v>30/360</v>
      </c>
      <c r="P16" s="144" t="str">
        <f t="shared" si="30"/>
        <v>MOD_FOLLOWING</v>
      </c>
      <c r="Q16" s="144" t="str">
        <f t="shared" si="30"/>
        <v>TGT</v>
      </c>
      <c r="R16" s="192">
        <f t="shared" si="30"/>
        <v>0</v>
      </c>
      <c r="S16" s="192">
        <f t="shared" si="30"/>
        <v>0</v>
      </c>
      <c r="T16" s="145">
        <f t="shared" si="30"/>
        <v>23</v>
      </c>
      <c r="U16" s="144" t="str">
        <f t="shared" si="30"/>
        <v>0D</v>
      </c>
      <c r="V16" s="144" t="str">
        <f t="shared" si="30"/>
        <v>ShortStart</v>
      </c>
      <c r="W16" s="145" t="str">
        <f t="shared" si="30"/>
        <v>EUR6ML</v>
      </c>
      <c r="X16" s="146">
        <f t="shared" si="30"/>
        <v>10</v>
      </c>
      <c r="Y16" s="183" t="str">
        <f t="shared" si="30"/>
        <v>Semi-Annual</v>
      </c>
      <c r="Z16" s="144" t="str">
        <f t="shared" si="30"/>
        <v>ACT/360</v>
      </c>
      <c r="AA16" s="144" t="str">
        <f t="shared" si="30"/>
        <v>MOD_FOLLOWING</v>
      </c>
      <c r="AB16" s="144" t="str">
        <f t="shared" si="30"/>
        <v>TGT</v>
      </c>
      <c r="AC16" s="192">
        <f t="shared" si="30"/>
        <v>0</v>
      </c>
      <c r="AD16" s="192">
        <f t="shared" si="30"/>
        <v>0</v>
      </c>
      <c r="AE16" s="145">
        <f t="shared" si="30"/>
        <v>23</v>
      </c>
      <c r="AF16" s="144" t="str">
        <f t="shared" si="30"/>
        <v>0D</v>
      </c>
      <c r="AG16" s="147">
        <f t="shared" si="30"/>
        <v>42419</v>
      </c>
      <c r="AH16" s="148" t="str">
        <f t="shared" si="30"/>
        <v/>
      </c>
      <c r="AI16" s="149">
        <f t="shared" si="30"/>
        <v>0</v>
      </c>
      <c r="AJ16" s="144" t="str">
        <f t="shared" si="30"/>
        <v>0D</v>
      </c>
      <c r="AK16" s="144" t="str">
        <f t="shared" si="30"/>
        <v>ShortStart</v>
      </c>
      <c r="AL16" s="145" t="str">
        <f t="shared" si="30"/>
        <v>NOCSA</v>
      </c>
      <c r="AM16" s="145" t="s">
        <v>197</v>
      </c>
      <c r="AN16" s="145" t="str">
        <f t="shared" si="7"/>
        <v>EURDF_NOCSA</v>
      </c>
      <c r="AO16" s="145" t="str">
        <f t="shared" si="8"/>
        <v>Spline</v>
      </c>
      <c r="AP16" s="144" t="b">
        <f t="shared" ref="AP16:AQ25" si="31">AP39</f>
        <v>1</v>
      </c>
      <c r="AQ16" s="144" t="b">
        <f t="shared" si="31"/>
        <v>0</v>
      </c>
      <c r="AR16" s="200">
        <f t="shared" ca="1" si="14"/>
        <v>8.6461228779303404E-3</v>
      </c>
      <c r="AS16" s="151">
        <f t="shared" ca="1" si="15"/>
        <v>450612.38310518145</v>
      </c>
      <c r="AT16" s="151">
        <f t="shared" ca="1" si="16"/>
        <v>1089.649663984467</v>
      </c>
      <c r="AU16" s="151">
        <f t="shared" ca="1" si="17"/>
        <v>1365.5207637620042</v>
      </c>
      <c r="AV16" s="151">
        <f ca="1">IF(ISNA($AR16),NA(),IF(AND(NOW(),AT16=AT16),_xll.mirSwapDV01($D39,$F39,$B39,$G39,$AM39,$M39,$N39,$O39,$P39,$Q39,$R39,$S39,$T39,$U39,$V39,$X39,$Y39,$Z39,$AA39,$AB39,$AC39,$AD39,$AE39,$AF39,$AH39,$AI39,$AJ39,$AK39,$AO39,$W39,$AN39,$AP39,$AQ39),"LOAD"))</f>
        <v>1371.6669730746812</v>
      </c>
      <c r="AW16" s="231" t="str">
        <f t="shared" si="18"/>
        <v>11Y</v>
      </c>
      <c r="AX16" s="195">
        <f t="shared" ca="1" si="19"/>
        <v>-6.1462093126770014</v>
      </c>
      <c r="AY16" s="286">
        <f t="shared" ca="1" si="21"/>
        <v>4.4808320338134786E-3</v>
      </c>
      <c r="AZ16" s="168">
        <f t="shared" ca="1" si="22"/>
        <v>1.1408114500702595</v>
      </c>
      <c r="BA16" s="280"/>
      <c r="BB16" s="171"/>
      <c r="BC16" s="116"/>
    </row>
    <row r="17" spans="1:55" x14ac:dyDescent="0.25">
      <c r="A17" s="210">
        <v>12</v>
      </c>
      <c r="B17" s="139">
        <f>IF(OR(D17="",D17=0),"",_xll.mirGetDate(COB,C17,$P17,$Q17))</f>
        <v>42423</v>
      </c>
      <c r="C17" s="258" t="str">
        <f t="shared" ca="1" si="0"/>
        <v>2D</v>
      </c>
      <c r="D17" s="246">
        <f t="shared" ca="1" si="1"/>
        <v>1000000</v>
      </c>
      <c r="E17" s="140" t="s">
        <v>17</v>
      </c>
      <c r="F17" s="249" t="str">
        <f t="shared" ca="1" si="2"/>
        <v>RECEIVER</v>
      </c>
      <c r="G17" s="277" t="str">
        <f t="shared" ca="1" si="12"/>
        <v>12Y</v>
      </c>
      <c r="H17" s="206">
        <f t="shared" ca="1" si="3"/>
        <v>0.05</v>
      </c>
      <c r="I17" s="141" t="s">
        <v>186</v>
      </c>
      <c r="J17" s="246">
        <f t="shared" ca="1" si="4"/>
        <v>10</v>
      </c>
      <c r="K17" s="275">
        <f t="shared" si="5"/>
        <v>-1.31E-3</v>
      </c>
      <c r="L17" s="142" t="s">
        <v>187</v>
      </c>
      <c r="M17" s="152">
        <f t="shared" ref="M17:AL17" si="32">M40</f>
        <v>0.05</v>
      </c>
      <c r="N17" s="144" t="str">
        <f t="shared" si="32"/>
        <v>Annual</v>
      </c>
      <c r="O17" s="144" t="str">
        <f t="shared" si="32"/>
        <v>30/360</v>
      </c>
      <c r="P17" s="144" t="str">
        <f t="shared" si="32"/>
        <v>MOD_FOLLOWING</v>
      </c>
      <c r="Q17" s="144" t="str">
        <f t="shared" si="32"/>
        <v>TGT</v>
      </c>
      <c r="R17" s="192">
        <f t="shared" si="32"/>
        <v>0</v>
      </c>
      <c r="S17" s="192">
        <f t="shared" si="32"/>
        <v>0</v>
      </c>
      <c r="T17" s="145">
        <f t="shared" si="32"/>
        <v>23</v>
      </c>
      <c r="U17" s="144" t="str">
        <f t="shared" si="32"/>
        <v>0D</v>
      </c>
      <c r="V17" s="144" t="str">
        <f t="shared" si="32"/>
        <v>ShortStart</v>
      </c>
      <c r="W17" s="145" t="str">
        <f t="shared" si="32"/>
        <v>EUR6ML</v>
      </c>
      <c r="X17" s="146">
        <f t="shared" si="32"/>
        <v>10</v>
      </c>
      <c r="Y17" s="183" t="str">
        <f t="shared" si="32"/>
        <v>Semi-Annual</v>
      </c>
      <c r="Z17" s="144" t="str">
        <f t="shared" si="32"/>
        <v>ACT/360</v>
      </c>
      <c r="AA17" s="144" t="str">
        <f t="shared" si="32"/>
        <v>MOD_FOLLOWING</v>
      </c>
      <c r="AB17" s="144" t="str">
        <f t="shared" si="32"/>
        <v>TGT</v>
      </c>
      <c r="AC17" s="192">
        <f t="shared" si="32"/>
        <v>0</v>
      </c>
      <c r="AD17" s="192">
        <f t="shared" si="32"/>
        <v>0</v>
      </c>
      <c r="AE17" s="145">
        <f t="shared" si="32"/>
        <v>23</v>
      </c>
      <c r="AF17" s="144" t="str">
        <f t="shared" si="32"/>
        <v>0D</v>
      </c>
      <c r="AG17" s="147">
        <f t="shared" si="32"/>
        <v>42419</v>
      </c>
      <c r="AH17" s="148" t="str">
        <f t="shared" si="32"/>
        <v/>
      </c>
      <c r="AI17" s="149">
        <f t="shared" si="32"/>
        <v>0</v>
      </c>
      <c r="AJ17" s="144" t="str">
        <f t="shared" si="32"/>
        <v>0D</v>
      </c>
      <c r="AK17" s="144" t="str">
        <f t="shared" si="32"/>
        <v>ShortStart</v>
      </c>
      <c r="AL17" s="145" t="str">
        <f t="shared" si="32"/>
        <v>NOCSA</v>
      </c>
      <c r="AM17" s="145" t="s">
        <v>197</v>
      </c>
      <c r="AN17" s="145" t="str">
        <f t="shared" si="7"/>
        <v>EURDF_NOCSA</v>
      </c>
      <c r="AO17" s="145" t="str">
        <f t="shared" si="8"/>
        <v>Spline</v>
      </c>
      <c r="AP17" s="144" t="b">
        <f t="shared" si="31"/>
        <v>1</v>
      </c>
      <c r="AQ17" s="144" t="b">
        <f t="shared" si="31"/>
        <v>0</v>
      </c>
      <c r="AR17" s="200">
        <f t="shared" ca="1" si="14"/>
        <v>9.4862860318462583E-3</v>
      </c>
      <c r="AS17" s="151">
        <f t="shared" ca="1" si="15"/>
        <v>478959.58874822262</v>
      </c>
      <c r="AT17" s="151">
        <f t="shared" ca="1" si="16"/>
        <v>1182.2159506894732</v>
      </c>
      <c r="AU17" s="151">
        <f t="shared" ca="1" si="17"/>
        <v>1499.3314767075353</v>
      </c>
      <c r="AV17" s="151">
        <f ca="1">IF(ISNA($AR17),NA(),IF(AND(NOW(),AT17=AT17),_xll.mirSwapDV01($D40,$F40,$B40,$G40,$AM40,$M40,$N40,$O40,$P40,$Q40,$R40,$S40,$T40,$U40,$V40,$X40,$Y40,$Z40,$AA40,$AB40,$AC40,$AD40,$AE40,$AF40,$AH40,$AI40,$AJ40,$AK40,$AO40,$W40,$AN40,$AP40,$AQ40),"LOAD"))</f>
        <v>1506.3622117340478</v>
      </c>
      <c r="AW17" s="231" t="str">
        <f t="shared" si="18"/>
        <v>12Y</v>
      </c>
      <c r="AX17" s="195">
        <f t="shared" ca="1" si="19"/>
        <v>-7.0307350265125024</v>
      </c>
      <c r="AY17" s="286">
        <f t="shared" ca="1" si="21"/>
        <v>4.6673601951412978E-3</v>
      </c>
      <c r="AZ17" s="168">
        <f t="shared" ca="1" si="22"/>
        <v>0.88452571383550094</v>
      </c>
      <c r="BA17" s="280"/>
    </row>
    <row r="18" spans="1:55" x14ac:dyDescent="0.25">
      <c r="A18" s="210">
        <v>13</v>
      </c>
      <c r="B18" s="139">
        <f>IF(OR(D18="",D18=0),"",_xll.mirGetDate(COB,C18,$P18,$Q18))</f>
        <v>42423</v>
      </c>
      <c r="C18" s="258" t="str">
        <f t="shared" ca="1" si="0"/>
        <v>2D</v>
      </c>
      <c r="D18" s="246">
        <f t="shared" ca="1" si="1"/>
        <v>1000000</v>
      </c>
      <c r="E18" s="140" t="s">
        <v>17</v>
      </c>
      <c r="F18" s="249" t="str">
        <f t="shared" ca="1" si="2"/>
        <v>RECEIVER</v>
      </c>
      <c r="G18" s="277" t="str">
        <f t="shared" ca="1" si="12"/>
        <v>13Y</v>
      </c>
      <c r="H18" s="206">
        <f t="shared" ca="1" si="3"/>
        <v>0.05</v>
      </c>
      <c r="I18" s="141" t="s">
        <v>186</v>
      </c>
      <c r="J18" s="246">
        <f t="shared" ca="1" si="4"/>
        <v>10</v>
      </c>
      <c r="K18" s="275">
        <f t="shared" si="5"/>
        <v>-1.31E-3</v>
      </c>
      <c r="L18" s="142" t="s">
        <v>187</v>
      </c>
      <c r="M18" s="152">
        <f t="shared" ref="M18:AL18" si="33">M41</f>
        <v>0.05</v>
      </c>
      <c r="N18" s="144" t="str">
        <f t="shared" si="33"/>
        <v>Annual</v>
      </c>
      <c r="O18" s="144" t="str">
        <f t="shared" si="33"/>
        <v>30/360</v>
      </c>
      <c r="P18" s="144" t="str">
        <f t="shared" si="33"/>
        <v>MOD_FOLLOWING</v>
      </c>
      <c r="Q18" s="144" t="str">
        <f t="shared" si="33"/>
        <v>TGT</v>
      </c>
      <c r="R18" s="192">
        <f t="shared" si="33"/>
        <v>0</v>
      </c>
      <c r="S18" s="192">
        <f t="shared" si="33"/>
        <v>0</v>
      </c>
      <c r="T18" s="145">
        <f t="shared" si="33"/>
        <v>23</v>
      </c>
      <c r="U18" s="144" t="str">
        <f t="shared" si="33"/>
        <v>0D</v>
      </c>
      <c r="V18" s="144" t="str">
        <f t="shared" si="33"/>
        <v>ShortStart</v>
      </c>
      <c r="W18" s="145" t="str">
        <f t="shared" si="33"/>
        <v>EUR6ML</v>
      </c>
      <c r="X18" s="146">
        <f t="shared" si="33"/>
        <v>10</v>
      </c>
      <c r="Y18" s="183" t="str">
        <f t="shared" si="33"/>
        <v>Semi-Annual</v>
      </c>
      <c r="Z18" s="144" t="str">
        <f t="shared" si="33"/>
        <v>ACT/360</v>
      </c>
      <c r="AA18" s="144" t="str">
        <f t="shared" si="33"/>
        <v>MOD_FOLLOWING</v>
      </c>
      <c r="AB18" s="144" t="str">
        <f t="shared" si="33"/>
        <v>TGT</v>
      </c>
      <c r="AC18" s="192">
        <f t="shared" si="33"/>
        <v>0</v>
      </c>
      <c r="AD18" s="192">
        <f t="shared" si="33"/>
        <v>0</v>
      </c>
      <c r="AE18" s="145">
        <f t="shared" si="33"/>
        <v>23</v>
      </c>
      <c r="AF18" s="144" t="str">
        <f t="shared" si="33"/>
        <v>0D</v>
      </c>
      <c r="AG18" s="147">
        <f t="shared" si="33"/>
        <v>42419</v>
      </c>
      <c r="AH18" s="148" t="str">
        <f t="shared" si="33"/>
        <v/>
      </c>
      <c r="AI18" s="149">
        <f t="shared" si="33"/>
        <v>0</v>
      </c>
      <c r="AJ18" s="144" t="str">
        <f t="shared" si="33"/>
        <v>0D</v>
      </c>
      <c r="AK18" s="144" t="str">
        <f t="shared" si="33"/>
        <v>ShortStart</v>
      </c>
      <c r="AL18" s="145" t="str">
        <f t="shared" si="33"/>
        <v>NOCSA</v>
      </c>
      <c r="AM18" s="145" t="s">
        <v>197</v>
      </c>
      <c r="AN18" s="145" t="str">
        <f t="shared" si="7"/>
        <v>EURDF_NOCSA</v>
      </c>
      <c r="AO18" s="145" t="str">
        <f t="shared" si="8"/>
        <v>Spline</v>
      </c>
      <c r="AP18" s="144" t="b">
        <f t="shared" si="31"/>
        <v>1</v>
      </c>
      <c r="AQ18" s="144" t="b">
        <f t="shared" si="31"/>
        <v>0</v>
      </c>
      <c r="AR18" s="200">
        <f t="shared" ca="1" si="14"/>
        <v>1.0206398529214901E-2</v>
      </c>
      <c r="AS18" s="151">
        <f t="shared" ca="1" si="15"/>
        <v>506662.47361633397</v>
      </c>
      <c r="AT18" s="151">
        <f t="shared" ca="1" si="16"/>
        <v>1273.2259832986106</v>
      </c>
      <c r="AU18" s="151">
        <f t="shared" ca="1" si="17"/>
        <v>1633.8726296524401</v>
      </c>
      <c r="AV18" s="151">
        <f ca="1">IF(ISNA($AR18),NA(),IF(AND(NOW(),AT18=AT18),_xll.mirSwapDV01($D41,$F41,$B41,$G41,$AM41,$M41,$N41,$O41,$P41,$Q41,$R41,$S41,$T41,$U41,$V41,$X41,$Y41,$Z41,$AA41,$AB41,$AC41,$AD41,$AE41,$AF41,$AH41,$AI41,$AJ41,$AK41,$AO41,$W41,$AN41,$AP41,$AQ41),"LOAD"))</f>
        <v>1641.4268673893193</v>
      </c>
      <c r="AW18" s="231" t="str">
        <f t="shared" si="18"/>
        <v>13Y</v>
      </c>
      <c r="AX18" s="195">
        <f t="shared" ca="1" si="19"/>
        <v>-7.5542377368792586</v>
      </c>
      <c r="AY18" s="286">
        <f t="shared" ca="1" si="21"/>
        <v>4.6022383859807498E-3</v>
      </c>
      <c r="AZ18" s="168">
        <f t="shared" ca="1" si="22"/>
        <v>0.52350271036675622</v>
      </c>
      <c r="BA18" s="280"/>
    </row>
    <row r="19" spans="1:55" x14ac:dyDescent="0.25">
      <c r="A19" s="210">
        <v>14</v>
      </c>
      <c r="B19" s="139">
        <f>IF(OR(D19="",D19=0),"",_xll.mirGetDate(COB,C19,$P19,$Q19))</f>
        <v>42423</v>
      </c>
      <c r="C19" s="258" t="str">
        <f t="shared" ca="1" si="0"/>
        <v>2D</v>
      </c>
      <c r="D19" s="246">
        <f t="shared" ca="1" si="1"/>
        <v>1000000</v>
      </c>
      <c r="E19" s="140" t="s">
        <v>17</v>
      </c>
      <c r="F19" s="249" t="str">
        <f t="shared" ca="1" si="2"/>
        <v>RECEIVER</v>
      </c>
      <c r="G19" s="277" t="str">
        <f t="shared" ca="1" si="12"/>
        <v>14Y</v>
      </c>
      <c r="H19" s="206">
        <f t="shared" ca="1" si="3"/>
        <v>0.05</v>
      </c>
      <c r="I19" s="141" t="s">
        <v>186</v>
      </c>
      <c r="J19" s="246">
        <f t="shared" ca="1" si="4"/>
        <v>10</v>
      </c>
      <c r="K19" s="275">
        <f t="shared" si="5"/>
        <v>-1.31E-3</v>
      </c>
      <c r="L19" s="142" t="s">
        <v>187</v>
      </c>
      <c r="M19" s="152">
        <f t="shared" ref="M19:AL19" si="34">M42</f>
        <v>0.05</v>
      </c>
      <c r="N19" s="144" t="str">
        <f t="shared" si="34"/>
        <v>Annual</v>
      </c>
      <c r="O19" s="144" t="str">
        <f t="shared" si="34"/>
        <v>30/360</v>
      </c>
      <c r="P19" s="144" t="str">
        <f t="shared" si="34"/>
        <v>MOD_FOLLOWING</v>
      </c>
      <c r="Q19" s="144" t="str">
        <f t="shared" si="34"/>
        <v>TGT</v>
      </c>
      <c r="R19" s="192">
        <f t="shared" si="34"/>
        <v>0</v>
      </c>
      <c r="S19" s="192">
        <f t="shared" si="34"/>
        <v>0</v>
      </c>
      <c r="T19" s="145">
        <f t="shared" si="34"/>
        <v>23</v>
      </c>
      <c r="U19" s="144" t="str">
        <f t="shared" si="34"/>
        <v>0D</v>
      </c>
      <c r="V19" s="144" t="str">
        <f t="shared" si="34"/>
        <v>ShortStart</v>
      </c>
      <c r="W19" s="145" t="str">
        <f t="shared" si="34"/>
        <v>EUR6ML</v>
      </c>
      <c r="X19" s="146">
        <f t="shared" si="34"/>
        <v>10</v>
      </c>
      <c r="Y19" s="183" t="str">
        <f t="shared" si="34"/>
        <v>Semi-Annual</v>
      </c>
      <c r="Z19" s="144" t="str">
        <f t="shared" si="34"/>
        <v>ACT/360</v>
      </c>
      <c r="AA19" s="144" t="str">
        <f t="shared" si="34"/>
        <v>MOD_FOLLOWING</v>
      </c>
      <c r="AB19" s="144" t="str">
        <f t="shared" si="34"/>
        <v>TGT</v>
      </c>
      <c r="AC19" s="192">
        <f t="shared" si="34"/>
        <v>0</v>
      </c>
      <c r="AD19" s="192">
        <f t="shared" si="34"/>
        <v>0</v>
      </c>
      <c r="AE19" s="145">
        <f t="shared" si="34"/>
        <v>23</v>
      </c>
      <c r="AF19" s="144" t="str">
        <f t="shared" si="34"/>
        <v>0D</v>
      </c>
      <c r="AG19" s="147">
        <f t="shared" si="34"/>
        <v>42419</v>
      </c>
      <c r="AH19" s="148" t="str">
        <f t="shared" si="34"/>
        <v/>
      </c>
      <c r="AI19" s="149">
        <f t="shared" si="34"/>
        <v>0</v>
      </c>
      <c r="AJ19" s="144" t="str">
        <f t="shared" si="34"/>
        <v>0D</v>
      </c>
      <c r="AK19" s="144" t="str">
        <f t="shared" si="34"/>
        <v>ShortStart</v>
      </c>
      <c r="AL19" s="145" t="str">
        <f t="shared" si="34"/>
        <v>NOCSA</v>
      </c>
      <c r="AM19" s="145" t="s">
        <v>197</v>
      </c>
      <c r="AN19" s="145" t="str">
        <f t="shared" si="7"/>
        <v>EURDF_NOCSA</v>
      </c>
      <c r="AO19" s="145" t="str">
        <f t="shared" si="8"/>
        <v>Spline</v>
      </c>
      <c r="AP19" s="144" t="b">
        <f t="shared" si="31"/>
        <v>1</v>
      </c>
      <c r="AQ19" s="144" t="b">
        <f t="shared" si="31"/>
        <v>0</v>
      </c>
      <c r="AR19" s="200">
        <f t="shared" ca="1" si="14"/>
        <v>1.0816213885562427E-2</v>
      </c>
      <c r="AS19" s="151">
        <f t="shared" ca="1" si="15"/>
        <v>534145.64689406077</v>
      </c>
      <c r="AT19" s="151">
        <f t="shared" ca="1" si="16"/>
        <v>1363.1802841462802</v>
      </c>
      <c r="AU19" s="151">
        <f t="shared" ca="1" si="17"/>
        <v>1769.889832148212</v>
      </c>
      <c r="AV19" s="151">
        <f ca="1">IF(ISNA($AR19),NA(),IF(AND(NOW(),AT19=AT19),_xll.mirSwapDV01($D42,$F42,$B42,$G42,$AM42,$M42,$N42,$O42,$P42,$Q42,$R42,$S42,$T42,$U42,$V42,$X42,$Y42,$Z42,$AA42,$AB42,$AC42,$AD42,$AE42,$AF42,$AH42,$AI42,$AJ42,$AK42,$AO42,$W42,$AN42,$AP42,$AQ42),"LOAD"))</f>
        <v>1777.6642857051731</v>
      </c>
      <c r="AW19" s="231" t="str">
        <f t="shared" si="18"/>
        <v>14Y</v>
      </c>
      <c r="AX19" s="195">
        <f t="shared" ca="1" si="19"/>
        <v>-7.7744535569611344</v>
      </c>
      <c r="AY19" s="286">
        <f t="shared" ca="1" si="21"/>
        <v>4.3734093211402533E-3</v>
      </c>
      <c r="AZ19" s="168">
        <f t="shared" ca="1" si="22"/>
        <v>0.22021582008187579</v>
      </c>
      <c r="BA19" s="280"/>
    </row>
    <row r="20" spans="1:55" x14ac:dyDescent="0.25">
      <c r="A20" s="210">
        <v>15</v>
      </c>
      <c r="B20" s="139">
        <f>IF(OR(D20="",D20=0),"",_xll.mirGetDate(COB,C20,$P20,$Q20))</f>
        <v>42423</v>
      </c>
      <c r="C20" s="258" t="str">
        <f t="shared" ca="1" si="0"/>
        <v>2D</v>
      </c>
      <c r="D20" s="246">
        <f t="shared" ca="1" si="1"/>
        <v>1000000</v>
      </c>
      <c r="E20" s="140" t="s">
        <v>17</v>
      </c>
      <c r="F20" s="249" t="str">
        <f t="shared" ca="1" si="2"/>
        <v>RECEIVER</v>
      </c>
      <c r="G20" s="277" t="str">
        <f t="shared" ca="1" si="12"/>
        <v>15Y</v>
      </c>
      <c r="H20" s="206">
        <f t="shared" ca="1" si="3"/>
        <v>0.05</v>
      </c>
      <c r="I20" s="141" t="s">
        <v>186</v>
      </c>
      <c r="J20" s="246">
        <f t="shared" ca="1" si="4"/>
        <v>10</v>
      </c>
      <c r="K20" s="275">
        <f t="shared" si="5"/>
        <v>-1.31E-3</v>
      </c>
      <c r="L20" s="142" t="s">
        <v>187</v>
      </c>
      <c r="M20" s="152">
        <f t="shared" ref="M20:AL20" si="35">M43</f>
        <v>0.05</v>
      </c>
      <c r="N20" s="144" t="str">
        <f t="shared" si="35"/>
        <v>Annual</v>
      </c>
      <c r="O20" s="144" t="str">
        <f t="shared" si="35"/>
        <v>30/360</v>
      </c>
      <c r="P20" s="144" t="str">
        <f t="shared" si="35"/>
        <v>MOD_FOLLOWING</v>
      </c>
      <c r="Q20" s="144" t="str">
        <f t="shared" si="35"/>
        <v>TGT</v>
      </c>
      <c r="R20" s="192">
        <f t="shared" si="35"/>
        <v>0</v>
      </c>
      <c r="S20" s="192">
        <f t="shared" si="35"/>
        <v>0</v>
      </c>
      <c r="T20" s="145">
        <f t="shared" si="35"/>
        <v>23</v>
      </c>
      <c r="U20" s="144" t="str">
        <f t="shared" si="35"/>
        <v>0D</v>
      </c>
      <c r="V20" s="144" t="str">
        <f t="shared" si="35"/>
        <v>ShortStart</v>
      </c>
      <c r="W20" s="145" t="str">
        <f t="shared" si="35"/>
        <v>EUR6ML</v>
      </c>
      <c r="X20" s="146">
        <f t="shared" si="35"/>
        <v>10</v>
      </c>
      <c r="Y20" s="183" t="str">
        <f t="shared" si="35"/>
        <v>Semi-Annual</v>
      </c>
      <c r="Z20" s="144" t="str">
        <f t="shared" si="35"/>
        <v>ACT/360</v>
      </c>
      <c r="AA20" s="144" t="str">
        <f t="shared" si="35"/>
        <v>MOD_FOLLOWING</v>
      </c>
      <c r="AB20" s="144" t="str">
        <f t="shared" si="35"/>
        <v>TGT</v>
      </c>
      <c r="AC20" s="192">
        <f t="shared" si="35"/>
        <v>0</v>
      </c>
      <c r="AD20" s="192">
        <f t="shared" si="35"/>
        <v>0</v>
      </c>
      <c r="AE20" s="145">
        <f t="shared" si="35"/>
        <v>23</v>
      </c>
      <c r="AF20" s="144" t="str">
        <f t="shared" si="35"/>
        <v>0D</v>
      </c>
      <c r="AG20" s="147">
        <f t="shared" si="35"/>
        <v>42419</v>
      </c>
      <c r="AH20" s="148" t="str">
        <f t="shared" si="35"/>
        <v/>
      </c>
      <c r="AI20" s="149">
        <f t="shared" si="35"/>
        <v>0</v>
      </c>
      <c r="AJ20" s="144" t="str">
        <f t="shared" si="35"/>
        <v>0D</v>
      </c>
      <c r="AK20" s="144" t="str">
        <f t="shared" si="35"/>
        <v>ShortStart</v>
      </c>
      <c r="AL20" s="145" t="str">
        <f t="shared" si="35"/>
        <v>NOCSA</v>
      </c>
      <c r="AM20" s="145" t="s">
        <v>197</v>
      </c>
      <c r="AN20" s="145" t="str">
        <f t="shared" si="7"/>
        <v>EURDF_NOCSA</v>
      </c>
      <c r="AO20" s="145" t="str">
        <f t="shared" si="8"/>
        <v>Spline</v>
      </c>
      <c r="AP20" s="144" t="b">
        <f t="shared" si="31"/>
        <v>1</v>
      </c>
      <c r="AQ20" s="144" t="b">
        <f t="shared" si="31"/>
        <v>0</v>
      </c>
      <c r="AR20" s="200">
        <f t="shared" ca="1" si="14"/>
        <v>1.1316833132499295E-2</v>
      </c>
      <c r="AS20" s="151">
        <f t="shared" ca="1" si="15"/>
        <v>561224.71694489068</v>
      </c>
      <c r="AT20" s="151">
        <f t="shared" ca="1" si="16"/>
        <v>1450.8241242688907</v>
      </c>
      <c r="AU20" s="151">
        <f t="shared" ca="1" si="17"/>
        <v>1905.5930546782911</v>
      </c>
      <c r="AV20" s="151">
        <f ca="1">IF(ISNA($AR20),NA(),IF(AND(NOW(),AT20=AT20),_xll.mirSwapDV01($D43,$F43,$B43,$G43,$AM43,$M43,$N43,$O43,$P43,$Q43,$R43,$S43,$T43,$U43,$V43,$X43,$Y43,$Z43,$AA43,$AB43,$AC43,$AD43,$AE43,$AF43,$AH43,$AI43,$AJ43,$AK43,$AO43,$W43,$AN43,$AP43,$AQ43),"LOAD"))</f>
        <v>1913.1665021647582</v>
      </c>
      <c r="AW20" s="231" t="str">
        <f t="shared" si="18"/>
        <v>15Y</v>
      </c>
      <c r="AX20" s="195">
        <f t="shared" ca="1" si="19"/>
        <v>-7.5734474864671029</v>
      </c>
      <c r="AY20" s="286">
        <f t="shared" ca="1" si="21"/>
        <v>3.9585929807456413E-3</v>
      </c>
      <c r="AZ20" s="168">
        <f t="shared" ca="1" si="22"/>
        <v>0.20100607049403152</v>
      </c>
      <c r="BA20" s="280"/>
    </row>
    <row r="21" spans="1:55" x14ac:dyDescent="0.25">
      <c r="A21" s="210">
        <v>16</v>
      </c>
      <c r="B21" s="139">
        <f>IF(OR(D21="",D21=0),"",_xll.mirGetDate(COB,C21,$P21,$Q21))</f>
        <v>42423</v>
      </c>
      <c r="C21" s="258" t="str">
        <f t="shared" ca="1" si="0"/>
        <v>2D</v>
      </c>
      <c r="D21" s="246">
        <f t="shared" ca="1" si="1"/>
        <v>1000000</v>
      </c>
      <c r="E21" s="140" t="s">
        <v>17</v>
      </c>
      <c r="F21" s="249" t="str">
        <f t="shared" ca="1" si="2"/>
        <v>RECEIVER</v>
      </c>
      <c r="G21" s="277" t="str">
        <f t="shared" ca="1" si="12"/>
        <v>16Y</v>
      </c>
      <c r="H21" s="206">
        <f t="shared" ca="1" si="3"/>
        <v>0.05</v>
      </c>
      <c r="I21" s="141" t="s">
        <v>186</v>
      </c>
      <c r="J21" s="246">
        <f t="shared" ca="1" si="4"/>
        <v>10</v>
      </c>
      <c r="K21" s="275">
        <f t="shared" si="5"/>
        <v>-1.31E-3</v>
      </c>
      <c r="L21" s="142" t="s">
        <v>187</v>
      </c>
      <c r="M21" s="152">
        <f t="shared" ref="M21:AL21" si="36">M44</f>
        <v>0.05</v>
      </c>
      <c r="N21" s="144" t="str">
        <f t="shared" si="36"/>
        <v>Annual</v>
      </c>
      <c r="O21" s="144" t="str">
        <f t="shared" si="36"/>
        <v>30/360</v>
      </c>
      <c r="P21" s="144" t="str">
        <f t="shared" si="36"/>
        <v>MOD_FOLLOWING</v>
      </c>
      <c r="Q21" s="144" t="str">
        <f t="shared" si="36"/>
        <v>TGT</v>
      </c>
      <c r="R21" s="192">
        <f t="shared" si="36"/>
        <v>0</v>
      </c>
      <c r="S21" s="192">
        <f t="shared" si="36"/>
        <v>0</v>
      </c>
      <c r="T21" s="145">
        <f t="shared" si="36"/>
        <v>23</v>
      </c>
      <c r="U21" s="144" t="str">
        <f t="shared" si="36"/>
        <v>0D</v>
      </c>
      <c r="V21" s="144" t="str">
        <f t="shared" si="36"/>
        <v>ShortStart</v>
      </c>
      <c r="W21" s="145" t="str">
        <f t="shared" si="36"/>
        <v>EUR6ML</v>
      </c>
      <c r="X21" s="146">
        <f t="shared" si="36"/>
        <v>10</v>
      </c>
      <c r="Y21" s="183" t="str">
        <f t="shared" si="36"/>
        <v>Semi-Annual</v>
      </c>
      <c r="Z21" s="144" t="str">
        <f t="shared" si="36"/>
        <v>ACT/360</v>
      </c>
      <c r="AA21" s="144" t="str">
        <f t="shared" si="36"/>
        <v>MOD_FOLLOWING</v>
      </c>
      <c r="AB21" s="144" t="str">
        <f t="shared" si="36"/>
        <v>TGT</v>
      </c>
      <c r="AC21" s="192">
        <f t="shared" si="36"/>
        <v>0</v>
      </c>
      <c r="AD21" s="192">
        <f t="shared" si="36"/>
        <v>0</v>
      </c>
      <c r="AE21" s="145">
        <f t="shared" si="36"/>
        <v>23</v>
      </c>
      <c r="AF21" s="144" t="str">
        <f t="shared" si="36"/>
        <v>0D</v>
      </c>
      <c r="AG21" s="147">
        <f t="shared" si="36"/>
        <v>42419</v>
      </c>
      <c r="AH21" s="148" t="str">
        <f t="shared" si="36"/>
        <v/>
      </c>
      <c r="AI21" s="149">
        <f t="shared" si="36"/>
        <v>0</v>
      </c>
      <c r="AJ21" s="144" t="str">
        <f t="shared" si="36"/>
        <v>0D</v>
      </c>
      <c r="AK21" s="144" t="str">
        <f t="shared" si="36"/>
        <v>ShortStart</v>
      </c>
      <c r="AL21" s="145" t="str">
        <f t="shared" si="36"/>
        <v>NOCSA</v>
      </c>
      <c r="AM21" s="145" t="s">
        <v>197</v>
      </c>
      <c r="AN21" s="145" t="str">
        <f t="shared" si="7"/>
        <v>EURDF_NOCSA</v>
      </c>
      <c r="AO21" s="145" t="str">
        <f t="shared" si="8"/>
        <v>Spline</v>
      </c>
      <c r="AP21" s="144" t="b">
        <f t="shared" si="31"/>
        <v>1</v>
      </c>
      <c r="AQ21" s="144" t="b">
        <f t="shared" si="31"/>
        <v>0</v>
      </c>
      <c r="AR21" s="200">
        <f t="shared" ca="1" si="14"/>
        <v>1.1721941724182772E-2</v>
      </c>
      <c r="AS21" s="151">
        <f t="shared" ca="1" si="15"/>
        <v>588326.59109623416</v>
      </c>
      <c r="AT21" s="151">
        <f t="shared" ca="1" si="16"/>
        <v>1536.9812827416035</v>
      </c>
      <c r="AU21" s="151">
        <f t="shared" ca="1" si="17"/>
        <v>2042.2934849855956</v>
      </c>
      <c r="AV21" s="151">
        <f ca="1">IF(ISNA($AR21),NA(),IF(AND(NOW(),AT21=AT21),_xll.mirSwapDV01($D44,$F44,$B44,$G44,$AM44,$M44,$N44,$O44,$P44,$Q44,$R44,$S44,$T44,$U44,$V44,$X44,$Y44,$Z44,$AA44,$AB44,$AC44,$AD44,$AE44,$AF44,$AH44,$AI44,$AJ44,$AK44,$AO44,$W44,$AN44,$AP44,$AQ44),"LOAD"))</f>
        <v>2049.2304278216757</v>
      </c>
      <c r="AW21" s="231" t="str">
        <f t="shared" si="18"/>
        <v>16Y</v>
      </c>
      <c r="AX21" s="195">
        <f t="shared" ca="1" si="19"/>
        <v>-6.9369428360801066</v>
      </c>
      <c r="AY21" s="286">
        <f t="shared" ca="1" si="21"/>
        <v>3.3851453413436044E-3</v>
      </c>
      <c r="AZ21" s="168">
        <f t="shared" ca="1" si="22"/>
        <v>0.63650465038699622</v>
      </c>
      <c r="BA21" s="280"/>
    </row>
    <row r="22" spans="1:55" x14ac:dyDescent="0.25">
      <c r="A22" s="210">
        <v>17</v>
      </c>
      <c r="B22" s="139">
        <f>IF(OR(D22="",D22=0),"",_xll.mirGetDate(COB,C22,$P22,$Q22))</f>
        <v>42423</v>
      </c>
      <c r="C22" s="258" t="str">
        <f t="shared" ca="1" si="0"/>
        <v>2D</v>
      </c>
      <c r="D22" s="246">
        <f t="shared" ca="1" si="1"/>
        <v>1000000</v>
      </c>
      <c r="E22" s="140" t="s">
        <v>17</v>
      </c>
      <c r="F22" s="249" t="str">
        <f t="shared" ca="1" si="2"/>
        <v>RECEIVER</v>
      </c>
      <c r="G22" s="277" t="str">
        <f t="shared" ca="1" si="12"/>
        <v>17Y</v>
      </c>
      <c r="H22" s="206">
        <f t="shared" ca="1" si="3"/>
        <v>0.05</v>
      </c>
      <c r="I22" s="141" t="s">
        <v>186</v>
      </c>
      <c r="J22" s="246">
        <f t="shared" ca="1" si="4"/>
        <v>10</v>
      </c>
      <c r="K22" s="275">
        <f t="shared" si="5"/>
        <v>-1.31E-3</v>
      </c>
      <c r="L22" s="142" t="s">
        <v>187</v>
      </c>
      <c r="M22" s="152">
        <f t="shared" ref="M22:AL22" si="37">M45</f>
        <v>0.05</v>
      </c>
      <c r="N22" s="144" t="str">
        <f t="shared" si="37"/>
        <v>Annual</v>
      </c>
      <c r="O22" s="144" t="str">
        <f t="shared" si="37"/>
        <v>30/360</v>
      </c>
      <c r="P22" s="144" t="str">
        <f t="shared" si="37"/>
        <v>MOD_FOLLOWING</v>
      </c>
      <c r="Q22" s="144" t="str">
        <f t="shared" si="37"/>
        <v>TGT</v>
      </c>
      <c r="R22" s="192">
        <f t="shared" si="37"/>
        <v>0</v>
      </c>
      <c r="S22" s="192">
        <f t="shared" si="37"/>
        <v>0</v>
      </c>
      <c r="T22" s="145">
        <f t="shared" si="37"/>
        <v>23</v>
      </c>
      <c r="U22" s="144" t="str">
        <f t="shared" si="37"/>
        <v>0D</v>
      </c>
      <c r="V22" s="144" t="str">
        <f t="shared" si="37"/>
        <v>ShortStart</v>
      </c>
      <c r="W22" s="145" t="str">
        <f t="shared" si="37"/>
        <v>EUR6ML</v>
      </c>
      <c r="X22" s="146">
        <f t="shared" si="37"/>
        <v>10</v>
      </c>
      <c r="Y22" s="183" t="str">
        <f t="shared" si="37"/>
        <v>Semi-Annual</v>
      </c>
      <c r="Z22" s="144" t="str">
        <f t="shared" si="37"/>
        <v>ACT/360</v>
      </c>
      <c r="AA22" s="144" t="str">
        <f t="shared" si="37"/>
        <v>MOD_FOLLOWING</v>
      </c>
      <c r="AB22" s="144" t="str">
        <f t="shared" si="37"/>
        <v>TGT</v>
      </c>
      <c r="AC22" s="192">
        <f t="shared" si="37"/>
        <v>0</v>
      </c>
      <c r="AD22" s="192">
        <f t="shared" si="37"/>
        <v>0</v>
      </c>
      <c r="AE22" s="145">
        <f t="shared" si="37"/>
        <v>23</v>
      </c>
      <c r="AF22" s="144" t="str">
        <f t="shared" si="37"/>
        <v>0D</v>
      </c>
      <c r="AG22" s="147">
        <f t="shared" si="37"/>
        <v>42419</v>
      </c>
      <c r="AH22" s="148" t="str">
        <f t="shared" si="37"/>
        <v/>
      </c>
      <c r="AI22" s="149">
        <f t="shared" si="37"/>
        <v>0</v>
      </c>
      <c r="AJ22" s="144" t="str">
        <f t="shared" si="37"/>
        <v>0D</v>
      </c>
      <c r="AK22" s="144" t="str">
        <f t="shared" si="37"/>
        <v>ShortStart</v>
      </c>
      <c r="AL22" s="145" t="str">
        <f t="shared" si="37"/>
        <v>NOCSA</v>
      </c>
      <c r="AM22" s="145" t="s">
        <v>197</v>
      </c>
      <c r="AN22" s="145" t="str">
        <f t="shared" si="7"/>
        <v>EURDF_NOCSA</v>
      </c>
      <c r="AO22" s="145" t="str">
        <f t="shared" si="8"/>
        <v>Spline</v>
      </c>
      <c r="AP22" s="144" t="b">
        <f t="shared" si="31"/>
        <v>1</v>
      </c>
      <c r="AQ22" s="144" t="b">
        <f t="shared" si="31"/>
        <v>0</v>
      </c>
      <c r="AR22" s="200">
        <f t="shared" ca="1" si="14"/>
        <v>1.2049301307061756E-2</v>
      </c>
      <c r="AS22" s="151">
        <f t="shared" ca="1" si="15"/>
        <v>615554.47503961029</v>
      </c>
      <c r="AT22" s="151">
        <f t="shared" ca="1" si="16"/>
        <v>1621.9845648168548</v>
      </c>
      <c r="AU22" s="151">
        <f t="shared" ca="1" si="17"/>
        <v>2180.592986062984</v>
      </c>
      <c r="AV22" s="151">
        <f ca="1">IF(ISNA($AR22),NA(),IF(AND(NOW(),AT22=AT22),_xll.mirSwapDV01($D45,$F45,$B45,$G45,$AM45,$M45,$N45,$O45,$P45,$Q45,$R45,$S45,$T45,$U45,$V45,$X45,$Y45,$Z45,$AA45,$AB45,$AC45,$AD45,$AE45,$AF45,$AH45,$AI45,$AJ45,$AK45,$AO45,$W45,$AN45,$AP45,$AQ45),"LOAD"))</f>
        <v>2186.3792248293739</v>
      </c>
      <c r="AW22" s="231" t="str">
        <f t="shared" si="18"/>
        <v>17Y</v>
      </c>
      <c r="AX22" s="195">
        <f ca="1">IF(ISNA($AR22),NA(),AU22-AV22)</f>
        <v>-5.7862387663899426</v>
      </c>
      <c r="AY22" s="286">
        <f ca="1">IF(ISNA($AR22),NA(),IF(AV22=0,0,((AV22-AU22)/AV22)))</f>
        <v>2.6464936643557356E-3</v>
      </c>
      <c r="AZ22" s="168">
        <f t="shared" ca="1" si="22"/>
        <v>1.150704069690164</v>
      </c>
      <c r="BA22" s="280"/>
      <c r="BB22" s="171"/>
      <c r="BC22" s="171"/>
    </row>
    <row r="23" spans="1:55" x14ac:dyDescent="0.25">
      <c r="A23" s="210">
        <v>18</v>
      </c>
      <c r="B23" s="139">
        <f>IF(OR(D23="",D23=0),"",_xll.mirGetDate(COB,C23,$P23,$Q23))</f>
        <v>42423</v>
      </c>
      <c r="C23" s="258" t="str">
        <f t="shared" ca="1" si="0"/>
        <v>2D</v>
      </c>
      <c r="D23" s="246">
        <f t="shared" ca="1" si="1"/>
        <v>1000000</v>
      </c>
      <c r="E23" s="140" t="s">
        <v>17</v>
      </c>
      <c r="F23" s="249" t="str">
        <f t="shared" ca="1" si="2"/>
        <v>RECEIVER</v>
      </c>
      <c r="G23" s="277" t="str">
        <f t="shared" ca="1" si="12"/>
        <v>18Y</v>
      </c>
      <c r="H23" s="206">
        <f t="shared" ca="1" si="3"/>
        <v>0.05</v>
      </c>
      <c r="I23" s="141" t="s">
        <v>186</v>
      </c>
      <c r="J23" s="246">
        <f t="shared" ca="1" si="4"/>
        <v>10</v>
      </c>
      <c r="K23" s="275">
        <f t="shared" si="5"/>
        <v>-1.31E-3</v>
      </c>
      <c r="L23" s="142" t="s">
        <v>187</v>
      </c>
      <c r="M23" s="152">
        <f t="shared" ref="M23:AL23" si="38">M46</f>
        <v>0.05</v>
      </c>
      <c r="N23" s="144" t="str">
        <f t="shared" si="38"/>
        <v>Annual</v>
      </c>
      <c r="O23" s="144" t="str">
        <f t="shared" si="38"/>
        <v>30/360</v>
      </c>
      <c r="P23" s="144" t="str">
        <f t="shared" si="38"/>
        <v>MOD_FOLLOWING</v>
      </c>
      <c r="Q23" s="144" t="str">
        <f t="shared" si="38"/>
        <v>TGT</v>
      </c>
      <c r="R23" s="192">
        <f t="shared" si="38"/>
        <v>0</v>
      </c>
      <c r="S23" s="192">
        <f t="shared" si="38"/>
        <v>0</v>
      </c>
      <c r="T23" s="145">
        <f t="shared" si="38"/>
        <v>23</v>
      </c>
      <c r="U23" s="144" t="str">
        <f t="shared" si="38"/>
        <v>0D</v>
      </c>
      <c r="V23" s="144" t="str">
        <f t="shared" si="38"/>
        <v>ShortStart</v>
      </c>
      <c r="W23" s="145" t="str">
        <f t="shared" si="38"/>
        <v>EUR6ML</v>
      </c>
      <c r="X23" s="146">
        <f t="shared" si="38"/>
        <v>10</v>
      </c>
      <c r="Y23" s="183" t="str">
        <f t="shared" si="38"/>
        <v>Semi-Annual</v>
      </c>
      <c r="Z23" s="144" t="str">
        <f t="shared" si="38"/>
        <v>ACT/360</v>
      </c>
      <c r="AA23" s="144" t="str">
        <f t="shared" si="38"/>
        <v>MOD_FOLLOWING</v>
      </c>
      <c r="AB23" s="144" t="str">
        <f t="shared" si="38"/>
        <v>TGT</v>
      </c>
      <c r="AC23" s="192">
        <f t="shared" si="38"/>
        <v>0</v>
      </c>
      <c r="AD23" s="192">
        <f t="shared" si="38"/>
        <v>0</v>
      </c>
      <c r="AE23" s="145">
        <f t="shared" si="38"/>
        <v>23</v>
      </c>
      <c r="AF23" s="144" t="str">
        <f t="shared" si="38"/>
        <v>0D</v>
      </c>
      <c r="AG23" s="147">
        <f t="shared" si="38"/>
        <v>42419</v>
      </c>
      <c r="AH23" s="148" t="str">
        <f t="shared" si="38"/>
        <v/>
      </c>
      <c r="AI23" s="149">
        <f t="shared" si="38"/>
        <v>0</v>
      </c>
      <c r="AJ23" s="144" t="str">
        <f t="shared" si="38"/>
        <v>0D</v>
      </c>
      <c r="AK23" s="144" t="str">
        <f t="shared" si="38"/>
        <v>ShortStart</v>
      </c>
      <c r="AL23" s="145" t="str">
        <f t="shared" si="38"/>
        <v>NOCSA</v>
      </c>
      <c r="AM23" s="145" t="s">
        <v>197</v>
      </c>
      <c r="AN23" s="145" t="str">
        <f t="shared" si="7"/>
        <v>EURDF_NOCSA</v>
      </c>
      <c r="AO23" s="145" t="str">
        <f t="shared" si="8"/>
        <v>Spline</v>
      </c>
      <c r="AP23" s="144" t="b">
        <f t="shared" si="31"/>
        <v>1</v>
      </c>
      <c r="AQ23" s="144" t="b">
        <f t="shared" si="31"/>
        <v>0</v>
      </c>
      <c r="AR23" s="200">
        <f t="shared" ca="1" si="14"/>
        <v>1.2310343840088882E-2</v>
      </c>
      <c r="AS23" s="151">
        <f t="shared" ca="1" si="15"/>
        <v>642864.26554212125</v>
      </c>
      <c r="AT23" s="151">
        <f t="shared" ca="1" si="16"/>
        <v>1705.6782444884934</v>
      </c>
      <c r="AU23" s="151">
        <f t="shared" ca="1" si="17"/>
        <v>2320.1184690414229</v>
      </c>
      <c r="AV23" s="151">
        <f ca="1">IF(ISNA($AR23),NA(),IF(AND(NOW(),AT23=AT23),_xll.mirSwapDV01($D46,$F46,$B46,$G46,$AM46,$M46,$N46,$O46,$P46,$Q46,$R46,$S46,$T46,$U46,$V46,$X46,$Y46,$Z46,$AA46,$AB46,$AC46,$AD46,$AE46,$AF46,$AH46,$AI46,$AJ46,$AK46,$AO46,$W46,$AN46,$AP46,$AQ46),"LOAD"))</f>
        <v>2324.3551947835294</v>
      </c>
      <c r="AW23" s="231" t="str">
        <f t="shared" si="18"/>
        <v>18Y</v>
      </c>
      <c r="AX23" s="195">
        <f t="shared" ca="1" si="19"/>
        <v>-4.2367257421065005</v>
      </c>
      <c r="AY23" s="286">
        <f t="shared" ca="1" si="21"/>
        <v>1.8227531453087887E-3</v>
      </c>
      <c r="AZ23" s="168">
        <f t="shared" ca="1" si="22"/>
        <v>1.5495130242834421</v>
      </c>
      <c r="BA23" s="280"/>
      <c r="BB23" s="171"/>
      <c r="BC23" s="171"/>
    </row>
    <row r="24" spans="1:55" x14ac:dyDescent="0.25">
      <c r="A24" s="210">
        <v>19</v>
      </c>
      <c r="B24" s="139">
        <f>IF(OR(D24="",D24=0),"",_xll.mirGetDate(COB,C24,$P24,$Q24))</f>
        <v>42423</v>
      </c>
      <c r="C24" s="258" t="str">
        <f t="shared" ca="1" si="0"/>
        <v>2D</v>
      </c>
      <c r="D24" s="246">
        <f t="shared" ca="1" si="1"/>
        <v>1000000</v>
      </c>
      <c r="E24" s="140" t="s">
        <v>17</v>
      </c>
      <c r="F24" s="249" t="str">
        <f t="shared" ca="1" si="2"/>
        <v>RECEIVER</v>
      </c>
      <c r="G24" s="277" t="str">
        <f t="shared" ca="1" si="12"/>
        <v>19Y</v>
      </c>
      <c r="H24" s="206">
        <f t="shared" ca="1" si="3"/>
        <v>0.05</v>
      </c>
      <c r="I24" s="141" t="s">
        <v>186</v>
      </c>
      <c r="J24" s="246">
        <f t="shared" ca="1" si="4"/>
        <v>10</v>
      </c>
      <c r="K24" s="275">
        <f t="shared" si="5"/>
        <v>-1.31E-3</v>
      </c>
      <c r="L24" s="142" t="s">
        <v>187</v>
      </c>
      <c r="M24" s="152">
        <f t="shared" ref="M24:AL24" si="39">M47</f>
        <v>0.05</v>
      </c>
      <c r="N24" s="144" t="str">
        <f t="shared" si="39"/>
        <v>Annual</v>
      </c>
      <c r="O24" s="144" t="str">
        <f t="shared" si="39"/>
        <v>30/360</v>
      </c>
      <c r="P24" s="144" t="str">
        <f t="shared" si="39"/>
        <v>MOD_FOLLOWING</v>
      </c>
      <c r="Q24" s="144" t="str">
        <f t="shared" si="39"/>
        <v>TGT</v>
      </c>
      <c r="R24" s="192">
        <f t="shared" si="39"/>
        <v>0</v>
      </c>
      <c r="S24" s="192">
        <f t="shared" si="39"/>
        <v>0</v>
      </c>
      <c r="T24" s="145">
        <f t="shared" si="39"/>
        <v>23</v>
      </c>
      <c r="U24" s="144" t="str">
        <f t="shared" si="39"/>
        <v>0D</v>
      </c>
      <c r="V24" s="144" t="str">
        <f t="shared" si="39"/>
        <v>ShortStart</v>
      </c>
      <c r="W24" s="145" t="str">
        <f t="shared" si="39"/>
        <v>EUR6ML</v>
      </c>
      <c r="X24" s="146">
        <f t="shared" si="39"/>
        <v>10</v>
      </c>
      <c r="Y24" s="183" t="str">
        <f t="shared" si="39"/>
        <v>Semi-Annual</v>
      </c>
      <c r="Z24" s="144" t="str">
        <f t="shared" si="39"/>
        <v>ACT/360</v>
      </c>
      <c r="AA24" s="144" t="str">
        <f t="shared" si="39"/>
        <v>MOD_FOLLOWING</v>
      </c>
      <c r="AB24" s="144" t="str">
        <f t="shared" si="39"/>
        <v>TGT</v>
      </c>
      <c r="AC24" s="192">
        <f t="shared" si="39"/>
        <v>0</v>
      </c>
      <c r="AD24" s="192">
        <f t="shared" si="39"/>
        <v>0</v>
      </c>
      <c r="AE24" s="145">
        <f t="shared" si="39"/>
        <v>23</v>
      </c>
      <c r="AF24" s="144" t="str">
        <f t="shared" si="39"/>
        <v>0D</v>
      </c>
      <c r="AG24" s="147">
        <f t="shared" si="39"/>
        <v>42419</v>
      </c>
      <c r="AH24" s="148" t="str">
        <f t="shared" si="39"/>
        <v/>
      </c>
      <c r="AI24" s="149">
        <f t="shared" si="39"/>
        <v>0</v>
      </c>
      <c r="AJ24" s="144" t="str">
        <f t="shared" si="39"/>
        <v>0D</v>
      </c>
      <c r="AK24" s="144" t="str">
        <f t="shared" si="39"/>
        <v>ShortStart</v>
      </c>
      <c r="AL24" s="145" t="str">
        <f t="shared" si="39"/>
        <v>NOCSA</v>
      </c>
      <c r="AM24" s="145" t="s">
        <v>197</v>
      </c>
      <c r="AN24" s="145" t="str">
        <f t="shared" si="7"/>
        <v>EURDF_NOCSA</v>
      </c>
      <c r="AO24" s="145" t="str">
        <f t="shared" si="8"/>
        <v>Spline</v>
      </c>
      <c r="AP24" s="144" t="b">
        <f t="shared" si="31"/>
        <v>1</v>
      </c>
      <c r="AQ24" s="144" t="b">
        <f t="shared" si="31"/>
        <v>0</v>
      </c>
      <c r="AR24" s="200">
        <f t="shared" ca="1" si="14"/>
        <v>1.2516604861262607E-2</v>
      </c>
      <c r="AS24" s="151">
        <f t="shared" ca="1" si="15"/>
        <v>670247.6849125697</v>
      </c>
      <c r="AT24" s="151">
        <f t="shared" ca="1" si="16"/>
        <v>1788.1189322145983</v>
      </c>
      <c r="AU24" s="151">
        <f t="shared" ca="1" si="17"/>
        <v>2460.9388285615714</v>
      </c>
      <c r="AV24" s="151">
        <f ca="1">IF(ISNA($AR24),NA(),IF(AND(NOW(),AT24=AT24),_xll.mirSwapDV01($D47,$F47,$B47,$G47,$AM47,$M47,$N47,$O47,$P47,$Q47,$R47,$S47,$T47,$U47,$V47,$X47,$Y47,$Z47,$AA47,$AB47,$AC47,$AD47,$AE47,$AF47,$AH47,$AI47,$AJ47,$AK47,$AO47,$W47,$AN47,$AP47,$AQ47),"LOAD"))</f>
        <v>2463.2131423993465</v>
      </c>
      <c r="AW24" s="231" t="str">
        <f t="shared" si="18"/>
        <v>19Y</v>
      </c>
      <c r="AX24" s="195">
        <f t="shared" ca="1" si="19"/>
        <v>-2.2743138377750256</v>
      </c>
      <c r="AY24" s="286">
        <f t="shared" ca="1" si="21"/>
        <v>9.2331183145591726E-4</v>
      </c>
      <c r="AZ24" s="168">
        <f t="shared" ca="1" si="22"/>
        <v>1.9624119043314749</v>
      </c>
      <c r="BA24" s="280"/>
      <c r="BB24" s="171"/>
      <c r="BC24" s="171"/>
    </row>
    <row r="25" spans="1:55" x14ac:dyDescent="0.25">
      <c r="A25" s="210">
        <v>20</v>
      </c>
      <c r="B25" s="153">
        <f>IF(OR(D25="",D25=0),"",_xll.mirGetDate(COB,C25,$P25,$Q25))</f>
        <v>42423</v>
      </c>
      <c r="C25" s="259" t="str">
        <f t="shared" ca="1" si="0"/>
        <v>2D</v>
      </c>
      <c r="D25" s="247">
        <f t="shared" ca="1" si="1"/>
        <v>1000000</v>
      </c>
      <c r="E25" s="154" t="s">
        <v>17</v>
      </c>
      <c r="F25" s="250" t="str">
        <f t="shared" ca="1" si="2"/>
        <v>RECEIVER</v>
      </c>
      <c r="G25" s="278" t="str">
        <f t="shared" ca="1" si="12"/>
        <v>20Y</v>
      </c>
      <c r="H25" s="207">
        <f t="shared" ca="1" si="3"/>
        <v>0.05</v>
      </c>
      <c r="I25" s="155" t="s">
        <v>186</v>
      </c>
      <c r="J25" s="247">
        <f t="shared" ca="1" si="4"/>
        <v>10</v>
      </c>
      <c r="K25" s="276">
        <f t="shared" si="5"/>
        <v>-1.31E-3</v>
      </c>
      <c r="L25" s="156" t="s">
        <v>187</v>
      </c>
      <c r="M25" s="157">
        <f t="shared" ref="M25:AL25" si="40">M48</f>
        <v>0.05</v>
      </c>
      <c r="N25" s="158" t="str">
        <f t="shared" si="40"/>
        <v>Annual</v>
      </c>
      <c r="O25" s="158" t="str">
        <f t="shared" si="40"/>
        <v>30/360</v>
      </c>
      <c r="P25" s="158" t="str">
        <f t="shared" si="40"/>
        <v>MOD_FOLLOWING</v>
      </c>
      <c r="Q25" s="158" t="str">
        <f t="shared" si="40"/>
        <v>TGT</v>
      </c>
      <c r="R25" s="193">
        <f t="shared" si="40"/>
        <v>0</v>
      </c>
      <c r="S25" s="193">
        <f t="shared" si="40"/>
        <v>0</v>
      </c>
      <c r="T25" s="159">
        <f t="shared" si="40"/>
        <v>23</v>
      </c>
      <c r="U25" s="158" t="str">
        <f t="shared" si="40"/>
        <v>0D</v>
      </c>
      <c r="V25" s="158" t="str">
        <f t="shared" si="40"/>
        <v>ShortStart</v>
      </c>
      <c r="W25" s="159" t="str">
        <f t="shared" si="40"/>
        <v>EUR6ML</v>
      </c>
      <c r="X25" s="160">
        <f t="shared" si="40"/>
        <v>10</v>
      </c>
      <c r="Y25" s="184" t="str">
        <f t="shared" si="40"/>
        <v>Semi-Annual</v>
      </c>
      <c r="Z25" s="158" t="str">
        <f t="shared" si="40"/>
        <v>ACT/360</v>
      </c>
      <c r="AA25" s="158" t="str">
        <f t="shared" si="40"/>
        <v>MOD_FOLLOWING</v>
      </c>
      <c r="AB25" s="158" t="str">
        <f t="shared" si="40"/>
        <v>TGT</v>
      </c>
      <c r="AC25" s="193">
        <f t="shared" si="40"/>
        <v>0</v>
      </c>
      <c r="AD25" s="193">
        <f t="shared" si="40"/>
        <v>0</v>
      </c>
      <c r="AE25" s="159">
        <f t="shared" si="40"/>
        <v>23</v>
      </c>
      <c r="AF25" s="158" t="str">
        <f t="shared" si="40"/>
        <v>0D</v>
      </c>
      <c r="AG25" s="161">
        <f t="shared" si="40"/>
        <v>42419</v>
      </c>
      <c r="AH25" s="162" t="str">
        <f t="shared" si="40"/>
        <v/>
      </c>
      <c r="AI25" s="163">
        <f t="shared" si="40"/>
        <v>0</v>
      </c>
      <c r="AJ25" s="158" t="str">
        <f t="shared" si="40"/>
        <v>0D</v>
      </c>
      <c r="AK25" s="158" t="str">
        <f t="shared" si="40"/>
        <v>ShortStart</v>
      </c>
      <c r="AL25" s="159" t="str">
        <f t="shared" si="40"/>
        <v>NOCSA</v>
      </c>
      <c r="AM25" s="159" t="s">
        <v>197</v>
      </c>
      <c r="AN25" s="159" t="str">
        <f t="shared" si="7"/>
        <v>EURDF_NOCSA</v>
      </c>
      <c r="AO25" s="159" t="str">
        <f t="shared" si="8"/>
        <v>Spline</v>
      </c>
      <c r="AP25" s="158" t="b">
        <f t="shared" si="31"/>
        <v>1</v>
      </c>
      <c r="AQ25" s="158" t="b">
        <f t="shared" si="31"/>
        <v>0</v>
      </c>
      <c r="AR25" s="201">
        <f t="shared" ca="1" si="14"/>
        <v>1.2677192373512062E-2</v>
      </c>
      <c r="AS25" s="165">
        <f t="shared" ca="1" si="15"/>
        <v>697851.86412127991</v>
      </c>
      <c r="AT25" s="165">
        <f t="shared" ca="1" si="16"/>
        <v>1869.7732258117032</v>
      </c>
      <c r="AU25" s="271">
        <f t="shared" ca="1" si="17"/>
        <v>2603.8170323269442</v>
      </c>
      <c r="AV25" s="271">
        <f ca="1">IF(ISNA($AR25),NA(),IF(AND(NOW(),AT25=AT25),_xll.mirSwapDV01($D48,$F48,$B48,$G48,$AM48,$M48,$N48,$O48,$P48,$Q48,$R48,$S48,$T48,$U48,$V48,$X48,$Y48,$Z48,$AA48,$AB48,$AC48,$AD48,$AE48,$AF48,$AH48,$AI48,$AJ48,$AK48,$AO48,$W48,$AN48,$AP48,$AQ48),"LOAD"))</f>
        <v>2603.7370061925285</v>
      </c>
      <c r="AW25" s="272" t="str">
        <f t="shared" si="18"/>
        <v>20Y</v>
      </c>
      <c r="AX25" s="196">
        <f t="shared" ca="1" si="19"/>
        <v>8.0026134415675187E-2</v>
      </c>
      <c r="AY25" s="287">
        <f t="shared" ca="1" si="21"/>
        <v>-3.0735106589239682E-5</v>
      </c>
      <c r="AZ25" s="169">
        <f t="shared" ca="1" si="22"/>
        <v>2.3543399721907008</v>
      </c>
      <c r="BA25" s="280"/>
    </row>
    <row r="26" spans="1:55" x14ac:dyDescent="0.25">
      <c r="AR26" s="202"/>
      <c r="AS26" s="179"/>
      <c r="AT26" s="178"/>
      <c r="AU26" s="239"/>
      <c r="AV26" s="239"/>
      <c r="AW26" s="230"/>
      <c r="AX26" s="178"/>
      <c r="BA26" s="116"/>
    </row>
    <row r="27" spans="1:55" ht="23.25" x14ac:dyDescent="0.35">
      <c r="B27" s="115" t="s">
        <v>198</v>
      </c>
      <c r="AT27" s="116"/>
      <c r="AU27" s="252"/>
      <c r="AV27" s="252"/>
      <c r="AW27" s="232"/>
      <c r="AX27" s="116"/>
      <c r="BA27" s="116"/>
    </row>
    <row r="28" spans="1:55" ht="33" customHeight="1" x14ac:dyDescent="0.25">
      <c r="B28" s="117" t="s">
        <v>150</v>
      </c>
      <c r="C28" s="118" t="s">
        <v>151</v>
      </c>
      <c r="D28" s="118" t="s">
        <v>145</v>
      </c>
      <c r="E28" s="118" t="s">
        <v>16</v>
      </c>
      <c r="F28" s="118" t="s">
        <v>152</v>
      </c>
      <c r="G28" s="227" t="s">
        <v>153</v>
      </c>
      <c r="H28" s="187" t="s">
        <v>154</v>
      </c>
      <c r="I28" s="118" t="s">
        <v>155</v>
      </c>
      <c r="J28" s="263" t="s">
        <v>156</v>
      </c>
      <c r="K28" s="273" t="s">
        <v>157</v>
      </c>
      <c r="L28" s="118" t="s">
        <v>158</v>
      </c>
      <c r="M28" s="118" t="s">
        <v>154</v>
      </c>
      <c r="N28" s="118" t="s">
        <v>159</v>
      </c>
      <c r="O28" s="118" t="s">
        <v>160</v>
      </c>
      <c r="P28" s="118" t="s">
        <v>161</v>
      </c>
      <c r="Q28" s="118" t="s">
        <v>162</v>
      </c>
      <c r="R28" s="190" t="s">
        <v>163</v>
      </c>
      <c r="S28" s="190" t="s">
        <v>164</v>
      </c>
      <c r="T28" s="118" t="s">
        <v>165</v>
      </c>
      <c r="U28" s="118" t="s">
        <v>166</v>
      </c>
      <c r="V28" s="118" t="s">
        <v>167</v>
      </c>
      <c r="W28" s="118" t="s">
        <v>155</v>
      </c>
      <c r="X28" s="118" t="s">
        <v>168</v>
      </c>
      <c r="Y28" s="181" t="s">
        <v>169</v>
      </c>
      <c r="Z28" s="118" t="s">
        <v>170</v>
      </c>
      <c r="AA28" s="118" t="s">
        <v>171</v>
      </c>
      <c r="AB28" s="118" t="s">
        <v>172</v>
      </c>
      <c r="AC28" s="190" t="s">
        <v>173</v>
      </c>
      <c r="AD28" s="190" t="s">
        <v>174</v>
      </c>
      <c r="AE28" s="118" t="s">
        <v>175</v>
      </c>
      <c r="AF28" s="118" t="s">
        <v>176</v>
      </c>
      <c r="AG28" s="118" t="s">
        <v>177</v>
      </c>
      <c r="AH28" s="118" t="s">
        <v>157</v>
      </c>
      <c r="AI28" s="118" t="s">
        <v>178</v>
      </c>
      <c r="AJ28" s="118" t="s">
        <v>179</v>
      </c>
      <c r="AK28" s="118" t="s">
        <v>180</v>
      </c>
      <c r="AL28" s="118" t="s">
        <v>158</v>
      </c>
      <c r="AM28" s="118" t="s">
        <v>188</v>
      </c>
      <c r="AN28" s="118" t="s">
        <v>148</v>
      </c>
      <c r="AO28" s="118" t="s">
        <v>126</v>
      </c>
      <c r="AP28" s="118" t="s">
        <v>181</v>
      </c>
      <c r="AQ28" s="118" t="s">
        <v>149</v>
      </c>
      <c r="AR28" s="199" t="s">
        <v>182</v>
      </c>
      <c r="AS28" s="119" t="s">
        <v>183</v>
      </c>
      <c r="AT28" s="120" t="s">
        <v>184</v>
      </c>
      <c r="AU28" s="252"/>
      <c r="AV28" s="252"/>
      <c r="AW28" s="232"/>
      <c r="AX28" s="116"/>
    </row>
    <row r="29" spans="1:55" x14ac:dyDescent="0.25">
      <c r="A29" s="210">
        <v>1</v>
      </c>
      <c r="B29" s="121">
        <f>B6</f>
        <v>42423</v>
      </c>
      <c r="C29" s="256" t="str">
        <f t="shared" ref="C29:L29" si="41">C6</f>
        <v>2D</v>
      </c>
      <c r="D29" s="245">
        <f t="shared" si="41"/>
        <v>1000000</v>
      </c>
      <c r="E29" s="245" t="str">
        <f t="shared" si="41"/>
        <v>EUR</v>
      </c>
      <c r="F29" s="248" t="str">
        <f t="shared" si="41"/>
        <v>RECEIVER</v>
      </c>
      <c r="G29" s="281" t="str">
        <f>G6</f>
        <v>1Y</v>
      </c>
      <c r="H29" s="205">
        <f t="shared" si="41"/>
        <v>0.05</v>
      </c>
      <c r="I29" s="282" t="str">
        <f t="shared" si="41"/>
        <v>6ML</v>
      </c>
      <c r="J29" s="264">
        <f t="shared" ref="J29:K48" si="42">J6</f>
        <v>10</v>
      </c>
      <c r="K29" s="274">
        <f t="shared" si="42"/>
        <v>-1.31E-3</v>
      </c>
      <c r="L29" s="124" t="str">
        <f t="shared" si="41"/>
        <v>NOCSA</v>
      </c>
      <c r="M29" s="125">
        <f>H29</f>
        <v>0.05</v>
      </c>
      <c r="N29" s="126" t="s">
        <v>25</v>
      </c>
      <c r="O29" s="127" t="s">
        <v>19</v>
      </c>
      <c r="P29" s="126" t="s">
        <v>21</v>
      </c>
      <c r="Q29" s="126" t="s">
        <v>2</v>
      </c>
      <c r="R29" s="191"/>
      <c r="S29" s="191"/>
      <c r="T29" s="129">
        <f>IF($B29="","",DAY($B29))</f>
        <v>23</v>
      </c>
      <c r="U29" s="130" t="s">
        <v>146</v>
      </c>
      <c r="V29" s="127" t="s">
        <v>147</v>
      </c>
      <c r="W29" s="131" t="str">
        <f t="shared" ref="W29:W48" si="43">$E29&amp;$I29</f>
        <v>EUR6ML</v>
      </c>
      <c r="X29" s="132">
        <f>J29</f>
        <v>10</v>
      </c>
      <c r="Y29" s="182" t="s">
        <v>124</v>
      </c>
      <c r="Z29" s="127" t="s">
        <v>6</v>
      </c>
      <c r="AA29" s="126" t="s">
        <v>21</v>
      </c>
      <c r="AB29" s="126" t="s">
        <v>2</v>
      </c>
      <c r="AC29" s="191"/>
      <c r="AD29" s="191"/>
      <c r="AE29" s="129">
        <f>IF($B29="","",DAY($B29))</f>
        <v>23</v>
      </c>
      <c r="AF29" s="130" t="s">
        <v>146</v>
      </c>
      <c r="AG29" s="128">
        <f>_xll.mirGetDate(COB,"-"&amp;AF29,$AA29,$AB29)</f>
        <v>42419</v>
      </c>
      <c r="AH29" s="133" t="s">
        <v>34</v>
      </c>
      <c r="AI29" s="134"/>
      <c r="AJ29" s="130" t="s">
        <v>146</v>
      </c>
      <c r="AK29" s="127" t="s">
        <v>147</v>
      </c>
      <c r="AL29" s="128" t="str">
        <f>L29</f>
        <v>NOCSA</v>
      </c>
      <c r="AM29" s="128" t="str">
        <f t="shared" ref="AM29:AM48" si="44">CurveCollectionBase</f>
        <v>EURYC_BASE</v>
      </c>
      <c r="AN29" s="131" t="str">
        <f>LEFT(AM29,3)&amp;"DF_"&amp;AL29</f>
        <v>EURDF_NOCSA</v>
      </c>
      <c r="AO29" s="131" t="str">
        <f t="shared" ref="AO29:AO48" si="45">Interpolation</f>
        <v>Spline</v>
      </c>
      <c r="AP29" s="136" t="b">
        <v>1</v>
      </c>
      <c r="AQ29" s="137" t="b">
        <v>0</v>
      </c>
      <c r="AR29" s="203">
        <f ca="1">IF(AND(NOW(),isEUR6MLLoaded),_xll.mirGetParRate4($B29,$G29,$AM29,$N29,$O29,$P29,$Q29,$R29,$S29,$T29,$U29,$V29,$Y29,$Z29,$AA29,$AB29,$AC29,$AD29,$AE29,$AF29,$AH29,$AI29,$AJ29,$AK29,$AO29,$W29,$AN29,$AP29,$AQ29,$J29),"LOAD CURVE")</f>
        <v>-3.8129654886880391E-4</v>
      </c>
      <c r="AS29" s="138">
        <f ca="1">IF(AND(NOW(),isEUR6MLLoaded),_xll.mirSwapPV($D29,$F29,$B29,$G29,$AM29,$M29,$N29,$O29,$P29,$Q29,$R29,$S29,$T29,$U29,$V29,$X29,$Y29,$Z29,$AA29,$AB29,$AC29,$AD29,$AE29,$AF29,$AH29,$AI29,$AJ29,$AK29,$AO29,$W29,$AN29,$AP29,$AQ29),"LOAD CURVE")</f>
        <v>50572.514012826912</v>
      </c>
      <c r="AT29" s="167">
        <f ca="1">IF(AND(NOW(),isEUR6MLLoaded),_xll.mirSwapPV01($D29,$F29,$B29,$G29,$AM29,$N29,$O29,$P29,$Q29,$R29,$S29,$T29,$U29,$V29,$X29,$Y29,$Z29,$AA29,$AB29,$AC29,$AD29,$AE29,$AF29,$AH29,$AI29,$AJ29,$AK29,$AO29,$W29,$AN29,$AP29,$AQ29),"LOAD CURVE")</f>
        <v>100.3795405776678</v>
      </c>
      <c r="AU29" s="252"/>
      <c r="AV29" s="252"/>
      <c r="AW29" s="232"/>
      <c r="AX29" s="116"/>
    </row>
    <row r="30" spans="1:55" x14ac:dyDescent="0.25">
      <c r="A30" s="210">
        <v>2</v>
      </c>
      <c r="B30" s="139">
        <f t="shared" ref="B30:L30" si="46">B7</f>
        <v>42423</v>
      </c>
      <c r="C30" s="257" t="str">
        <f t="shared" si="46"/>
        <v>2D</v>
      </c>
      <c r="D30" s="246">
        <f t="shared" si="46"/>
        <v>1000000</v>
      </c>
      <c r="E30" s="246" t="str">
        <f t="shared" si="46"/>
        <v>EUR</v>
      </c>
      <c r="F30" s="249" t="str">
        <f t="shared" si="46"/>
        <v>RECEIVER</v>
      </c>
      <c r="G30" s="277" t="str">
        <f t="shared" si="46"/>
        <v>2Y</v>
      </c>
      <c r="H30" s="206">
        <f t="shared" si="46"/>
        <v>0.05</v>
      </c>
      <c r="I30" s="99" t="str">
        <f t="shared" si="46"/>
        <v>6ML</v>
      </c>
      <c r="J30" s="246">
        <f t="shared" si="42"/>
        <v>10</v>
      </c>
      <c r="K30" s="275">
        <f t="shared" si="42"/>
        <v>-1.31E-3</v>
      </c>
      <c r="L30" s="142" t="str">
        <f t="shared" si="46"/>
        <v>NOCSA</v>
      </c>
      <c r="M30" s="143">
        <f t="shared" ref="M30:M48" si="47">H30</f>
        <v>0.05</v>
      </c>
      <c r="N30" s="113" t="s">
        <v>25</v>
      </c>
      <c r="O30" s="113" t="s">
        <v>19</v>
      </c>
      <c r="P30" s="113" t="s">
        <v>21</v>
      </c>
      <c r="Q30" s="113" t="s">
        <v>2</v>
      </c>
      <c r="R30" s="192"/>
      <c r="S30" s="192"/>
      <c r="T30" s="145">
        <f t="shared" ref="T30:T48" si="48">IF($B30="","",DAY($B30))</f>
        <v>23</v>
      </c>
      <c r="U30" s="144" t="s">
        <v>146</v>
      </c>
      <c r="V30" s="144" t="s">
        <v>147</v>
      </c>
      <c r="W30" s="145" t="str">
        <f t="shared" si="43"/>
        <v>EUR6ML</v>
      </c>
      <c r="X30" s="146">
        <f t="shared" ref="X30:X48" si="49">J30</f>
        <v>10</v>
      </c>
      <c r="Y30" s="183" t="s">
        <v>124</v>
      </c>
      <c r="Z30" s="144" t="s">
        <v>6</v>
      </c>
      <c r="AA30" s="144" t="s">
        <v>21</v>
      </c>
      <c r="AB30" s="144" t="s">
        <v>2</v>
      </c>
      <c r="AC30" s="192"/>
      <c r="AD30" s="192"/>
      <c r="AE30" s="145">
        <f t="shared" ref="AE30:AE48" si="50">IF($B30="","",DAY($B30))</f>
        <v>23</v>
      </c>
      <c r="AF30" s="144" t="s">
        <v>146</v>
      </c>
      <c r="AG30" s="147">
        <f>_xll.mirGetDate(COB,"-"&amp;AF30,$AA30,$AB30)</f>
        <v>42419</v>
      </c>
      <c r="AH30" s="148" t="s">
        <v>34</v>
      </c>
      <c r="AI30" s="149"/>
      <c r="AJ30" s="144" t="s">
        <v>146</v>
      </c>
      <c r="AK30" s="144" t="s">
        <v>147</v>
      </c>
      <c r="AL30" s="145" t="str">
        <f t="shared" ref="AL30:AL48" si="51">L30</f>
        <v>NOCSA</v>
      </c>
      <c r="AM30" s="145" t="str">
        <f t="shared" si="44"/>
        <v>EURYC_BASE</v>
      </c>
      <c r="AN30" s="145" t="str">
        <f>LEFT(AM30,3)&amp;"DF_"&amp;AL30</f>
        <v>EURDF_NOCSA</v>
      </c>
      <c r="AO30" s="145" t="str">
        <f t="shared" si="45"/>
        <v>Spline</v>
      </c>
      <c r="AP30" s="144" t="b">
        <v>1</v>
      </c>
      <c r="AQ30" s="150" t="b">
        <v>0</v>
      </c>
      <c r="AR30" s="203">
        <f ca="1">IF(AND(NOW(),isEUR6MLLoaded),_xll.mirGetParRate4($B30,$G30,$AM30,$N30,$O30,$P30,$Q30,$R30,$S30,$T30,$U30,$V30,$Y30,$Z30,$AA30,$AB30,$AC30,$AD30,$AE30,$AF30,$AH30,$AI30,$AJ30,$AK30,$AO30,$W30,$AN30,$AP30,$AQ30,$J30),"LOAD CURVE")</f>
        <v>-3.1570992779280554E-4</v>
      </c>
      <c r="AS30" s="151">
        <f ca="1">IF(AND(NOW(),isEUR6MLLoaded),_xll.mirSwapPV($D30,$F30,$B30,$G30,$AM30,$M30,$N30,$O30,$P30,$Q30,$R30,$S30,$T30,$U30,$V30,$X30,$Y30,$Z30,$AA30,$AB30,$AC30,$AD30,$AE30,$AF30,$AH30,$AI30,$AJ30,$AK30,$AO30,$W30,$AN30,$AP30,$AQ30),"LOAD CURVE")</f>
        <v>101211.27608867125</v>
      </c>
      <c r="AT30" s="168">
        <f ca="1">IF(AND(NOW(),isEUR6MLLoaded),_xll.mirSwapPV01($D30,$F30,$B30,$G30,$AM30,$N30,$O30,$P30,$Q30,$R30,$S30,$T30,$U30,$V30,$X30,$Y30,$Z30,$AA30,$AB30,$AC30,$AD30,$AE30,$AF30,$AH30,$AI30,$AJ30,$AK30,$AO30,$W30,$AN30,$AP30,$AQ30),"LOAD CURVE")</f>
        <v>201.15243575797254</v>
      </c>
      <c r="AU30" s="252"/>
      <c r="AV30" s="252"/>
      <c r="AW30" s="232"/>
      <c r="AX30" s="116"/>
    </row>
    <row r="31" spans="1:55" x14ac:dyDescent="0.25">
      <c r="A31" s="210">
        <v>3</v>
      </c>
      <c r="B31" s="139">
        <f t="shared" ref="B31:L31" si="52">B8</f>
        <v>42423</v>
      </c>
      <c r="C31" s="257" t="str">
        <f t="shared" si="52"/>
        <v>2D</v>
      </c>
      <c r="D31" s="246">
        <f t="shared" si="52"/>
        <v>1000000</v>
      </c>
      <c r="E31" s="246" t="str">
        <f t="shared" si="52"/>
        <v>EUR</v>
      </c>
      <c r="F31" s="249" t="str">
        <f t="shared" si="52"/>
        <v>RECEIVER</v>
      </c>
      <c r="G31" s="277" t="str">
        <f t="shared" si="52"/>
        <v>3Y</v>
      </c>
      <c r="H31" s="206">
        <f t="shared" si="52"/>
        <v>0.05</v>
      </c>
      <c r="I31" s="99" t="str">
        <f t="shared" si="52"/>
        <v>6ML</v>
      </c>
      <c r="J31" s="246">
        <f t="shared" si="42"/>
        <v>10</v>
      </c>
      <c r="K31" s="275">
        <f t="shared" si="42"/>
        <v>-1.31E-3</v>
      </c>
      <c r="L31" s="142" t="str">
        <f t="shared" si="52"/>
        <v>NOCSA</v>
      </c>
      <c r="M31" s="143">
        <f t="shared" si="47"/>
        <v>0.05</v>
      </c>
      <c r="N31" s="113" t="s">
        <v>25</v>
      </c>
      <c r="O31" s="113" t="s">
        <v>19</v>
      </c>
      <c r="P31" s="113" t="s">
        <v>21</v>
      </c>
      <c r="Q31" s="113" t="s">
        <v>2</v>
      </c>
      <c r="R31" s="192"/>
      <c r="S31" s="192"/>
      <c r="T31" s="145">
        <f t="shared" si="48"/>
        <v>23</v>
      </c>
      <c r="U31" s="144" t="s">
        <v>146</v>
      </c>
      <c r="V31" s="144" t="s">
        <v>147</v>
      </c>
      <c r="W31" s="145" t="str">
        <f t="shared" si="43"/>
        <v>EUR6ML</v>
      </c>
      <c r="X31" s="146">
        <f t="shared" si="49"/>
        <v>10</v>
      </c>
      <c r="Y31" s="183" t="s">
        <v>124</v>
      </c>
      <c r="Z31" s="144" t="s">
        <v>6</v>
      </c>
      <c r="AA31" s="144" t="s">
        <v>21</v>
      </c>
      <c r="AB31" s="144" t="s">
        <v>2</v>
      </c>
      <c r="AC31" s="192"/>
      <c r="AD31" s="192"/>
      <c r="AE31" s="145">
        <f t="shared" si="50"/>
        <v>23</v>
      </c>
      <c r="AF31" s="144" t="s">
        <v>146</v>
      </c>
      <c r="AG31" s="147">
        <f>_xll.mirGetDate(COB,"-"&amp;AF31,$AA31,$AB31)</f>
        <v>42419</v>
      </c>
      <c r="AH31" s="148" t="s">
        <v>34</v>
      </c>
      <c r="AI31" s="149"/>
      <c r="AJ31" s="144" t="s">
        <v>146</v>
      </c>
      <c r="AK31" s="144" t="s">
        <v>147</v>
      </c>
      <c r="AL31" s="145" t="str">
        <f t="shared" si="51"/>
        <v>NOCSA</v>
      </c>
      <c r="AM31" s="145" t="str">
        <f t="shared" si="44"/>
        <v>EURYC_BASE</v>
      </c>
      <c r="AN31" s="145" t="str">
        <f t="shared" ref="AN31:AN48" si="53">LEFT(AM31,3)&amp;"DF_"&amp;AL31</f>
        <v>EURDF_NOCSA</v>
      </c>
      <c r="AO31" s="145" t="str">
        <f t="shared" si="45"/>
        <v>Spline</v>
      </c>
      <c r="AP31" s="144" t="b">
        <v>1</v>
      </c>
      <c r="AQ31" s="150" t="b">
        <v>0</v>
      </c>
      <c r="AR31" s="203">
        <f ca="1">IF(AND(NOW(),isEUR6MLLoaded),_xll.mirGetParRate4($B31,$G31,$AM31,$N31,$O31,$P31,$Q31,$R31,$S31,$T31,$U31,$V31,$Y31,$Z31,$AA31,$AB31,$AC31,$AD31,$AE31,$AF31,$AH31,$AI31,$AJ31,$AK31,$AO31,$W31,$AN31,$AP31,$AQ31,$J31),"LOAD CURVE")</f>
        <v>1.4392502291130687E-4</v>
      </c>
      <c r="AS31" s="151">
        <f ca="1">IF(AND(NOW(),isEUR6MLLoaded),_xll.mirSwapPV($D31,$F31,$B31,$G31,$AM31,$M31,$N31,$O31,$P31,$Q31,$R31,$S31,$T31,$U31,$V31,$X31,$Y31,$Z31,$AA31,$AB31,$AC31,$AD31,$AE31,$AF31,$AH31,$AI31,$AJ31,$AK31,$AO31,$W31,$AN31,$AP31,$AQ31),"LOAD CURVE")</f>
        <v>150951.12599316656</v>
      </c>
      <c r="AT31" s="168">
        <f ca="1">IF(AND(NOW(),isEUR6MLLoaded),_xll.mirSwapPV01($D31,$F31,$B31,$G31,$AM31,$N31,$O31,$P31,$Q31,$R31,$S31,$T31,$U31,$V31,$X31,$Y31,$Z31,$AA31,$AB31,$AC31,$AD31,$AE31,$AF31,$AH31,$AI31,$AJ31,$AK31,$AO31,$W31,$AN31,$AP31,$AQ31),"LOAD CURVE")</f>
        <v>302.77378646942424</v>
      </c>
      <c r="AU31" s="252"/>
      <c r="AV31" s="252"/>
      <c r="AW31" s="232"/>
      <c r="AX31" s="116"/>
    </row>
    <row r="32" spans="1:55" x14ac:dyDescent="0.25">
      <c r="A32" s="210">
        <v>4</v>
      </c>
      <c r="B32" s="139">
        <f t="shared" ref="B32:L32" si="54">B9</f>
        <v>42423</v>
      </c>
      <c r="C32" s="258" t="str">
        <f t="shared" si="54"/>
        <v>2D</v>
      </c>
      <c r="D32" s="246">
        <f t="shared" si="54"/>
        <v>1000000</v>
      </c>
      <c r="E32" s="246" t="str">
        <f t="shared" si="54"/>
        <v>EUR</v>
      </c>
      <c r="F32" s="249" t="str">
        <f t="shared" si="54"/>
        <v>RECEIVER</v>
      </c>
      <c r="G32" s="277" t="str">
        <f t="shared" si="54"/>
        <v>4Y</v>
      </c>
      <c r="H32" s="206">
        <f t="shared" si="54"/>
        <v>0.05</v>
      </c>
      <c r="I32" s="99" t="str">
        <f t="shared" si="54"/>
        <v>6ML</v>
      </c>
      <c r="J32" s="246">
        <f t="shared" si="42"/>
        <v>10</v>
      </c>
      <c r="K32" s="275">
        <f t="shared" si="42"/>
        <v>-1.31E-3</v>
      </c>
      <c r="L32" s="142" t="str">
        <f t="shared" si="54"/>
        <v>NOCSA</v>
      </c>
      <c r="M32" s="152">
        <f t="shared" si="47"/>
        <v>0.05</v>
      </c>
      <c r="N32" s="144" t="s">
        <v>25</v>
      </c>
      <c r="O32" s="144" t="s">
        <v>19</v>
      </c>
      <c r="P32" s="144" t="s">
        <v>21</v>
      </c>
      <c r="Q32" s="144" t="s">
        <v>2</v>
      </c>
      <c r="R32" s="192"/>
      <c r="S32" s="192"/>
      <c r="T32" s="145">
        <f t="shared" si="48"/>
        <v>23</v>
      </c>
      <c r="U32" s="144" t="s">
        <v>146</v>
      </c>
      <c r="V32" s="144" t="s">
        <v>147</v>
      </c>
      <c r="W32" s="145" t="str">
        <f t="shared" si="43"/>
        <v>EUR6ML</v>
      </c>
      <c r="X32" s="146">
        <f t="shared" si="49"/>
        <v>10</v>
      </c>
      <c r="Y32" s="183" t="s">
        <v>124</v>
      </c>
      <c r="Z32" s="144" t="s">
        <v>6</v>
      </c>
      <c r="AA32" s="144" t="s">
        <v>21</v>
      </c>
      <c r="AB32" s="144" t="s">
        <v>2</v>
      </c>
      <c r="AC32" s="192"/>
      <c r="AD32" s="192"/>
      <c r="AE32" s="145">
        <f t="shared" si="50"/>
        <v>23</v>
      </c>
      <c r="AF32" s="144" t="s">
        <v>146</v>
      </c>
      <c r="AG32" s="147">
        <f>_xll.mirGetDate(COB,"-"&amp;AF32,$AA32,$AB32)</f>
        <v>42419</v>
      </c>
      <c r="AH32" s="148" t="s">
        <v>34</v>
      </c>
      <c r="AI32" s="149"/>
      <c r="AJ32" s="144" t="s">
        <v>146</v>
      </c>
      <c r="AK32" s="144" t="s">
        <v>147</v>
      </c>
      <c r="AL32" s="145" t="str">
        <f t="shared" si="51"/>
        <v>NOCSA</v>
      </c>
      <c r="AM32" s="145" t="str">
        <f t="shared" si="44"/>
        <v>EURYC_BASE</v>
      </c>
      <c r="AN32" s="145" t="str">
        <f t="shared" si="53"/>
        <v>EURDF_NOCSA</v>
      </c>
      <c r="AO32" s="145" t="str">
        <f t="shared" si="45"/>
        <v>Spline</v>
      </c>
      <c r="AP32" s="144" t="b">
        <v>1</v>
      </c>
      <c r="AQ32" s="150" t="b">
        <v>0</v>
      </c>
      <c r="AR32" s="203">
        <f ca="1">IF(AND(NOW(),isEUR6MLLoaded),_xll.mirGetParRate4($B32,$G32,$AM32,$N32,$O32,$P32,$Q32,$R32,$S32,$T32,$U32,$V32,$Y32,$Z32,$AA32,$AB32,$AC32,$AD32,$AE32,$AF32,$AH32,$AI32,$AJ32,$AK32,$AO32,$W32,$AN32,$AP32,$AQ32,$J32),"LOAD CURVE")</f>
        <v>9.3392955211833251E-4</v>
      </c>
      <c r="AS32" s="151">
        <f ca="1">IF(AND(NOW(),isEUR6MLLoaded),_xll.mirSwapPV($D32,$F32,$B32,$G32,$AM32,$M32,$N32,$O32,$P32,$Q32,$R32,$S32,$T32,$U32,$V32,$X32,$Y32,$Z32,$AA32,$AB32,$AC32,$AD32,$AE32,$AF32,$AH32,$AI32,$AJ32,$AK32,$AO32,$W32,$AN32,$AP32,$AQ32),"LOAD CURVE")</f>
        <v>198035.41331962572</v>
      </c>
      <c r="AT32" s="168">
        <f ca="1">IF(AND(NOW(),isEUR6MLLoaded),_xll.mirSwapPV01($D32,$F32,$B32,$G32,$AM32,$N32,$O32,$P32,$Q32,$R32,$S32,$T32,$U32,$V32,$X32,$Y32,$Z32,$AA32,$AB32,$AC32,$AD32,$AE32,$AF32,$AH32,$AI32,$AJ32,$AK32,$AO32,$W32,$AN32,$AP32,$AQ32),"LOAD CURVE")</f>
        <v>403.60968692200521</v>
      </c>
      <c r="AU32" s="252"/>
      <c r="AV32" s="252"/>
      <c r="AW32" s="232"/>
      <c r="AX32" s="116"/>
    </row>
    <row r="33" spans="1:50" x14ac:dyDescent="0.25">
      <c r="A33" s="210">
        <v>5</v>
      </c>
      <c r="B33" s="139">
        <f t="shared" ref="B33:L33" si="55">B10</f>
        <v>42423</v>
      </c>
      <c r="C33" s="258" t="str">
        <f t="shared" si="55"/>
        <v>2D</v>
      </c>
      <c r="D33" s="246">
        <f t="shared" si="55"/>
        <v>1000000</v>
      </c>
      <c r="E33" s="246" t="str">
        <f t="shared" si="55"/>
        <v>EUR</v>
      </c>
      <c r="F33" s="249" t="str">
        <f t="shared" si="55"/>
        <v>RECEIVER</v>
      </c>
      <c r="G33" s="277" t="str">
        <f t="shared" si="55"/>
        <v>5Y</v>
      </c>
      <c r="H33" s="206">
        <f t="shared" si="55"/>
        <v>0.05</v>
      </c>
      <c r="I33" s="99" t="str">
        <f t="shared" si="55"/>
        <v>6ML</v>
      </c>
      <c r="J33" s="246">
        <f t="shared" si="42"/>
        <v>10</v>
      </c>
      <c r="K33" s="275">
        <f t="shared" si="42"/>
        <v>-1.31E-3</v>
      </c>
      <c r="L33" s="142" t="str">
        <f t="shared" si="55"/>
        <v>NOCSA</v>
      </c>
      <c r="M33" s="152">
        <f t="shared" si="47"/>
        <v>0.05</v>
      </c>
      <c r="N33" s="144" t="s">
        <v>25</v>
      </c>
      <c r="O33" s="144" t="s">
        <v>19</v>
      </c>
      <c r="P33" s="144" t="s">
        <v>21</v>
      </c>
      <c r="Q33" s="144" t="s">
        <v>2</v>
      </c>
      <c r="R33" s="192"/>
      <c r="S33" s="192"/>
      <c r="T33" s="145">
        <f t="shared" si="48"/>
        <v>23</v>
      </c>
      <c r="U33" s="144" t="s">
        <v>146</v>
      </c>
      <c r="V33" s="144" t="s">
        <v>147</v>
      </c>
      <c r="W33" s="145" t="str">
        <f t="shared" si="43"/>
        <v>EUR6ML</v>
      </c>
      <c r="X33" s="146">
        <f t="shared" si="49"/>
        <v>10</v>
      </c>
      <c r="Y33" s="183" t="s">
        <v>124</v>
      </c>
      <c r="Z33" s="144" t="s">
        <v>6</v>
      </c>
      <c r="AA33" s="144" t="s">
        <v>21</v>
      </c>
      <c r="AB33" s="144" t="s">
        <v>2</v>
      </c>
      <c r="AC33" s="192"/>
      <c r="AD33" s="192"/>
      <c r="AE33" s="145">
        <f t="shared" si="50"/>
        <v>23</v>
      </c>
      <c r="AF33" s="144" t="s">
        <v>146</v>
      </c>
      <c r="AG33" s="147">
        <f>_xll.mirGetDate(COB,"-"&amp;AF33,$AA33,$AB33)</f>
        <v>42419</v>
      </c>
      <c r="AH33" s="148" t="s">
        <v>34</v>
      </c>
      <c r="AI33" s="149"/>
      <c r="AJ33" s="144" t="s">
        <v>146</v>
      </c>
      <c r="AK33" s="144" t="s">
        <v>147</v>
      </c>
      <c r="AL33" s="145" t="str">
        <f t="shared" si="51"/>
        <v>NOCSA</v>
      </c>
      <c r="AM33" s="145" t="str">
        <f t="shared" si="44"/>
        <v>EURYC_BASE</v>
      </c>
      <c r="AN33" s="145" t="str">
        <f t="shared" si="53"/>
        <v>EURDF_NOCSA</v>
      </c>
      <c r="AO33" s="145" t="str">
        <f t="shared" si="45"/>
        <v>Spline</v>
      </c>
      <c r="AP33" s="144" t="b">
        <v>1</v>
      </c>
      <c r="AQ33" s="150" t="b">
        <v>0</v>
      </c>
      <c r="AR33" s="203">
        <f ca="1">IF(AND(NOW(),isEUR6MLLoaded),_xll.mirGetParRate4($B33,$G33,$AM33,$N33,$O33,$P33,$Q33,$R33,$S33,$T33,$U33,$V33,$Y33,$Z33,$AA33,$AB33,$AC33,$AD33,$AE33,$AF33,$AH33,$AI33,$AJ33,$AK33,$AO33,$W33,$AN33,$AP33,$AQ33,$J33),"LOAD CURVE")</f>
        <v>1.9446285069135178E-3</v>
      </c>
      <c r="AS33" s="151">
        <f ca="1">IF(AND(NOW(),isEUR6MLLoaded),_xll.mirSwapPV($D33,$F33,$B33,$G33,$AM33,$M33,$N33,$O33,$P33,$Q33,$R33,$S33,$T33,$U33,$V33,$X33,$Y33,$Z33,$AA33,$AB33,$AC33,$AD33,$AE33,$AF33,$AH33,$AI33,$AJ33,$AK33,$AO33,$W33,$AN33,$AP33,$AQ33),"LOAD CURVE")</f>
        <v>242311.10169126891</v>
      </c>
      <c r="AT33" s="168">
        <f ca="1">IF(AND(NOW(),isEUR6MLLoaded),_xll.mirSwapPV01($D33,$F33,$B33,$G33,$AM33,$N33,$O33,$P33,$Q33,$R33,$S33,$T33,$U33,$V33,$X33,$Y33,$Z33,$AA33,$AB33,$AC33,$AD33,$AE33,$AF33,$AH33,$AI33,$AJ33,$AK33,$AO33,$W33,$AN33,$AP33,$AQ33),"LOAD CURVE")</f>
        <v>504.23312558540761</v>
      </c>
      <c r="AU33" s="252"/>
      <c r="AV33" s="252"/>
      <c r="AW33" s="232"/>
      <c r="AX33" s="116"/>
    </row>
    <row r="34" spans="1:50" x14ac:dyDescent="0.25">
      <c r="A34" s="210">
        <v>6</v>
      </c>
      <c r="B34" s="139">
        <f t="shared" ref="B34:L34" si="56">B11</f>
        <v>42423</v>
      </c>
      <c r="C34" s="258" t="str">
        <f t="shared" si="56"/>
        <v>2D</v>
      </c>
      <c r="D34" s="246">
        <f t="shared" si="56"/>
        <v>1000000</v>
      </c>
      <c r="E34" s="246" t="str">
        <f t="shared" si="56"/>
        <v>EUR</v>
      </c>
      <c r="F34" s="249" t="str">
        <f t="shared" si="56"/>
        <v>RECEIVER</v>
      </c>
      <c r="G34" s="277" t="str">
        <f t="shared" si="56"/>
        <v>6Y</v>
      </c>
      <c r="H34" s="206">
        <f t="shared" si="56"/>
        <v>0.05</v>
      </c>
      <c r="I34" s="99" t="str">
        <f t="shared" si="56"/>
        <v>6ML</v>
      </c>
      <c r="J34" s="246">
        <f t="shared" si="42"/>
        <v>10</v>
      </c>
      <c r="K34" s="275">
        <f t="shared" si="42"/>
        <v>-1.31E-3</v>
      </c>
      <c r="L34" s="142" t="str">
        <f t="shared" si="56"/>
        <v>NOCSA</v>
      </c>
      <c r="M34" s="152">
        <f t="shared" si="47"/>
        <v>0.05</v>
      </c>
      <c r="N34" s="144" t="s">
        <v>25</v>
      </c>
      <c r="O34" s="144" t="s">
        <v>19</v>
      </c>
      <c r="P34" s="144" t="s">
        <v>21</v>
      </c>
      <c r="Q34" s="144" t="s">
        <v>2</v>
      </c>
      <c r="R34" s="192"/>
      <c r="S34" s="192"/>
      <c r="T34" s="145">
        <f t="shared" si="48"/>
        <v>23</v>
      </c>
      <c r="U34" s="144" t="s">
        <v>146</v>
      </c>
      <c r="V34" s="144" t="s">
        <v>147</v>
      </c>
      <c r="W34" s="145" t="str">
        <f t="shared" si="43"/>
        <v>EUR6ML</v>
      </c>
      <c r="X34" s="146">
        <f t="shared" si="49"/>
        <v>10</v>
      </c>
      <c r="Y34" s="183" t="s">
        <v>124</v>
      </c>
      <c r="Z34" s="144" t="s">
        <v>6</v>
      </c>
      <c r="AA34" s="144" t="s">
        <v>21</v>
      </c>
      <c r="AB34" s="144" t="s">
        <v>2</v>
      </c>
      <c r="AC34" s="192"/>
      <c r="AD34" s="192"/>
      <c r="AE34" s="145">
        <f t="shared" si="50"/>
        <v>23</v>
      </c>
      <c r="AF34" s="144" t="s">
        <v>146</v>
      </c>
      <c r="AG34" s="147">
        <f>_xll.mirGetDate(COB,"-"&amp;AF34,$AA34,$AB34)</f>
        <v>42419</v>
      </c>
      <c r="AH34" s="148" t="s">
        <v>34</v>
      </c>
      <c r="AI34" s="149"/>
      <c r="AJ34" s="144" t="s">
        <v>146</v>
      </c>
      <c r="AK34" s="144" t="s">
        <v>147</v>
      </c>
      <c r="AL34" s="145" t="str">
        <f t="shared" si="51"/>
        <v>NOCSA</v>
      </c>
      <c r="AM34" s="145" t="str">
        <f t="shared" si="44"/>
        <v>EURYC_BASE</v>
      </c>
      <c r="AN34" s="145" t="str">
        <f t="shared" si="53"/>
        <v>EURDF_NOCSA</v>
      </c>
      <c r="AO34" s="145" t="str">
        <f t="shared" si="45"/>
        <v>Spline</v>
      </c>
      <c r="AP34" s="144" t="b">
        <v>1</v>
      </c>
      <c r="AQ34" s="150" t="b">
        <v>0</v>
      </c>
      <c r="AR34" s="203">
        <f ca="1">IF(AND(NOW(),isEUR6MLLoaded),_xll.mirGetParRate4($B34,$G34,$AM34,$N34,$O34,$P34,$Q34,$R34,$S34,$T34,$U34,$V34,$Y34,$Z34,$AA34,$AB34,$AC34,$AD34,$AE34,$AF34,$AH34,$AI34,$AJ34,$AK34,$AO34,$W34,$AN34,$AP34,$AQ34,$J34),"LOAD CURVE")</f>
        <v>3.0347537092075749E-3</v>
      </c>
      <c r="AS34" s="151">
        <f ca="1">IF(AND(NOW(),isEUR6MLLoaded),_xll.mirSwapPV($D34,$F34,$B34,$G34,$AM34,$M34,$N34,$O34,$P34,$Q34,$R34,$S34,$T34,$U34,$V34,$X34,$Y34,$Z34,$AA34,$AB34,$AC34,$AD34,$AE34,$AF34,$AH34,$AI34,$AJ34,$AK34,$AO34,$W34,$AN34,$AP34,$AQ34),"LOAD CURVE")</f>
        <v>283962.51542688889</v>
      </c>
      <c r="AT34" s="168">
        <f ca="1">IF(AND(NOW(),isEUR6MLLoaded),_xll.mirSwapPV01($D34,$F34,$B34,$G34,$AM34,$N34,$O34,$P34,$Q34,$R34,$S34,$T34,$U34,$V34,$X34,$Y34,$Z34,$AA34,$AB34,$AC34,$AD34,$AE34,$AF34,$AH34,$AI34,$AJ34,$AK34,$AO34,$W34,$AN34,$AP34,$AQ34),"LOAD CURVE")</f>
        <v>604.62264728410457</v>
      </c>
      <c r="AU34" s="252"/>
      <c r="AV34" s="252"/>
      <c r="AW34" s="232"/>
      <c r="AX34" s="116"/>
    </row>
    <row r="35" spans="1:50" x14ac:dyDescent="0.25">
      <c r="A35" s="210">
        <v>7</v>
      </c>
      <c r="B35" s="139">
        <f t="shared" ref="B35:L35" si="57">B12</f>
        <v>42423</v>
      </c>
      <c r="C35" s="258" t="str">
        <f t="shared" si="57"/>
        <v>2D</v>
      </c>
      <c r="D35" s="246">
        <f t="shared" si="57"/>
        <v>1000000</v>
      </c>
      <c r="E35" s="246" t="str">
        <f t="shared" si="57"/>
        <v>EUR</v>
      </c>
      <c r="F35" s="249" t="str">
        <f t="shared" si="57"/>
        <v>RECEIVER</v>
      </c>
      <c r="G35" s="277" t="str">
        <f t="shared" si="57"/>
        <v>7Y</v>
      </c>
      <c r="H35" s="206">
        <f t="shared" si="57"/>
        <v>0.05</v>
      </c>
      <c r="I35" s="99" t="str">
        <f t="shared" si="57"/>
        <v>6ML</v>
      </c>
      <c r="J35" s="246">
        <f t="shared" si="42"/>
        <v>10</v>
      </c>
      <c r="K35" s="275">
        <f t="shared" si="42"/>
        <v>-1.31E-3</v>
      </c>
      <c r="L35" s="142" t="str">
        <f t="shared" si="57"/>
        <v>NOCSA</v>
      </c>
      <c r="M35" s="152">
        <f t="shared" si="47"/>
        <v>0.05</v>
      </c>
      <c r="N35" s="144" t="s">
        <v>25</v>
      </c>
      <c r="O35" s="144" t="s">
        <v>19</v>
      </c>
      <c r="P35" s="144" t="s">
        <v>21</v>
      </c>
      <c r="Q35" s="144" t="s">
        <v>2</v>
      </c>
      <c r="R35" s="192"/>
      <c r="S35" s="192"/>
      <c r="T35" s="145">
        <f t="shared" si="48"/>
        <v>23</v>
      </c>
      <c r="U35" s="144" t="s">
        <v>146</v>
      </c>
      <c r="V35" s="144" t="s">
        <v>147</v>
      </c>
      <c r="W35" s="145" t="str">
        <f t="shared" si="43"/>
        <v>EUR6ML</v>
      </c>
      <c r="X35" s="146">
        <f t="shared" si="49"/>
        <v>10</v>
      </c>
      <c r="Y35" s="183" t="s">
        <v>124</v>
      </c>
      <c r="Z35" s="144" t="s">
        <v>6</v>
      </c>
      <c r="AA35" s="144" t="s">
        <v>21</v>
      </c>
      <c r="AB35" s="144" t="s">
        <v>2</v>
      </c>
      <c r="AC35" s="192"/>
      <c r="AD35" s="192"/>
      <c r="AE35" s="145">
        <f t="shared" si="50"/>
        <v>23</v>
      </c>
      <c r="AF35" s="144" t="s">
        <v>146</v>
      </c>
      <c r="AG35" s="147">
        <f>_xll.mirGetDate(COB,"-"&amp;AF35,$AA35,$AB35)</f>
        <v>42419</v>
      </c>
      <c r="AH35" s="148" t="s">
        <v>34</v>
      </c>
      <c r="AI35" s="149"/>
      <c r="AJ35" s="144" t="s">
        <v>146</v>
      </c>
      <c r="AK35" s="144" t="s">
        <v>147</v>
      </c>
      <c r="AL35" s="145" t="str">
        <f t="shared" si="51"/>
        <v>NOCSA</v>
      </c>
      <c r="AM35" s="145" t="str">
        <f t="shared" si="44"/>
        <v>EURYC_BASE</v>
      </c>
      <c r="AN35" s="145" t="str">
        <f t="shared" si="53"/>
        <v>EURDF_NOCSA</v>
      </c>
      <c r="AO35" s="145" t="str">
        <f t="shared" si="45"/>
        <v>Spline</v>
      </c>
      <c r="AP35" s="144" t="b">
        <v>1</v>
      </c>
      <c r="AQ35" s="150" t="b">
        <v>0</v>
      </c>
      <c r="AR35" s="203">
        <f ca="1">IF(AND(NOW(),isEUR6MLLoaded),_xll.mirGetParRate4($B35,$G35,$AM35,$N35,$O35,$P35,$Q35,$R35,$S35,$T35,$U35,$V35,$Y35,$Z35,$AA35,$AB35,$AC35,$AD35,$AE35,$AF35,$AH35,$AI35,$AJ35,$AK35,$AO35,$W35,$AN35,$AP35,$AQ35,$J35),"LOAD CURVE")</f>
        <v>4.2249519769588881E-3</v>
      </c>
      <c r="AS35" s="151">
        <f ca="1">IF(AND(NOW(),isEUR6MLLoaded),_xll.mirSwapPV($D35,$F35,$B35,$G35,$AM35,$M35,$N35,$O35,$P35,$Q35,$R35,$S35,$T35,$U35,$V35,$X35,$Y35,$Z35,$AA35,$AB35,$AC35,$AD35,$AE35,$AF35,$AH35,$AI35,$AJ35,$AK35,$AO35,$W35,$AN35,$AP35,$AQ35),"LOAD CURVE")</f>
        <v>322346.46554243093</v>
      </c>
      <c r="AT35" s="168">
        <f ca="1">IF(AND(NOW(),isEUR6MLLoaded),_xll.mirSwapPV01($D35,$F35,$B35,$G35,$AM35,$N35,$O35,$P35,$Q35,$R35,$S35,$T35,$U35,$V35,$X35,$Y35,$Z35,$AA35,$AB35,$AC35,$AD35,$AE35,$AF35,$AH35,$AI35,$AJ35,$AK35,$AO35,$W35,$AN35,$AP35,$AQ35),"LOAD CURVE")</f>
        <v>704.1968921150584</v>
      </c>
      <c r="AU35" s="252"/>
      <c r="AV35" s="252"/>
      <c r="AW35" s="232"/>
      <c r="AX35" s="116"/>
    </row>
    <row r="36" spans="1:50" x14ac:dyDescent="0.25">
      <c r="A36" s="210">
        <v>8</v>
      </c>
      <c r="B36" s="139">
        <f t="shared" ref="B36:L36" si="58">B13</f>
        <v>42423</v>
      </c>
      <c r="C36" s="258" t="str">
        <f t="shared" si="58"/>
        <v>2D</v>
      </c>
      <c r="D36" s="246">
        <f t="shared" si="58"/>
        <v>1000000</v>
      </c>
      <c r="E36" s="246" t="str">
        <f t="shared" si="58"/>
        <v>EUR</v>
      </c>
      <c r="F36" s="249" t="str">
        <f t="shared" si="58"/>
        <v>RECEIVER</v>
      </c>
      <c r="G36" s="277" t="str">
        <f t="shared" si="58"/>
        <v>8Y</v>
      </c>
      <c r="H36" s="206">
        <f t="shared" si="58"/>
        <v>0.05</v>
      </c>
      <c r="I36" s="99" t="str">
        <f t="shared" si="58"/>
        <v>6ML</v>
      </c>
      <c r="J36" s="246">
        <f t="shared" si="42"/>
        <v>10</v>
      </c>
      <c r="K36" s="275">
        <f t="shared" si="42"/>
        <v>-1.31E-3</v>
      </c>
      <c r="L36" s="142" t="str">
        <f t="shared" si="58"/>
        <v>NOCSA</v>
      </c>
      <c r="M36" s="152">
        <f t="shared" si="47"/>
        <v>0.05</v>
      </c>
      <c r="N36" s="144" t="s">
        <v>25</v>
      </c>
      <c r="O36" s="144" t="s">
        <v>19</v>
      </c>
      <c r="P36" s="144" t="s">
        <v>21</v>
      </c>
      <c r="Q36" s="144" t="s">
        <v>2</v>
      </c>
      <c r="R36" s="192"/>
      <c r="S36" s="192"/>
      <c r="T36" s="145">
        <f t="shared" si="48"/>
        <v>23</v>
      </c>
      <c r="U36" s="144" t="s">
        <v>146</v>
      </c>
      <c r="V36" s="144" t="s">
        <v>147</v>
      </c>
      <c r="W36" s="145" t="str">
        <f t="shared" si="43"/>
        <v>EUR6ML</v>
      </c>
      <c r="X36" s="146">
        <f t="shared" si="49"/>
        <v>10</v>
      </c>
      <c r="Y36" s="183" t="s">
        <v>124</v>
      </c>
      <c r="Z36" s="144" t="s">
        <v>6</v>
      </c>
      <c r="AA36" s="144" t="s">
        <v>21</v>
      </c>
      <c r="AB36" s="144" t="s">
        <v>2</v>
      </c>
      <c r="AC36" s="192"/>
      <c r="AD36" s="192"/>
      <c r="AE36" s="145">
        <f t="shared" si="50"/>
        <v>23</v>
      </c>
      <c r="AF36" s="144" t="s">
        <v>146</v>
      </c>
      <c r="AG36" s="147">
        <f>_xll.mirGetDate(COB,"-"&amp;AF36,$AA36,$AB36)</f>
        <v>42419</v>
      </c>
      <c r="AH36" s="148" t="s">
        <v>34</v>
      </c>
      <c r="AI36" s="149"/>
      <c r="AJ36" s="144" t="s">
        <v>146</v>
      </c>
      <c r="AK36" s="144" t="s">
        <v>147</v>
      </c>
      <c r="AL36" s="145" t="str">
        <f t="shared" si="51"/>
        <v>NOCSA</v>
      </c>
      <c r="AM36" s="145" t="str">
        <f t="shared" si="44"/>
        <v>EURYC_BASE</v>
      </c>
      <c r="AN36" s="145" t="str">
        <f t="shared" si="53"/>
        <v>EURDF_NOCSA</v>
      </c>
      <c r="AO36" s="145" t="str">
        <f t="shared" si="45"/>
        <v>Spline</v>
      </c>
      <c r="AP36" s="144" t="b">
        <v>1</v>
      </c>
      <c r="AQ36" s="150" t="b">
        <v>0</v>
      </c>
      <c r="AR36" s="203">
        <f ca="1">IF(AND(NOW(),isEUR6MLLoaded),_xll.mirGetParRate4($B36,$G36,$AM36,$N36,$O36,$P36,$Q36,$R36,$S36,$T36,$U36,$V36,$Y36,$Z36,$AA36,$AB36,$AC36,$AD36,$AE36,$AF36,$AH36,$AI36,$AJ36,$AK36,$AO36,$W36,$AN36,$AP36,$AQ36,$J36),"LOAD CURVE")</f>
        <v>5.4551899977647259E-3</v>
      </c>
      <c r="AS36" s="151">
        <f ca="1">IF(AND(NOW(),isEUR6MLLoaded),_xll.mirSwapPV($D36,$F36,$B36,$G36,$AM36,$M36,$N36,$O36,$P36,$Q36,$R36,$S36,$T36,$U36,$V36,$X36,$Y36,$Z36,$AA36,$AB36,$AC36,$AD36,$AE36,$AF36,$AH36,$AI36,$AJ36,$AK36,$AO36,$W36,$AN36,$AP36,$AQ36),"LOAD CURVE")</f>
        <v>357547.30604272056</v>
      </c>
      <c r="AT36" s="168">
        <f ca="1">IF(AND(NOW(),isEUR6MLLoaded),_xll.mirSwapPV01($D36,$F36,$B36,$G36,$AM36,$N36,$O36,$P36,$Q36,$R36,$S36,$T36,$U36,$V36,$X36,$Y36,$Z36,$AA36,$AB36,$AC36,$AD36,$AE36,$AF36,$AH36,$AI36,$AJ36,$AK36,$AO36,$W36,$AN36,$AP36,$AQ36),"LOAD CURVE")</f>
        <v>802.66883173321128</v>
      </c>
      <c r="AU36" s="252"/>
      <c r="AV36" s="252"/>
      <c r="AW36" s="232"/>
      <c r="AX36" s="116"/>
    </row>
    <row r="37" spans="1:50" x14ac:dyDescent="0.25">
      <c r="A37" s="210">
        <v>9</v>
      </c>
      <c r="B37" s="139">
        <f t="shared" ref="B37:L37" si="59">B14</f>
        <v>42423</v>
      </c>
      <c r="C37" s="258" t="str">
        <f t="shared" si="59"/>
        <v>2D</v>
      </c>
      <c r="D37" s="246">
        <f t="shared" si="59"/>
        <v>1000000</v>
      </c>
      <c r="E37" s="246" t="str">
        <f t="shared" si="59"/>
        <v>EUR</v>
      </c>
      <c r="F37" s="249" t="str">
        <f t="shared" si="59"/>
        <v>RECEIVER</v>
      </c>
      <c r="G37" s="277" t="str">
        <f t="shared" si="59"/>
        <v>9Y</v>
      </c>
      <c r="H37" s="206">
        <f t="shared" si="59"/>
        <v>0.05</v>
      </c>
      <c r="I37" s="99" t="str">
        <f t="shared" si="59"/>
        <v>6ML</v>
      </c>
      <c r="J37" s="246">
        <f t="shared" si="42"/>
        <v>10</v>
      </c>
      <c r="K37" s="275">
        <f t="shared" si="42"/>
        <v>-1.31E-3</v>
      </c>
      <c r="L37" s="142" t="str">
        <f t="shared" si="59"/>
        <v>NOCSA</v>
      </c>
      <c r="M37" s="152">
        <f t="shared" si="47"/>
        <v>0.05</v>
      </c>
      <c r="N37" s="144" t="s">
        <v>25</v>
      </c>
      <c r="O37" s="144" t="s">
        <v>19</v>
      </c>
      <c r="P37" s="144" t="s">
        <v>21</v>
      </c>
      <c r="Q37" s="144" t="s">
        <v>2</v>
      </c>
      <c r="R37" s="192"/>
      <c r="S37" s="192"/>
      <c r="T37" s="145">
        <f t="shared" si="48"/>
        <v>23</v>
      </c>
      <c r="U37" s="144" t="s">
        <v>146</v>
      </c>
      <c r="V37" s="144" t="s">
        <v>147</v>
      </c>
      <c r="W37" s="145" t="str">
        <f t="shared" si="43"/>
        <v>EUR6ML</v>
      </c>
      <c r="X37" s="146">
        <f t="shared" si="49"/>
        <v>10</v>
      </c>
      <c r="Y37" s="183" t="s">
        <v>124</v>
      </c>
      <c r="Z37" s="144" t="s">
        <v>6</v>
      </c>
      <c r="AA37" s="144" t="s">
        <v>21</v>
      </c>
      <c r="AB37" s="144" t="s">
        <v>2</v>
      </c>
      <c r="AC37" s="192"/>
      <c r="AD37" s="192"/>
      <c r="AE37" s="145">
        <f t="shared" si="50"/>
        <v>23</v>
      </c>
      <c r="AF37" s="144" t="s">
        <v>146</v>
      </c>
      <c r="AG37" s="147">
        <f>_xll.mirGetDate(COB,"-"&amp;AF37,$AA37,$AB37)</f>
        <v>42419</v>
      </c>
      <c r="AH37" s="148" t="s">
        <v>34</v>
      </c>
      <c r="AI37" s="149"/>
      <c r="AJ37" s="144" t="s">
        <v>146</v>
      </c>
      <c r="AK37" s="144" t="s">
        <v>147</v>
      </c>
      <c r="AL37" s="145" t="str">
        <f t="shared" si="51"/>
        <v>NOCSA</v>
      </c>
      <c r="AM37" s="145" t="str">
        <f t="shared" si="44"/>
        <v>EURYC_BASE</v>
      </c>
      <c r="AN37" s="145" t="str">
        <f t="shared" si="53"/>
        <v>EURDF_NOCSA</v>
      </c>
      <c r="AO37" s="145" t="str">
        <f t="shared" si="45"/>
        <v>Spline</v>
      </c>
      <c r="AP37" s="144" t="b">
        <v>1</v>
      </c>
      <c r="AQ37" s="150" t="b">
        <v>0</v>
      </c>
      <c r="AR37" s="203">
        <f ca="1">IF(AND(NOW(),isEUR6MLLoaded),_xll.mirGetParRate4($B37,$G37,$AM37,$N37,$O37,$P37,$Q37,$R37,$S37,$T37,$U37,$V37,$Y37,$Z37,$AA37,$AB37,$AC37,$AD37,$AE37,$AF37,$AH37,$AI37,$AJ37,$AK37,$AO37,$W37,$AN37,$AP37,$AQ37,$J37),"LOAD CURVE")</f>
        <v>6.6257340957065133E-3</v>
      </c>
      <c r="AS37" s="151">
        <f ca="1">IF(AND(NOW(),isEUR6MLLoaded),_xll.mirSwapPV($D37,$F37,$B37,$G37,$AM37,$M37,$N37,$O37,$P37,$Q37,$R37,$S37,$T37,$U37,$V37,$X37,$Y37,$Z37,$AA37,$AB37,$AC37,$AD37,$AE37,$AF37,$AH37,$AI37,$AJ37,$AK37,$AO37,$W37,$AN37,$AP37,$AQ37),"LOAD CURVE")</f>
        <v>390404.25178397575</v>
      </c>
      <c r="AT37" s="168">
        <f ca="1">IF(AND(NOW(),isEUR6MLLoaded),_xll.mirSwapPV01($D37,$F37,$B37,$G37,$AM37,$N37,$O37,$P37,$Q37,$R37,$S37,$T37,$U37,$V37,$X37,$Y37,$Z37,$AA37,$AB37,$AC37,$AD37,$AE37,$AF37,$AH37,$AI37,$AJ37,$AK37,$AO37,$W37,$AN37,$AP37,$AQ37),"LOAD CURVE")</f>
        <v>900.08267262762092</v>
      </c>
      <c r="AU37" s="252"/>
      <c r="AV37" s="252"/>
      <c r="AW37" s="232"/>
      <c r="AX37" s="116"/>
    </row>
    <row r="38" spans="1:50" x14ac:dyDescent="0.25">
      <c r="A38" s="210">
        <v>10</v>
      </c>
      <c r="B38" s="139">
        <f t="shared" ref="B38:L38" si="60">B15</f>
        <v>42423</v>
      </c>
      <c r="C38" s="258" t="str">
        <f t="shared" si="60"/>
        <v>2D</v>
      </c>
      <c r="D38" s="246">
        <f t="shared" si="60"/>
        <v>1000000</v>
      </c>
      <c r="E38" s="246" t="str">
        <f t="shared" si="60"/>
        <v>EUR</v>
      </c>
      <c r="F38" s="249" t="str">
        <f t="shared" si="60"/>
        <v>RECEIVER</v>
      </c>
      <c r="G38" s="277" t="str">
        <f t="shared" si="60"/>
        <v>10Y</v>
      </c>
      <c r="H38" s="206">
        <f t="shared" si="60"/>
        <v>0.05</v>
      </c>
      <c r="I38" s="99" t="str">
        <f t="shared" si="60"/>
        <v>6ML</v>
      </c>
      <c r="J38" s="246">
        <f t="shared" si="42"/>
        <v>10</v>
      </c>
      <c r="K38" s="275">
        <f t="shared" si="42"/>
        <v>-1.31E-3</v>
      </c>
      <c r="L38" s="142" t="str">
        <f t="shared" si="60"/>
        <v>NOCSA</v>
      </c>
      <c r="M38" s="152">
        <f t="shared" si="47"/>
        <v>0.05</v>
      </c>
      <c r="N38" s="144" t="s">
        <v>25</v>
      </c>
      <c r="O38" s="144" t="s">
        <v>19</v>
      </c>
      <c r="P38" s="144" t="s">
        <v>21</v>
      </c>
      <c r="Q38" s="144" t="s">
        <v>2</v>
      </c>
      <c r="R38" s="192"/>
      <c r="S38" s="192"/>
      <c r="T38" s="145">
        <f t="shared" si="48"/>
        <v>23</v>
      </c>
      <c r="U38" s="144" t="s">
        <v>146</v>
      </c>
      <c r="V38" s="144" t="s">
        <v>147</v>
      </c>
      <c r="W38" s="145" t="str">
        <f t="shared" si="43"/>
        <v>EUR6ML</v>
      </c>
      <c r="X38" s="146">
        <f t="shared" si="49"/>
        <v>10</v>
      </c>
      <c r="Y38" s="183" t="s">
        <v>124</v>
      </c>
      <c r="Z38" s="144" t="s">
        <v>6</v>
      </c>
      <c r="AA38" s="144" t="s">
        <v>21</v>
      </c>
      <c r="AB38" s="144" t="s">
        <v>2</v>
      </c>
      <c r="AC38" s="192"/>
      <c r="AD38" s="192"/>
      <c r="AE38" s="145">
        <f t="shared" si="50"/>
        <v>23</v>
      </c>
      <c r="AF38" s="144" t="s">
        <v>146</v>
      </c>
      <c r="AG38" s="147">
        <f>_xll.mirGetDate(COB,"-"&amp;AF38,$AA38,$AB38)</f>
        <v>42419</v>
      </c>
      <c r="AH38" s="148" t="s">
        <v>34</v>
      </c>
      <c r="AI38" s="149"/>
      <c r="AJ38" s="144" t="s">
        <v>146</v>
      </c>
      <c r="AK38" s="144" t="s">
        <v>147</v>
      </c>
      <c r="AL38" s="145" t="str">
        <f t="shared" si="51"/>
        <v>NOCSA</v>
      </c>
      <c r="AM38" s="145" t="str">
        <f t="shared" si="44"/>
        <v>EURYC_BASE</v>
      </c>
      <c r="AN38" s="145" t="str">
        <f t="shared" si="53"/>
        <v>EURDF_NOCSA</v>
      </c>
      <c r="AO38" s="145" t="str">
        <f t="shared" si="45"/>
        <v>Spline</v>
      </c>
      <c r="AP38" s="144" t="b">
        <v>1</v>
      </c>
      <c r="AQ38" s="150" t="b">
        <v>0</v>
      </c>
      <c r="AR38" s="203">
        <f ca="1">IF(AND(NOW(),isEUR6MLLoaded),_xll.mirGetParRate4($B38,$G38,$AM38,$N38,$O38,$P38,$Q38,$R38,$S38,$T38,$U38,$V38,$Y38,$Z38,$AA38,$AB38,$AC38,$AD38,$AE38,$AF38,$AH38,$AI38,$AJ38,$AK38,$AO38,$W38,$AN38,$AP38,$AQ38,$J38),"LOAD CURVE")</f>
        <v>7.6859363768615368E-3</v>
      </c>
      <c r="AS38" s="151">
        <f ca="1">IF(AND(NOW(),isEUR6MLLoaded),_xll.mirSwapPV($D38,$F38,$B38,$G38,$AM38,$M38,$N38,$O38,$P38,$Q38,$R38,$S38,$T38,$U38,$V38,$X38,$Y38,$Z38,$AA38,$AB38,$AC38,$AD38,$AE38,$AF38,$AH38,$AI38,$AJ38,$AK38,$AO38,$W38,$AN38,$AP38,$AQ38),"LOAD CURVE")</f>
        <v>421239.23008016177</v>
      </c>
      <c r="AT38" s="168">
        <f ca="1">IF(AND(NOW(),isEUR6MLLoaded),_xll.mirSwapPV01($D38,$F38,$B38,$G38,$AM38,$N38,$O38,$P38,$Q38,$R38,$S38,$T38,$U38,$V38,$X38,$Y38,$Z38,$AA38,$AB38,$AC38,$AD38,$AE38,$AF38,$AH38,$AI38,$AJ38,$AK38,$AO38,$W38,$AN38,$AP38,$AQ38),"LOAD CURVE")</f>
        <v>995.50644398477687</v>
      </c>
      <c r="AU38" s="252"/>
      <c r="AV38" s="252"/>
      <c r="AW38" s="232"/>
      <c r="AX38" s="116"/>
    </row>
    <row r="39" spans="1:50" x14ac:dyDescent="0.25">
      <c r="A39" s="210">
        <v>11</v>
      </c>
      <c r="B39" s="139">
        <f t="shared" ref="B39:L39" si="61">B16</f>
        <v>42423</v>
      </c>
      <c r="C39" s="258" t="str">
        <f t="shared" si="61"/>
        <v>2D</v>
      </c>
      <c r="D39" s="246">
        <f t="shared" si="61"/>
        <v>1000000</v>
      </c>
      <c r="E39" s="246" t="str">
        <f t="shared" si="61"/>
        <v>EUR</v>
      </c>
      <c r="F39" s="249" t="str">
        <f t="shared" si="61"/>
        <v>RECEIVER</v>
      </c>
      <c r="G39" s="277" t="str">
        <f t="shared" si="61"/>
        <v>11Y</v>
      </c>
      <c r="H39" s="206">
        <f t="shared" si="61"/>
        <v>0.05</v>
      </c>
      <c r="I39" s="99" t="str">
        <f t="shared" si="61"/>
        <v>6ML</v>
      </c>
      <c r="J39" s="246">
        <f t="shared" si="42"/>
        <v>10</v>
      </c>
      <c r="K39" s="275">
        <f t="shared" si="42"/>
        <v>-1.31E-3</v>
      </c>
      <c r="L39" s="142" t="str">
        <f t="shared" si="61"/>
        <v>NOCSA</v>
      </c>
      <c r="M39" s="152">
        <f t="shared" si="47"/>
        <v>0.05</v>
      </c>
      <c r="N39" s="144" t="s">
        <v>25</v>
      </c>
      <c r="O39" s="144" t="s">
        <v>19</v>
      </c>
      <c r="P39" s="144" t="s">
        <v>21</v>
      </c>
      <c r="Q39" s="144" t="s">
        <v>2</v>
      </c>
      <c r="R39" s="192"/>
      <c r="S39" s="192"/>
      <c r="T39" s="145">
        <f t="shared" si="48"/>
        <v>23</v>
      </c>
      <c r="U39" s="144" t="s">
        <v>146</v>
      </c>
      <c r="V39" s="144" t="s">
        <v>147</v>
      </c>
      <c r="W39" s="145" t="str">
        <f t="shared" si="43"/>
        <v>EUR6ML</v>
      </c>
      <c r="X39" s="146">
        <f t="shared" si="49"/>
        <v>10</v>
      </c>
      <c r="Y39" s="183" t="s">
        <v>124</v>
      </c>
      <c r="Z39" s="144" t="s">
        <v>6</v>
      </c>
      <c r="AA39" s="144" t="s">
        <v>21</v>
      </c>
      <c r="AB39" s="144" t="s">
        <v>2</v>
      </c>
      <c r="AC39" s="192"/>
      <c r="AD39" s="192"/>
      <c r="AE39" s="145">
        <f t="shared" si="50"/>
        <v>23</v>
      </c>
      <c r="AF39" s="144" t="s">
        <v>146</v>
      </c>
      <c r="AG39" s="147">
        <f>_xll.mirGetDate(COB,"-"&amp;AF39,$AA39,$AB39)</f>
        <v>42419</v>
      </c>
      <c r="AH39" s="148" t="s">
        <v>34</v>
      </c>
      <c r="AI39" s="149"/>
      <c r="AJ39" s="144" t="s">
        <v>146</v>
      </c>
      <c r="AK39" s="144" t="s">
        <v>147</v>
      </c>
      <c r="AL39" s="145" t="str">
        <f t="shared" si="51"/>
        <v>NOCSA</v>
      </c>
      <c r="AM39" s="145" t="str">
        <f t="shared" si="44"/>
        <v>EURYC_BASE</v>
      </c>
      <c r="AN39" s="145" t="str">
        <f t="shared" si="53"/>
        <v>EURDF_NOCSA</v>
      </c>
      <c r="AO39" s="145" t="str">
        <f t="shared" si="45"/>
        <v>Spline</v>
      </c>
      <c r="AP39" s="144" t="b">
        <v>1</v>
      </c>
      <c r="AQ39" s="150" t="b">
        <v>0</v>
      </c>
      <c r="AR39" s="203">
        <f ca="1">IF(AND(NOW(),isEUR6MLLoaded),_xll.mirGetParRate4($B39,$G39,$AM39,$N39,$O39,$P39,$Q39,$R39,$S39,$T39,$U39,$V39,$Y39,$Z39,$AA39,$AB39,$AC39,$AD39,$AE39,$AF39,$AH39,$AI39,$AJ39,$AK39,$AO39,$W39,$AN39,$AP39,$AQ39,$J39),"LOAD CURVE")</f>
        <v>8.6461228779303404E-3</v>
      </c>
      <c r="AS39" s="151">
        <f ca="1">IF(AND(NOW(),isEUR6MLLoaded),_xll.mirSwapPV($D39,$F39,$B39,$G39,$AM39,$M39,$N39,$O39,$P39,$Q39,$R39,$S39,$T39,$U39,$V39,$X39,$Y39,$Z39,$AA39,$AB39,$AC39,$AD39,$AE39,$AF39,$AH39,$AI39,$AJ39,$AK39,$AO39,$W39,$AN39,$AP39,$AQ39),"LOAD CURVE")</f>
        <v>450612.38310518145</v>
      </c>
      <c r="AT39" s="168">
        <f ca="1">IF(AND(NOW(),isEUR6MLLoaded),_xll.mirSwapPV01($D39,$F39,$B39,$G39,$AM39,$N39,$O39,$P39,$Q39,$R39,$S39,$T39,$U39,$V39,$X39,$Y39,$Z39,$AA39,$AB39,$AC39,$AD39,$AE39,$AF39,$AH39,$AI39,$AJ39,$AK39,$AO39,$W39,$AN39,$AP39,$AQ39),"LOAD CURVE")</f>
        <v>1089.649663984467</v>
      </c>
      <c r="AU39" s="252"/>
      <c r="AV39" s="252"/>
      <c r="AW39" s="232"/>
      <c r="AX39" s="116"/>
    </row>
    <row r="40" spans="1:50" x14ac:dyDescent="0.25">
      <c r="A40" s="210">
        <v>12</v>
      </c>
      <c r="B40" s="139">
        <f t="shared" ref="B40:L40" si="62">B17</f>
        <v>42423</v>
      </c>
      <c r="C40" s="258" t="str">
        <f t="shared" si="62"/>
        <v>2D</v>
      </c>
      <c r="D40" s="246">
        <f t="shared" si="62"/>
        <v>1000000</v>
      </c>
      <c r="E40" s="246" t="str">
        <f t="shared" si="62"/>
        <v>EUR</v>
      </c>
      <c r="F40" s="249" t="str">
        <f t="shared" si="62"/>
        <v>RECEIVER</v>
      </c>
      <c r="G40" s="277" t="str">
        <f t="shared" si="62"/>
        <v>12Y</v>
      </c>
      <c r="H40" s="206">
        <f t="shared" si="62"/>
        <v>0.05</v>
      </c>
      <c r="I40" s="99" t="str">
        <f t="shared" si="62"/>
        <v>6ML</v>
      </c>
      <c r="J40" s="246">
        <f t="shared" si="42"/>
        <v>10</v>
      </c>
      <c r="K40" s="275">
        <f t="shared" si="42"/>
        <v>-1.31E-3</v>
      </c>
      <c r="L40" s="142" t="str">
        <f t="shared" si="62"/>
        <v>NOCSA</v>
      </c>
      <c r="M40" s="152">
        <f t="shared" si="47"/>
        <v>0.05</v>
      </c>
      <c r="N40" s="144" t="s">
        <v>25</v>
      </c>
      <c r="O40" s="144" t="s">
        <v>19</v>
      </c>
      <c r="P40" s="144" t="s">
        <v>21</v>
      </c>
      <c r="Q40" s="144" t="s">
        <v>2</v>
      </c>
      <c r="R40" s="192"/>
      <c r="S40" s="192"/>
      <c r="T40" s="145">
        <f t="shared" si="48"/>
        <v>23</v>
      </c>
      <c r="U40" s="144" t="s">
        <v>146</v>
      </c>
      <c r="V40" s="144" t="s">
        <v>147</v>
      </c>
      <c r="W40" s="145" t="str">
        <f t="shared" si="43"/>
        <v>EUR6ML</v>
      </c>
      <c r="X40" s="146">
        <f t="shared" si="49"/>
        <v>10</v>
      </c>
      <c r="Y40" s="183" t="s">
        <v>124</v>
      </c>
      <c r="Z40" s="144" t="s">
        <v>6</v>
      </c>
      <c r="AA40" s="144" t="s">
        <v>21</v>
      </c>
      <c r="AB40" s="144" t="s">
        <v>2</v>
      </c>
      <c r="AC40" s="192"/>
      <c r="AD40" s="192"/>
      <c r="AE40" s="145">
        <f t="shared" si="50"/>
        <v>23</v>
      </c>
      <c r="AF40" s="144" t="s">
        <v>146</v>
      </c>
      <c r="AG40" s="147">
        <f>_xll.mirGetDate(COB,"-"&amp;AF40,$AA40,$AB40)</f>
        <v>42419</v>
      </c>
      <c r="AH40" s="148" t="s">
        <v>34</v>
      </c>
      <c r="AI40" s="149"/>
      <c r="AJ40" s="144" t="s">
        <v>146</v>
      </c>
      <c r="AK40" s="144" t="s">
        <v>147</v>
      </c>
      <c r="AL40" s="145" t="str">
        <f t="shared" si="51"/>
        <v>NOCSA</v>
      </c>
      <c r="AM40" s="145" t="str">
        <f t="shared" si="44"/>
        <v>EURYC_BASE</v>
      </c>
      <c r="AN40" s="145" t="str">
        <f t="shared" si="53"/>
        <v>EURDF_NOCSA</v>
      </c>
      <c r="AO40" s="145" t="str">
        <f t="shared" si="45"/>
        <v>Spline</v>
      </c>
      <c r="AP40" s="144" t="b">
        <v>1</v>
      </c>
      <c r="AQ40" s="150" t="b">
        <v>0</v>
      </c>
      <c r="AR40" s="203">
        <f ca="1">IF(AND(NOW(),isEUR6MLLoaded),_xll.mirGetParRate4($B40,$G40,$AM40,$N40,$O40,$P40,$Q40,$R40,$S40,$T40,$U40,$V40,$Y40,$Z40,$AA40,$AB40,$AC40,$AD40,$AE40,$AF40,$AH40,$AI40,$AJ40,$AK40,$AO40,$W40,$AN40,$AP40,$AQ40,$J40),"LOAD CURVE")</f>
        <v>9.4862860318462583E-3</v>
      </c>
      <c r="AS40" s="151">
        <f ca="1">IF(AND(NOW(),isEUR6MLLoaded),_xll.mirSwapPV($D40,$F40,$B40,$G40,$AM40,$M40,$N40,$O40,$P40,$Q40,$R40,$S40,$T40,$U40,$V40,$X40,$Y40,$Z40,$AA40,$AB40,$AC40,$AD40,$AE40,$AF40,$AH40,$AI40,$AJ40,$AK40,$AO40,$W40,$AN40,$AP40,$AQ40),"LOAD CURVE")</f>
        <v>478959.58874822262</v>
      </c>
      <c r="AT40" s="168">
        <f ca="1">IF(AND(NOW(),isEUR6MLLoaded),_xll.mirSwapPV01($D40,$F40,$B40,$G40,$AM40,$N40,$O40,$P40,$Q40,$R40,$S40,$T40,$U40,$V40,$X40,$Y40,$Z40,$AA40,$AB40,$AC40,$AD40,$AE40,$AF40,$AH40,$AI40,$AJ40,$AK40,$AO40,$W40,$AN40,$AP40,$AQ40),"LOAD CURVE")</f>
        <v>1182.2159506894732</v>
      </c>
      <c r="AU40" s="252"/>
      <c r="AV40" s="252"/>
      <c r="AW40" s="232"/>
      <c r="AX40" s="116"/>
    </row>
    <row r="41" spans="1:50" x14ac:dyDescent="0.25">
      <c r="A41" s="210">
        <v>13</v>
      </c>
      <c r="B41" s="139">
        <f t="shared" ref="B41:L41" si="63">B18</f>
        <v>42423</v>
      </c>
      <c r="C41" s="258" t="str">
        <f t="shared" si="63"/>
        <v>2D</v>
      </c>
      <c r="D41" s="246">
        <f t="shared" si="63"/>
        <v>1000000</v>
      </c>
      <c r="E41" s="246" t="str">
        <f t="shared" si="63"/>
        <v>EUR</v>
      </c>
      <c r="F41" s="249" t="str">
        <f t="shared" si="63"/>
        <v>RECEIVER</v>
      </c>
      <c r="G41" s="277" t="str">
        <f t="shared" si="63"/>
        <v>13Y</v>
      </c>
      <c r="H41" s="206">
        <f t="shared" si="63"/>
        <v>0.05</v>
      </c>
      <c r="I41" s="99" t="str">
        <f t="shared" si="63"/>
        <v>6ML</v>
      </c>
      <c r="J41" s="246">
        <f t="shared" si="42"/>
        <v>10</v>
      </c>
      <c r="K41" s="275">
        <f t="shared" si="42"/>
        <v>-1.31E-3</v>
      </c>
      <c r="L41" s="142" t="str">
        <f t="shared" si="63"/>
        <v>NOCSA</v>
      </c>
      <c r="M41" s="152">
        <f t="shared" si="47"/>
        <v>0.05</v>
      </c>
      <c r="N41" s="144" t="s">
        <v>25</v>
      </c>
      <c r="O41" s="144" t="s">
        <v>19</v>
      </c>
      <c r="P41" s="144" t="s">
        <v>21</v>
      </c>
      <c r="Q41" s="144" t="s">
        <v>2</v>
      </c>
      <c r="R41" s="192"/>
      <c r="S41" s="192"/>
      <c r="T41" s="145">
        <f t="shared" si="48"/>
        <v>23</v>
      </c>
      <c r="U41" s="144" t="s">
        <v>146</v>
      </c>
      <c r="V41" s="144" t="s">
        <v>147</v>
      </c>
      <c r="W41" s="145" t="str">
        <f t="shared" si="43"/>
        <v>EUR6ML</v>
      </c>
      <c r="X41" s="146">
        <f t="shared" si="49"/>
        <v>10</v>
      </c>
      <c r="Y41" s="183" t="s">
        <v>124</v>
      </c>
      <c r="Z41" s="144" t="s">
        <v>6</v>
      </c>
      <c r="AA41" s="144" t="s">
        <v>21</v>
      </c>
      <c r="AB41" s="144" t="s">
        <v>2</v>
      </c>
      <c r="AC41" s="192"/>
      <c r="AD41" s="192"/>
      <c r="AE41" s="145">
        <f t="shared" si="50"/>
        <v>23</v>
      </c>
      <c r="AF41" s="144" t="s">
        <v>146</v>
      </c>
      <c r="AG41" s="147">
        <f>_xll.mirGetDate(COB,"-"&amp;AF41,$AA41,$AB41)</f>
        <v>42419</v>
      </c>
      <c r="AH41" s="148" t="s">
        <v>34</v>
      </c>
      <c r="AI41" s="149"/>
      <c r="AJ41" s="144" t="s">
        <v>146</v>
      </c>
      <c r="AK41" s="144" t="s">
        <v>147</v>
      </c>
      <c r="AL41" s="145" t="str">
        <f t="shared" si="51"/>
        <v>NOCSA</v>
      </c>
      <c r="AM41" s="145" t="str">
        <f t="shared" si="44"/>
        <v>EURYC_BASE</v>
      </c>
      <c r="AN41" s="145" t="str">
        <f t="shared" si="53"/>
        <v>EURDF_NOCSA</v>
      </c>
      <c r="AO41" s="145" t="str">
        <f t="shared" si="45"/>
        <v>Spline</v>
      </c>
      <c r="AP41" s="144" t="b">
        <v>1</v>
      </c>
      <c r="AQ41" s="150" t="b">
        <v>0</v>
      </c>
      <c r="AR41" s="203">
        <f ca="1">IF(AND(NOW(),isEUR6MLLoaded),_xll.mirGetParRate4($B41,$G41,$AM41,$N41,$O41,$P41,$Q41,$R41,$S41,$T41,$U41,$V41,$Y41,$Z41,$AA41,$AB41,$AC41,$AD41,$AE41,$AF41,$AH41,$AI41,$AJ41,$AK41,$AO41,$W41,$AN41,$AP41,$AQ41,$J41),"LOAD CURVE")</f>
        <v>1.0206398529214901E-2</v>
      </c>
      <c r="AS41" s="151">
        <f ca="1">IF(AND(NOW(),isEUR6MLLoaded),_xll.mirSwapPV($D41,$F41,$B41,$G41,$AM41,$M41,$N41,$O41,$P41,$Q41,$R41,$S41,$T41,$U41,$V41,$X41,$Y41,$Z41,$AA41,$AB41,$AC41,$AD41,$AE41,$AF41,$AH41,$AI41,$AJ41,$AK41,$AO41,$W41,$AN41,$AP41,$AQ41),"LOAD CURVE")</f>
        <v>506662.47361633397</v>
      </c>
      <c r="AT41" s="168">
        <f ca="1">IF(AND(NOW(),isEUR6MLLoaded),_xll.mirSwapPV01($D41,$F41,$B41,$G41,$AM41,$N41,$O41,$P41,$Q41,$R41,$S41,$T41,$U41,$V41,$X41,$Y41,$Z41,$AA41,$AB41,$AC41,$AD41,$AE41,$AF41,$AH41,$AI41,$AJ41,$AK41,$AO41,$W41,$AN41,$AP41,$AQ41),"LOAD CURVE")</f>
        <v>1273.2259832986106</v>
      </c>
      <c r="AU41" s="252"/>
      <c r="AV41" s="252"/>
      <c r="AW41" s="232"/>
      <c r="AX41" s="116"/>
    </row>
    <row r="42" spans="1:50" x14ac:dyDescent="0.25">
      <c r="A42" s="210">
        <v>14</v>
      </c>
      <c r="B42" s="139">
        <f t="shared" ref="B42:L42" si="64">B19</f>
        <v>42423</v>
      </c>
      <c r="C42" s="258" t="str">
        <f t="shared" si="64"/>
        <v>2D</v>
      </c>
      <c r="D42" s="246">
        <f t="shared" si="64"/>
        <v>1000000</v>
      </c>
      <c r="E42" s="246" t="str">
        <f t="shared" si="64"/>
        <v>EUR</v>
      </c>
      <c r="F42" s="249" t="str">
        <f t="shared" si="64"/>
        <v>RECEIVER</v>
      </c>
      <c r="G42" s="277" t="str">
        <f t="shared" si="64"/>
        <v>14Y</v>
      </c>
      <c r="H42" s="206">
        <f t="shared" si="64"/>
        <v>0.05</v>
      </c>
      <c r="I42" s="99" t="str">
        <f t="shared" si="64"/>
        <v>6ML</v>
      </c>
      <c r="J42" s="246">
        <f t="shared" si="42"/>
        <v>10</v>
      </c>
      <c r="K42" s="275">
        <f t="shared" si="42"/>
        <v>-1.31E-3</v>
      </c>
      <c r="L42" s="142" t="str">
        <f t="shared" si="64"/>
        <v>NOCSA</v>
      </c>
      <c r="M42" s="152">
        <f t="shared" si="47"/>
        <v>0.05</v>
      </c>
      <c r="N42" s="144" t="s">
        <v>25</v>
      </c>
      <c r="O42" s="144" t="s">
        <v>19</v>
      </c>
      <c r="P42" s="144" t="s">
        <v>21</v>
      </c>
      <c r="Q42" s="144" t="s">
        <v>2</v>
      </c>
      <c r="R42" s="192"/>
      <c r="S42" s="192"/>
      <c r="T42" s="145">
        <f t="shared" si="48"/>
        <v>23</v>
      </c>
      <c r="U42" s="144" t="s">
        <v>146</v>
      </c>
      <c r="V42" s="144" t="s">
        <v>147</v>
      </c>
      <c r="W42" s="145" t="str">
        <f t="shared" si="43"/>
        <v>EUR6ML</v>
      </c>
      <c r="X42" s="146">
        <f t="shared" si="49"/>
        <v>10</v>
      </c>
      <c r="Y42" s="183" t="s">
        <v>124</v>
      </c>
      <c r="Z42" s="144" t="s">
        <v>6</v>
      </c>
      <c r="AA42" s="144" t="s">
        <v>21</v>
      </c>
      <c r="AB42" s="144" t="s">
        <v>2</v>
      </c>
      <c r="AC42" s="192"/>
      <c r="AD42" s="192"/>
      <c r="AE42" s="145">
        <f t="shared" si="50"/>
        <v>23</v>
      </c>
      <c r="AF42" s="144" t="s">
        <v>146</v>
      </c>
      <c r="AG42" s="147">
        <f>_xll.mirGetDate(COB,"-"&amp;AF42,$AA42,$AB42)</f>
        <v>42419</v>
      </c>
      <c r="AH42" s="148" t="s">
        <v>34</v>
      </c>
      <c r="AI42" s="149"/>
      <c r="AJ42" s="144" t="s">
        <v>146</v>
      </c>
      <c r="AK42" s="144" t="s">
        <v>147</v>
      </c>
      <c r="AL42" s="145" t="str">
        <f t="shared" si="51"/>
        <v>NOCSA</v>
      </c>
      <c r="AM42" s="145" t="str">
        <f t="shared" si="44"/>
        <v>EURYC_BASE</v>
      </c>
      <c r="AN42" s="145" t="str">
        <f t="shared" si="53"/>
        <v>EURDF_NOCSA</v>
      </c>
      <c r="AO42" s="145" t="str">
        <f t="shared" si="45"/>
        <v>Spline</v>
      </c>
      <c r="AP42" s="144" t="b">
        <v>1</v>
      </c>
      <c r="AQ42" s="150" t="b">
        <v>0</v>
      </c>
      <c r="AR42" s="203">
        <f ca="1">IF(AND(NOW(),isEUR6MLLoaded),_xll.mirGetParRate4($B42,$G42,$AM42,$N42,$O42,$P42,$Q42,$R42,$S42,$T42,$U42,$V42,$Y42,$Z42,$AA42,$AB42,$AC42,$AD42,$AE42,$AF42,$AH42,$AI42,$AJ42,$AK42,$AO42,$W42,$AN42,$AP42,$AQ42,$J42),"LOAD CURVE")</f>
        <v>1.0816213885562427E-2</v>
      </c>
      <c r="AS42" s="151">
        <f ca="1">IF(AND(NOW(),isEUR6MLLoaded),_xll.mirSwapPV($D42,$F42,$B42,$G42,$AM42,$M42,$N42,$O42,$P42,$Q42,$R42,$S42,$T42,$U42,$V42,$X42,$Y42,$Z42,$AA42,$AB42,$AC42,$AD42,$AE42,$AF42,$AH42,$AI42,$AJ42,$AK42,$AO42,$W42,$AN42,$AP42,$AQ42),"LOAD CURVE")</f>
        <v>534145.64689406077</v>
      </c>
      <c r="AT42" s="168">
        <f ca="1">IF(AND(NOW(),isEUR6MLLoaded),_xll.mirSwapPV01($D42,$F42,$B42,$G42,$AM42,$N42,$O42,$P42,$Q42,$R42,$S42,$T42,$U42,$V42,$X42,$Y42,$Z42,$AA42,$AB42,$AC42,$AD42,$AE42,$AF42,$AH42,$AI42,$AJ42,$AK42,$AO42,$W42,$AN42,$AP42,$AQ42),"LOAD CURVE")</f>
        <v>1363.1802841462802</v>
      </c>
      <c r="AU42" s="252"/>
      <c r="AV42" s="252"/>
      <c r="AW42" s="232"/>
      <c r="AX42" s="116"/>
    </row>
    <row r="43" spans="1:50" x14ac:dyDescent="0.25">
      <c r="A43" s="210">
        <v>15</v>
      </c>
      <c r="B43" s="139">
        <f t="shared" ref="B43:L43" si="65">B20</f>
        <v>42423</v>
      </c>
      <c r="C43" s="258" t="str">
        <f t="shared" si="65"/>
        <v>2D</v>
      </c>
      <c r="D43" s="246">
        <f t="shared" si="65"/>
        <v>1000000</v>
      </c>
      <c r="E43" s="246" t="str">
        <f t="shared" si="65"/>
        <v>EUR</v>
      </c>
      <c r="F43" s="249" t="str">
        <f t="shared" si="65"/>
        <v>RECEIVER</v>
      </c>
      <c r="G43" s="277" t="str">
        <f t="shared" si="65"/>
        <v>15Y</v>
      </c>
      <c r="H43" s="206">
        <f t="shared" si="65"/>
        <v>0.05</v>
      </c>
      <c r="I43" s="99" t="str">
        <f t="shared" si="65"/>
        <v>6ML</v>
      </c>
      <c r="J43" s="246">
        <f t="shared" si="42"/>
        <v>10</v>
      </c>
      <c r="K43" s="275">
        <f t="shared" si="42"/>
        <v>-1.31E-3</v>
      </c>
      <c r="L43" s="142" t="str">
        <f t="shared" si="65"/>
        <v>NOCSA</v>
      </c>
      <c r="M43" s="152">
        <f t="shared" si="47"/>
        <v>0.05</v>
      </c>
      <c r="N43" s="144" t="s">
        <v>25</v>
      </c>
      <c r="O43" s="144" t="s">
        <v>19</v>
      </c>
      <c r="P43" s="144" t="s">
        <v>21</v>
      </c>
      <c r="Q43" s="144" t="s">
        <v>2</v>
      </c>
      <c r="R43" s="192"/>
      <c r="S43" s="192"/>
      <c r="T43" s="145">
        <f t="shared" si="48"/>
        <v>23</v>
      </c>
      <c r="U43" s="144" t="s">
        <v>146</v>
      </c>
      <c r="V43" s="144" t="s">
        <v>147</v>
      </c>
      <c r="W43" s="145" t="str">
        <f t="shared" si="43"/>
        <v>EUR6ML</v>
      </c>
      <c r="X43" s="146">
        <f t="shared" si="49"/>
        <v>10</v>
      </c>
      <c r="Y43" s="183" t="s">
        <v>124</v>
      </c>
      <c r="Z43" s="144" t="s">
        <v>6</v>
      </c>
      <c r="AA43" s="144" t="s">
        <v>21</v>
      </c>
      <c r="AB43" s="144" t="s">
        <v>2</v>
      </c>
      <c r="AC43" s="192"/>
      <c r="AD43" s="192"/>
      <c r="AE43" s="145">
        <f t="shared" si="50"/>
        <v>23</v>
      </c>
      <c r="AF43" s="144" t="s">
        <v>146</v>
      </c>
      <c r="AG43" s="147">
        <f>_xll.mirGetDate(COB,"-"&amp;AF43,$AA43,$AB43)</f>
        <v>42419</v>
      </c>
      <c r="AH43" s="148" t="s">
        <v>34</v>
      </c>
      <c r="AI43" s="149"/>
      <c r="AJ43" s="144" t="s">
        <v>146</v>
      </c>
      <c r="AK43" s="144" t="s">
        <v>147</v>
      </c>
      <c r="AL43" s="145" t="str">
        <f t="shared" si="51"/>
        <v>NOCSA</v>
      </c>
      <c r="AM43" s="145" t="str">
        <f t="shared" si="44"/>
        <v>EURYC_BASE</v>
      </c>
      <c r="AN43" s="145" t="str">
        <f t="shared" si="53"/>
        <v>EURDF_NOCSA</v>
      </c>
      <c r="AO43" s="145" t="str">
        <f t="shared" si="45"/>
        <v>Spline</v>
      </c>
      <c r="AP43" s="144" t="b">
        <v>1</v>
      </c>
      <c r="AQ43" s="150" t="b">
        <v>0</v>
      </c>
      <c r="AR43" s="203">
        <f ca="1">IF(AND(NOW(),isEUR6MLLoaded),_xll.mirGetParRate4($B43,$G43,$AM43,$N43,$O43,$P43,$Q43,$R43,$S43,$T43,$U43,$V43,$Y43,$Z43,$AA43,$AB43,$AC43,$AD43,$AE43,$AF43,$AH43,$AI43,$AJ43,$AK43,$AO43,$W43,$AN43,$AP43,$AQ43,$J43),"LOAD CURVE")</f>
        <v>1.1316833132499295E-2</v>
      </c>
      <c r="AS43" s="151">
        <f ca="1">IF(AND(NOW(),isEUR6MLLoaded),_xll.mirSwapPV($D43,$F43,$B43,$G43,$AM43,$M43,$N43,$O43,$P43,$Q43,$R43,$S43,$T43,$U43,$V43,$X43,$Y43,$Z43,$AA43,$AB43,$AC43,$AD43,$AE43,$AF43,$AH43,$AI43,$AJ43,$AK43,$AO43,$W43,$AN43,$AP43,$AQ43),"LOAD CURVE")</f>
        <v>561224.71694489068</v>
      </c>
      <c r="AT43" s="168">
        <f ca="1">IF(AND(NOW(),isEUR6MLLoaded),_xll.mirSwapPV01($D43,$F43,$B43,$G43,$AM43,$N43,$O43,$P43,$Q43,$R43,$S43,$T43,$U43,$V43,$X43,$Y43,$Z43,$AA43,$AB43,$AC43,$AD43,$AE43,$AF43,$AH43,$AI43,$AJ43,$AK43,$AO43,$W43,$AN43,$AP43,$AQ43),"LOAD CURVE")</f>
        <v>1450.8241242688907</v>
      </c>
      <c r="AU43" s="252"/>
      <c r="AV43" s="252"/>
      <c r="AW43" s="232"/>
      <c r="AX43" s="116"/>
    </row>
    <row r="44" spans="1:50" x14ac:dyDescent="0.25">
      <c r="A44" s="210">
        <v>16</v>
      </c>
      <c r="B44" s="139">
        <f t="shared" ref="B44:L44" si="66">B21</f>
        <v>42423</v>
      </c>
      <c r="C44" s="258" t="str">
        <f t="shared" si="66"/>
        <v>2D</v>
      </c>
      <c r="D44" s="246">
        <f t="shared" si="66"/>
        <v>1000000</v>
      </c>
      <c r="E44" s="246" t="str">
        <f t="shared" si="66"/>
        <v>EUR</v>
      </c>
      <c r="F44" s="249" t="str">
        <f t="shared" si="66"/>
        <v>RECEIVER</v>
      </c>
      <c r="G44" s="277" t="str">
        <f t="shared" si="66"/>
        <v>16Y</v>
      </c>
      <c r="H44" s="206">
        <f t="shared" si="66"/>
        <v>0.05</v>
      </c>
      <c r="I44" s="99" t="str">
        <f t="shared" si="66"/>
        <v>6ML</v>
      </c>
      <c r="J44" s="246">
        <f t="shared" si="42"/>
        <v>10</v>
      </c>
      <c r="K44" s="275">
        <f t="shared" si="42"/>
        <v>-1.31E-3</v>
      </c>
      <c r="L44" s="142" t="str">
        <f t="shared" si="66"/>
        <v>NOCSA</v>
      </c>
      <c r="M44" s="152">
        <f t="shared" si="47"/>
        <v>0.05</v>
      </c>
      <c r="N44" s="144" t="s">
        <v>25</v>
      </c>
      <c r="O44" s="144" t="s">
        <v>19</v>
      </c>
      <c r="P44" s="144" t="s">
        <v>21</v>
      </c>
      <c r="Q44" s="144" t="s">
        <v>2</v>
      </c>
      <c r="R44" s="192"/>
      <c r="S44" s="192"/>
      <c r="T44" s="145">
        <f t="shared" si="48"/>
        <v>23</v>
      </c>
      <c r="U44" s="144" t="s">
        <v>146</v>
      </c>
      <c r="V44" s="144" t="s">
        <v>147</v>
      </c>
      <c r="W44" s="145" t="str">
        <f t="shared" si="43"/>
        <v>EUR6ML</v>
      </c>
      <c r="X44" s="146">
        <f t="shared" si="49"/>
        <v>10</v>
      </c>
      <c r="Y44" s="183" t="s">
        <v>124</v>
      </c>
      <c r="Z44" s="144" t="s">
        <v>6</v>
      </c>
      <c r="AA44" s="144" t="s">
        <v>21</v>
      </c>
      <c r="AB44" s="144" t="s">
        <v>2</v>
      </c>
      <c r="AC44" s="192"/>
      <c r="AD44" s="192"/>
      <c r="AE44" s="145">
        <f t="shared" si="50"/>
        <v>23</v>
      </c>
      <c r="AF44" s="144" t="s">
        <v>146</v>
      </c>
      <c r="AG44" s="147">
        <f>_xll.mirGetDate(COB,"-"&amp;AF44,$AA44,$AB44)</f>
        <v>42419</v>
      </c>
      <c r="AH44" s="148" t="s">
        <v>34</v>
      </c>
      <c r="AI44" s="149"/>
      <c r="AJ44" s="144" t="s">
        <v>146</v>
      </c>
      <c r="AK44" s="144" t="s">
        <v>147</v>
      </c>
      <c r="AL44" s="145" t="str">
        <f t="shared" si="51"/>
        <v>NOCSA</v>
      </c>
      <c r="AM44" s="145" t="str">
        <f t="shared" si="44"/>
        <v>EURYC_BASE</v>
      </c>
      <c r="AN44" s="145" t="str">
        <f t="shared" si="53"/>
        <v>EURDF_NOCSA</v>
      </c>
      <c r="AO44" s="145" t="str">
        <f t="shared" si="45"/>
        <v>Spline</v>
      </c>
      <c r="AP44" s="144" t="b">
        <v>1</v>
      </c>
      <c r="AQ44" s="150" t="b">
        <v>0</v>
      </c>
      <c r="AR44" s="203">
        <f ca="1">IF(AND(NOW(),isEUR6MLLoaded),_xll.mirGetParRate4($B44,$G44,$AM44,$N44,$O44,$P44,$Q44,$R44,$S44,$T44,$U44,$V44,$Y44,$Z44,$AA44,$AB44,$AC44,$AD44,$AE44,$AF44,$AH44,$AI44,$AJ44,$AK44,$AO44,$W44,$AN44,$AP44,$AQ44,$J44),"LOAD CURVE")</f>
        <v>1.1721941724182772E-2</v>
      </c>
      <c r="AS44" s="151">
        <f ca="1">IF(AND(NOW(),isEUR6MLLoaded),_xll.mirSwapPV($D44,$F44,$B44,$G44,$AM44,$M44,$N44,$O44,$P44,$Q44,$R44,$S44,$T44,$U44,$V44,$X44,$Y44,$Z44,$AA44,$AB44,$AC44,$AD44,$AE44,$AF44,$AH44,$AI44,$AJ44,$AK44,$AO44,$W44,$AN44,$AP44,$AQ44),"LOAD CURVE")</f>
        <v>588326.59109623416</v>
      </c>
      <c r="AT44" s="168">
        <f ca="1">IF(AND(NOW(),isEUR6MLLoaded),_xll.mirSwapPV01($D44,$F44,$B44,$G44,$AM44,$N44,$O44,$P44,$Q44,$R44,$S44,$T44,$U44,$V44,$X44,$Y44,$Z44,$AA44,$AB44,$AC44,$AD44,$AE44,$AF44,$AH44,$AI44,$AJ44,$AK44,$AO44,$W44,$AN44,$AP44,$AQ44),"LOAD CURVE")</f>
        <v>1536.9812827416035</v>
      </c>
      <c r="AU44" s="252"/>
      <c r="AV44" s="252"/>
      <c r="AW44" s="232"/>
      <c r="AX44" s="116"/>
    </row>
    <row r="45" spans="1:50" x14ac:dyDescent="0.25">
      <c r="A45" s="210">
        <v>17</v>
      </c>
      <c r="B45" s="139">
        <f t="shared" ref="B45:L45" si="67">B22</f>
        <v>42423</v>
      </c>
      <c r="C45" s="258" t="str">
        <f t="shared" si="67"/>
        <v>2D</v>
      </c>
      <c r="D45" s="246">
        <f t="shared" si="67"/>
        <v>1000000</v>
      </c>
      <c r="E45" s="246" t="str">
        <f t="shared" si="67"/>
        <v>EUR</v>
      </c>
      <c r="F45" s="249" t="str">
        <f t="shared" si="67"/>
        <v>RECEIVER</v>
      </c>
      <c r="G45" s="277" t="str">
        <f t="shared" si="67"/>
        <v>17Y</v>
      </c>
      <c r="H45" s="206">
        <f t="shared" si="67"/>
        <v>0.05</v>
      </c>
      <c r="I45" s="99" t="str">
        <f t="shared" si="67"/>
        <v>6ML</v>
      </c>
      <c r="J45" s="246">
        <f t="shared" si="42"/>
        <v>10</v>
      </c>
      <c r="K45" s="275">
        <f t="shared" si="42"/>
        <v>-1.31E-3</v>
      </c>
      <c r="L45" s="142" t="str">
        <f t="shared" si="67"/>
        <v>NOCSA</v>
      </c>
      <c r="M45" s="152">
        <f t="shared" si="47"/>
        <v>0.05</v>
      </c>
      <c r="N45" s="144" t="s">
        <v>25</v>
      </c>
      <c r="O45" s="144" t="s">
        <v>19</v>
      </c>
      <c r="P45" s="144" t="s">
        <v>21</v>
      </c>
      <c r="Q45" s="144" t="s">
        <v>2</v>
      </c>
      <c r="R45" s="192"/>
      <c r="S45" s="192"/>
      <c r="T45" s="145">
        <f t="shared" si="48"/>
        <v>23</v>
      </c>
      <c r="U45" s="144" t="s">
        <v>146</v>
      </c>
      <c r="V45" s="144" t="s">
        <v>147</v>
      </c>
      <c r="W45" s="145" t="str">
        <f t="shared" si="43"/>
        <v>EUR6ML</v>
      </c>
      <c r="X45" s="146">
        <f t="shared" si="49"/>
        <v>10</v>
      </c>
      <c r="Y45" s="183" t="s">
        <v>124</v>
      </c>
      <c r="Z45" s="144" t="s">
        <v>6</v>
      </c>
      <c r="AA45" s="144" t="s">
        <v>21</v>
      </c>
      <c r="AB45" s="144" t="s">
        <v>2</v>
      </c>
      <c r="AC45" s="192"/>
      <c r="AD45" s="192"/>
      <c r="AE45" s="145">
        <f t="shared" si="50"/>
        <v>23</v>
      </c>
      <c r="AF45" s="144" t="s">
        <v>146</v>
      </c>
      <c r="AG45" s="147">
        <f>_xll.mirGetDate(COB,"-"&amp;AF45,$AA45,$AB45)</f>
        <v>42419</v>
      </c>
      <c r="AH45" s="148" t="s">
        <v>34</v>
      </c>
      <c r="AI45" s="149"/>
      <c r="AJ45" s="144" t="s">
        <v>146</v>
      </c>
      <c r="AK45" s="144" t="s">
        <v>147</v>
      </c>
      <c r="AL45" s="145" t="str">
        <f t="shared" si="51"/>
        <v>NOCSA</v>
      </c>
      <c r="AM45" s="145" t="str">
        <f t="shared" si="44"/>
        <v>EURYC_BASE</v>
      </c>
      <c r="AN45" s="145" t="str">
        <f t="shared" si="53"/>
        <v>EURDF_NOCSA</v>
      </c>
      <c r="AO45" s="145" t="str">
        <f t="shared" si="45"/>
        <v>Spline</v>
      </c>
      <c r="AP45" s="144" t="b">
        <v>1</v>
      </c>
      <c r="AQ45" s="150" t="b">
        <v>0</v>
      </c>
      <c r="AR45" s="203">
        <f ca="1">IF(AND(NOW(),isEUR6MLLoaded),_xll.mirGetParRate4($B45,$G45,$AM45,$N45,$O45,$P45,$Q45,$R45,$S45,$T45,$U45,$V45,$Y45,$Z45,$AA45,$AB45,$AC45,$AD45,$AE45,$AF45,$AH45,$AI45,$AJ45,$AK45,$AO45,$W45,$AN45,$AP45,$AQ45,$J45),"LOAD CURVE")</f>
        <v>1.2049301307061756E-2</v>
      </c>
      <c r="AS45" s="151">
        <f ca="1">IF(AND(NOW(),isEUR6MLLoaded),_xll.mirSwapPV($D45,$F45,$B45,$G45,$AM45,$M45,$N45,$O45,$P45,$Q45,$R45,$S45,$T45,$U45,$V45,$X45,$Y45,$Z45,$AA45,$AB45,$AC45,$AD45,$AE45,$AF45,$AH45,$AI45,$AJ45,$AK45,$AO45,$W45,$AN45,$AP45,$AQ45),"LOAD CURVE")</f>
        <v>615554.47503961029</v>
      </c>
      <c r="AT45" s="168">
        <f ca="1">IF(AND(NOW(),isEUR6MLLoaded),_xll.mirSwapPV01($D45,$F45,$B45,$G45,$AM45,$N45,$O45,$P45,$Q45,$R45,$S45,$T45,$U45,$V45,$X45,$Y45,$Z45,$AA45,$AB45,$AC45,$AD45,$AE45,$AF45,$AH45,$AI45,$AJ45,$AK45,$AO45,$W45,$AN45,$AP45,$AQ45),"LOAD CURVE")</f>
        <v>1621.9845648168548</v>
      </c>
      <c r="AU45" s="252"/>
      <c r="AV45" s="252"/>
      <c r="AW45" s="232"/>
      <c r="AX45" s="116"/>
    </row>
    <row r="46" spans="1:50" x14ac:dyDescent="0.25">
      <c r="A46" s="210">
        <v>18</v>
      </c>
      <c r="B46" s="139">
        <f t="shared" ref="B46:L46" si="68">B23</f>
        <v>42423</v>
      </c>
      <c r="C46" s="258" t="str">
        <f t="shared" si="68"/>
        <v>2D</v>
      </c>
      <c r="D46" s="246">
        <f t="shared" si="68"/>
        <v>1000000</v>
      </c>
      <c r="E46" s="246" t="str">
        <f t="shared" si="68"/>
        <v>EUR</v>
      </c>
      <c r="F46" s="249" t="str">
        <f t="shared" si="68"/>
        <v>RECEIVER</v>
      </c>
      <c r="G46" s="277" t="str">
        <f t="shared" si="68"/>
        <v>18Y</v>
      </c>
      <c r="H46" s="206">
        <f t="shared" si="68"/>
        <v>0.05</v>
      </c>
      <c r="I46" s="99" t="str">
        <f t="shared" si="68"/>
        <v>6ML</v>
      </c>
      <c r="J46" s="246">
        <f t="shared" si="42"/>
        <v>10</v>
      </c>
      <c r="K46" s="275">
        <f t="shared" si="42"/>
        <v>-1.31E-3</v>
      </c>
      <c r="L46" s="142" t="str">
        <f t="shared" si="68"/>
        <v>NOCSA</v>
      </c>
      <c r="M46" s="152">
        <f t="shared" si="47"/>
        <v>0.05</v>
      </c>
      <c r="N46" s="144" t="s">
        <v>25</v>
      </c>
      <c r="O46" s="144" t="s">
        <v>19</v>
      </c>
      <c r="P46" s="144" t="s">
        <v>21</v>
      </c>
      <c r="Q46" s="144" t="s">
        <v>2</v>
      </c>
      <c r="R46" s="192"/>
      <c r="S46" s="192"/>
      <c r="T46" s="145">
        <f t="shared" si="48"/>
        <v>23</v>
      </c>
      <c r="U46" s="144" t="s">
        <v>146</v>
      </c>
      <c r="V46" s="144" t="s">
        <v>147</v>
      </c>
      <c r="W46" s="145" t="str">
        <f t="shared" si="43"/>
        <v>EUR6ML</v>
      </c>
      <c r="X46" s="146">
        <f t="shared" si="49"/>
        <v>10</v>
      </c>
      <c r="Y46" s="183" t="s">
        <v>124</v>
      </c>
      <c r="Z46" s="144" t="s">
        <v>6</v>
      </c>
      <c r="AA46" s="144" t="s">
        <v>21</v>
      </c>
      <c r="AB46" s="144" t="s">
        <v>2</v>
      </c>
      <c r="AC46" s="192"/>
      <c r="AD46" s="192"/>
      <c r="AE46" s="145">
        <f t="shared" si="50"/>
        <v>23</v>
      </c>
      <c r="AF46" s="144" t="s">
        <v>146</v>
      </c>
      <c r="AG46" s="147">
        <f>_xll.mirGetDate(COB,"-"&amp;AF46,$AA46,$AB46)</f>
        <v>42419</v>
      </c>
      <c r="AH46" s="148" t="s">
        <v>34</v>
      </c>
      <c r="AI46" s="149"/>
      <c r="AJ46" s="144" t="s">
        <v>146</v>
      </c>
      <c r="AK46" s="144" t="s">
        <v>147</v>
      </c>
      <c r="AL46" s="145" t="str">
        <f t="shared" si="51"/>
        <v>NOCSA</v>
      </c>
      <c r="AM46" s="145" t="str">
        <f t="shared" si="44"/>
        <v>EURYC_BASE</v>
      </c>
      <c r="AN46" s="145" t="str">
        <f t="shared" si="53"/>
        <v>EURDF_NOCSA</v>
      </c>
      <c r="AO46" s="145" t="str">
        <f t="shared" si="45"/>
        <v>Spline</v>
      </c>
      <c r="AP46" s="144" t="b">
        <v>1</v>
      </c>
      <c r="AQ46" s="150" t="b">
        <v>0</v>
      </c>
      <c r="AR46" s="203">
        <f ca="1">IF(AND(NOW(),isEUR6MLLoaded),_xll.mirGetParRate4($B46,$G46,$AM46,$N46,$O46,$P46,$Q46,$R46,$S46,$T46,$U46,$V46,$Y46,$Z46,$AA46,$AB46,$AC46,$AD46,$AE46,$AF46,$AH46,$AI46,$AJ46,$AK46,$AO46,$W46,$AN46,$AP46,$AQ46,$J46),"LOAD CURVE")</f>
        <v>1.2310343840088882E-2</v>
      </c>
      <c r="AS46" s="151">
        <f ca="1">IF(AND(NOW(),isEUR6MLLoaded),_xll.mirSwapPV($D46,$F46,$B46,$G46,$AM46,$M46,$N46,$O46,$P46,$Q46,$R46,$S46,$T46,$U46,$V46,$X46,$Y46,$Z46,$AA46,$AB46,$AC46,$AD46,$AE46,$AF46,$AH46,$AI46,$AJ46,$AK46,$AO46,$W46,$AN46,$AP46,$AQ46),"LOAD CURVE")</f>
        <v>642864.26554212125</v>
      </c>
      <c r="AT46" s="168">
        <f ca="1">IF(AND(NOW(),isEUR6MLLoaded),_xll.mirSwapPV01($D46,$F46,$B46,$G46,$AM46,$N46,$O46,$P46,$Q46,$R46,$S46,$T46,$U46,$V46,$X46,$Y46,$Z46,$AA46,$AB46,$AC46,$AD46,$AE46,$AF46,$AH46,$AI46,$AJ46,$AK46,$AO46,$W46,$AN46,$AP46,$AQ46),"LOAD CURVE")</f>
        <v>1705.6782444884934</v>
      </c>
      <c r="AU46" s="252"/>
      <c r="AV46" s="252"/>
      <c r="AW46" s="232"/>
      <c r="AX46" s="116"/>
    </row>
    <row r="47" spans="1:50" x14ac:dyDescent="0.25">
      <c r="A47" s="210">
        <v>19</v>
      </c>
      <c r="B47" s="139">
        <f t="shared" ref="B47:L47" si="69">B24</f>
        <v>42423</v>
      </c>
      <c r="C47" s="258" t="str">
        <f t="shared" si="69"/>
        <v>2D</v>
      </c>
      <c r="D47" s="246">
        <f t="shared" si="69"/>
        <v>1000000</v>
      </c>
      <c r="E47" s="246" t="str">
        <f t="shared" si="69"/>
        <v>EUR</v>
      </c>
      <c r="F47" s="249" t="str">
        <f t="shared" si="69"/>
        <v>RECEIVER</v>
      </c>
      <c r="G47" s="277" t="str">
        <f t="shared" si="69"/>
        <v>19Y</v>
      </c>
      <c r="H47" s="206">
        <f t="shared" si="69"/>
        <v>0.05</v>
      </c>
      <c r="I47" s="99" t="str">
        <f t="shared" si="69"/>
        <v>6ML</v>
      </c>
      <c r="J47" s="246">
        <f t="shared" si="42"/>
        <v>10</v>
      </c>
      <c r="K47" s="275">
        <f t="shared" si="42"/>
        <v>-1.31E-3</v>
      </c>
      <c r="L47" s="142" t="str">
        <f t="shared" si="69"/>
        <v>NOCSA</v>
      </c>
      <c r="M47" s="152">
        <f t="shared" si="47"/>
        <v>0.05</v>
      </c>
      <c r="N47" s="144" t="s">
        <v>25</v>
      </c>
      <c r="O47" s="144" t="s">
        <v>19</v>
      </c>
      <c r="P47" s="144" t="s">
        <v>21</v>
      </c>
      <c r="Q47" s="144" t="s">
        <v>2</v>
      </c>
      <c r="R47" s="192"/>
      <c r="S47" s="192"/>
      <c r="T47" s="145">
        <f t="shared" si="48"/>
        <v>23</v>
      </c>
      <c r="U47" s="144" t="s">
        <v>146</v>
      </c>
      <c r="V47" s="144" t="s">
        <v>147</v>
      </c>
      <c r="W47" s="145" t="str">
        <f t="shared" si="43"/>
        <v>EUR6ML</v>
      </c>
      <c r="X47" s="146">
        <f t="shared" si="49"/>
        <v>10</v>
      </c>
      <c r="Y47" s="183" t="s">
        <v>124</v>
      </c>
      <c r="Z47" s="144" t="s">
        <v>6</v>
      </c>
      <c r="AA47" s="144" t="s">
        <v>21</v>
      </c>
      <c r="AB47" s="144" t="s">
        <v>2</v>
      </c>
      <c r="AC47" s="192"/>
      <c r="AD47" s="192"/>
      <c r="AE47" s="145">
        <f t="shared" si="50"/>
        <v>23</v>
      </c>
      <c r="AF47" s="144" t="s">
        <v>146</v>
      </c>
      <c r="AG47" s="147">
        <f>_xll.mirGetDate(COB,"-"&amp;AF47,$AA47,$AB47)</f>
        <v>42419</v>
      </c>
      <c r="AH47" s="148" t="s">
        <v>34</v>
      </c>
      <c r="AI47" s="149"/>
      <c r="AJ47" s="144" t="s">
        <v>146</v>
      </c>
      <c r="AK47" s="144" t="s">
        <v>147</v>
      </c>
      <c r="AL47" s="145" t="str">
        <f t="shared" si="51"/>
        <v>NOCSA</v>
      </c>
      <c r="AM47" s="145" t="str">
        <f t="shared" si="44"/>
        <v>EURYC_BASE</v>
      </c>
      <c r="AN47" s="145" t="str">
        <f t="shared" si="53"/>
        <v>EURDF_NOCSA</v>
      </c>
      <c r="AO47" s="145" t="str">
        <f t="shared" si="45"/>
        <v>Spline</v>
      </c>
      <c r="AP47" s="144" t="b">
        <v>1</v>
      </c>
      <c r="AQ47" s="150" t="b">
        <v>0</v>
      </c>
      <c r="AR47" s="203">
        <f ca="1">IF(AND(NOW(),isEUR6MLLoaded),_xll.mirGetParRate4($B47,$G47,$AM47,$N47,$O47,$P47,$Q47,$R47,$S47,$T47,$U47,$V47,$Y47,$Z47,$AA47,$AB47,$AC47,$AD47,$AE47,$AF47,$AH47,$AI47,$AJ47,$AK47,$AO47,$W47,$AN47,$AP47,$AQ47,$J47),"LOAD CURVE")</f>
        <v>1.2516604861262607E-2</v>
      </c>
      <c r="AS47" s="151">
        <f ca="1">IF(AND(NOW(),isEUR6MLLoaded),_xll.mirSwapPV($D47,$F47,$B47,$G47,$AM47,$M47,$N47,$O47,$P47,$Q47,$R47,$S47,$T47,$U47,$V47,$X47,$Y47,$Z47,$AA47,$AB47,$AC47,$AD47,$AE47,$AF47,$AH47,$AI47,$AJ47,$AK47,$AO47,$W47,$AN47,$AP47,$AQ47),"LOAD CURVE")</f>
        <v>670247.6849125697</v>
      </c>
      <c r="AT47" s="168">
        <f ca="1">IF(AND(NOW(),isEUR6MLLoaded),_xll.mirSwapPV01($D47,$F47,$B47,$G47,$AM47,$N47,$O47,$P47,$Q47,$R47,$S47,$T47,$U47,$V47,$X47,$Y47,$Z47,$AA47,$AB47,$AC47,$AD47,$AE47,$AF47,$AH47,$AI47,$AJ47,$AK47,$AO47,$W47,$AN47,$AP47,$AQ47),"LOAD CURVE")</f>
        <v>1788.1189322145983</v>
      </c>
      <c r="AU47" s="252"/>
      <c r="AV47" s="252"/>
      <c r="AW47" s="232"/>
      <c r="AX47" s="116"/>
    </row>
    <row r="48" spans="1:50" x14ac:dyDescent="0.25">
      <c r="A48" s="210">
        <v>20</v>
      </c>
      <c r="B48" s="153">
        <f t="shared" ref="B48:L48" si="70">B25</f>
        <v>42423</v>
      </c>
      <c r="C48" s="259" t="str">
        <f t="shared" si="70"/>
        <v>2D</v>
      </c>
      <c r="D48" s="247">
        <f t="shared" si="70"/>
        <v>1000000</v>
      </c>
      <c r="E48" s="247" t="str">
        <f t="shared" si="70"/>
        <v>EUR</v>
      </c>
      <c r="F48" s="250" t="str">
        <f t="shared" si="70"/>
        <v>RECEIVER</v>
      </c>
      <c r="G48" s="278" t="str">
        <f t="shared" si="70"/>
        <v>20Y</v>
      </c>
      <c r="H48" s="207">
        <f t="shared" si="70"/>
        <v>0.05</v>
      </c>
      <c r="I48" s="283" t="str">
        <f t="shared" si="70"/>
        <v>6ML</v>
      </c>
      <c r="J48" s="247">
        <f t="shared" si="42"/>
        <v>10</v>
      </c>
      <c r="K48" s="276">
        <f t="shared" si="42"/>
        <v>-1.31E-3</v>
      </c>
      <c r="L48" s="156" t="str">
        <f t="shared" si="70"/>
        <v>NOCSA</v>
      </c>
      <c r="M48" s="157">
        <f t="shared" si="47"/>
        <v>0.05</v>
      </c>
      <c r="N48" s="158" t="s">
        <v>25</v>
      </c>
      <c r="O48" s="158" t="s">
        <v>19</v>
      </c>
      <c r="P48" s="158" t="s">
        <v>21</v>
      </c>
      <c r="Q48" s="158" t="s">
        <v>2</v>
      </c>
      <c r="R48" s="193"/>
      <c r="S48" s="193"/>
      <c r="T48" s="159">
        <f t="shared" si="48"/>
        <v>23</v>
      </c>
      <c r="U48" s="158" t="s">
        <v>146</v>
      </c>
      <c r="V48" s="158" t="s">
        <v>147</v>
      </c>
      <c r="W48" s="159" t="str">
        <f t="shared" si="43"/>
        <v>EUR6ML</v>
      </c>
      <c r="X48" s="160">
        <f t="shared" si="49"/>
        <v>10</v>
      </c>
      <c r="Y48" s="184" t="s">
        <v>124</v>
      </c>
      <c r="Z48" s="158" t="s">
        <v>6</v>
      </c>
      <c r="AA48" s="158" t="s">
        <v>21</v>
      </c>
      <c r="AB48" s="158" t="s">
        <v>2</v>
      </c>
      <c r="AC48" s="193"/>
      <c r="AD48" s="193"/>
      <c r="AE48" s="159">
        <f t="shared" si="50"/>
        <v>23</v>
      </c>
      <c r="AF48" s="158" t="s">
        <v>146</v>
      </c>
      <c r="AG48" s="161">
        <f>_xll.mirGetDate(COB,"-"&amp;AF48,$AA48,$AB48)</f>
        <v>42419</v>
      </c>
      <c r="AH48" s="162" t="s">
        <v>34</v>
      </c>
      <c r="AI48" s="163"/>
      <c r="AJ48" s="158" t="s">
        <v>146</v>
      </c>
      <c r="AK48" s="158" t="s">
        <v>147</v>
      </c>
      <c r="AL48" s="159" t="str">
        <f t="shared" si="51"/>
        <v>NOCSA</v>
      </c>
      <c r="AM48" s="159" t="str">
        <f t="shared" si="44"/>
        <v>EURYC_BASE</v>
      </c>
      <c r="AN48" s="159" t="str">
        <f t="shared" si="53"/>
        <v>EURDF_NOCSA</v>
      </c>
      <c r="AO48" s="159" t="str">
        <f t="shared" si="45"/>
        <v>Spline</v>
      </c>
      <c r="AP48" s="158" t="b">
        <v>1</v>
      </c>
      <c r="AQ48" s="164" t="b">
        <v>0</v>
      </c>
      <c r="AR48" s="204">
        <f ca="1">IF(AND(NOW(),isEUR6MLLoaded),_xll.mirGetParRate4($B48,$G48,$AM48,$N48,$O48,$P48,$Q48,$R48,$S48,$T48,$U48,$V48,$Y48,$Z48,$AA48,$AB48,$AC48,$AD48,$AE48,$AF48,$AH48,$AI48,$AJ48,$AK48,$AO48,$W48,$AN48,$AP48,$AQ48,$J48),"LOAD CURVE")</f>
        <v>1.2677192373512062E-2</v>
      </c>
      <c r="AS48" s="165">
        <f ca="1">IF(AND(NOW(),isEUR6MLLoaded),_xll.mirSwapPV($D48,$F48,$B48,$G48,$AM48,$M48,$N48,$O48,$P48,$Q48,$R48,$S48,$T48,$U48,$V48,$X48,$Y48,$Z48,$AA48,$AB48,$AC48,$AD48,$AE48,$AF48,$AH48,$AI48,$AJ48,$AK48,$AO48,$W48,$AN48,$AP48,$AQ48),"LOAD CURVE")</f>
        <v>697851.86412127991</v>
      </c>
      <c r="AT48" s="169">
        <f ca="1">IF(AND(NOW(),isEUR6MLLoaded),_xll.mirSwapPV01($D48,$F48,$B48,$G48,$AM48,$N48,$O48,$P48,$Q48,$R48,$S48,$T48,$U48,$V48,$X48,$Y48,$Z48,$AA48,$AB48,$AC48,$AD48,$AE48,$AF48,$AH48,$AI48,$AJ48,$AK48,$AO48,$W48,$AN48,$AP48,$AQ48),"LOAD CURVE")</f>
        <v>1869.7732258117032</v>
      </c>
      <c r="AU48" s="252"/>
      <c r="AV48" s="267">
        <f ca="1">IF(AND(NOW(),AT48=AT48),_xll.mirSwapDV01($D48,$F48,$B48,$G48,$AM48,$M48,$N48,$O48,$P48,$Q48,$R48,$S48,$T48,$U48,$V48,$X48,$Y48,$Z48,$AA48,$AB48,$AC48,$AD48,$AE48,$AF48,$AH48,$AI48,$AJ48,$AK48,$AO48,$W48,$AN48,$AP48,$AQ48),"LOAD")</f>
        <v>2603.7370061925285</v>
      </c>
      <c r="AW48" s="232"/>
      <c r="AX48" s="116"/>
    </row>
    <row r="49" spans="1:50" x14ac:dyDescent="0.25">
      <c r="AU49" s="252"/>
      <c r="AV49" s="252"/>
      <c r="AW49" s="232"/>
      <c r="AX49" s="116"/>
    </row>
    <row r="50" spans="1:50" ht="23.25" x14ac:dyDescent="0.35">
      <c r="B50" s="115" t="s">
        <v>199</v>
      </c>
      <c r="AU50" s="252"/>
      <c r="AV50" s="252"/>
      <c r="AW50" s="232"/>
      <c r="AX50" s="116"/>
    </row>
    <row r="51" spans="1:50" ht="45" x14ac:dyDescent="0.25">
      <c r="B51" s="117" t="s">
        <v>150</v>
      </c>
      <c r="C51" s="118" t="s">
        <v>151</v>
      </c>
      <c r="D51" s="118" t="s">
        <v>145</v>
      </c>
      <c r="E51" s="118" t="s">
        <v>16</v>
      </c>
      <c r="F51" s="118" t="s">
        <v>152</v>
      </c>
      <c r="G51" s="227" t="s">
        <v>153</v>
      </c>
      <c r="H51" s="187" t="s">
        <v>154</v>
      </c>
      <c r="I51" s="118" t="s">
        <v>155</v>
      </c>
      <c r="J51" s="263" t="s">
        <v>156</v>
      </c>
      <c r="K51" s="273" t="s">
        <v>157</v>
      </c>
      <c r="L51" s="118" t="s">
        <v>158</v>
      </c>
      <c r="M51" s="118" t="s">
        <v>154</v>
      </c>
      <c r="N51" s="118" t="s">
        <v>159</v>
      </c>
      <c r="O51" s="118" t="s">
        <v>160</v>
      </c>
      <c r="P51" s="118" t="s">
        <v>161</v>
      </c>
      <c r="Q51" s="118" t="s">
        <v>162</v>
      </c>
      <c r="R51" s="190" t="s">
        <v>163</v>
      </c>
      <c r="S51" s="190" t="s">
        <v>164</v>
      </c>
      <c r="T51" s="118" t="s">
        <v>165</v>
      </c>
      <c r="U51" s="118" t="s">
        <v>166</v>
      </c>
      <c r="V51" s="118" t="s">
        <v>167</v>
      </c>
      <c r="W51" s="118" t="s">
        <v>155</v>
      </c>
      <c r="X51" s="118" t="s">
        <v>168</v>
      </c>
      <c r="Y51" s="181" t="s">
        <v>169</v>
      </c>
      <c r="Z51" s="118" t="s">
        <v>170</v>
      </c>
      <c r="AA51" s="118" t="s">
        <v>171</v>
      </c>
      <c r="AB51" s="118" t="s">
        <v>172</v>
      </c>
      <c r="AC51" s="190" t="s">
        <v>173</v>
      </c>
      <c r="AD51" s="190" t="s">
        <v>174</v>
      </c>
      <c r="AE51" s="118" t="s">
        <v>175</v>
      </c>
      <c r="AF51" s="118" t="s">
        <v>176</v>
      </c>
      <c r="AG51" s="118" t="s">
        <v>177</v>
      </c>
      <c r="AH51" s="118" t="s">
        <v>157</v>
      </c>
      <c r="AI51" s="118" t="s">
        <v>178</v>
      </c>
      <c r="AJ51" s="118" t="s">
        <v>179</v>
      </c>
      <c r="AK51" s="118" t="s">
        <v>180</v>
      </c>
      <c r="AL51" s="118" t="s">
        <v>158</v>
      </c>
      <c r="AM51" s="118" t="s">
        <v>188</v>
      </c>
      <c r="AN51" s="118" t="s">
        <v>148</v>
      </c>
      <c r="AO51" s="118" t="s">
        <v>126</v>
      </c>
      <c r="AP51" s="118" t="s">
        <v>181</v>
      </c>
      <c r="AQ51" s="118" t="s">
        <v>149</v>
      </c>
      <c r="AR51" s="199" t="s">
        <v>182</v>
      </c>
      <c r="AS51" s="119" t="s">
        <v>183</v>
      </c>
      <c r="AT51" s="120" t="s">
        <v>184</v>
      </c>
      <c r="AU51" s="252"/>
      <c r="AV51" s="252"/>
      <c r="AW51" s="232"/>
      <c r="AX51" s="116"/>
    </row>
    <row r="52" spans="1:50" x14ac:dyDescent="0.25">
      <c r="A52" s="210">
        <v>1</v>
      </c>
      <c r="B52" s="121">
        <f>B6</f>
        <v>42423</v>
      </c>
      <c r="C52" s="256" t="str">
        <f t="shared" ref="C52:L52" si="71">C6</f>
        <v>2D</v>
      </c>
      <c r="D52" s="245">
        <f t="shared" si="71"/>
        <v>1000000</v>
      </c>
      <c r="E52" s="245" t="str">
        <f t="shared" si="71"/>
        <v>EUR</v>
      </c>
      <c r="F52" s="248" t="str">
        <f t="shared" si="71"/>
        <v>RECEIVER</v>
      </c>
      <c r="G52" s="281" t="str">
        <f t="shared" si="71"/>
        <v>1Y</v>
      </c>
      <c r="H52" s="205">
        <f t="shared" si="71"/>
        <v>0.05</v>
      </c>
      <c r="I52" s="282" t="str">
        <f t="shared" si="71"/>
        <v>6ML</v>
      </c>
      <c r="J52" s="264">
        <f t="shared" ref="J52:K71" si="72">J6</f>
        <v>10</v>
      </c>
      <c r="K52" s="274">
        <f t="shared" si="72"/>
        <v>-1.31E-3</v>
      </c>
      <c r="L52" s="124" t="str">
        <f t="shared" si="71"/>
        <v>NOCSA</v>
      </c>
      <c r="M52" s="125">
        <f>H52</f>
        <v>0.05</v>
      </c>
      <c r="N52" s="126" t="s">
        <v>25</v>
      </c>
      <c r="O52" s="127" t="s">
        <v>19</v>
      </c>
      <c r="P52" s="126" t="s">
        <v>21</v>
      </c>
      <c r="Q52" s="126" t="s">
        <v>2</v>
      </c>
      <c r="R52" s="191"/>
      <c r="S52" s="191"/>
      <c r="T52" s="129">
        <f>IF($B52="","",DAY($B52))</f>
        <v>23</v>
      </c>
      <c r="U52" s="130" t="s">
        <v>146</v>
      </c>
      <c r="V52" s="127" t="s">
        <v>147</v>
      </c>
      <c r="W52" s="131" t="str">
        <f t="shared" ref="W52:W71" si="73">$E52&amp;$I52</f>
        <v>EUR6ML</v>
      </c>
      <c r="X52" s="132">
        <f>J52</f>
        <v>10</v>
      </c>
      <c r="Y52" s="182" t="s">
        <v>124</v>
      </c>
      <c r="Z52" s="127" t="s">
        <v>6</v>
      </c>
      <c r="AA52" s="126" t="s">
        <v>21</v>
      </c>
      <c r="AB52" s="126" t="s">
        <v>2</v>
      </c>
      <c r="AC52" s="191"/>
      <c r="AD52" s="191"/>
      <c r="AE52" s="129">
        <f>IF($B52="","",DAY($B52))</f>
        <v>23</v>
      </c>
      <c r="AF52" s="130" t="s">
        <v>146</v>
      </c>
      <c r="AG52" s="128">
        <f>_xll.mirGetDate(COB,"-"&amp;AF52,$AA52,$AB52)</f>
        <v>42419</v>
      </c>
      <c r="AH52" s="133" t="s">
        <v>34</v>
      </c>
      <c r="AI52" s="134"/>
      <c r="AJ52" s="130" t="s">
        <v>146</v>
      </c>
      <c r="AK52" s="127" t="s">
        <v>147</v>
      </c>
      <c r="AL52" s="128" t="str">
        <f>L52</f>
        <v>NOCSA</v>
      </c>
      <c r="AM52" s="128" t="str">
        <f t="shared" ref="AM52:AM71" si="74">CurveCollectionBumped</f>
        <v>EURYC_BUMPED</v>
      </c>
      <c r="AN52" s="131" t="str">
        <f>LEFT(AM52,3)&amp;"DF_"&amp;AL52</f>
        <v>EURDF_NOCSA</v>
      </c>
      <c r="AO52" s="131" t="str">
        <f t="shared" ref="AO52:AO71" si="75">Interpolation</f>
        <v>Spline</v>
      </c>
      <c r="AP52" s="136" t="b">
        <v>1</v>
      </c>
      <c r="AQ52" s="137" t="b">
        <v>0</v>
      </c>
      <c r="AR52" s="203">
        <f ca="1">IF(AND(NOW(),isBumpedEUR6MLLoaded),_xll.mirGetParRate4($B52,$G52,$AM52,$N52,$O52,$P52,$Q52,$R52,$S52,$T52,$U52,$V52,$Y52,$Z52,$AA52,$AB52,$AC52,$AD52,$AE52,$AF52,$AH52,$AI52,$AJ52,$AK52,$AO52,$W52,$AN52,$AP52,$AQ52,$J52),"LOAD CURVE")</f>
        <v>-4.8285109111097409E-4</v>
      </c>
      <c r="AS52" s="138">
        <f ca="1">IF(AND(NOW(),isBumpedEUR6MLLoaded),_xll.mirSwapPV($D52,$F52,$B52,$G52,$AM52,$M52,$N52,$O52,$P52,$Q52,$R52,$S52,$T52,$U52,$V52,$X52,$Y52,$Z52,$AA52,$AB52,$AC52,$AD52,$AE52,$AF52,$AH52,$AI52,$AJ52,$AK52,$AO52,$W52,$AN52,$AP52,$AQ52),"LOAD CURVE")</f>
        <v>50679.682138099546</v>
      </c>
      <c r="AT52" s="167">
        <f ca="1">IF(AND(NOW(),isBumpedEUR6MLLoaded),_xll.mirSwapPV01($D52,$F52,$B52,$G52,$AM52,$N52,$O52,$P52,$Q52,$R52,$S52,$T52,$U52,$V52,$X52,$Y52,$Z52,$AA52,$AB52,$AC52,$AD52,$AE52,$AF52,$AH52,$AI52,$AJ52,$AK52,$AO52,$W52,$AN52,$AP52,$AQ52),"LOAD CURVE")</f>
        <v>100.3898968515731</v>
      </c>
      <c r="AU52" s="252"/>
      <c r="AV52" s="252"/>
      <c r="AW52" s="232"/>
      <c r="AX52" s="116"/>
    </row>
    <row r="53" spans="1:50" x14ac:dyDescent="0.25">
      <c r="A53" s="210">
        <v>2</v>
      </c>
      <c r="B53" s="139">
        <f t="shared" ref="B53:L53" si="76">B7</f>
        <v>42423</v>
      </c>
      <c r="C53" s="257" t="str">
        <f t="shared" si="76"/>
        <v>2D</v>
      </c>
      <c r="D53" s="246">
        <f t="shared" si="76"/>
        <v>1000000</v>
      </c>
      <c r="E53" s="246" t="str">
        <f t="shared" si="76"/>
        <v>EUR</v>
      </c>
      <c r="F53" s="249" t="str">
        <f t="shared" si="76"/>
        <v>RECEIVER</v>
      </c>
      <c r="G53" s="277" t="str">
        <f t="shared" si="76"/>
        <v>2Y</v>
      </c>
      <c r="H53" s="206">
        <f t="shared" si="76"/>
        <v>0.05</v>
      </c>
      <c r="I53" s="99" t="str">
        <f t="shared" si="76"/>
        <v>6ML</v>
      </c>
      <c r="J53" s="246">
        <f t="shared" si="72"/>
        <v>10</v>
      </c>
      <c r="K53" s="275">
        <f t="shared" si="72"/>
        <v>-1.31E-3</v>
      </c>
      <c r="L53" s="142" t="str">
        <f t="shared" si="76"/>
        <v>NOCSA</v>
      </c>
      <c r="M53" s="143">
        <f t="shared" ref="M53:M71" si="77">H53</f>
        <v>0.05</v>
      </c>
      <c r="N53" s="113" t="s">
        <v>25</v>
      </c>
      <c r="O53" s="113" t="s">
        <v>19</v>
      </c>
      <c r="P53" s="113" t="s">
        <v>21</v>
      </c>
      <c r="Q53" s="113" t="s">
        <v>2</v>
      </c>
      <c r="R53" s="192"/>
      <c r="S53" s="192"/>
      <c r="T53" s="145">
        <f t="shared" ref="T53:T71" si="78">IF($B53="","",DAY($B53))</f>
        <v>23</v>
      </c>
      <c r="U53" s="144" t="s">
        <v>146</v>
      </c>
      <c r="V53" s="144" t="s">
        <v>147</v>
      </c>
      <c r="W53" s="145" t="str">
        <f t="shared" si="73"/>
        <v>EUR6ML</v>
      </c>
      <c r="X53" s="146">
        <f t="shared" ref="X53:X71" si="79">J53</f>
        <v>10</v>
      </c>
      <c r="Y53" s="183" t="s">
        <v>124</v>
      </c>
      <c r="Z53" s="144" t="s">
        <v>6</v>
      </c>
      <c r="AA53" s="144" t="s">
        <v>21</v>
      </c>
      <c r="AB53" s="144" t="s">
        <v>2</v>
      </c>
      <c r="AC53" s="192"/>
      <c r="AD53" s="192"/>
      <c r="AE53" s="145">
        <f t="shared" ref="AE53:AE71" si="80">IF($B53="","",DAY($B53))</f>
        <v>23</v>
      </c>
      <c r="AF53" s="144" t="s">
        <v>146</v>
      </c>
      <c r="AG53" s="147">
        <f>_xll.mirGetDate(COB,"-"&amp;AF53,$AA53,$AB53)</f>
        <v>42419</v>
      </c>
      <c r="AH53" s="148" t="s">
        <v>34</v>
      </c>
      <c r="AI53" s="149"/>
      <c r="AJ53" s="144" t="s">
        <v>146</v>
      </c>
      <c r="AK53" s="144" t="s">
        <v>147</v>
      </c>
      <c r="AL53" s="145" t="str">
        <f t="shared" ref="AL53:AL71" si="81">L53</f>
        <v>NOCSA</v>
      </c>
      <c r="AM53" s="145" t="str">
        <f t="shared" si="74"/>
        <v>EURYC_BUMPED</v>
      </c>
      <c r="AN53" s="145" t="str">
        <f>LEFT(AM53,3)&amp;"DF_"&amp;AL53</f>
        <v>EURDF_NOCSA</v>
      </c>
      <c r="AO53" s="145" t="str">
        <f t="shared" si="75"/>
        <v>Spline</v>
      </c>
      <c r="AP53" s="144" t="b">
        <v>1</v>
      </c>
      <c r="AQ53" s="150" t="b">
        <v>0</v>
      </c>
      <c r="AR53" s="203">
        <f ca="1">IF(AND(NOW(),isBumpedEUR6MLLoaded),_xll.mirGetParRate4($B53,$G53,$AM53,$N53,$O53,$P53,$Q53,$R53,$S53,$T53,$U53,$V53,$Y53,$Z53,$AA53,$AB53,$AC53,$AD53,$AE53,$AF53,$AH53,$AI53,$AJ53,$AK53,$AO53,$W53,$AN53,$AP53,$AQ53,$J53),"LOAD CURVE")</f>
        <v>-4.157358811652125E-4</v>
      </c>
      <c r="AS53" s="151">
        <f ca="1">IF(AND(NOW(),isBumpedEUR6MLLoaded),_xll.mirSwapPV($D53,$F53,$B53,$G53,$AM53,$M53,$N53,$O53,$P53,$Q53,$R53,$S53,$T53,$U53,$V53,$X53,$Y53,$Z53,$AA53,$AB53,$AC53,$AD53,$AE53,$AF53,$AH53,$AI53,$AJ53,$AK53,$AO53,$W53,$AN53,$AP53,$AQ53),"LOAD CURVE")</f>
        <v>101428.11550147341</v>
      </c>
      <c r="AT53" s="168">
        <f ca="1">IF(AND(NOW(),isBumpedEUR6MLLoaded),_xll.mirSwapPV01($D53,$F53,$B53,$G53,$AM53,$N53,$O53,$P53,$Q53,$R53,$S53,$T53,$U53,$V53,$X53,$Y53,$Z53,$AA53,$AB53,$AC53,$AD53,$AE53,$AF53,$AH53,$AI53,$AJ53,$AK53,$AO53,$W53,$AN53,$AP53,$AQ53),"LOAD CURVE")</f>
        <v>201.18344744694264</v>
      </c>
      <c r="AU53" s="252"/>
      <c r="AV53" s="252"/>
      <c r="AW53" s="232"/>
      <c r="AX53" s="116"/>
    </row>
    <row r="54" spans="1:50" x14ac:dyDescent="0.25">
      <c r="A54" s="210">
        <v>3</v>
      </c>
      <c r="B54" s="139">
        <f t="shared" ref="B54:L54" si="82">B8</f>
        <v>42423</v>
      </c>
      <c r="C54" s="257" t="str">
        <f t="shared" si="82"/>
        <v>2D</v>
      </c>
      <c r="D54" s="246">
        <f t="shared" si="82"/>
        <v>1000000</v>
      </c>
      <c r="E54" s="246" t="str">
        <f t="shared" si="82"/>
        <v>EUR</v>
      </c>
      <c r="F54" s="249" t="str">
        <f t="shared" si="82"/>
        <v>RECEIVER</v>
      </c>
      <c r="G54" s="277" t="str">
        <f t="shared" si="82"/>
        <v>3Y</v>
      </c>
      <c r="H54" s="206">
        <f t="shared" si="82"/>
        <v>0.05</v>
      </c>
      <c r="I54" s="99" t="str">
        <f t="shared" si="82"/>
        <v>6ML</v>
      </c>
      <c r="J54" s="246">
        <f t="shared" si="72"/>
        <v>10</v>
      </c>
      <c r="K54" s="275">
        <f t="shared" si="72"/>
        <v>-1.31E-3</v>
      </c>
      <c r="L54" s="142" t="str">
        <f t="shared" si="82"/>
        <v>NOCSA</v>
      </c>
      <c r="M54" s="143">
        <f t="shared" si="77"/>
        <v>0.05</v>
      </c>
      <c r="N54" s="113" t="s">
        <v>25</v>
      </c>
      <c r="O54" s="113" t="s">
        <v>19</v>
      </c>
      <c r="P54" s="113" t="s">
        <v>21</v>
      </c>
      <c r="Q54" s="113" t="s">
        <v>2</v>
      </c>
      <c r="R54" s="192"/>
      <c r="S54" s="192"/>
      <c r="T54" s="145">
        <f t="shared" si="78"/>
        <v>23</v>
      </c>
      <c r="U54" s="144" t="s">
        <v>146</v>
      </c>
      <c r="V54" s="144" t="s">
        <v>147</v>
      </c>
      <c r="W54" s="145" t="str">
        <f t="shared" si="73"/>
        <v>EUR6ML</v>
      </c>
      <c r="X54" s="146">
        <f t="shared" si="79"/>
        <v>10</v>
      </c>
      <c r="Y54" s="183" t="s">
        <v>124</v>
      </c>
      <c r="Z54" s="144" t="s">
        <v>6</v>
      </c>
      <c r="AA54" s="144" t="s">
        <v>21</v>
      </c>
      <c r="AB54" s="144" t="s">
        <v>2</v>
      </c>
      <c r="AC54" s="192"/>
      <c r="AD54" s="192"/>
      <c r="AE54" s="145">
        <f t="shared" si="80"/>
        <v>23</v>
      </c>
      <c r="AF54" s="144" t="s">
        <v>146</v>
      </c>
      <c r="AG54" s="147">
        <f>_xll.mirGetDate(COB,"-"&amp;AF54,$AA54,$AB54)</f>
        <v>42419</v>
      </c>
      <c r="AH54" s="148" t="s">
        <v>34</v>
      </c>
      <c r="AI54" s="149"/>
      <c r="AJ54" s="144" t="s">
        <v>146</v>
      </c>
      <c r="AK54" s="144" t="s">
        <v>147</v>
      </c>
      <c r="AL54" s="145" t="str">
        <f t="shared" si="81"/>
        <v>NOCSA</v>
      </c>
      <c r="AM54" s="145" t="str">
        <f t="shared" si="74"/>
        <v>EURYC_BUMPED</v>
      </c>
      <c r="AN54" s="145" t="str">
        <f t="shared" ref="AN54:AN71" si="83">LEFT(AM54,3)&amp;"DF_"&amp;AL54</f>
        <v>EURDF_NOCSA</v>
      </c>
      <c r="AO54" s="145" t="str">
        <f t="shared" si="75"/>
        <v>Spline</v>
      </c>
      <c r="AP54" s="144" t="b">
        <v>1</v>
      </c>
      <c r="AQ54" s="150" t="b">
        <v>0</v>
      </c>
      <c r="AR54" s="203">
        <f ca="1">IF(AND(NOW(),isBumpedEUR6MLLoaded),_xll.mirGetParRate4($B54,$G54,$AM54,$N54,$O54,$P54,$Q54,$R54,$S54,$T54,$U54,$V54,$Y54,$Z54,$AA54,$AB54,$AC54,$AD54,$AE54,$AF54,$AH54,$AI54,$AJ54,$AK54,$AO54,$W54,$AN54,$AP54,$AQ54,$J54),"LOAD CURVE")</f>
        <v>4.3898999253294332E-5</v>
      </c>
      <c r="AS54" s="151">
        <f ca="1">IF(AND(NOW(),isBumpedEUR6MLLoaded),_xll.mirSwapPV($D54,$F54,$B54,$G54,$AM54,$M54,$N54,$O54,$P54,$Q54,$R54,$S54,$T54,$U54,$V54,$X54,$Y54,$Z54,$AA54,$AB54,$AC54,$AD54,$AE54,$AF54,$AH54,$AI54,$AJ54,$AK54,$AO54,$W54,$AN54,$AP54,$AQ54),"LOAD CURVE")</f>
        <v>151285.07317675895</v>
      </c>
      <c r="AT54" s="168">
        <f ca="1">IF(AND(NOW(),isBumpedEUR6MLLoaded),_xll.mirSwapPV01($D54,$F54,$B54,$G54,$AM54,$N54,$O54,$P54,$Q54,$R54,$S54,$T54,$U54,$V54,$X54,$Y54,$Z54,$AA54,$AB54,$AC54,$AD54,$AE54,$AF54,$AH54,$AI54,$AJ54,$AK54,$AO54,$W54,$AN54,$AP54,$AQ54),"LOAD CURVE")</f>
        <v>302.83603032690172</v>
      </c>
      <c r="AU54" s="252"/>
      <c r="AV54" s="252"/>
      <c r="AW54" s="232"/>
      <c r="AX54" s="116"/>
    </row>
    <row r="55" spans="1:50" x14ac:dyDescent="0.25">
      <c r="A55" s="210">
        <v>4</v>
      </c>
      <c r="B55" s="139">
        <f t="shared" ref="B55:L55" si="84">B9</f>
        <v>42423</v>
      </c>
      <c r="C55" s="258" t="str">
        <f t="shared" si="84"/>
        <v>2D</v>
      </c>
      <c r="D55" s="246">
        <f t="shared" si="84"/>
        <v>1000000</v>
      </c>
      <c r="E55" s="246" t="str">
        <f t="shared" si="84"/>
        <v>EUR</v>
      </c>
      <c r="F55" s="249" t="str">
        <f t="shared" si="84"/>
        <v>RECEIVER</v>
      </c>
      <c r="G55" s="277" t="str">
        <f t="shared" si="84"/>
        <v>4Y</v>
      </c>
      <c r="H55" s="206">
        <f t="shared" si="84"/>
        <v>0.05</v>
      </c>
      <c r="I55" s="99" t="str">
        <f t="shared" si="84"/>
        <v>6ML</v>
      </c>
      <c r="J55" s="246">
        <f t="shared" si="72"/>
        <v>10</v>
      </c>
      <c r="K55" s="275">
        <f t="shared" si="72"/>
        <v>-1.31E-3</v>
      </c>
      <c r="L55" s="142" t="str">
        <f t="shared" si="84"/>
        <v>NOCSA</v>
      </c>
      <c r="M55" s="152">
        <f t="shared" si="77"/>
        <v>0.05</v>
      </c>
      <c r="N55" s="144" t="s">
        <v>25</v>
      </c>
      <c r="O55" s="144" t="s">
        <v>19</v>
      </c>
      <c r="P55" s="144" t="s">
        <v>21</v>
      </c>
      <c r="Q55" s="144" t="s">
        <v>2</v>
      </c>
      <c r="R55" s="192"/>
      <c r="S55" s="192"/>
      <c r="T55" s="145">
        <f t="shared" si="78"/>
        <v>23</v>
      </c>
      <c r="U55" s="144" t="s">
        <v>146</v>
      </c>
      <c r="V55" s="144" t="s">
        <v>147</v>
      </c>
      <c r="W55" s="145" t="str">
        <f t="shared" si="73"/>
        <v>EUR6ML</v>
      </c>
      <c r="X55" s="146">
        <f t="shared" si="79"/>
        <v>10</v>
      </c>
      <c r="Y55" s="183" t="s">
        <v>124</v>
      </c>
      <c r="Z55" s="144" t="s">
        <v>6</v>
      </c>
      <c r="AA55" s="144" t="s">
        <v>21</v>
      </c>
      <c r="AB55" s="144" t="s">
        <v>2</v>
      </c>
      <c r="AC55" s="192"/>
      <c r="AD55" s="192"/>
      <c r="AE55" s="145">
        <f t="shared" si="80"/>
        <v>23</v>
      </c>
      <c r="AF55" s="144" t="s">
        <v>146</v>
      </c>
      <c r="AG55" s="147">
        <f>_xll.mirGetDate(COB,"-"&amp;AF55,$AA55,$AB55)</f>
        <v>42419</v>
      </c>
      <c r="AH55" s="148" t="s">
        <v>34</v>
      </c>
      <c r="AI55" s="149"/>
      <c r="AJ55" s="144" t="s">
        <v>146</v>
      </c>
      <c r="AK55" s="144" t="s">
        <v>147</v>
      </c>
      <c r="AL55" s="145" t="str">
        <f t="shared" si="81"/>
        <v>NOCSA</v>
      </c>
      <c r="AM55" s="145" t="str">
        <f t="shared" si="74"/>
        <v>EURYC_BUMPED</v>
      </c>
      <c r="AN55" s="145" t="str">
        <f t="shared" si="83"/>
        <v>EURDF_NOCSA</v>
      </c>
      <c r="AO55" s="145" t="str">
        <f t="shared" si="75"/>
        <v>Spline</v>
      </c>
      <c r="AP55" s="144" t="b">
        <v>1</v>
      </c>
      <c r="AQ55" s="150" t="b">
        <v>0</v>
      </c>
      <c r="AR55" s="203">
        <f ca="1">IF(AND(NOW(),isBumpedEUR6MLLoaded),_xll.mirGetParRate4($B55,$G55,$AM55,$N55,$O55,$P55,$Q55,$R55,$S55,$T55,$U55,$V55,$Y55,$Z55,$AA55,$AB55,$AC55,$AD55,$AE55,$AF55,$AH55,$AI55,$AJ55,$AK55,$AO55,$W55,$AN55,$AP55,$AQ55,$J55),"LOAD CURVE")</f>
        <v>8.3390351616651143E-4</v>
      </c>
      <c r="AS55" s="151">
        <f ca="1">IF(AND(NOW(),isBumpedEUR6MLLoaded),_xll.mirSwapPV($D55,$F55,$B55,$G55,$AM55,$M55,$N55,$O55,$P55,$Q55,$R55,$S55,$T55,$U55,$V55,$X55,$Y55,$Z55,$AA55,$AB55,$AC55,$AD55,$AE55,$AF55,$AH55,$AI55,$AJ55,$AK55,$AO55,$W55,$AN55,$AP55,$AQ55),"LOAD CURVE")</f>
        <v>198490.00766842064</v>
      </c>
      <c r="AT55" s="168">
        <f ca="1">IF(AND(NOW(),isBumpedEUR6MLLoaded),_xll.mirSwapPV01($D55,$F55,$B55,$G55,$AM55,$N55,$O55,$P55,$Q55,$R55,$S55,$T55,$U55,$V55,$X55,$Y55,$Z55,$AA55,$AB55,$AC55,$AD55,$AE55,$AF55,$AH55,$AI55,$AJ55,$AK55,$AO55,$W55,$AN55,$AP55,$AQ55),"LOAD CURVE")</f>
        <v>403.71317201008009</v>
      </c>
      <c r="AU55" s="252"/>
      <c r="AV55" s="252"/>
      <c r="AW55" s="232"/>
      <c r="AX55" s="116"/>
    </row>
    <row r="56" spans="1:50" x14ac:dyDescent="0.25">
      <c r="A56" s="210">
        <v>5</v>
      </c>
      <c r="B56" s="139">
        <f t="shared" ref="B56:L56" si="85">B10</f>
        <v>42423</v>
      </c>
      <c r="C56" s="258" t="str">
        <f t="shared" si="85"/>
        <v>2D</v>
      </c>
      <c r="D56" s="246">
        <f t="shared" si="85"/>
        <v>1000000</v>
      </c>
      <c r="E56" s="246" t="str">
        <f t="shared" si="85"/>
        <v>EUR</v>
      </c>
      <c r="F56" s="249" t="str">
        <f t="shared" si="85"/>
        <v>RECEIVER</v>
      </c>
      <c r="G56" s="277" t="str">
        <f t="shared" si="85"/>
        <v>5Y</v>
      </c>
      <c r="H56" s="206">
        <f t="shared" si="85"/>
        <v>0.05</v>
      </c>
      <c r="I56" s="99" t="str">
        <f t="shared" si="85"/>
        <v>6ML</v>
      </c>
      <c r="J56" s="246">
        <f t="shared" si="72"/>
        <v>10</v>
      </c>
      <c r="K56" s="275">
        <f t="shared" si="72"/>
        <v>-1.31E-3</v>
      </c>
      <c r="L56" s="142" t="str">
        <f t="shared" si="85"/>
        <v>NOCSA</v>
      </c>
      <c r="M56" s="152">
        <f t="shared" si="77"/>
        <v>0.05</v>
      </c>
      <c r="N56" s="144" t="s">
        <v>25</v>
      </c>
      <c r="O56" s="144" t="s">
        <v>19</v>
      </c>
      <c r="P56" s="144" t="s">
        <v>21</v>
      </c>
      <c r="Q56" s="144" t="s">
        <v>2</v>
      </c>
      <c r="R56" s="192"/>
      <c r="S56" s="192"/>
      <c r="T56" s="145">
        <f t="shared" si="78"/>
        <v>23</v>
      </c>
      <c r="U56" s="144" t="s">
        <v>146</v>
      </c>
      <c r="V56" s="144" t="s">
        <v>147</v>
      </c>
      <c r="W56" s="145" t="str">
        <f t="shared" si="73"/>
        <v>EUR6ML</v>
      </c>
      <c r="X56" s="146">
        <f t="shared" si="79"/>
        <v>10</v>
      </c>
      <c r="Y56" s="183" t="s">
        <v>124</v>
      </c>
      <c r="Z56" s="144" t="s">
        <v>6</v>
      </c>
      <c r="AA56" s="144" t="s">
        <v>21</v>
      </c>
      <c r="AB56" s="144" t="s">
        <v>2</v>
      </c>
      <c r="AC56" s="192"/>
      <c r="AD56" s="192"/>
      <c r="AE56" s="145">
        <f t="shared" si="80"/>
        <v>23</v>
      </c>
      <c r="AF56" s="144" t="s">
        <v>146</v>
      </c>
      <c r="AG56" s="147">
        <f>_xll.mirGetDate(COB,"-"&amp;AF56,$AA56,$AB56)</f>
        <v>42419</v>
      </c>
      <c r="AH56" s="148" t="s">
        <v>34</v>
      </c>
      <c r="AI56" s="149"/>
      <c r="AJ56" s="144" t="s">
        <v>146</v>
      </c>
      <c r="AK56" s="144" t="s">
        <v>147</v>
      </c>
      <c r="AL56" s="145" t="str">
        <f t="shared" si="81"/>
        <v>NOCSA</v>
      </c>
      <c r="AM56" s="145" t="str">
        <f t="shared" si="74"/>
        <v>EURYC_BUMPED</v>
      </c>
      <c r="AN56" s="145" t="str">
        <f t="shared" si="83"/>
        <v>EURDF_NOCSA</v>
      </c>
      <c r="AO56" s="145" t="str">
        <f t="shared" si="75"/>
        <v>Spline</v>
      </c>
      <c r="AP56" s="144" t="b">
        <v>1</v>
      </c>
      <c r="AQ56" s="150" t="b">
        <v>0</v>
      </c>
      <c r="AR56" s="203">
        <f ca="1">IF(AND(NOW(),isBumpedEUR6MLLoaded),_xll.mirGetParRate4($B56,$G56,$AM56,$N56,$O56,$P56,$Q56,$R56,$S56,$T56,$U56,$V56,$Y56,$Z56,$AA56,$AB56,$AC56,$AD56,$AE56,$AF56,$AH56,$AI56,$AJ56,$AK56,$AO56,$W56,$AN56,$AP56,$AQ56,$J56),"LOAD CURVE")</f>
        <v>1.8446020442276787E-3</v>
      </c>
      <c r="AS56" s="151">
        <f ca="1">IF(AND(NOW(),isBumpedEUR6MLLoaded),_xll.mirSwapPV($D56,$F56,$B56,$G56,$AM56,$M56,$N56,$O56,$P56,$Q56,$R56,$S56,$T56,$U56,$V56,$X56,$Y56,$Z56,$AA56,$AB56,$AC56,$AD56,$AE56,$AF56,$AH56,$AI56,$AJ56,$AK56,$AO56,$W56,$AN56,$AP56,$AQ56),"LOAD CURVE")</f>
        <v>242890.07297784544</v>
      </c>
      <c r="AT56" s="168">
        <f ca="1">IF(AND(NOW(),isBumpedEUR6MLLoaded),_xll.mirSwapPV01($D56,$F56,$B56,$G56,$AM56,$N56,$O56,$P56,$Q56,$R56,$S56,$T56,$U56,$V56,$X56,$Y56,$Z56,$AA56,$AB56,$AC56,$AD56,$AE56,$AF56,$AH56,$AI56,$AJ56,$AK56,$AO56,$W56,$AN56,$AP56,$AQ56),"LOAD CURVE")</f>
        <v>504.38805053781215</v>
      </c>
      <c r="AU56" s="252"/>
      <c r="AV56" s="252"/>
      <c r="AW56" s="232"/>
      <c r="AX56" s="116"/>
    </row>
    <row r="57" spans="1:50" x14ac:dyDescent="0.25">
      <c r="A57" s="210">
        <v>6</v>
      </c>
      <c r="B57" s="139">
        <f t="shared" ref="B57:L57" si="86">B11</f>
        <v>42423</v>
      </c>
      <c r="C57" s="258" t="str">
        <f t="shared" si="86"/>
        <v>2D</v>
      </c>
      <c r="D57" s="246">
        <f t="shared" si="86"/>
        <v>1000000</v>
      </c>
      <c r="E57" s="246" t="str">
        <f t="shared" si="86"/>
        <v>EUR</v>
      </c>
      <c r="F57" s="249" t="str">
        <f t="shared" si="86"/>
        <v>RECEIVER</v>
      </c>
      <c r="G57" s="277" t="str">
        <f t="shared" si="86"/>
        <v>6Y</v>
      </c>
      <c r="H57" s="206">
        <f t="shared" si="86"/>
        <v>0.05</v>
      </c>
      <c r="I57" s="99" t="str">
        <f t="shared" si="86"/>
        <v>6ML</v>
      </c>
      <c r="J57" s="246">
        <f t="shared" si="72"/>
        <v>10</v>
      </c>
      <c r="K57" s="275">
        <f t="shared" si="72"/>
        <v>-1.31E-3</v>
      </c>
      <c r="L57" s="142" t="str">
        <f t="shared" si="86"/>
        <v>NOCSA</v>
      </c>
      <c r="M57" s="152">
        <f t="shared" si="77"/>
        <v>0.05</v>
      </c>
      <c r="N57" s="144" t="s">
        <v>25</v>
      </c>
      <c r="O57" s="144" t="s">
        <v>19</v>
      </c>
      <c r="P57" s="144" t="s">
        <v>21</v>
      </c>
      <c r="Q57" s="144" t="s">
        <v>2</v>
      </c>
      <c r="R57" s="192"/>
      <c r="S57" s="192"/>
      <c r="T57" s="145">
        <f t="shared" si="78"/>
        <v>23</v>
      </c>
      <c r="U57" s="144" t="s">
        <v>146</v>
      </c>
      <c r="V57" s="144" t="s">
        <v>147</v>
      </c>
      <c r="W57" s="145" t="str">
        <f t="shared" si="73"/>
        <v>EUR6ML</v>
      </c>
      <c r="X57" s="146">
        <f t="shared" si="79"/>
        <v>10</v>
      </c>
      <c r="Y57" s="183" t="s">
        <v>124</v>
      </c>
      <c r="Z57" s="144" t="s">
        <v>6</v>
      </c>
      <c r="AA57" s="144" t="s">
        <v>21</v>
      </c>
      <c r="AB57" s="144" t="s">
        <v>2</v>
      </c>
      <c r="AC57" s="192"/>
      <c r="AD57" s="192"/>
      <c r="AE57" s="145">
        <f t="shared" si="80"/>
        <v>23</v>
      </c>
      <c r="AF57" s="144" t="s">
        <v>146</v>
      </c>
      <c r="AG57" s="147">
        <f>_xll.mirGetDate(COB,"-"&amp;AF57,$AA57,$AB57)</f>
        <v>42419</v>
      </c>
      <c r="AH57" s="148" t="s">
        <v>34</v>
      </c>
      <c r="AI57" s="149"/>
      <c r="AJ57" s="144" t="s">
        <v>146</v>
      </c>
      <c r="AK57" s="144" t="s">
        <v>147</v>
      </c>
      <c r="AL57" s="145" t="str">
        <f t="shared" si="81"/>
        <v>NOCSA</v>
      </c>
      <c r="AM57" s="145" t="str">
        <f t="shared" si="74"/>
        <v>EURYC_BUMPED</v>
      </c>
      <c r="AN57" s="145" t="str">
        <f t="shared" si="83"/>
        <v>EURDF_NOCSA</v>
      </c>
      <c r="AO57" s="145" t="str">
        <f t="shared" si="75"/>
        <v>Spline</v>
      </c>
      <c r="AP57" s="144" t="b">
        <v>1</v>
      </c>
      <c r="AQ57" s="150" t="b">
        <v>0</v>
      </c>
      <c r="AR57" s="203">
        <f ca="1">IF(AND(NOW(),isBumpedEUR6MLLoaded),_xll.mirGetParRate4($B57,$G57,$AM57,$N57,$O57,$P57,$Q57,$R57,$S57,$T57,$U57,$V57,$Y57,$Z57,$AA57,$AB57,$AC57,$AD57,$AE57,$AF57,$AH57,$AI57,$AJ57,$AK57,$AO57,$W57,$AN57,$AP57,$AQ57,$J57),"LOAD CURVE")</f>
        <v>2.9347264191743002E-3</v>
      </c>
      <c r="AS57" s="151">
        <f ca="1">IF(AND(NOW(),isBumpedEUR6MLLoaded),_xll.mirSwapPV($D57,$F57,$B57,$G57,$AM57,$M57,$N57,$O57,$P57,$Q57,$R57,$S57,$T57,$U57,$V57,$X57,$Y57,$Z57,$AA57,$AB57,$AC57,$AD57,$AE57,$AF57,$AH57,$AI57,$AJ57,$AK57,$AO57,$W57,$AN57,$AP57,$AQ57),"LOAD CURVE")</f>
        <v>284669.22500000405</v>
      </c>
      <c r="AT57" s="168">
        <f ca="1">IF(AND(NOW(),isBumpedEUR6MLLoaded),_xll.mirSwapPV01($D57,$F57,$B57,$G57,$AM57,$N57,$O57,$P57,$Q57,$R57,$S57,$T57,$U57,$V57,$X57,$Y57,$Z57,$AA57,$AB57,$AC57,$AD57,$AE57,$AF57,$AH57,$AI57,$AJ57,$AK57,$AO57,$W57,$AN57,$AP57,$AQ57),"LOAD CURVE")</f>
        <v>604.83920169111218</v>
      </c>
      <c r="AU57" s="252"/>
      <c r="AV57" s="252"/>
      <c r="AW57" s="232"/>
      <c r="AX57" s="116"/>
    </row>
    <row r="58" spans="1:50" x14ac:dyDescent="0.25">
      <c r="A58" s="210">
        <v>7</v>
      </c>
      <c r="B58" s="139">
        <f t="shared" ref="B58:L58" si="87">B12</f>
        <v>42423</v>
      </c>
      <c r="C58" s="258" t="str">
        <f t="shared" si="87"/>
        <v>2D</v>
      </c>
      <c r="D58" s="246">
        <f t="shared" si="87"/>
        <v>1000000</v>
      </c>
      <c r="E58" s="246" t="str">
        <f t="shared" si="87"/>
        <v>EUR</v>
      </c>
      <c r="F58" s="249" t="str">
        <f t="shared" si="87"/>
        <v>RECEIVER</v>
      </c>
      <c r="G58" s="277" t="str">
        <f t="shared" si="87"/>
        <v>7Y</v>
      </c>
      <c r="H58" s="206">
        <f t="shared" si="87"/>
        <v>0.05</v>
      </c>
      <c r="I58" s="99" t="str">
        <f t="shared" si="87"/>
        <v>6ML</v>
      </c>
      <c r="J58" s="246">
        <f t="shared" si="72"/>
        <v>10</v>
      </c>
      <c r="K58" s="275">
        <f t="shared" si="72"/>
        <v>-1.31E-3</v>
      </c>
      <c r="L58" s="142" t="str">
        <f t="shared" si="87"/>
        <v>NOCSA</v>
      </c>
      <c r="M58" s="152">
        <f t="shared" si="77"/>
        <v>0.05</v>
      </c>
      <c r="N58" s="144" t="s">
        <v>25</v>
      </c>
      <c r="O58" s="144" t="s">
        <v>19</v>
      </c>
      <c r="P58" s="144" t="s">
        <v>21</v>
      </c>
      <c r="Q58" s="144" t="s">
        <v>2</v>
      </c>
      <c r="R58" s="192"/>
      <c r="S58" s="192"/>
      <c r="T58" s="145">
        <f t="shared" si="78"/>
        <v>23</v>
      </c>
      <c r="U58" s="144" t="s">
        <v>146</v>
      </c>
      <c r="V58" s="144" t="s">
        <v>147</v>
      </c>
      <c r="W58" s="145" t="str">
        <f t="shared" si="73"/>
        <v>EUR6ML</v>
      </c>
      <c r="X58" s="146">
        <f t="shared" si="79"/>
        <v>10</v>
      </c>
      <c r="Y58" s="183" t="s">
        <v>124</v>
      </c>
      <c r="Z58" s="144" t="s">
        <v>6</v>
      </c>
      <c r="AA58" s="144" t="s">
        <v>21</v>
      </c>
      <c r="AB58" s="144" t="s">
        <v>2</v>
      </c>
      <c r="AC58" s="192"/>
      <c r="AD58" s="192"/>
      <c r="AE58" s="145">
        <f t="shared" si="80"/>
        <v>23</v>
      </c>
      <c r="AF58" s="144" t="s">
        <v>146</v>
      </c>
      <c r="AG58" s="147">
        <f>_xll.mirGetDate(COB,"-"&amp;AF58,$AA58,$AB58)</f>
        <v>42419</v>
      </c>
      <c r="AH58" s="148" t="s">
        <v>34</v>
      </c>
      <c r="AI58" s="149"/>
      <c r="AJ58" s="144" t="s">
        <v>146</v>
      </c>
      <c r="AK58" s="144" t="s">
        <v>147</v>
      </c>
      <c r="AL58" s="145" t="str">
        <f t="shared" si="81"/>
        <v>NOCSA</v>
      </c>
      <c r="AM58" s="145" t="str">
        <f t="shared" si="74"/>
        <v>EURYC_BUMPED</v>
      </c>
      <c r="AN58" s="145" t="str">
        <f t="shared" si="83"/>
        <v>EURDF_NOCSA</v>
      </c>
      <c r="AO58" s="145" t="str">
        <f t="shared" si="75"/>
        <v>Spline</v>
      </c>
      <c r="AP58" s="144" t="b">
        <v>1</v>
      </c>
      <c r="AQ58" s="150" t="b">
        <v>0</v>
      </c>
      <c r="AR58" s="203">
        <f ca="1">IF(AND(NOW(),isBumpedEUR6MLLoaded),_xll.mirGetParRate4($B58,$G58,$AM58,$N58,$O58,$P58,$Q58,$R58,$S58,$T58,$U58,$V58,$Y58,$Z58,$AA58,$AB58,$AC58,$AD58,$AE58,$AF58,$AH58,$AI58,$AJ58,$AK58,$AO58,$W58,$AN58,$AP58,$AQ58,$J58),"LOAD CURVE")</f>
        <v>4.1249236092651912E-3</v>
      </c>
      <c r="AS58" s="151">
        <f ca="1">IF(AND(NOW(),isBumpedEUR6MLLoaded),_xll.mirSwapPV($D58,$F58,$B58,$G58,$AM58,$M58,$N58,$O58,$P58,$Q58,$R58,$S58,$T58,$U58,$V58,$X58,$Y58,$Z58,$AA58,$AB58,$AC58,$AD58,$AE58,$AF58,$AH58,$AI58,$AJ58,$AK58,$AO58,$W58,$AN58,$AP58,$AQ58),"LOAD CURVE")</f>
        <v>323182.97007864021</v>
      </c>
      <c r="AT58" s="168">
        <f ca="1">IF(AND(NOW(),isBumpedEUR6MLLoaded),_xll.mirSwapPV01($D58,$F58,$B58,$G58,$AM58,$N58,$O58,$P58,$Q58,$R58,$S58,$T58,$U58,$V58,$X58,$Y58,$Z58,$AA58,$AB58,$AC58,$AD58,$AE58,$AF58,$AH58,$AI58,$AJ58,$AK58,$AO58,$W58,$AN58,$AP58,$AQ58),"LOAD CURVE")</f>
        <v>704.48486521520454</v>
      </c>
      <c r="AU58" s="252"/>
      <c r="AV58" s="252"/>
      <c r="AW58" s="232"/>
      <c r="AX58" s="116"/>
    </row>
    <row r="59" spans="1:50" x14ac:dyDescent="0.25">
      <c r="A59" s="210">
        <v>8</v>
      </c>
      <c r="B59" s="139">
        <f t="shared" ref="B59:L59" si="88">B13</f>
        <v>42423</v>
      </c>
      <c r="C59" s="258" t="str">
        <f t="shared" si="88"/>
        <v>2D</v>
      </c>
      <c r="D59" s="246">
        <f t="shared" si="88"/>
        <v>1000000</v>
      </c>
      <c r="E59" s="246" t="str">
        <f t="shared" si="88"/>
        <v>EUR</v>
      </c>
      <c r="F59" s="249" t="str">
        <f t="shared" si="88"/>
        <v>RECEIVER</v>
      </c>
      <c r="G59" s="277" t="str">
        <f t="shared" si="88"/>
        <v>8Y</v>
      </c>
      <c r="H59" s="206">
        <f t="shared" si="88"/>
        <v>0.05</v>
      </c>
      <c r="I59" s="99" t="str">
        <f t="shared" si="88"/>
        <v>6ML</v>
      </c>
      <c r="J59" s="246">
        <f t="shared" si="72"/>
        <v>10</v>
      </c>
      <c r="K59" s="275">
        <f t="shared" si="72"/>
        <v>-1.31E-3</v>
      </c>
      <c r="L59" s="142" t="str">
        <f t="shared" si="88"/>
        <v>NOCSA</v>
      </c>
      <c r="M59" s="152">
        <f t="shared" si="77"/>
        <v>0.05</v>
      </c>
      <c r="N59" s="144" t="s">
        <v>25</v>
      </c>
      <c r="O59" s="144" t="s">
        <v>19</v>
      </c>
      <c r="P59" s="144" t="s">
        <v>21</v>
      </c>
      <c r="Q59" s="144" t="s">
        <v>2</v>
      </c>
      <c r="R59" s="192"/>
      <c r="S59" s="192"/>
      <c r="T59" s="145">
        <f t="shared" si="78"/>
        <v>23</v>
      </c>
      <c r="U59" s="144" t="s">
        <v>146</v>
      </c>
      <c r="V59" s="144" t="s">
        <v>147</v>
      </c>
      <c r="W59" s="145" t="str">
        <f t="shared" si="73"/>
        <v>EUR6ML</v>
      </c>
      <c r="X59" s="146">
        <f t="shared" si="79"/>
        <v>10</v>
      </c>
      <c r="Y59" s="183" t="s">
        <v>124</v>
      </c>
      <c r="Z59" s="144" t="s">
        <v>6</v>
      </c>
      <c r="AA59" s="144" t="s">
        <v>21</v>
      </c>
      <c r="AB59" s="144" t="s">
        <v>2</v>
      </c>
      <c r="AC59" s="192"/>
      <c r="AD59" s="192"/>
      <c r="AE59" s="145">
        <f t="shared" si="80"/>
        <v>23</v>
      </c>
      <c r="AF59" s="144" t="s">
        <v>146</v>
      </c>
      <c r="AG59" s="147">
        <f>_xll.mirGetDate(COB,"-"&amp;AF59,$AA59,$AB59)</f>
        <v>42419</v>
      </c>
      <c r="AH59" s="148" t="s">
        <v>34</v>
      </c>
      <c r="AI59" s="149"/>
      <c r="AJ59" s="144" t="s">
        <v>146</v>
      </c>
      <c r="AK59" s="144" t="s">
        <v>147</v>
      </c>
      <c r="AL59" s="145" t="str">
        <f t="shared" si="81"/>
        <v>NOCSA</v>
      </c>
      <c r="AM59" s="145" t="str">
        <f t="shared" si="74"/>
        <v>EURYC_BUMPED</v>
      </c>
      <c r="AN59" s="145" t="str">
        <f t="shared" si="83"/>
        <v>EURDF_NOCSA</v>
      </c>
      <c r="AO59" s="145" t="str">
        <f t="shared" si="75"/>
        <v>Spline</v>
      </c>
      <c r="AP59" s="144" t="b">
        <v>1</v>
      </c>
      <c r="AQ59" s="150" t="b">
        <v>0</v>
      </c>
      <c r="AR59" s="203">
        <f ca="1">IF(AND(NOW(),isBumpedEUR6MLLoaded),_xll.mirGetParRate4($B59,$G59,$AM59,$N59,$O59,$P59,$Q59,$R59,$S59,$T59,$U59,$V59,$Y59,$Z59,$AA59,$AB59,$AC59,$AD59,$AE59,$AF59,$AH59,$AI59,$AJ59,$AK59,$AO59,$W59,$AN59,$AP59,$AQ59,$J59),"LOAD CURVE")</f>
        <v>5.3551609625699693E-3</v>
      </c>
      <c r="AS59" s="151">
        <f ca="1">IF(AND(NOW(),isBumpedEUR6MLLoaded),_xll.mirSwapPV($D59,$F59,$B59,$G59,$AM59,$M59,$N59,$O59,$P59,$Q59,$R59,$S59,$T59,$U59,$V59,$X59,$Y59,$Z59,$AA59,$AB59,$AC59,$AD59,$AE59,$AF59,$AH59,$AI59,$AJ59,$AK59,$AO59,$W59,$AN59,$AP59,$AQ59),"LOAD CURVE")</f>
        <v>358514.8830263053</v>
      </c>
      <c r="AT59" s="168">
        <f ca="1">IF(AND(NOW(),isBumpedEUR6MLLoaded),_xll.mirSwapPV01($D59,$F59,$B59,$G59,$AM59,$N59,$O59,$P59,$Q59,$R59,$S59,$T59,$U59,$V59,$X59,$Y59,$Z59,$AA59,$AB59,$AC59,$AD59,$AE59,$AF59,$AH59,$AI59,$AJ59,$AK59,$AO59,$W59,$AN59,$AP59,$AQ59),"LOAD CURVE")</f>
        <v>803.03768757174396</v>
      </c>
      <c r="AU59" s="252"/>
      <c r="AV59" s="252"/>
      <c r="AW59" s="232"/>
      <c r="AX59" s="116"/>
    </row>
    <row r="60" spans="1:50" x14ac:dyDescent="0.25">
      <c r="A60" s="210">
        <v>9</v>
      </c>
      <c r="B60" s="139">
        <f t="shared" ref="B60:L60" si="89">B14</f>
        <v>42423</v>
      </c>
      <c r="C60" s="258" t="str">
        <f t="shared" si="89"/>
        <v>2D</v>
      </c>
      <c r="D60" s="246">
        <f t="shared" si="89"/>
        <v>1000000</v>
      </c>
      <c r="E60" s="246" t="str">
        <f t="shared" si="89"/>
        <v>EUR</v>
      </c>
      <c r="F60" s="249" t="str">
        <f t="shared" si="89"/>
        <v>RECEIVER</v>
      </c>
      <c r="G60" s="277" t="str">
        <f t="shared" si="89"/>
        <v>9Y</v>
      </c>
      <c r="H60" s="206">
        <f t="shared" si="89"/>
        <v>0.05</v>
      </c>
      <c r="I60" s="99" t="str">
        <f t="shared" si="89"/>
        <v>6ML</v>
      </c>
      <c r="J60" s="246">
        <f t="shared" si="72"/>
        <v>10</v>
      </c>
      <c r="K60" s="275">
        <f t="shared" si="72"/>
        <v>-1.31E-3</v>
      </c>
      <c r="L60" s="142" t="str">
        <f t="shared" si="89"/>
        <v>NOCSA</v>
      </c>
      <c r="M60" s="152">
        <f t="shared" si="77"/>
        <v>0.05</v>
      </c>
      <c r="N60" s="144" t="s">
        <v>25</v>
      </c>
      <c r="O60" s="144" t="s">
        <v>19</v>
      </c>
      <c r="P60" s="144" t="s">
        <v>21</v>
      </c>
      <c r="Q60" s="144" t="s">
        <v>2</v>
      </c>
      <c r="R60" s="192"/>
      <c r="S60" s="192"/>
      <c r="T60" s="145">
        <f t="shared" si="78"/>
        <v>23</v>
      </c>
      <c r="U60" s="144" t="s">
        <v>146</v>
      </c>
      <c r="V60" s="144" t="s">
        <v>147</v>
      </c>
      <c r="W60" s="145" t="str">
        <f t="shared" si="73"/>
        <v>EUR6ML</v>
      </c>
      <c r="X60" s="146">
        <f t="shared" si="79"/>
        <v>10</v>
      </c>
      <c r="Y60" s="183" t="s">
        <v>124</v>
      </c>
      <c r="Z60" s="144" t="s">
        <v>6</v>
      </c>
      <c r="AA60" s="144" t="s">
        <v>21</v>
      </c>
      <c r="AB60" s="144" t="s">
        <v>2</v>
      </c>
      <c r="AC60" s="192"/>
      <c r="AD60" s="192"/>
      <c r="AE60" s="145">
        <f t="shared" si="80"/>
        <v>23</v>
      </c>
      <c r="AF60" s="144" t="s">
        <v>146</v>
      </c>
      <c r="AG60" s="147">
        <f>_xll.mirGetDate(COB,"-"&amp;AF60,$AA60,$AB60)</f>
        <v>42419</v>
      </c>
      <c r="AH60" s="148" t="s">
        <v>34</v>
      </c>
      <c r="AI60" s="149"/>
      <c r="AJ60" s="144" t="s">
        <v>146</v>
      </c>
      <c r="AK60" s="144" t="s">
        <v>147</v>
      </c>
      <c r="AL60" s="145" t="str">
        <f t="shared" si="81"/>
        <v>NOCSA</v>
      </c>
      <c r="AM60" s="145" t="str">
        <f t="shared" si="74"/>
        <v>EURYC_BUMPED</v>
      </c>
      <c r="AN60" s="145" t="str">
        <f t="shared" si="83"/>
        <v>EURDF_NOCSA</v>
      </c>
      <c r="AO60" s="145" t="str">
        <f t="shared" si="75"/>
        <v>Spline</v>
      </c>
      <c r="AP60" s="144" t="b">
        <v>1</v>
      </c>
      <c r="AQ60" s="150" t="b">
        <v>0</v>
      </c>
      <c r="AR60" s="203">
        <f ca="1">IF(AND(NOW(),isBumpedEUR6MLLoaded),_xll.mirGetParRate4($B60,$G60,$AM60,$N60,$O60,$P60,$Q60,$R60,$S60,$T60,$U60,$V60,$Y60,$Z60,$AA60,$AB60,$AC60,$AD60,$AE60,$AF60,$AH60,$AI60,$AJ60,$AK60,$AO60,$W60,$AN60,$AP60,$AQ60,$J60),"LOAD CURVE")</f>
        <v>6.5257045442903118E-3</v>
      </c>
      <c r="AS60" s="151">
        <f ca="1">IF(AND(NOW(),isBumpedEUR6MLLoaded),_xll.mirSwapPV($D60,$F60,$B60,$G60,$AM60,$M60,$N60,$O60,$P60,$Q60,$R60,$S60,$T60,$U60,$V60,$X60,$Y60,$Z60,$AA60,$AB60,$AC60,$AD60,$AE60,$AF60,$AH60,$AI60,$AJ60,$AK60,$AO60,$W60,$AN60,$AP60,$AQ60),"LOAD CURVE")</f>
        <v>391504.21100306389</v>
      </c>
      <c r="AT60" s="168">
        <f ca="1">IF(AND(NOW(),isBumpedEUR6MLLoaded),_xll.mirSwapPV01($D60,$F60,$B60,$G60,$AM60,$N60,$O60,$P60,$Q60,$R60,$S60,$T60,$U60,$V60,$X60,$Y60,$Z60,$AA60,$AB60,$AC60,$AD60,$AE60,$AF60,$AH60,$AI60,$AJ60,$AK60,$AO60,$W60,$AN60,$AP60,$AQ60),"LOAD CURVE")</f>
        <v>900.54181879017824</v>
      </c>
      <c r="AU60" s="252"/>
      <c r="AV60" s="252"/>
      <c r="AW60" s="232"/>
      <c r="AX60" s="116"/>
    </row>
    <row r="61" spans="1:50" x14ac:dyDescent="0.25">
      <c r="A61" s="210">
        <v>10</v>
      </c>
      <c r="B61" s="139">
        <f t="shared" ref="B61:L61" si="90">B15</f>
        <v>42423</v>
      </c>
      <c r="C61" s="258" t="str">
        <f t="shared" si="90"/>
        <v>2D</v>
      </c>
      <c r="D61" s="246">
        <f t="shared" si="90"/>
        <v>1000000</v>
      </c>
      <c r="E61" s="246" t="str">
        <f t="shared" si="90"/>
        <v>EUR</v>
      </c>
      <c r="F61" s="249" t="str">
        <f t="shared" si="90"/>
        <v>RECEIVER</v>
      </c>
      <c r="G61" s="277" t="str">
        <f t="shared" si="90"/>
        <v>10Y</v>
      </c>
      <c r="H61" s="206">
        <f t="shared" si="90"/>
        <v>0.05</v>
      </c>
      <c r="I61" s="99" t="str">
        <f t="shared" si="90"/>
        <v>6ML</v>
      </c>
      <c r="J61" s="246">
        <f t="shared" si="72"/>
        <v>10</v>
      </c>
      <c r="K61" s="275">
        <f t="shared" si="72"/>
        <v>-1.31E-3</v>
      </c>
      <c r="L61" s="142" t="str">
        <f t="shared" si="90"/>
        <v>NOCSA</v>
      </c>
      <c r="M61" s="152">
        <f t="shared" si="77"/>
        <v>0.05</v>
      </c>
      <c r="N61" s="144" t="s">
        <v>25</v>
      </c>
      <c r="O61" s="144" t="s">
        <v>19</v>
      </c>
      <c r="P61" s="144" t="s">
        <v>21</v>
      </c>
      <c r="Q61" s="144" t="s">
        <v>2</v>
      </c>
      <c r="R61" s="192"/>
      <c r="S61" s="192"/>
      <c r="T61" s="145">
        <f t="shared" si="78"/>
        <v>23</v>
      </c>
      <c r="U61" s="144" t="s">
        <v>146</v>
      </c>
      <c r="V61" s="144" t="s">
        <v>147</v>
      </c>
      <c r="W61" s="145" t="str">
        <f t="shared" si="73"/>
        <v>EUR6ML</v>
      </c>
      <c r="X61" s="146">
        <f t="shared" si="79"/>
        <v>10</v>
      </c>
      <c r="Y61" s="183" t="s">
        <v>124</v>
      </c>
      <c r="Z61" s="144" t="s">
        <v>6</v>
      </c>
      <c r="AA61" s="144" t="s">
        <v>21</v>
      </c>
      <c r="AB61" s="144" t="s">
        <v>2</v>
      </c>
      <c r="AC61" s="192"/>
      <c r="AD61" s="192"/>
      <c r="AE61" s="145">
        <f t="shared" si="80"/>
        <v>23</v>
      </c>
      <c r="AF61" s="144" t="s">
        <v>146</v>
      </c>
      <c r="AG61" s="147">
        <f>_xll.mirGetDate(COB,"-"&amp;AF61,$AA61,$AB61)</f>
        <v>42419</v>
      </c>
      <c r="AH61" s="148" t="s">
        <v>34</v>
      </c>
      <c r="AI61" s="149"/>
      <c r="AJ61" s="144" t="s">
        <v>146</v>
      </c>
      <c r="AK61" s="144" t="s">
        <v>147</v>
      </c>
      <c r="AL61" s="145" t="str">
        <f t="shared" si="81"/>
        <v>NOCSA</v>
      </c>
      <c r="AM61" s="145" t="str">
        <f t="shared" si="74"/>
        <v>EURYC_BUMPED</v>
      </c>
      <c r="AN61" s="145" t="str">
        <f t="shared" si="83"/>
        <v>EURDF_NOCSA</v>
      </c>
      <c r="AO61" s="145" t="str">
        <f t="shared" si="75"/>
        <v>Spline</v>
      </c>
      <c r="AP61" s="144" t="b">
        <v>1</v>
      </c>
      <c r="AQ61" s="150" t="b">
        <v>0</v>
      </c>
      <c r="AR61" s="203">
        <f ca="1">IF(AND(NOW(),isBumpedEUR6MLLoaded),_xll.mirGetParRate4($B61,$G61,$AM61,$N61,$O61,$P61,$Q61,$R61,$S61,$T61,$U61,$V61,$Y61,$Z61,$AA61,$AB61,$AC61,$AD61,$AE61,$AF61,$AH61,$AI61,$AJ61,$AK61,$AO61,$W61,$AN61,$AP61,$AQ61,$J61),"LOAD CURVE")</f>
        <v>7.5859091574967509E-3</v>
      </c>
      <c r="AS61" s="151">
        <f ca="1">IF(AND(NOW(),isBumpedEUR6MLLoaded),_xll.mirSwapPV($D61,$F61,$B61,$G61,$AM61,$M61,$N61,$O61,$P61,$Q61,$R61,$S61,$T61,$U61,$V61,$X61,$Y61,$Z61,$AA61,$AB61,$AC61,$AD61,$AE61,$AF61,$AH61,$AI61,$AJ61,$AK61,$AO61,$W61,$AN61,$AP61,$AQ61),"LOAD CURVE")</f>
        <v>422471.52529749315</v>
      </c>
      <c r="AT61" s="168">
        <f ca="1">IF(AND(NOW(),isBumpedEUR6MLLoaded),_xll.mirSwapPV01($D61,$F61,$B61,$G61,$AM61,$N61,$O61,$P61,$Q61,$R61,$S61,$T61,$U61,$V61,$X61,$Y61,$Z61,$AA61,$AB61,$AC61,$AD61,$AE61,$AF61,$AH61,$AI61,$AJ61,$AK61,$AO61,$W61,$AN61,$AP61,$AQ61),"LOAD CURVE")</f>
        <v>996.06408367035783</v>
      </c>
      <c r="AU61" s="252"/>
      <c r="AV61" s="252"/>
      <c r="AW61" s="232"/>
      <c r="AX61" s="116"/>
    </row>
    <row r="62" spans="1:50" x14ac:dyDescent="0.25">
      <c r="A62" s="210">
        <v>11</v>
      </c>
      <c r="B62" s="139">
        <f t="shared" ref="B62:L62" si="91">B16</f>
        <v>42423</v>
      </c>
      <c r="C62" s="258" t="str">
        <f t="shared" si="91"/>
        <v>2D</v>
      </c>
      <c r="D62" s="246">
        <f t="shared" si="91"/>
        <v>1000000</v>
      </c>
      <c r="E62" s="246" t="str">
        <f t="shared" si="91"/>
        <v>EUR</v>
      </c>
      <c r="F62" s="249" t="str">
        <f t="shared" si="91"/>
        <v>RECEIVER</v>
      </c>
      <c r="G62" s="277" t="str">
        <f t="shared" si="91"/>
        <v>11Y</v>
      </c>
      <c r="H62" s="206">
        <f t="shared" si="91"/>
        <v>0.05</v>
      </c>
      <c r="I62" s="99" t="str">
        <f t="shared" si="91"/>
        <v>6ML</v>
      </c>
      <c r="J62" s="246">
        <f t="shared" si="72"/>
        <v>10</v>
      </c>
      <c r="K62" s="275">
        <f t="shared" si="72"/>
        <v>-1.31E-3</v>
      </c>
      <c r="L62" s="142" t="str">
        <f t="shared" si="91"/>
        <v>NOCSA</v>
      </c>
      <c r="M62" s="152">
        <f t="shared" si="77"/>
        <v>0.05</v>
      </c>
      <c r="N62" s="144" t="s">
        <v>25</v>
      </c>
      <c r="O62" s="144" t="s">
        <v>19</v>
      </c>
      <c r="P62" s="144" t="s">
        <v>21</v>
      </c>
      <c r="Q62" s="144" t="s">
        <v>2</v>
      </c>
      <c r="R62" s="192"/>
      <c r="S62" s="192"/>
      <c r="T62" s="145">
        <f t="shared" si="78"/>
        <v>23</v>
      </c>
      <c r="U62" s="144" t="s">
        <v>146</v>
      </c>
      <c r="V62" s="144" t="s">
        <v>147</v>
      </c>
      <c r="W62" s="145" t="str">
        <f t="shared" si="73"/>
        <v>EUR6ML</v>
      </c>
      <c r="X62" s="146">
        <f t="shared" si="79"/>
        <v>10</v>
      </c>
      <c r="Y62" s="183" t="s">
        <v>124</v>
      </c>
      <c r="Z62" s="144" t="s">
        <v>6</v>
      </c>
      <c r="AA62" s="144" t="s">
        <v>21</v>
      </c>
      <c r="AB62" s="144" t="s">
        <v>2</v>
      </c>
      <c r="AC62" s="192"/>
      <c r="AD62" s="192"/>
      <c r="AE62" s="145">
        <f t="shared" si="80"/>
        <v>23</v>
      </c>
      <c r="AF62" s="144" t="s">
        <v>146</v>
      </c>
      <c r="AG62" s="147">
        <f>_xll.mirGetDate(COB,"-"&amp;AF62,$AA62,$AB62)</f>
        <v>42419</v>
      </c>
      <c r="AH62" s="148" t="s">
        <v>34</v>
      </c>
      <c r="AI62" s="149"/>
      <c r="AJ62" s="144" t="s">
        <v>146</v>
      </c>
      <c r="AK62" s="144" t="s">
        <v>147</v>
      </c>
      <c r="AL62" s="145" t="str">
        <f t="shared" si="81"/>
        <v>NOCSA</v>
      </c>
      <c r="AM62" s="145" t="str">
        <f t="shared" si="74"/>
        <v>EURYC_BUMPED</v>
      </c>
      <c r="AN62" s="145" t="str">
        <f t="shared" si="83"/>
        <v>EURDF_NOCSA</v>
      </c>
      <c r="AO62" s="145" t="str">
        <f t="shared" si="75"/>
        <v>Spline</v>
      </c>
      <c r="AP62" s="144" t="b">
        <v>1</v>
      </c>
      <c r="AQ62" s="150" t="b">
        <v>0</v>
      </c>
      <c r="AR62" s="203">
        <f ca="1">IF(AND(NOW(),isBumpedEUR6MLLoaded),_xll.mirGetParRate4($B62,$G62,$AM62,$N62,$O62,$P62,$Q62,$R62,$S62,$T62,$U62,$V62,$Y62,$Z62,$AA62,$AB62,$AC62,$AD62,$AE62,$AF62,$AH62,$AI62,$AJ62,$AK62,$AO62,$W62,$AN62,$AP62,$AQ62,$J62),"LOAD CURVE")</f>
        <v>8.5460968569594595E-3</v>
      </c>
      <c r="AS62" s="151">
        <f ca="1">IF(AND(NOW(),isBumpedEUR6MLLoaded),_xll.mirSwapPV($D62,$F62,$B62,$G62,$AM62,$M62,$N62,$O62,$P62,$Q62,$R62,$S62,$T62,$U62,$V62,$X62,$Y62,$Z62,$AA62,$AB62,$AC62,$AD62,$AE62,$AF62,$AH62,$AI62,$AJ62,$AK62,$AO62,$W62,$AN62,$AP62,$AQ62),"LOAD CURVE")</f>
        <v>451977.90386894345</v>
      </c>
      <c r="AT62" s="168">
        <f ca="1">IF(AND(NOW(),isBumpedEUR6MLLoaded),_xll.mirSwapPV01($D62,$F62,$B62,$G62,$AM62,$N62,$O62,$P62,$Q62,$R62,$S62,$T62,$U62,$V62,$X62,$Y62,$Z62,$AA62,$AB62,$AC62,$AD62,$AE62,$AF62,$AH62,$AI62,$AJ62,$AK62,$AO62,$W62,$AN62,$AP62,$AQ62),"LOAD CURVE")</f>
        <v>1090.3144688435048</v>
      </c>
      <c r="AU62" s="252"/>
      <c r="AV62" s="252"/>
      <c r="AW62" s="232"/>
      <c r="AX62" s="116"/>
    </row>
    <row r="63" spans="1:50" x14ac:dyDescent="0.25">
      <c r="A63" s="210">
        <v>12</v>
      </c>
      <c r="B63" s="139">
        <f t="shared" ref="B63:L63" si="92">B17</f>
        <v>42423</v>
      </c>
      <c r="C63" s="258" t="str">
        <f t="shared" si="92"/>
        <v>2D</v>
      </c>
      <c r="D63" s="246">
        <f t="shared" si="92"/>
        <v>1000000</v>
      </c>
      <c r="E63" s="246" t="str">
        <f t="shared" si="92"/>
        <v>EUR</v>
      </c>
      <c r="F63" s="249" t="str">
        <f t="shared" si="92"/>
        <v>RECEIVER</v>
      </c>
      <c r="G63" s="277" t="str">
        <f t="shared" si="92"/>
        <v>12Y</v>
      </c>
      <c r="H63" s="206">
        <f t="shared" si="92"/>
        <v>0.05</v>
      </c>
      <c r="I63" s="99" t="str">
        <f t="shared" si="92"/>
        <v>6ML</v>
      </c>
      <c r="J63" s="246">
        <f t="shared" si="72"/>
        <v>10</v>
      </c>
      <c r="K63" s="275">
        <f t="shared" si="72"/>
        <v>-1.31E-3</v>
      </c>
      <c r="L63" s="142" t="str">
        <f t="shared" si="92"/>
        <v>NOCSA</v>
      </c>
      <c r="M63" s="152">
        <f t="shared" si="77"/>
        <v>0.05</v>
      </c>
      <c r="N63" s="144" t="s">
        <v>25</v>
      </c>
      <c r="O63" s="144" t="s">
        <v>19</v>
      </c>
      <c r="P63" s="144" t="s">
        <v>21</v>
      </c>
      <c r="Q63" s="144" t="s">
        <v>2</v>
      </c>
      <c r="R63" s="192"/>
      <c r="S63" s="192"/>
      <c r="T63" s="145">
        <f t="shared" si="78"/>
        <v>23</v>
      </c>
      <c r="U63" s="144" t="s">
        <v>146</v>
      </c>
      <c r="V63" s="144" t="s">
        <v>147</v>
      </c>
      <c r="W63" s="145" t="str">
        <f t="shared" si="73"/>
        <v>EUR6ML</v>
      </c>
      <c r="X63" s="146">
        <f t="shared" si="79"/>
        <v>10</v>
      </c>
      <c r="Y63" s="183" t="s">
        <v>124</v>
      </c>
      <c r="Z63" s="144" t="s">
        <v>6</v>
      </c>
      <c r="AA63" s="144" t="s">
        <v>21</v>
      </c>
      <c r="AB63" s="144" t="s">
        <v>2</v>
      </c>
      <c r="AC63" s="192"/>
      <c r="AD63" s="192"/>
      <c r="AE63" s="145">
        <f t="shared" si="80"/>
        <v>23</v>
      </c>
      <c r="AF63" s="144" t="s">
        <v>146</v>
      </c>
      <c r="AG63" s="147">
        <f>_xll.mirGetDate(COB,"-"&amp;AF63,$AA63,$AB63)</f>
        <v>42419</v>
      </c>
      <c r="AH63" s="148" t="s">
        <v>34</v>
      </c>
      <c r="AI63" s="149"/>
      <c r="AJ63" s="144" t="s">
        <v>146</v>
      </c>
      <c r="AK63" s="144" t="s">
        <v>147</v>
      </c>
      <c r="AL63" s="145" t="str">
        <f t="shared" si="81"/>
        <v>NOCSA</v>
      </c>
      <c r="AM63" s="145" t="str">
        <f t="shared" si="74"/>
        <v>EURYC_BUMPED</v>
      </c>
      <c r="AN63" s="145" t="str">
        <f t="shared" si="83"/>
        <v>EURDF_NOCSA</v>
      </c>
      <c r="AO63" s="145" t="str">
        <f t="shared" si="75"/>
        <v>Spline</v>
      </c>
      <c r="AP63" s="144" t="b">
        <v>1</v>
      </c>
      <c r="AQ63" s="150" t="b">
        <v>0</v>
      </c>
      <c r="AR63" s="203">
        <f ca="1">IF(AND(NOW(),isBumpedEUR6MLLoaded),_xll.mirGetParRate4($B63,$G63,$AM63,$N63,$O63,$P63,$Q63,$R63,$S63,$T63,$U63,$V63,$Y63,$Z63,$AA63,$AB63,$AC63,$AD63,$AE63,$AF63,$AH63,$AI63,$AJ63,$AK63,$AO63,$W63,$AN63,$AP63,$AQ63,$J63),"LOAD CURVE")</f>
        <v>9.386259478670566E-3</v>
      </c>
      <c r="AS63" s="151">
        <f ca="1">IF(AND(NOW(),isBumpedEUR6MLLoaded),_xll.mirSwapPV($D63,$F63,$B63,$G63,$AM63,$M63,$N63,$O63,$P63,$Q63,$R63,$S63,$T63,$U63,$V63,$X63,$Y63,$Z63,$AA63,$AB63,$AC63,$AD63,$AE63,$AF63,$AH63,$AI63,$AJ63,$AK63,$AO63,$W63,$AN63,$AP63,$AQ63),"LOAD CURVE")</f>
        <v>480458.92022493016</v>
      </c>
      <c r="AT63" s="168">
        <f ca="1">IF(AND(NOW(),isBumpedEUR6MLLoaded),_xll.mirSwapPV01($D63,$F63,$B63,$G63,$AM63,$N63,$O63,$P63,$Q63,$R63,$S63,$T63,$U63,$V63,$X63,$Y63,$Z63,$AA63,$AB63,$AC63,$AD63,$AE63,$AF63,$AH63,$AI63,$AJ63,$AK63,$AO63,$W63,$AN63,$AP63,$AQ63),"LOAD CURVE")</f>
        <v>1182.9959862293495</v>
      </c>
      <c r="AU63" s="252"/>
      <c r="AV63" s="252"/>
      <c r="AW63" s="232"/>
      <c r="AX63" s="116"/>
    </row>
    <row r="64" spans="1:50" x14ac:dyDescent="0.25">
      <c r="A64" s="210">
        <v>13</v>
      </c>
      <c r="B64" s="139">
        <f t="shared" ref="B64:L64" si="93">B18</f>
        <v>42423</v>
      </c>
      <c r="C64" s="258" t="str">
        <f t="shared" si="93"/>
        <v>2D</v>
      </c>
      <c r="D64" s="246">
        <f t="shared" si="93"/>
        <v>1000000</v>
      </c>
      <c r="E64" s="246" t="str">
        <f t="shared" si="93"/>
        <v>EUR</v>
      </c>
      <c r="F64" s="249" t="str">
        <f t="shared" si="93"/>
        <v>RECEIVER</v>
      </c>
      <c r="G64" s="277" t="str">
        <f t="shared" si="93"/>
        <v>13Y</v>
      </c>
      <c r="H64" s="206">
        <f t="shared" si="93"/>
        <v>0.05</v>
      </c>
      <c r="I64" s="99" t="str">
        <f t="shared" si="93"/>
        <v>6ML</v>
      </c>
      <c r="J64" s="246">
        <f t="shared" si="72"/>
        <v>10</v>
      </c>
      <c r="K64" s="275">
        <f t="shared" si="72"/>
        <v>-1.31E-3</v>
      </c>
      <c r="L64" s="142" t="str">
        <f t="shared" si="93"/>
        <v>NOCSA</v>
      </c>
      <c r="M64" s="152">
        <f t="shared" si="77"/>
        <v>0.05</v>
      </c>
      <c r="N64" s="144" t="s">
        <v>25</v>
      </c>
      <c r="O64" s="144" t="s">
        <v>19</v>
      </c>
      <c r="P64" s="144" t="s">
        <v>21</v>
      </c>
      <c r="Q64" s="144" t="s">
        <v>2</v>
      </c>
      <c r="R64" s="192"/>
      <c r="S64" s="192"/>
      <c r="T64" s="145">
        <f t="shared" si="78"/>
        <v>23</v>
      </c>
      <c r="U64" s="144" t="s">
        <v>146</v>
      </c>
      <c r="V64" s="144" t="s">
        <v>147</v>
      </c>
      <c r="W64" s="145" t="str">
        <f t="shared" si="73"/>
        <v>EUR6ML</v>
      </c>
      <c r="X64" s="146">
        <f t="shared" si="79"/>
        <v>10</v>
      </c>
      <c r="Y64" s="183" t="s">
        <v>124</v>
      </c>
      <c r="Z64" s="144" t="s">
        <v>6</v>
      </c>
      <c r="AA64" s="144" t="s">
        <v>21</v>
      </c>
      <c r="AB64" s="144" t="s">
        <v>2</v>
      </c>
      <c r="AC64" s="192"/>
      <c r="AD64" s="192"/>
      <c r="AE64" s="145">
        <f t="shared" si="80"/>
        <v>23</v>
      </c>
      <c r="AF64" s="144" t="s">
        <v>146</v>
      </c>
      <c r="AG64" s="147">
        <f>_xll.mirGetDate(COB,"-"&amp;AF64,$AA64,$AB64)</f>
        <v>42419</v>
      </c>
      <c r="AH64" s="148" t="s">
        <v>34</v>
      </c>
      <c r="AI64" s="149"/>
      <c r="AJ64" s="144" t="s">
        <v>146</v>
      </c>
      <c r="AK64" s="144" t="s">
        <v>147</v>
      </c>
      <c r="AL64" s="145" t="str">
        <f t="shared" si="81"/>
        <v>NOCSA</v>
      </c>
      <c r="AM64" s="145" t="str">
        <f t="shared" si="74"/>
        <v>EURYC_BUMPED</v>
      </c>
      <c r="AN64" s="145" t="str">
        <f t="shared" si="83"/>
        <v>EURDF_NOCSA</v>
      </c>
      <c r="AO64" s="145" t="str">
        <f t="shared" si="75"/>
        <v>Spline</v>
      </c>
      <c r="AP64" s="144" t="b">
        <v>1</v>
      </c>
      <c r="AQ64" s="150" t="b">
        <v>0</v>
      </c>
      <c r="AR64" s="203">
        <f ca="1">IF(AND(NOW(),isBumpedEUR6MLLoaded),_xll.mirGetParRate4($B64,$G64,$AM64,$N64,$O64,$P64,$Q64,$R64,$S64,$T64,$U64,$V64,$Y64,$Z64,$AA64,$AB64,$AC64,$AD64,$AE64,$AF64,$AH64,$AI64,$AJ64,$AK64,$AO64,$W64,$AN64,$AP64,$AQ64,$J64),"LOAD CURVE")</f>
        <v>1.0106368132707197E-2</v>
      </c>
      <c r="AS64" s="151">
        <f ca="1">IF(AND(NOW(),isBumpedEUR6MLLoaded),_xll.mirSwapPV($D64,$F64,$B64,$G64,$AM64,$M64,$N64,$O64,$P64,$Q64,$R64,$S64,$T64,$U64,$V64,$X64,$Y64,$Z64,$AA64,$AB64,$AC64,$AD64,$AE64,$AF64,$AH64,$AI64,$AJ64,$AK64,$AO64,$W64,$AN64,$AP64,$AQ64),"LOAD CURVE")</f>
        <v>508296.34624598641</v>
      </c>
      <c r="AT64" s="168">
        <f ca="1">IF(AND(NOW(),isBumpedEUR6MLLoaded),_xll.mirSwapPV01($D64,$F64,$B64,$G64,$AM64,$N64,$O64,$P64,$Q64,$R64,$S64,$T64,$U64,$V64,$X64,$Y64,$Z64,$AA64,$AB64,$AC64,$AD64,$AE64,$AF64,$AH64,$AI64,$AJ64,$AK64,$AO64,$W64,$AN64,$AP64,$AQ64),"LOAD CURVE")</f>
        <v>1274.1290337687162</v>
      </c>
      <c r="AU64" s="252"/>
      <c r="AV64" s="252"/>
      <c r="AW64" s="232"/>
      <c r="AX64" s="116"/>
    </row>
    <row r="65" spans="1:54" x14ac:dyDescent="0.25">
      <c r="A65" s="210">
        <v>14</v>
      </c>
      <c r="B65" s="139">
        <f t="shared" ref="B65:L65" si="94">B19</f>
        <v>42423</v>
      </c>
      <c r="C65" s="258" t="str">
        <f t="shared" si="94"/>
        <v>2D</v>
      </c>
      <c r="D65" s="246">
        <f t="shared" si="94"/>
        <v>1000000</v>
      </c>
      <c r="E65" s="246" t="str">
        <f t="shared" si="94"/>
        <v>EUR</v>
      </c>
      <c r="F65" s="249" t="str">
        <f t="shared" si="94"/>
        <v>RECEIVER</v>
      </c>
      <c r="G65" s="277" t="str">
        <f t="shared" si="94"/>
        <v>14Y</v>
      </c>
      <c r="H65" s="206">
        <f t="shared" si="94"/>
        <v>0.05</v>
      </c>
      <c r="I65" s="99" t="str">
        <f t="shared" si="94"/>
        <v>6ML</v>
      </c>
      <c r="J65" s="246">
        <f t="shared" si="72"/>
        <v>10</v>
      </c>
      <c r="K65" s="275">
        <f t="shared" si="72"/>
        <v>-1.31E-3</v>
      </c>
      <c r="L65" s="142" t="str">
        <f t="shared" si="94"/>
        <v>NOCSA</v>
      </c>
      <c r="M65" s="152">
        <f t="shared" si="77"/>
        <v>0.05</v>
      </c>
      <c r="N65" s="144" t="s">
        <v>25</v>
      </c>
      <c r="O65" s="144" t="s">
        <v>19</v>
      </c>
      <c r="P65" s="144" t="s">
        <v>21</v>
      </c>
      <c r="Q65" s="144" t="s">
        <v>2</v>
      </c>
      <c r="R65" s="192"/>
      <c r="S65" s="192"/>
      <c r="T65" s="145">
        <f t="shared" si="78"/>
        <v>23</v>
      </c>
      <c r="U65" s="144" t="s">
        <v>146</v>
      </c>
      <c r="V65" s="144" t="s">
        <v>147</v>
      </c>
      <c r="W65" s="145" t="str">
        <f t="shared" si="73"/>
        <v>EUR6ML</v>
      </c>
      <c r="X65" s="146">
        <f t="shared" si="79"/>
        <v>10</v>
      </c>
      <c r="Y65" s="183" t="s">
        <v>124</v>
      </c>
      <c r="Z65" s="144" t="s">
        <v>6</v>
      </c>
      <c r="AA65" s="144" t="s">
        <v>21</v>
      </c>
      <c r="AB65" s="144" t="s">
        <v>2</v>
      </c>
      <c r="AC65" s="192"/>
      <c r="AD65" s="192"/>
      <c r="AE65" s="145">
        <f t="shared" si="80"/>
        <v>23</v>
      </c>
      <c r="AF65" s="144" t="s">
        <v>146</v>
      </c>
      <c r="AG65" s="147">
        <f>_xll.mirGetDate(COB,"-"&amp;AF65,$AA65,$AB65)</f>
        <v>42419</v>
      </c>
      <c r="AH65" s="148" t="s">
        <v>34</v>
      </c>
      <c r="AI65" s="149"/>
      <c r="AJ65" s="144" t="s">
        <v>146</v>
      </c>
      <c r="AK65" s="144" t="s">
        <v>147</v>
      </c>
      <c r="AL65" s="145" t="str">
        <f t="shared" si="81"/>
        <v>NOCSA</v>
      </c>
      <c r="AM65" s="145" t="str">
        <f t="shared" si="74"/>
        <v>EURYC_BUMPED</v>
      </c>
      <c r="AN65" s="145" t="str">
        <f t="shared" si="83"/>
        <v>EURDF_NOCSA</v>
      </c>
      <c r="AO65" s="145" t="str">
        <f t="shared" si="75"/>
        <v>Spline</v>
      </c>
      <c r="AP65" s="144" t="b">
        <v>1</v>
      </c>
      <c r="AQ65" s="150" t="b">
        <v>0</v>
      </c>
      <c r="AR65" s="203">
        <f ca="1">IF(AND(NOW(),isBumpedEUR6MLLoaded),_xll.mirGetParRate4($B65,$G65,$AM65,$N65,$O65,$P65,$Q65,$R65,$S65,$T65,$U65,$V65,$Y65,$Z65,$AA65,$AB65,$AC65,$AD65,$AE65,$AF65,$AH65,$AI65,$AJ65,$AK65,$AO65,$W65,$AN65,$AP65,$AQ65,$J65),"LOAD CURVE")</f>
        <v>1.0716185196238629E-2</v>
      </c>
      <c r="AS65" s="151">
        <f ca="1">IF(AND(NOW(),isBumpedEUR6MLLoaded),_xll.mirSwapPV($D65,$F65,$B65,$G65,$AM65,$M65,$N65,$O65,$P65,$Q65,$R65,$S65,$T65,$U65,$V65,$X65,$Y65,$Z65,$AA65,$AB65,$AC65,$AD65,$AE65,$AF65,$AH65,$AI65,$AJ65,$AK65,$AO65,$W65,$AN65,$AP65,$AQ65),"LOAD CURVE")</f>
        <v>535915.53672620899</v>
      </c>
      <c r="AT65" s="168">
        <f ca="1">IF(AND(NOW(),isBumpedEUR6MLLoaded),_xll.mirSwapPV01($D65,$F65,$B65,$G65,$AM65,$N65,$O65,$P65,$Q65,$R65,$S65,$T65,$U65,$V65,$X65,$Y65,$Z65,$AA65,$AB65,$AC65,$AD65,$AE65,$AF65,$AH65,$AI65,$AJ65,$AK65,$AO65,$W65,$AN65,$AP65,$AQ65),"LOAD CURVE")</f>
        <v>1364.2145993288202</v>
      </c>
      <c r="AU65" s="252"/>
      <c r="AV65" s="252"/>
      <c r="AW65" s="232"/>
      <c r="AX65" s="116"/>
    </row>
    <row r="66" spans="1:54" x14ac:dyDescent="0.25">
      <c r="A66" s="210">
        <v>15</v>
      </c>
      <c r="B66" s="139">
        <f t="shared" ref="B66:L66" si="95">B20</f>
        <v>42423</v>
      </c>
      <c r="C66" s="258" t="str">
        <f t="shared" si="95"/>
        <v>2D</v>
      </c>
      <c r="D66" s="246">
        <f t="shared" si="95"/>
        <v>1000000</v>
      </c>
      <c r="E66" s="246" t="str">
        <f t="shared" si="95"/>
        <v>EUR</v>
      </c>
      <c r="F66" s="249" t="str">
        <f t="shared" si="95"/>
        <v>RECEIVER</v>
      </c>
      <c r="G66" s="277" t="str">
        <f t="shared" si="95"/>
        <v>15Y</v>
      </c>
      <c r="H66" s="206">
        <f t="shared" si="95"/>
        <v>0.05</v>
      </c>
      <c r="I66" s="99" t="str">
        <f t="shared" si="95"/>
        <v>6ML</v>
      </c>
      <c r="J66" s="246">
        <f t="shared" si="72"/>
        <v>10</v>
      </c>
      <c r="K66" s="275">
        <f t="shared" si="72"/>
        <v>-1.31E-3</v>
      </c>
      <c r="L66" s="142" t="str">
        <f t="shared" si="95"/>
        <v>NOCSA</v>
      </c>
      <c r="M66" s="152">
        <f t="shared" si="77"/>
        <v>0.05</v>
      </c>
      <c r="N66" s="144" t="s">
        <v>25</v>
      </c>
      <c r="O66" s="144" t="s">
        <v>19</v>
      </c>
      <c r="P66" s="144" t="s">
        <v>21</v>
      </c>
      <c r="Q66" s="144" t="s">
        <v>2</v>
      </c>
      <c r="R66" s="192"/>
      <c r="S66" s="192"/>
      <c r="T66" s="145">
        <f t="shared" si="78"/>
        <v>23</v>
      </c>
      <c r="U66" s="144" t="s">
        <v>146</v>
      </c>
      <c r="V66" s="144" t="s">
        <v>147</v>
      </c>
      <c r="W66" s="145" t="str">
        <f t="shared" si="73"/>
        <v>EUR6ML</v>
      </c>
      <c r="X66" s="146">
        <f t="shared" si="79"/>
        <v>10</v>
      </c>
      <c r="Y66" s="183" t="s">
        <v>124</v>
      </c>
      <c r="Z66" s="144" t="s">
        <v>6</v>
      </c>
      <c r="AA66" s="144" t="s">
        <v>21</v>
      </c>
      <c r="AB66" s="144" t="s">
        <v>2</v>
      </c>
      <c r="AC66" s="192"/>
      <c r="AD66" s="192"/>
      <c r="AE66" s="145">
        <f t="shared" si="80"/>
        <v>23</v>
      </c>
      <c r="AF66" s="144" t="s">
        <v>146</v>
      </c>
      <c r="AG66" s="147">
        <f>_xll.mirGetDate(COB,"-"&amp;AF66,$AA66,$AB66)</f>
        <v>42419</v>
      </c>
      <c r="AH66" s="148" t="s">
        <v>34</v>
      </c>
      <c r="AI66" s="149"/>
      <c r="AJ66" s="144" t="s">
        <v>146</v>
      </c>
      <c r="AK66" s="144" t="s">
        <v>147</v>
      </c>
      <c r="AL66" s="145" t="str">
        <f t="shared" si="81"/>
        <v>NOCSA</v>
      </c>
      <c r="AM66" s="145" t="str">
        <f t="shared" si="74"/>
        <v>EURYC_BUMPED</v>
      </c>
      <c r="AN66" s="145" t="str">
        <f t="shared" si="83"/>
        <v>EURDF_NOCSA</v>
      </c>
      <c r="AO66" s="145" t="str">
        <f t="shared" si="75"/>
        <v>Spline</v>
      </c>
      <c r="AP66" s="144" t="b">
        <v>1</v>
      </c>
      <c r="AQ66" s="150" t="b">
        <v>0</v>
      </c>
      <c r="AR66" s="203">
        <f ca="1">IF(AND(NOW(),isBumpedEUR6MLLoaded),_xll.mirGetParRate4($B66,$G66,$AM66,$N66,$O66,$P66,$Q66,$R66,$S66,$T66,$U66,$V66,$Y66,$Z66,$AA66,$AB66,$AC66,$AD66,$AE66,$AF66,$AH66,$AI66,$AJ66,$AK66,$AO66,$W66,$AN66,$AP66,$AQ66,$J66),"LOAD CURVE")</f>
        <v>1.1216806212114299E-2</v>
      </c>
      <c r="AS66" s="151">
        <f ca="1">IF(AND(NOW(),isBumpedEUR6MLLoaded),_xll.mirSwapPV($D66,$F66,$B66,$G66,$AM66,$M66,$N66,$O66,$P66,$Q66,$R66,$S66,$T66,$U66,$V66,$X66,$Y66,$Z66,$AA66,$AB66,$AC66,$AD66,$AE66,$AF66,$AH66,$AI66,$AJ66,$AK66,$AO66,$W66,$AN66,$AP66,$AQ66),"LOAD CURVE")</f>
        <v>563130.30999956897</v>
      </c>
      <c r="AT66" s="168">
        <f ca="1">IF(AND(NOW(),isBumpedEUR6MLLoaded),_xll.mirSwapPV01($D66,$F66,$B66,$G66,$AM66,$N66,$O66,$P66,$Q66,$R66,$S66,$T66,$U66,$V66,$X66,$Y66,$Z66,$AA66,$AB66,$AC66,$AD66,$AE66,$AF66,$AH66,$AI66,$AJ66,$AK66,$AO66,$W66,$AN66,$AP66,$AQ66),"LOAD CURVE")</f>
        <v>1451.9957099960861</v>
      </c>
      <c r="AU66" s="252"/>
      <c r="AV66" s="252"/>
      <c r="AW66" s="232"/>
      <c r="AX66" s="116"/>
    </row>
    <row r="67" spans="1:54" x14ac:dyDescent="0.25">
      <c r="A67" s="210">
        <v>16</v>
      </c>
      <c r="B67" s="139">
        <f t="shared" ref="B67:L67" si="96">B21</f>
        <v>42423</v>
      </c>
      <c r="C67" s="258" t="str">
        <f t="shared" si="96"/>
        <v>2D</v>
      </c>
      <c r="D67" s="246">
        <f t="shared" si="96"/>
        <v>1000000</v>
      </c>
      <c r="E67" s="246" t="str">
        <f t="shared" si="96"/>
        <v>EUR</v>
      </c>
      <c r="F67" s="249" t="str">
        <f t="shared" si="96"/>
        <v>RECEIVER</v>
      </c>
      <c r="G67" s="277" t="str">
        <f t="shared" si="96"/>
        <v>16Y</v>
      </c>
      <c r="H67" s="206">
        <f t="shared" si="96"/>
        <v>0.05</v>
      </c>
      <c r="I67" s="99" t="str">
        <f t="shared" si="96"/>
        <v>6ML</v>
      </c>
      <c r="J67" s="246">
        <f t="shared" si="72"/>
        <v>10</v>
      </c>
      <c r="K67" s="275">
        <f t="shared" si="72"/>
        <v>-1.31E-3</v>
      </c>
      <c r="L67" s="142" t="str">
        <f t="shared" si="96"/>
        <v>NOCSA</v>
      </c>
      <c r="M67" s="152">
        <f t="shared" si="77"/>
        <v>0.05</v>
      </c>
      <c r="N67" s="144" t="s">
        <v>25</v>
      </c>
      <c r="O67" s="144" t="s">
        <v>19</v>
      </c>
      <c r="P67" s="144" t="s">
        <v>21</v>
      </c>
      <c r="Q67" s="144" t="s">
        <v>2</v>
      </c>
      <c r="R67" s="192"/>
      <c r="S67" s="192"/>
      <c r="T67" s="145">
        <f t="shared" si="78"/>
        <v>23</v>
      </c>
      <c r="U67" s="144" t="s">
        <v>146</v>
      </c>
      <c r="V67" s="144" t="s">
        <v>147</v>
      </c>
      <c r="W67" s="145" t="str">
        <f t="shared" si="73"/>
        <v>EUR6ML</v>
      </c>
      <c r="X67" s="146">
        <f t="shared" si="79"/>
        <v>10</v>
      </c>
      <c r="Y67" s="183" t="s">
        <v>124</v>
      </c>
      <c r="Z67" s="144" t="s">
        <v>6</v>
      </c>
      <c r="AA67" s="144" t="s">
        <v>21</v>
      </c>
      <c r="AB67" s="144" t="s">
        <v>2</v>
      </c>
      <c r="AC67" s="192"/>
      <c r="AD67" s="192"/>
      <c r="AE67" s="145">
        <f t="shared" si="80"/>
        <v>23</v>
      </c>
      <c r="AF67" s="144" t="s">
        <v>146</v>
      </c>
      <c r="AG67" s="147">
        <f>_xll.mirGetDate(COB,"-"&amp;AF67,$AA67,$AB67)</f>
        <v>42419</v>
      </c>
      <c r="AH67" s="148" t="s">
        <v>34</v>
      </c>
      <c r="AI67" s="149"/>
      <c r="AJ67" s="144" t="s">
        <v>146</v>
      </c>
      <c r="AK67" s="144" t="s">
        <v>147</v>
      </c>
      <c r="AL67" s="145" t="str">
        <f t="shared" si="81"/>
        <v>NOCSA</v>
      </c>
      <c r="AM67" s="145" t="str">
        <f t="shared" si="74"/>
        <v>EURYC_BUMPED</v>
      </c>
      <c r="AN67" s="145" t="str">
        <f t="shared" si="83"/>
        <v>EURDF_NOCSA</v>
      </c>
      <c r="AO67" s="145" t="str">
        <f t="shared" si="75"/>
        <v>Spline</v>
      </c>
      <c r="AP67" s="144" t="b">
        <v>1</v>
      </c>
      <c r="AQ67" s="150" t="b">
        <v>0</v>
      </c>
      <c r="AR67" s="203">
        <f ca="1">IF(AND(NOW(),isBumpedEUR6MLLoaded),_xll.mirGetParRate4($B67,$G67,$AM67,$N67,$O67,$P67,$Q67,$R67,$S67,$T67,$U67,$V67,$Y67,$Z67,$AA67,$AB67,$AC67,$AD67,$AE67,$AF67,$AH67,$AI67,$AJ67,$AK67,$AO67,$W67,$AN67,$AP67,$AQ67,$J67),"LOAD CURVE")</f>
        <v>1.1621917884969074E-2</v>
      </c>
      <c r="AS67" s="151">
        <f ca="1">IF(AND(NOW(),isBumpedEUR6MLLoaded),_xll.mirSwapPV($D67,$F67,$B67,$G67,$AM67,$M67,$N67,$O67,$P67,$Q67,$R67,$S67,$T67,$U67,$V67,$X67,$Y67,$Z67,$AA67,$AB67,$AC67,$AD67,$AE67,$AF67,$AH67,$AI67,$AJ67,$AK67,$AO67,$W67,$AN67,$AP67,$AQ67),"LOAD CURVE")</f>
        <v>590368.88458121975</v>
      </c>
      <c r="AT67" s="168">
        <f ca="1">IF(AND(NOW(),isBumpedEUR6MLLoaded),_xll.mirSwapPV01($D67,$F67,$B67,$G67,$AM67,$N67,$O67,$P67,$Q67,$R67,$S67,$T67,$U67,$V67,$X67,$Y67,$Z67,$AA67,$AB67,$AC67,$AD67,$AE67,$AF67,$AH67,$AI67,$AJ67,$AK67,$AO67,$W67,$AN67,$AP67,$AQ67),"LOAD CURVE")</f>
        <v>1538.2969967381448</v>
      </c>
      <c r="AU67" s="252"/>
      <c r="AV67" s="252"/>
      <c r="AW67" s="232"/>
      <c r="AX67" s="116"/>
    </row>
    <row r="68" spans="1:54" x14ac:dyDescent="0.25">
      <c r="A68" s="210">
        <v>17</v>
      </c>
      <c r="B68" s="139">
        <f t="shared" ref="B68:L68" si="97">B22</f>
        <v>42423</v>
      </c>
      <c r="C68" s="258" t="str">
        <f t="shared" si="97"/>
        <v>2D</v>
      </c>
      <c r="D68" s="246">
        <f t="shared" si="97"/>
        <v>1000000</v>
      </c>
      <c r="E68" s="246" t="str">
        <f t="shared" si="97"/>
        <v>EUR</v>
      </c>
      <c r="F68" s="249" t="str">
        <f t="shared" si="97"/>
        <v>RECEIVER</v>
      </c>
      <c r="G68" s="277" t="str">
        <f t="shared" si="97"/>
        <v>17Y</v>
      </c>
      <c r="H68" s="206">
        <f t="shared" si="97"/>
        <v>0.05</v>
      </c>
      <c r="I68" s="99" t="str">
        <f t="shared" si="97"/>
        <v>6ML</v>
      </c>
      <c r="J68" s="246">
        <f t="shared" si="72"/>
        <v>10</v>
      </c>
      <c r="K68" s="275">
        <f t="shared" si="72"/>
        <v>-1.31E-3</v>
      </c>
      <c r="L68" s="142" t="str">
        <f t="shared" si="97"/>
        <v>NOCSA</v>
      </c>
      <c r="M68" s="152">
        <f t="shared" si="77"/>
        <v>0.05</v>
      </c>
      <c r="N68" s="144" t="s">
        <v>25</v>
      </c>
      <c r="O68" s="144" t="s">
        <v>19</v>
      </c>
      <c r="P68" s="144" t="s">
        <v>21</v>
      </c>
      <c r="Q68" s="144" t="s">
        <v>2</v>
      </c>
      <c r="R68" s="192"/>
      <c r="S68" s="192"/>
      <c r="T68" s="145">
        <f t="shared" si="78"/>
        <v>23</v>
      </c>
      <c r="U68" s="144" t="s">
        <v>146</v>
      </c>
      <c r="V68" s="144" t="s">
        <v>147</v>
      </c>
      <c r="W68" s="145" t="str">
        <f t="shared" si="73"/>
        <v>EUR6ML</v>
      </c>
      <c r="X68" s="146">
        <f t="shared" si="79"/>
        <v>10</v>
      </c>
      <c r="Y68" s="183" t="s">
        <v>124</v>
      </c>
      <c r="Z68" s="144" t="s">
        <v>6</v>
      </c>
      <c r="AA68" s="144" t="s">
        <v>21</v>
      </c>
      <c r="AB68" s="144" t="s">
        <v>2</v>
      </c>
      <c r="AC68" s="192"/>
      <c r="AD68" s="192"/>
      <c r="AE68" s="145">
        <f t="shared" si="80"/>
        <v>23</v>
      </c>
      <c r="AF68" s="144" t="s">
        <v>146</v>
      </c>
      <c r="AG68" s="147">
        <f>_xll.mirGetDate(COB,"-"&amp;AF68,$AA68,$AB68)</f>
        <v>42419</v>
      </c>
      <c r="AH68" s="148" t="s">
        <v>34</v>
      </c>
      <c r="AI68" s="149"/>
      <c r="AJ68" s="144" t="s">
        <v>146</v>
      </c>
      <c r="AK68" s="144" t="s">
        <v>147</v>
      </c>
      <c r="AL68" s="145" t="str">
        <f t="shared" si="81"/>
        <v>NOCSA</v>
      </c>
      <c r="AM68" s="145" t="str">
        <f t="shared" si="74"/>
        <v>EURYC_BUMPED</v>
      </c>
      <c r="AN68" s="145" t="str">
        <f t="shared" si="83"/>
        <v>EURDF_NOCSA</v>
      </c>
      <c r="AO68" s="145" t="str">
        <f t="shared" si="75"/>
        <v>Spline</v>
      </c>
      <c r="AP68" s="144" t="b">
        <v>1</v>
      </c>
      <c r="AQ68" s="150" t="b">
        <v>0</v>
      </c>
      <c r="AR68" s="203">
        <f ca="1">IF(AND(NOW(),isBumpedEUR6MLLoaded),_xll.mirGetParRate4($B68,$G68,$AM68,$N68,$O68,$P68,$Q68,$R68,$S68,$T68,$U68,$V68,$Y68,$Z68,$AA68,$AB68,$AC68,$AD68,$AE68,$AF68,$AH68,$AI68,$AJ68,$AK68,$AO68,$W68,$AN68,$AP68,$AQ68,$J68),"LOAD CURVE")</f>
        <v>1.1949275577329643E-2</v>
      </c>
      <c r="AS68" s="151">
        <f ca="1">IF(AND(NOW(),isBumpedEUR6MLLoaded),_xll.mirSwapPV($D68,$F68,$B68,$G68,$AM68,$M68,$N68,$O68,$P68,$Q68,$R68,$S68,$T68,$U68,$V68,$X68,$Y68,$Z68,$AA68,$AB68,$AC68,$AD68,$AE68,$AF68,$AH68,$AI68,$AJ68,$AK68,$AO68,$W68,$AN68,$AP68,$AQ68),"LOAD CURVE")</f>
        <v>617735.06802567327</v>
      </c>
      <c r="AT68" s="168">
        <f ca="1">IF(AND(NOW(),isBumpedEUR6MLLoaded),_xll.mirSwapPV01($D68,$F68,$B68,$G68,$AM68,$N68,$O68,$P68,$Q68,$R68,$S68,$T68,$U68,$V68,$X68,$Y68,$Z68,$AA68,$AB68,$AC68,$AD68,$AE68,$AF68,$AH68,$AI68,$AJ68,$AK68,$AO68,$W68,$AN68,$AP68,$AQ68),"LOAD CURVE")</f>
        <v>1623.4515305512316</v>
      </c>
      <c r="AU68" s="252"/>
      <c r="AV68" s="252"/>
      <c r="AW68" s="232"/>
      <c r="AX68" s="116"/>
      <c r="BA68" s="116"/>
      <c r="BB68" s="116"/>
    </row>
    <row r="69" spans="1:54" x14ac:dyDescent="0.25">
      <c r="A69" s="210">
        <v>18</v>
      </c>
      <c r="B69" s="139">
        <f t="shared" ref="B69:L69" si="98">B23</f>
        <v>42423</v>
      </c>
      <c r="C69" s="258" t="str">
        <f t="shared" si="98"/>
        <v>2D</v>
      </c>
      <c r="D69" s="246">
        <f t="shared" si="98"/>
        <v>1000000</v>
      </c>
      <c r="E69" s="246" t="str">
        <f t="shared" si="98"/>
        <v>EUR</v>
      </c>
      <c r="F69" s="249" t="str">
        <f t="shared" si="98"/>
        <v>RECEIVER</v>
      </c>
      <c r="G69" s="277" t="str">
        <f t="shared" si="98"/>
        <v>18Y</v>
      </c>
      <c r="H69" s="206">
        <f t="shared" si="98"/>
        <v>0.05</v>
      </c>
      <c r="I69" s="99" t="str">
        <f t="shared" si="98"/>
        <v>6ML</v>
      </c>
      <c r="J69" s="246">
        <f t="shared" si="72"/>
        <v>10</v>
      </c>
      <c r="K69" s="275">
        <f t="shared" si="72"/>
        <v>-1.31E-3</v>
      </c>
      <c r="L69" s="142" t="str">
        <f t="shared" si="98"/>
        <v>NOCSA</v>
      </c>
      <c r="M69" s="152">
        <f t="shared" si="77"/>
        <v>0.05</v>
      </c>
      <c r="N69" s="144" t="s">
        <v>25</v>
      </c>
      <c r="O69" s="144" t="s">
        <v>19</v>
      </c>
      <c r="P69" s="144" t="s">
        <v>21</v>
      </c>
      <c r="Q69" s="144" t="s">
        <v>2</v>
      </c>
      <c r="R69" s="192"/>
      <c r="S69" s="192"/>
      <c r="T69" s="145">
        <f t="shared" si="78"/>
        <v>23</v>
      </c>
      <c r="U69" s="144" t="s">
        <v>146</v>
      </c>
      <c r="V69" s="144" t="s">
        <v>147</v>
      </c>
      <c r="W69" s="145" t="str">
        <f t="shared" si="73"/>
        <v>EUR6ML</v>
      </c>
      <c r="X69" s="146">
        <f t="shared" si="79"/>
        <v>10</v>
      </c>
      <c r="Y69" s="183" t="s">
        <v>124</v>
      </c>
      <c r="Z69" s="144" t="s">
        <v>6</v>
      </c>
      <c r="AA69" s="144" t="s">
        <v>21</v>
      </c>
      <c r="AB69" s="144" t="s">
        <v>2</v>
      </c>
      <c r="AC69" s="192"/>
      <c r="AD69" s="192"/>
      <c r="AE69" s="145">
        <f t="shared" si="80"/>
        <v>23</v>
      </c>
      <c r="AF69" s="144" t="s">
        <v>146</v>
      </c>
      <c r="AG69" s="147">
        <f>_xll.mirGetDate(COB,"-"&amp;AF69,$AA69,$AB69)</f>
        <v>42419</v>
      </c>
      <c r="AH69" s="148" t="s">
        <v>34</v>
      </c>
      <c r="AI69" s="149"/>
      <c r="AJ69" s="144" t="s">
        <v>146</v>
      </c>
      <c r="AK69" s="144" t="s">
        <v>147</v>
      </c>
      <c r="AL69" s="145" t="str">
        <f t="shared" si="81"/>
        <v>NOCSA</v>
      </c>
      <c r="AM69" s="145" t="str">
        <f t="shared" si="74"/>
        <v>EURYC_BUMPED</v>
      </c>
      <c r="AN69" s="145" t="str">
        <f t="shared" si="83"/>
        <v>EURDF_NOCSA</v>
      </c>
      <c r="AO69" s="145" t="str">
        <f t="shared" si="75"/>
        <v>Spline</v>
      </c>
      <c r="AP69" s="144" t="b">
        <v>1</v>
      </c>
      <c r="AQ69" s="150" t="b">
        <v>0</v>
      </c>
      <c r="AR69" s="203">
        <f ca="1">IF(AND(NOW(),isBumpedEUR6MLLoaded),_xll.mirGetParRate4($B69,$G69,$AM69,$N69,$O69,$P69,$Q69,$R69,$S69,$T69,$U69,$V69,$Y69,$Z69,$AA69,$AB69,$AC69,$AD69,$AE69,$AF69,$AH69,$AI69,$AJ69,$AK69,$AO69,$W69,$AN69,$AP69,$AQ69,$J69),"LOAD CURVE")</f>
        <v>1.2210317602316761E-2</v>
      </c>
      <c r="AS69" s="151">
        <f ca="1">IF(AND(NOW(),isBumpedEUR6MLLoaded),_xll.mirSwapPV($D69,$F69,$B69,$G69,$AM69,$M69,$N69,$O69,$P69,$Q69,$R69,$S69,$T69,$U69,$V69,$X69,$Y69,$Z69,$AA69,$AB69,$AC69,$AD69,$AE69,$AF69,$AH69,$AI69,$AJ69,$AK69,$AO69,$W69,$AN69,$AP69,$AQ69),"LOAD CURVE")</f>
        <v>645184.38401116268</v>
      </c>
      <c r="AT69" s="168">
        <f ca="1">IF(AND(NOW(),isBumpedEUR6MLLoaded),_xll.mirSwapPV01($D69,$F69,$B69,$G69,$AM69,$N69,$O69,$P69,$Q69,$R69,$S69,$T69,$U69,$V69,$X69,$Y69,$Z69,$AA69,$AB69,$AC69,$AD69,$AE69,$AF69,$AH69,$AI69,$AJ69,$AK69,$AO69,$W69,$AN69,$AP69,$AQ69),"LOAD CURVE")</f>
        <v>1707.3030072640058</v>
      </c>
      <c r="AU69" s="252"/>
      <c r="AV69" s="252"/>
      <c r="AW69" s="232"/>
      <c r="AX69" s="116"/>
      <c r="BA69" s="116"/>
      <c r="BB69" s="116"/>
    </row>
    <row r="70" spans="1:54" x14ac:dyDescent="0.25">
      <c r="A70" s="210">
        <v>19</v>
      </c>
      <c r="B70" s="139">
        <f t="shared" ref="B70:L70" si="99">B24</f>
        <v>42423</v>
      </c>
      <c r="C70" s="258" t="str">
        <f t="shared" si="99"/>
        <v>2D</v>
      </c>
      <c r="D70" s="246">
        <f t="shared" si="99"/>
        <v>1000000</v>
      </c>
      <c r="E70" s="246" t="str">
        <f t="shared" si="99"/>
        <v>EUR</v>
      </c>
      <c r="F70" s="249" t="str">
        <f t="shared" si="99"/>
        <v>RECEIVER</v>
      </c>
      <c r="G70" s="277" t="str">
        <f t="shared" si="99"/>
        <v>19Y</v>
      </c>
      <c r="H70" s="206">
        <f t="shared" si="99"/>
        <v>0.05</v>
      </c>
      <c r="I70" s="99" t="str">
        <f t="shared" si="99"/>
        <v>6ML</v>
      </c>
      <c r="J70" s="246">
        <f t="shared" si="72"/>
        <v>10</v>
      </c>
      <c r="K70" s="275">
        <f t="shared" si="72"/>
        <v>-1.31E-3</v>
      </c>
      <c r="L70" s="142" t="str">
        <f t="shared" si="99"/>
        <v>NOCSA</v>
      </c>
      <c r="M70" s="152">
        <f t="shared" si="77"/>
        <v>0.05</v>
      </c>
      <c r="N70" s="144" t="s">
        <v>25</v>
      </c>
      <c r="O70" s="144" t="s">
        <v>19</v>
      </c>
      <c r="P70" s="144" t="s">
        <v>21</v>
      </c>
      <c r="Q70" s="144" t="s">
        <v>2</v>
      </c>
      <c r="R70" s="192"/>
      <c r="S70" s="192"/>
      <c r="T70" s="145">
        <f t="shared" si="78"/>
        <v>23</v>
      </c>
      <c r="U70" s="144" t="s">
        <v>146</v>
      </c>
      <c r="V70" s="144" t="s">
        <v>147</v>
      </c>
      <c r="W70" s="145" t="str">
        <f t="shared" si="73"/>
        <v>EUR6ML</v>
      </c>
      <c r="X70" s="146">
        <f t="shared" si="79"/>
        <v>10</v>
      </c>
      <c r="Y70" s="183" t="s">
        <v>124</v>
      </c>
      <c r="Z70" s="144" t="s">
        <v>6</v>
      </c>
      <c r="AA70" s="144" t="s">
        <v>21</v>
      </c>
      <c r="AB70" s="144" t="s">
        <v>2</v>
      </c>
      <c r="AC70" s="192"/>
      <c r="AD70" s="192"/>
      <c r="AE70" s="145">
        <f t="shared" si="80"/>
        <v>23</v>
      </c>
      <c r="AF70" s="144" t="s">
        <v>146</v>
      </c>
      <c r="AG70" s="147">
        <f>_xll.mirGetDate(COB,"-"&amp;AF70,$AA70,$AB70)</f>
        <v>42419</v>
      </c>
      <c r="AH70" s="148" t="s">
        <v>34</v>
      </c>
      <c r="AI70" s="149"/>
      <c r="AJ70" s="144" t="s">
        <v>146</v>
      </c>
      <c r="AK70" s="144" t="s">
        <v>147</v>
      </c>
      <c r="AL70" s="145" t="str">
        <f t="shared" si="81"/>
        <v>NOCSA</v>
      </c>
      <c r="AM70" s="145" t="str">
        <f t="shared" si="74"/>
        <v>EURYC_BUMPED</v>
      </c>
      <c r="AN70" s="145" t="str">
        <f t="shared" si="83"/>
        <v>EURDF_NOCSA</v>
      </c>
      <c r="AO70" s="145" t="str">
        <f t="shared" si="75"/>
        <v>Spline</v>
      </c>
      <c r="AP70" s="144" t="b">
        <v>1</v>
      </c>
      <c r="AQ70" s="150" t="b">
        <v>0</v>
      </c>
      <c r="AR70" s="203">
        <f ca="1">IF(AND(NOW(),isBumpedEUR6MLLoaded),_xll.mirGetParRate4($B70,$G70,$AM70,$N70,$O70,$P70,$Q70,$R70,$S70,$T70,$U70,$V70,$Y70,$Z70,$AA70,$AB70,$AC70,$AD70,$AE70,$AF70,$AH70,$AI70,$AJ70,$AK70,$AO70,$W70,$AN70,$AP70,$AQ70,$J70),"LOAD CURVE")</f>
        <v>1.2416577780169843E-2</v>
      </c>
      <c r="AS70" s="151">
        <f ca="1">IF(AND(NOW(),isBumpedEUR6MLLoaded),_xll.mirSwapPV($D70,$F70,$B70,$G70,$AM70,$M70,$N70,$O70,$P70,$Q70,$R70,$S70,$T70,$U70,$V70,$X70,$Y70,$Z70,$AA70,$AB70,$AC70,$AD70,$AE70,$AF70,$AH70,$AI70,$AJ70,$AK70,$AO70,$W70,$AN70,$AP70,$AQ70),"LOAD CURVE")</f>
        <v>672708.62374113128</v>
      </c>
      <c r="AT70" s="168">
        <f ca="1">IF(AND(NOW(),isBumpedEUR6MLLoaded),_xll.mirSwapPV01($D70,$F70,$B70,$G70,$AM70,$N70,$O70,$P70,$Q70,$R70,$S70,$T70,$U70,$V70,$X70,$Y70,$Z70,$AA70,$AB70,$AC70,$AD70,$AE70,$AF70,$AH70,$AI70,$AJ70,$AK70,$AO70,$W70,$AN70,$AP70,$AQ70),"LOAD CURVE")</f>
        <v>1789.9078476844766</v>
      </c>
      <c r="AU70" s="252"/>
      <c r="AV70" s="252"/>
      <c r="AW70" s="232"/>
      <c r="AX70" s="116"/>
      <c r="BB70" s="116"/>
    </row>
    <row r="71" spans="1:54" x14ac:dyDescent="0.25">
      <c r="A71" s="210">
        <v>20</v>
      </c>
      <c r="B71" s="153">
        <f t="shared" ref="B71:L71" si="100">B25</f>
        <v>42423</v>
      </c>
      <c r="C71" s="259" t="str">
        <f t="shared" si="100"/>
        <v>2D</v>
      </c>
      <c r="D71" s="247">
        <f t="shared" si="100"/>
        <v>1000000</v>
      </c>
      <c r="E71" s="247" t="str">
        <f t="shared" si="100"/>
        <v>EUR</v>
      </c>
      <c r="F71" s="250" t="str">
        <f t="shared" si="100"/>
        <v>RECEIVER</v>
      </c>
      <c r="G71" s="278" t="str">
        <f t="shared" si="100"/>
        <v>20Y</v>
      </c>
      <c r="H71" s="207">
        <f t="shared" si="100"/>
        <v>0.05</v>
      </c>
      <c r="I71" s="283" t="str">
        <f t="shared" si="100"/>
        <v>6ML</v>
      </c>
      <c r="J71" s="247">
        <f t="shared" si="72"/>
        <v>10</v>
      </c>
      <c r="K71" s="276">
        <f t="shared" si="72"/>
        <v>-1.31E-3</v>
      </c>
      <c r="L71" s="156" t="str">
        <f t="shared" si="100"/>
        <v>NOCSA</v>
      </c>
      <c r="M71" s="157">
        <f t="shared" si="77"/>
        <v>0.05</v>
      </c>
      <c r="N71" s="158" t="s">
        <v>25</v>
      </c>
      <c r="O71" s="158" t="s">
        <v>19</v>
      </c>
      <c r="P71" s="158" t="s">
        <v>21</v>
      </c>
      <c r="Q71" s="158" t="s">
        <v>2</v>
      </c>
      <c r="R71" s="193"/>
      <c r="S71" s="193"/>
      <c r="T71" s="159">
        <f t="shared" si="78"/>
        <v>23</v>
      </c>
      <c r="U71" s="158" t="s">
        <v>146</v>
      </c>
      <c r="V71" s="158" t="s">
        <v>147</v>
      </c>
      <c r="W71" s="159" t="str">
        <f t="shared" si="73"/>
        <v>EUR6ML</v>
      </c>
      <c r="X71" s="160">
        <f t="shared" si="79"/>
        <v>10</v>
      </c>
      <c r="Y71" s="184" t="s">
        <v>124</v>
      </c>
      <c r="Z71" s="158" t="s">
        <v>6</v>
      </c>
      <c r="AA71" s="158" t="s">
        <v>21</v>
      </c>
      <c r="AB71" s="158" t="s">
        <v>2</v>
      </c>
      <c r="AC71" s="193"/>
      <c r="AD71" s="193"/>
      <c r="AE71" s="159">
        <f t="shared" si="80"/>
        <v>23</v>
      </c>
      <c r="AF71" s="158" t="s">
        <v>146</v>
      </c>
      <c r="AG71" s="161">
        <f>_xll.mirGetDate(COB,"-"&amp;AF71,$AA71,$AB71)</f>
        <v>42419</v>
      </c>
      <c r="AH71" s="162" t="s">
        <v>34</v>
      </c>
      <c r="AI71" s="163"/>
      <c r="AJ71" s="158" t="s">
        <v>146</v>
      </c>
      <c r="AK71" s="158" t="s">
        <v>147</v>
      </c>
      <c r="AL71" s="159" t="str">
        <f t="shared" si="81"/>
        <v>NOCSA</v>
      </c>
      <c r="AM71" s="159" t="str">
        <f t="shared" si="74"/>
        <v>EURYC_BUMPED</v>
      </c>
      <c r="AN71" s="159" t="str">
        <f t="shared" si="83"/>
        <v>EURDF_NOCSA</v>
      </c>
      <c r="AO71" s="159" t="str">
        <f t="shared" si="75"/>
        <v>Spline</v>
      </c>
      <c r="AP71" s="158" t="b">
        <v>1</v>
      </c>
      <c r="AQ71" s="164" t="b">
        <v>0</v>
      </c>
      <c r="AR71" s="204">
        <f ca="1">IF(AND(NOW(),isBumpedEUR6MLLoaded),_xll.mirGetParRate4($B71,$G71,$AM71,$N71,$O71,$P71,$Q71,$R71,$S71,$T71,$U71,$V71,$Y71,$Z71,$AA71,$AB71,$AC71,$AD71,$AE71,$AF71,$AH71,$AI71,$AJ71,$AK71,$AO71,$W71,$AN71,$AP71,$AQ71,$J71),"LOAD CURVE")</f>
        <v>1.2577166030921304E-2</v>
      </c>
      <c r="AS71" s="165">
        <f ca="1">IF(AND(NOW(),isBumpedEUR6MLLoaded),_xll.mirSwapPV($D71,$F71,$B71,$G71,$AM71,$M71,$N71,$O71,$P71,$Q71,$R71,$S71,$T71,$U71,$V71,$X71,$Y71,$Z71,$AA71,$AB71,$AC71,$AD71,$AE71,$AF71,$AH71,$AI71,$AJ71,$AK71,$AO71,$W71,$AN71,$AP71,$AQ71),"LOAD CURVE")</f>
        <v>700455.68115360686</v>
      </c>
      <c r="AT71" s="169">
        <f ca="1">IF(AND(NOW(),isBumpedEUR6MLLoaded),_xll.mirSwapPV01($D71,$F71,$B71,$G71,$AM71,$N71,$O71,$P71,$Q71,$R71,$S71,$T71,$U71,$V71,$X71,$Y71,$Z71,$AA71,$AB71,$AC71,$AD71,$AE71,$AF71,$AH71,$AI71,$AJ71,$AK71,$AO71,$W71,$AN71,$AP71,$AQ71),"LOAD CURVE")</f>
        <v>1871.733396066079</v>
      </c>
      <c r="AU71" s="252"/>
      <c r="AV71" s="252"/>
      <c r="AW71" s="232"/>
      <c r="AX71" s="116"/>
    </row>
    <row r="72" spans="1:54" x14ac:dyDescent="0.25">
      <c r="AU72" s="252"/>
      <c r="AV72" s="252"/>
      <c r="AW72" s="232"/>
      <c r="AX72" s="116"/>
    </row>
    <row r="102" spans="7:53" x14ac:dyDescent="0.25">
      <c r="G102" s="228"/>
      <c r="H102" s="188"/>
      <c r="I102" s="171"/>
      <c r="J102" s="171"/>
      <c r="K102" s="202"/>
      <c r="L102" s="171"/>
      <c r="M102" s="171"/>
      <c r="N102" s="171"/>
      <c r="O102" s="171"/>
      <c r="P102" s="171"/>
      <c r="Q102" s="171"/>
      <c r="R102" s="194"/>
      <c r="S102" s="194"/>
      <c r="T102" s="171"/>
      <c r="U102" s="171"/>
      <c r="V102" s="171"/>
      <c r="W102" s="171"/>
      <c r="X102" s="171"/>
      <c r="Y102" s="185"/>
      <c r="Z102" s="171"/>
      <c r="AA102" s="171"/>
      <c r="AB102" s="171"/>
      <c r="AC102" s="194"/>
      <c r="AD102" s="194"/>
      <c r="AE102" s="171"/>
      <c r="AF102" s="171"/>
      <c r="AG102" s="171"/>
      <c r="AH102" s="171"/>
      <c r="AI102" s="171"/>
      <c r="AJ102" s="171"/>
      <c r="AK102" s="171"/>
      <c r="AL102" s="171"/>
      <c r="AM102" s="171"/>
      <c r="AT102" s="171"/>
      <c r="AU102" s="228"/>
      <c r="AV102" s="228"/>
      <c r="AW102" s="229"/>
      <c r="AX102" s="171"/>
    </row>
    <row r="103" spans="7:53" x14ac:dyDescent="0.25">
      <c r="G103" s="228"/>
      <c r="H103" s="188"/>
      <c r="I103" s="171"/>
      <c r="J103" s="171"/>
      <c r="K103" s="202"/>
      <c r="L103" s="171"/>
      <c r="M103" s="171"/>
      <c r="N103" s="171"/>
      <c r="O103" s="171"/>
      <c r="P103" s="171"/>
      <c r="Q103" s="171"/>
      <c r="R103" s="194"/>
      <c r="S103" s="194"/>
      <c r="T103" s="171"/>
      <c r="U103" s="171"/>
      <c r="V103" s="171"/>
      <c r="W103" s="171"/>
      <c r="X103" s="171"/>
      <c r="Y103" s="185"/>
      <c r="Z103" s="171"/>
      <c r="AA103" s="171"/>
      <c r="AB103" s="171"/>
      <c r="AC103" s="194"/>
      <c r="AD103" s="194"/>
      <c r="AE103" s="171"/>
      <c r="AF103" s="171"/>
      <c r="AG103" s="171"/>
      <c r="AH103" s="171"/>
      <c r="AI103" s="171"/>
      <c r="AJ103" s="171"/>
      <c r="AK103" s="171"/>
      <c r="AL103" s="171"/>
      <c r="AM103" s="171"/>
      <c r="BA103" s="173"/>
    </row>
    <row r="104" spans="7:53" x14ac:dyDescent="0.25">
      <c r="BA104" s="173"/>
    </row>
  </sheetData>
  <dataValidations count="9">
    <dataValidation type="list" allowBlank="1" showInputMessage="1" showErrorMessage="1" sqref="I29:I48 I52:I71 I6:I25">
      <formula1>"1ML,3ML,6ML,12ML"</formula1>
    </dataValidation>
    <dataValidation type="list" allowBlank="1" showInputMessage="1" showErrorMessage="1" sqref="AB29 Q29 AB52 Q52 AB6 Q6">
      <formula1>"TGT,NYB:LNB,LNB,TKB:LNB"</formula1>
    </dataValidation>
    <dataValidation type="list" allowBlank="1" showInputMessage="1" showErrorMessage="1" sqref="V29 AK29 V52 AK52 V6 AK6">
      <formula1>"None,ShortStart,ShortEnd,LongStart,LongEnd"</formula1>
    </dataValidation>
    <dataValidation type="list" allowBlank="1" showInputMessage="1" showErrorMessage="1" sqref="O29 Z29 O52 Z52 O6 Z6">
      <formula1>"30/360,ACT/360,ACT/365"</formula1>
    </dataValidation>
    <dataValidation type="list" allowBlank="1" showInputMessage="1" showErrorMessage="1" sqref="N29 Y29 N52 Y52 N6 Y6">
      <formula1>"Annual,Semi-Annual,Quarterly,Monthly"</formula1>
    </dataValidation>
    <dataValidation type="list" allowBlank="1" showInputMessage="1" showErrorMessage="1" sqref="AA29 P29 AA52 P52 AA6 P6">
      <formula1>"MOD_FOLLOWING,FOLLOWING,MOD_PRECEDING,PRECEDING,NO_CHANGE"</formula1>
    </dataValidation>
    <dataValidation type="list" allowBlank="1" showInputMessage="1" showErrorMessage="1" sqref="F3 F6:F25 F29:F48 F52:F71">
      <formula1>"PAYER,RECEIVER"</formula1>
    </dataValidation>
    <dataValidation type="list" allowBlank="1" showInputMessage="1" showErrorMessage="1" sqref="AL29 AL52 AL6">
      <formula1>"NOCSA,USDCSA,EURCSA,GBPCSA,JPYCSA"</formula1>
    </dataValidation>
    <dataValidation type="list" allowBlank="1" showInputMessage="1" showErrorMessage="1" sqref="L29:L48 L52:L71 L6:L25">
      <formula1>"NOCSA,EURCSA,GBPCSA"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44</vt:i4>
      </vt:variant>
    </vt:vector>
  </HeadingPairs>
  <TitlesOfParts>
    <vt:vector size="50" baseType="lpstr">
      <vt:lpstr>Settings</vt:lpstr>
      <vt:lpstr>EUR OIS</vt:lpstr>
      <vt:lpstr>EUR SWAP 6ML</vt:lpstr>
      <vt:lpstr>EUR OIS Bumped</vt:lpstr>
      <vt:lpstr>EUR SWAP 6ML Bumped</vt:lpstr>
      <vt:lpstr>Swap Pricing &amp; Risk</vt:lpstr>
      <vt:lpstr>Bump</vt:lpstr>
      <vt:lpstr>BumpOIS</vt:lpstr>
      <vt:lpstr>BumpSTD</vt:lpstr>
      <vt:lpstr>COB</vt:lpstr>
      <vt:lpstr>Curve.BuildProperties</vt:lpstr>
      <vt:lpstr>Curve.CollectionName</vt:lpstr>
      <vt:lpstr>Curve.MarketDataTable</vt:lpstr>
      <vt:lpstr>Curve.OISIndexName</vt:lpstr>
      <vt:lpstr>CurveCollectionBase</vt:lpstr>
      <vt:lpstr>CurveCollectionBumped</vt:lpstr>
      <vt:lpstr>EffectiveLag</vt:lpstr>
      <vt:lpstr>FixingFromEUR6MLCurve</vt:lpstr>
      <vt:lpstr>FRA.Conventions</vt:lpstr>
      <vt:lpstr>FRA.MarketDataX3</vt:lpstr>
      <vt:lpstr>FRA.MarketDataX6</vt:lpstr>
      <vt:lpstr>Futures.Conventions</vt:lpstr>
      <vt:lpstr>Futures.MarketData</vt:lpstr>
      <vt:lpstr>Interpolation</vt:lpstr>
      <vt:lpstr>InterpolationLabelForCurves</vt:lpstr>
      <vt:lpstr>isBumpedEUR6MLLoaded</vt:lpstr>
      <vt:lpstr>isBumpedEUROISLoaded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Notional</vt:lpstr>
      <vt:lpstr>OIS.Conventions</vt:lpstr>
      <vt:lpstr>OIS.FixingTable</vt:lpstr>
      <vt:lpstr>OIS.MarketData</vt:lpstr>
      <vt:lpstr>PayRec</vt:lpstr>
      <vt:lpstr>Rate</vt:lpstr>
      <vt:lpstr>Spread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TenorInterval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2016-05-20T20:11:54Z</dcterms:modified>
</cp:coreProperties>
</file>