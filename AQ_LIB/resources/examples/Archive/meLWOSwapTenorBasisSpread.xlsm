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5"/>
  </bookViews>
  <sheets>
    <sheet name="Settings" sheetId="26" r:id="rId1"/>
    <sheet name="EUR OIS" sheetId="2" r:id="rId2"/>
    <sheet name="EUR SWAP 6ML" sheetId="3" r:id="rId3"/>
    <sheet name="EUR BASIS 3ML" sheetId="4" r:id="rId4"/>
    <sheet name="Tenor Basis Swap" sheetId="34" r:id="rId5"/>
    <sheet name="Basis Spread vs Calibration" sheetId="37" r:id="rId6"/>
    <sheet name="Basis Swap Cashflows" sheetId="38" r:id="rId7"/>
  </sheets>
  <definedNames>
    <definedName name="COB">Settings!$C$3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stomFixedSchedule">#REF!</definedName>
    <definedName name="CustomFloatSchedule">#REF!</definedName>
    <definedName name="FixedSchedule1">#REF!</definedName>
    <definedName name="FloatSchedule1">#REF!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3MLLoaded">'EUR BASIS 3ML'!$E$8</definedName>
    <definedName name="isEUR6MLLoaded">'EUR SWAP 6ML'!$D$9</definedName>
    <definedName name="isEUROISLoaded">'EUR OIS'!$D$8</definedName>
    <definedName name="Leg1Keys">'Basis Spread vs Calibration'!$N$5:$AO$5</definedName>
    <definedName name="Leg2Keys">'Basis Spread vs Calibration'!$AQ$5:$BR$5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Swap3M6M.Conventions">'EUR BASIS 3ML'!$D$38:$E$80</definedName>
    <definedName name="TenorBasisSwap3M6M.MarketData">'EUR BASIS 3ML'!$G$39:$H$80</definedName>
    <definedName name="VanillaIRS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B39" i="38" l="1" a="1"/>
  <c r="B39" i="38"/>
  <c r="C39" i="38"/>
  <c r="D39" i="38"/>
  <c r="E39" i="38"/>
  <c r="F39" i="38"/>
  <c r="G39" i="38"/>
  <c r="H39" i="38"/>
  <c r="I39" i="38"/>
  <c r="J39" i="38"/>
  <c r="K39" i="38"/>
  <c r="L39" i="38"/>
  <c r="M39" i="38"/>
  <c r="N39" i="38"/>
  <c r="O39" i="38"/>
  <c r="B40" i="38"/>
  <c r="C40" i="38"/>
  <c r="D40" i="38"/>
  <c r="E40" i="38"/>
  <c r="F40" i="38"/>
  <c r="G40" i="38"/>
  <c r="H40" i="38"/>
  <c r="I40" i="38"/>
  <c r="J40" i="38"/>
  <c r="K40" i="38"/>
  <c r="L40" i="38"/>
  <c r="M40" i="38"/>
  <c r="N40" i="38"/>
  <c r="O40" i="38"/>
  <c r="B41" i="38"/>
  <c r="C41" i="38"/>
  <c r="D41" i="38"/>
  <c r="E41" i="38"/>
  <c r="F41" i="38"/>
  <c r="G41" i="38"/>
  <c r="H41" i="38"/>
  <c r="I41" i="38"/>
  <c r="J41" i="38"/>
  <c r="K41" i="38"/>
  <c r="L41" i="38"/>
  <c r="M41" i="38"/>
  <c r="N41" i="38"/>
  <c r="O41" i="38"/>
  <c r="B42" i="38"/>
  <c r="C42" i="38"/>
  <c r="D42" i="38"/>
  <c r="E42" i="38"/>
  <c r="F42" i="38"/>
  <c r="G42" i="38"/>
  <c r="H42" i="38"/>
  <c r="I42" i="38"/>
  <c r="J42" i="38"/>
  <c r="K42" i="38"/>
  <c r="L42" i="38"/>
  <c r="M42" i="38"/>
  <c r="N42" i="38"/>
  <c r="O42" i="38"/>
  <c r="B43" i="38"/>
  <c r="C43" i="38"/>
  <c r="D43" i="38"/>
  <c r="E43" i="38"/>
  <c r="F43" i="38"/>
  <c r="G43" i="38"/>
  <c r="H43" i="38"/>
  <c r="I43" i="38"/>
  <c r="J43" i="38"/>
  <c r="K43" i="38"/>
  <c r="L43" i="38"/>
  <c r="M43" i="38"/>
  <c r="N43" i="38"/>
  <c r="O43" i="38"/>
  <c r="B44" i="38"/>
  <c r="C44" i="38"/>
  <c r="D44" i="38"/>
  <c r="E44" i="38"/>
  <c r="F44" i="38"/>
  <c r="G44" i="38"/>
  <c r="H44" i="38"/>
  <c r="I44" i="38"/>
  <c r="J44" i="38"/>
  <c r="K44" i="38"/>
  <c r="L44" i="38"/>
  <c r="M44" i="38"/>
  <c r="N44" i="38"/>
  <c r="O44" i="38"/>
  <c r="B45" i="38"/>
  <c r="C45" i="38"/>
  <c r="D45" i="38"/>
  <c r="E45" i="38"/>
  <c r="F45" i="38"/>
  <c r="G45" i="38"/>
  <c r="H45" i="38"/>
  <c r="I45" i="38"/>
  <c r="J45" i="38"/>
  <c r="K45" i="38"/>
  <c r="L45" i="38"/>
  <c r="M45" i="38"/>
  <c r="N45" i="38"/>
  <c r="O45" i="38"/>
  <c r="B46" i="38"/>
  <c r="C46" i="38"/>
  <c r="D46" i="38"/>
  <c r="E46" i="38"/>
  <c r="F46" i="38"/>
  <c r="G46" i="38"/>
  <c r="H46" i="38"/>
  <c r="I46" i="38"/>
  <c r="J46" i="38"/>
  <c r="K46" i="38"/>
  <c r="L46" i="38"/>
  <c r="M46" i="38"/>
  <c r="N46" i="38"/>
  <c r="O46" i="38"/>
  <c r="B47" i="38"/>
  <c r="C47" i="38"/>
  <c r="D47" i="38"/>
  <c r="E47" i="38"/>
  <c r="F47" i="38"/>
  <c r="G47" i="38"/>
  <c r="H47" i="38"/>
  <c r="I47" i="38"/>
  <c r="J47" i="38"/>
  <c r="K47" i="38"/>
  <c r="L47" i="38"/>
  <c r="M47" i="38"/>
  <c r="N47" i="38"/>
  <c r="O47" i="38"/>
  <c r="B48" i="38"/>
  <c r="C48" i="38"/>
  <c r="D48" i="38"/>
  <c r="E48" i="38"/>
  <c r="F48" i="38"/>
  <c r="G48" i="38"/>
  <c r="H48" i="38"/>
  <c r="I48" i="38"/>
  <c r="J48" i="38"/>
  <c r="K48" i="38"/>
  <c r="L48" i="38"/>
  <c r="M48" i="38"/>
  <c r="N48" i="38"/>
  <c r="O48" i="38"/>
  <c r="B49" i="38"/>
  <c r="C49" i="38"/>
  <c r="D49" i="38"/>
  <c r="E49" i="38"/>
  <c r="F49" i="38"/>
  <c r="G49" i="38"/>
  <c r="H49" i="38"/>
  <c r="I49" i="38"/>
  <c r="J49" i="38"/>
  <c r="K49" i="38"/>
  <c r="L49" i="38"/>
  <c r="M49" i="38"/>
  <c r="N49" i="38"/>
  <c r="O49" i="38"/>
  <c r="B50" i="38"/>
  <c r="C50" i="38"/>
  <c r="D50" i="38"/>
  <c r="E50" i="38"/>
  <c r="F50" i="38"/>
  <c r="G50" i="38"/>
  <c r="H50" i="38"/>
  <c r="I50" i="38"/>
  <c r="J50" i="38"/>
  <c r="K50" i="38"/>
  <c r="L50" i="38"/>
  <c r="M50" i="38"/>
  <c r="N50" i="38"/>
  <c r="O50" i="38"/>
  <c r="B51" i="38"/>
  <c r="C51" i="38"/>
  <c r="D51" i="38"/>
  <c r="E51" i="38"/>
  <c r="F51" i="38"/>
  <c r="G51" i="38"/>
  <c r="H51" i="38"/>
  <c r="I51" i="38"/>
  <c r="J51" i="38"/>
  <c r="K51" i="38"/>
  <c r="L51" i="38"/>
  <c r="M51" i="38"/>
  <c r="N51" i="38"/>
  <c r="O51" i="38"/>
  <c r="B52" i="38"/>
  <c r="C52" i="38"/>
  <c r="D52" i="38"/>
  <c r="E52" i="38"/>
  <c r="F52" i="38"/>
  <c r="G52" i="38"/>
  <c r="H52" i="38"/>
  <c r="I52" i="38"/>
  <c r="J52" i="38"/>
  <c r="K52" i="38"/>
  <c r="L52" i="38"/>
  <c r="M52" i="38"/>
  <c r="N52" i="38"/>
  <c r="O52" i="38"/>
  <c r="B53" i="38"/>
  <c r="C53" i="38"/>
  <c r="D53" i="38"/>
  <c r="E53" i="38"/>
  <c r="F53" i="38"/>
  <c r="G53" i="38"/>
  <c r="H53" i="38"/>
  <c r="I53" i="38"/>
  <c r="J53" i="38"/>
  <c r="K53" i="38"/>
  <c r="L53" i="38"/>
  <c r="M53" i="38"/>
  <c r="N53" i="38"/>
  <c r="O53" i="38"/>
  <c r="B54" i="38"/>
  <c r="C54" i="38"/>
  <c r="D54" i="38"/>
  <c r="E54" i="38"/>
  <c r="F54" i="38"/>
  <c r="G54" i="38"/>
  <c r="H54" i="38"/>
  <c r="I54" i="38"/>
  <c r="J54" i="38"/>
  <c r="K54" i="38"/>
  <c r="L54" i="38"/>
  <c r="M54" i="38"/>
  <c r="N54" i="38"/>
  <c r="O54" i="38"/>
  <c r="B55" i="38"/>
  <c r="C55" i="38"/>
  <c r="D55" i="38"/>
  <c r="E55" i="38"/>
  <c r="F55" i="38"/>
  <c r="G55" i="38"/>
  <c r="H55" i="38"/>
  <c r="I55" i="38"/>
  <c r="J55" i="38"/>
  <c r="K55" i="38"/>
  <c r="L55" i="38"/>
  <c r="M55" i="38"/>
  <c r="N55" i="38"/>
  <c r="O55" i="38"/>
  <c r="B56" i="38"/>
  <c r="C56" i="38"/>
  <c r="D56" i="38"/>
  <c r="E56" i="38"/>
  <c r="F56" i="38"/>
  <c r="G56" i="38"/>
  <c r="H56" i="38"/>
  <c r="I56" i="38"/>
  <c r="J56" i="38"/>
  <c r="K56" i="38"/>
  <c r="L56" i="38"/>
  <c r="M56" i="38"/>
  <c r="N56" i="38"/>
  <c r="O56" i="38"/>
  <c r="B57" i="38"/>
  <c r="C57" i="38"/>
  <c r="D57" i="38"/>
  <c r="E57" i="38"/>
  <c r="F57" i="38"/>
  <c r="G57" i="38"/>
  <c r="H57" i="38"/>
  <c r="I57" i="38"/>
  <c r="J57" i="38"/>
  <c r="K57" i="38"/>
  <c r="L57" i="38"/>
  <c r="M57" i="38"/>
  <c r="N57" i="38"/>
  <c r="O57" i="38"/>
  <c r="B58" i="38"/>
  <c r="C58" i="38"/>
  <c r="D58" i="38"/>
  <c r="E58" i="38"/>
  <c r="F58" i="38"/>
  <c r="G58" i="38"/>
  <c r="H58" i="38"/>
  <c r="I58" i="38"/>
  <c r="J58" i="38"/>
  <c r="K58" i="38"/>
  <c r="L58" i="38"/>
  <c r="M58" i="38"/>
  <c r="N58" i="38"/>
  <c r="O58" i="38"/>
  <c r="B59" i="38"/>
  <c r="C59" i="38"/>
  <c r="D59" i="38"/>
  <c r="E59" i="38"/>
  <c r="F59" i="38"/>
  <c r="G59" i="38"/>
  <c r="H59" i="38"/>
  <c r="I59" i="38"/>
  <c r="J59" i="38"/>
  <c r="K59" i="38"/>
  <c r="L59" i="38"/>
  <c r="M59" i="38"/>
  <c r="N59" i="38"/>
  <c r="O59" i="38"/>
  <c r="B60" i="38"/>
  <c r="C60" i="38"/>
  <c r="D60" i="38"/>
  <c r="E60" i="38"/>
  <c r="F60" i="38"/>
  <c r="G60" i="38"/>
  <c r="H60" i="38"/>
  <c r="I60" i="38"/>
  <c r="J60" i="38"/>
  <c r="K60" i="38"/>
  <c r="L60" i="38"/>
  <c r="M60" i="38"/>
  <c r="N60" i="38"/>
  <c r="O60" i="38"/>
  <c r="B61" i="38"/>
  <c r="C61" i="38"/>
  <c r="D61" i="38"/>
  <c r="E61" i="38"/>
  <c r="F61" i="38"/>
  <c r="G61" i="38"/>
  <c r="H61" i="38"/>
  <c r="I61" i="38"/>
  <c r="J61" i="38"/>
  <c r="K61" i="38"/>
  <c r="L61" i="38"/>
  <c r="M61" i="38"/>
  <c r="N61" i="38"/>
  <c r="O61" i="38"/>
  <c r="B62" i="38"/>
  <c r="C62" i="38"/>
  <c r="D62" i="38"/>
  <c r="E62" i="38"/>
  <c r="F62" i="38"/>
  <c r="G62" i="38"/>
  <c r="H62" i="38"/>
  <c r="I62" i="38"/>
  <c r="J62" i="38"/>
  <c r="K62" i="38"/>
  <c r="L62" i="38"/>
  <c r="M62" i="38"/>
  <c r="N62" i="38"/>
  <c r="O62" i="38"/>
  <c r="B9" i="38" a="1"/>
  <c r="B9" i="38"/>
  <c r="C9" i="38"/>
  <c r="D9" i="38"/>
  <c r="E9" i="38"/>
  <c r="F9" i="38"/>
  <c r="G9" i="38"/>
  <c r="H9" i="38"/>
  <c r="I9" i="38"/>
  <c r="J9" i="38"/>
  <c r="K9" i="38"/>
  <c r="L9" i="38"/>
  <c r="M9" i="38"/>
  <c r="N9" i="38"/>
  <c r="O9" i="38"/>
  <c r="B10" i="38"/>
  <c r="C10" i="38"/>
  <c r="D10" i="38"/>
  <c r="E10" i="38"/>
  <c r="F10" i="38"/>
  <c r="G10" i="38"/>
  <c r="H10" i="38"/>
  <c r="I10" i="38"/>
  <c r="J10" i="38"/>
  <c r="K10" i="38"/>
  <c r="L10" i="38"/>
  <c r="M10" i="38"/>
  <c r="N10" i="38"/>
  <c r="O10" i="38"/>
  <c r="B11" i="38"/>
  <c r="C11" i="38"/>
  <c r="D11" i="38"/>
  <c r="E11" i="38"/>
  <c r="F11" i="38"/>
  <c r="G11" i="38"/>
  <c r="H11" i="38"/>
  <c r="I11" i="38"/>
  <c r="J11" i="38"/>
  <c r="K11" i="38"/>
  <c r="L11" i="38"/>
  <c r="M11" i="38"/>
  <c r="N11" i="38"/>
  <c r="O11" i="38"/>
  <c r="B12" i="38"/>
  <c r="C12" i="38"/>
  <c r="D12" i="38"/>
  <c r="E12" i="38"/>
  <c r="F12" i="38"/>
  <c r="G12" i="38"/>
  <c r="H12" i="38"/>
  <c r="I12" i="38"/>
  <c r="J12" i="38"/>
  <c r="K12" i="38"/>
  <c r="L12" i="38"/>
  <c r="M12" i="38"/>
  <c r="N12" i="38"/>
  <c r="O12" i="38"/>
  <c r="B13" i="38"/>
  <c r="C13" i="38"/>
  <c r="D13" i="38"/>
  <c r="E13" i="38"/>
  <c r="F13" i="38"/>
  <c r="G13" i="38"/>
  <c r="H13" i="38"/>
  <c r="I13" i="38"/>
  <c r="J13" i="38"/>
  <c r="K13" i="38"/>
  <c r="L13" i="38"/>
  <c r="M13" i="38"/>
  <c r="N13" i="38"/>
  <c r="O13" i="38"/>
  <c r="B14" i="38"/>
  <c r="C14" i="38"/>
  <c r="D14" i="38"/>
  <c r="E14" i="38"/>
  <c r="F14" i="38"/>
  <c r="G14" i="38"/>
  <c r="H14" i="38"/>
  <c r="I14" i="38"/>
  <c r="J14" i="38"/>
  <c r="K14" i="38"/>
  <c r="L14" i="38"/>
  <c r="M14" i="38"/>
  <c r="N14" i="38"/>
  <c r="O14" i="38"/>
  <c r="B15" i="38"/>
  <c r="C15" i="38"/>
  <c r="D15" i="38"/>
  <c r="E15" i="38"/>
  <c r="F15" i="38"/>
  <c r="G15" i="38"/>
  <c r="H15" i="38"/>
  <c r="I15" i="38"/>
  <c r="J15" i="38"/>
  <c r="K15" i="38"/>
  <c r="L15" i="38"/>
  <c r="M15" i="38"/>
  <c r="N15" i="38"/>
  <c r="O15" i="38"/>
  <c r="B16" i="38"/>
  <c r="C16" i="38"/>
  <c r="D16" i="38"/>
  <c r="E16" i="38"/>
  <c r="F16" i="38"/>
  <c r="G16" i="38"/>
  <c r="H16" i="38"/>
  <c r="I16" i="38"/>
  <c r="J16" i="38"/>
  <c r="K16" i="38"/>
  <c r="L16" i="38"/>
  <c r="M16" i="38"/>
  <c r="N16" i="38"/>
  <c r="O16" i="38"/>
  <c r="B17" i="38"/>
  <c r="C17" i="38"/>
  <c r="D17" i="38"/>
  <c r="E17" i="38"/>
  <c r="F17" i="38"/>
  <c r="G17" i="38"/>
  <c r="H17" i="38"/>
  <c r="I17" i="38"/>
  <c r="J17" i="38"/>
  <c r="K17" i="38"/>
  <c r="L17" i="38"/>
  <c r="M17" i="38"/>
  <c r="N17" i="38"/>
  <c r="O17" i="38"/>
  <c r="B18" i="38"/>
  <c r="C18" i="38"/>
  <c r="D18" i="38"/>
  <c r="E18" i="38"/>
  <c r="F18" i="38"/>
  <c r="G18" i="38"/>
  <c r="H18" i="38"/>
  <c r="I18" i="38"/>
  <c r="J18" i="38"/>
  <c r="K18" i="38"/>
  <c r="L18" i="38"/>
  <c r="M18" i="38"/>
  <c r="N18" i="38"/>
  <c r="O18" i="38"/>
  <c r="B19" i="38"/>
  <c r="C19" i="38"/>
  <c r="D19" i="38"/>
  <c r="E19" i="38"/>
  <c r="F19" i="38"/>
  <c r="G19" i="38"/>
  <c r="H19" i="38"/>
  <c r="I19" i="38"/>
  <c r="J19" i="38"/>
  <c r="K19" i="38"/>
  <c r="L19" i="38"/>
  <c r="M19" i="38"/>
  <c r="N19" i="38"/>
  <c r="O19" i="38"/>
  <c r="B20" i="38"/>
  <c r="C20" i="38"/>
  <c r="D20" i="38"/>
  <c r="E20" i="38"/>
  <c r="F20" i="38"/>
  <c r="G20" i="38"/>
  <c r="H20" i="38"/>
  <c r="I20" i="38"/>
  <c r="J20" i="38"/>
  <c r="K20" i="38"/>
  <c r="L20" i="38"/>
  <c r="M20" i="38"/>
  <c r="N20" i="38"/>
  <c r="O20" i="38"/>
  <c r="B21" i="38"/>
  <c r="C21" i="38"/>
  <c r="D21" i="38"/>
  <c r="E21" i="38"/>
  <c r="F21" i="38"/>
  <c r="G21" i="38"/>
  <c r="H21" i="38"/>
  <c r="I21" i="38"/>
  <c r="J21" i="38"/>
  <c r="K21" i="38"/>
  <c r="L21" i="38"/>
  <c r="M21" i="38"/>
  <c r="N21" i="38"/>
  <c r="O21" i="38"/>
  <c r="B22" i="38"/>
  <c r="C22" i="38"/>
  <c r="D22" i="38"/>
  <c r="E22" i="38"/>
  <c r="F22" i="38"/>
  <c r="G22" i="38"/>
  <c r="H22" i="38"/>
  <c r="I22" i="38"/>
  <c r="J22" i="38"/>
  <c r="K22" i="38"/>
  <c r="L22" i="38"/>
  <c r="M22" i="38"/>
  <c r="N22" i="38"/>
  <c r="O22" i="38"/>
  <c r="B23" i="38"/>
  <c r="C23" i="38"/>
  <c r="D23" i="38"/>
  <c r="E23" i="38"/>
  <c r="F23" i="38"/>
  <c r="G23" i="38"/>
  <c r="H23" i="38"/>
  <c r="I23" i="38"/>
  <c r="J23" i="38"/>
  <c r="K23" i="38"/>
  <c r="L23" i="38"/>
  <c r="M23" i="38"/>
  <c r="N23" i="38"/>
  <c r="O23" i="38"/>
  <c r="B24" i="38"/>
  <c r="C24" i="38"/>
  <c r="D24" i="38"/>
  <c r="E24" i="38"/>
  <c r="F24" i="38"/>
  <c r="G24" i="38"/>
  <c r="H24" i="38"/>
  <c r="I24" i="38"/>
  <c r="J24" i="38"/>
  <c r="K24" i="38"/>
  <c r="L24" i="38"/>
  <c r="M24" i="38"/>
  <c r="N24" i="38"/>
  <c r="O24" i="38"/>
  <c r="B25" i="38"/>
  <c r="C25" i="38"/>
  <c r="D25" i="38"/>
  <c r="E25" i="38"/>
  <c r="F25" i="38"/>
  <c r="G25" i="38"/>
  <c r="H25" i="38"/>
  <c r="I25" i="38"/>
  <c r="J25" i="38"/>
  <c r="K25" i="38"/>
  <c r="L25" i="38"/>
  <c r="M25" i="38"/>
  <c r="N25" i="38"/>
  <c r="O25" i="38"/>
  <c r="B26" i="38"/>
  <c r="C26" i="38"/>
  <c r="D26" i="38"/>
  <c r="E26" i="38"/>
  <c r="F26" i="38"/>
  <c r="G26" i="38"/>
  <c r="H26" i="38"/>
  <c r="I26" i="38"/>
  <c r="J26" i="38"/>
  <c r="K26" i="38"/>
  <c r="L26" i="38"/>
  <c r="M26" i="38"/>
  <c r="N26" i="38"/>
  <c r="O26" i="38"/>
  <c r="B27" i="38"/>
  <c r="C27" i="38"/>
  <c r="D27" i="38"/>
  <c r="E27" i="38"/>
  <c r="F27" i="38"/>
  <c r="G27" i="38"/>
  <c r="H27" i="38"/>
  <c r="I27" i="38"/>
  <c r="J27" i="38"/>
  <c r="K27" i="38"/>
  <c r="L27" i="38"/>
  <c r="M27" i="38"/>
  <c r="N27" i="38"/>
  <c r="O27" i="38"/>
  <c r="B28" i="38"/>
  <c r="C28" i="38"/>
  <c r="D28" i="38"/>
  <c r="E28" i="38"/>
  <c r="F28" i="38"/>
  <c r="G28" i="38"/>
  <c r="H28" i="38"/>
  <c r="I28" i="38"/>
  <c r="J28" i="38"/>
  <c r="K28" i="38"/>
  <c r="L28" i="38"/>
  <c r="M28" i="38"/>
  <c r="N28" i="38"/>
  <c r="O28" i="38"/>
  <c r="B29" i="38"/>
  <c r="C29" i="38"/>
  <c r="D29" i="38"/>
  <c r="E29" i="38"/>
  <c r="F29" i="38"/>
  <c r="G29" i="38"/>
  <c r="H29" i="38"/>
  <c r="I29" i="38"/>
  <c r="J29" i="38"/>
  <c r="K29" i="38"/>
  <c r="L29" i="38"/>
  <c r="M29" i="38"/>
  <c r="N29" i="38"/>
  <c r="O29" i="38"/>
  <c r="B30" i="38"/>
  <c r="C30" i="38"/>
  <c r="D30" i="38"/>
  <c r="E30" i="38"/>
  <c r="F30" i="38"/>
  <c r="G30" i="38"/>
  <c r="H30" i="38"/>
  <c r="I30" i="38"/>
  <c r="J30" i="38"/>
  <c r="K30" i="38"/>
  <c r="L30" i="38"/>
  <c r="M30" i="38"/>
  <c r="N30" i="38"/>
  <c r="O30" i="38"/>
  <c r="B31" i="38"/>
  <c r="C31" i="38"/>
  <c r="D31" i="38"/>
  <c r="E31" i="38"/>
  <c r="F31" i="38"/>
  <c r="G31" i="38"/>
  <c r="H31" i="38"/>
  <c r="I31" i="38"/>
  <c r="J31" i="38"/>
  <c r="K31" i="38"/>
  <c r="L31" i="38"/>
  <c r="M31" i="38"/>
  <c r="N31" i="38"/>
  <c r="O31" i="38"/>
  <c r="B32" i="38"/>
  <c r="C32" i="38"/>
  <c r="D32" i="38"/>
  <c r="E32" i="38"/>
  <c r="F32" i="38"/>
  <c r="G32" i="38"/>
  <c r="H32" i="38"/>
  <c r="I32" i="38"/>
  <c r="J32" i="38"/>
  <c r="K32" i="38"/>
  <c r="L32" i="38"/>
  <c r="M32" i="38"/>
  <c r="N32" i="38"/>
  <c r="O32" i="38"/>
  <c r="BB21" i="37" l="1"/>
  <c r="AZ21" i="37"/>
  <c r="AY21" i="37"/>
  <c r="AX21" i="37"/>
  <c r="AT21" i="37"/>
  <c r="AS21" i="37"/>
  <c r="AR21" i="37"/>
  <c r="Y21" i="37"/>
  <c r="X21" i="37"/>
  <c r="W21" i="37"/>
  <c r="V21" i="37"/>
  <c r="U21" i="37"/>
  <c r="Q21" i="37"/>
  <c r="P21" i="37"/>
  <c r="O21" i="37"/>
  <c r="BB20" i="37"/>
  <c r="AZ20" i="37"/>
  <c r="AY20" i="37"/>
  <c r="AX20" i="37"/>
  <c r="AT20" i="37"/>
  <c r="AS20" i="37"/>
  <c r="AR20" i="37"/>
  <c r="Y20" i="37"/>
  <c r="X20" i="37"/>
  <c r="W20" i="37"/>
  <c r="V20" i="37"/>
  <c r="U20" i="37"/>
  <c r="Q20" i="37"/>
  <c r="P20" i="37"/>
  <c r="O20" i="37"/>
  <c r="BB19" i="37"/>
  <c r="AZ19" i="37"/>
  <c r="AY19" i="37"/>
  <c r="AX19" i="37"/>
  <c r="AT19" i="37"/>
  <c r="AS19" i="37"/>
  <c r="AR19" i="37"/>
  <c r="Y19" i="37"/>
  <c r="X19" i="37"/>
  <c r="W19" i="37"/>
  <c r="V19" i="37"/>
  <c r="U19" i="37"/>
  <c r="Q19" i="37"/>
  <c r="P19" i="37"/>
  <c r="O19" i="37"/>
  <c r="BB18" i="37"/>
  <c r="AZ18" i="37"/>
  <c r="AY18" i="37"/>
  <c r="AX18" i="37"/>
  <c r="AT18" i="37"/>
  <c r="AS18" i="37"/>
  <c r="AR18" i="37"/>
  <c r="Y18" i="37"/>
  <c r="X18" i="37"/>
  <c r="W18" i="37"/>
  <c r="V18" i="37"/>
  <c r="U18" i="37"/>
  <c r="Q18" i="37"/>
  <c r="P18" i="37"/>
  <c r="O18" i="37"/>
  <c r="BB17" i="37"/>
  <c r="AZ17" i="37"/>
  <c r="AY17" i="37"/>
  <c r="AX17" i="37"/>
  <c r="AT17" i="37"/>
  <c r="AS17" i="37"/>
  <c r="AR17" i="37"/>
  <c r="Y17" i="37"/>
  <c r="X17" i="37"/>
  <c r="W17" i="37"/>
  <c r="V17" i="37"/>
  <c r="U17" i="37"/>
  <c r="Q17" i="37"/>
  <c r="P17" i="37"/>
  <c r="O17" i="37"/>
  <c r="BB16" i="37"/>
  <c r="AZ16" i="37"/>
  <c r="AY16" i="37"/>
  <c r="AX16" i="37"/>
  <c r="AT16" i="37"/>
  <c r="AS16" i="37"/>
  <c r="AR16" i="37"/>
  <c r="Y16" i="37"/>
  <c r="X16" i="37"/>
  <c r="W16" i="37"/>
  <c r="V16" i="37"/>
  <c r="U16" i="37"/>
  <c r="Q16" i="37"/>
  <c r="P16" i="37"/>
  <c r="O16" i="37"/>
  <c r="BB15" i="37"/>
  <c r="AZ15" i="37"/>
  <c r="AY15" i="37"/>
  <c r="AX15" i="37"/>
  <c r="AT15" i="37"/>
  <c r="AS15" i="37"/>
  <c r="AR15" i="37"/>
  <c r="Y15" i="37"/>
  <c r="X15" i="37"/>
  <c r="W15" i="37"/>
  <c r="V15" i="37"/>
  <c r="U15" i="37"/>
  <c r="Q15" i="37"/>
  <c r="P15" i="37"/>
  <c r="O15" i="37"/>
  <c r="BB14" i="37"/>
  <c r="AZ14" i="37"/>
  <c r="AY14" i="37"/>
  <c r="AX14" i="37"/>
  <c r="AT14" i="37"/>
  <c r="AS14" i="37"/>
  <c r="AR14" i="37"/>
  <c r="Y14" i="37"/>
  <c r="X14" i="37"/>
  <c r="W14" i="37"/>
  <c r="V14" i="37"/>
  <c r="U14" i="37"/>
  <c r="Q14" i="37"/>
  <c r="P14" i="37"/>
  <c r="O14" i="37"/>
  <c r="BB13" i="37"/>
  <c r="AZ13" i="37"/>
  <c r="AY13" i="37"/>
  <c r="AX13" i="37"/>
  <c r="AT13" i="37"/>
  <c r="AS13" i="37"/>
  <c r="AR13" i="37"/>
  <c r="Y13" i="37"/>
  <c r="X13" i="37"/>
  <c r="W13" i="37"/>
  <c r="V13" i="37"/>
  <c r="U13" i="37"/>
  <c r="Q13" i="37"/>
  <c r="P13" i="37"/>
  <c r="O13" i="37"/>
  <c r="BB12" i="37"/>
  <c r="AZ12" i="37"/>
  <c r="AY12" i="37"/>
  <c r="AX12" i="37"/>
  <c r="AT12" i="37"/>
  <c r="AS12" i="37"/>
  <c r="AR12" i="37"/>
  <c r="Y12" i="37"/>
  <c r="X12" i="37"/>
  <c r="W12" i="37"/>
  <c r="V12" i="37"/>
  <c r="U12" i="37"/>
  <c r="Q12" i="37"/>
  <c r="P12" i="37"/>
  <c r="O12" i="37"/>
  <c r="BB11" i="37"/>
  <c r="AZ11" i="37"/>
  <c r="AY11" i="37"/>
  <c r="AX11" i="37"/>
  <c r="AT11" i="37"/>
  <c r="AS11" i="37"/>
  <c r="AR11" i="37"/>
  <c r="Y11" i="37"/>
  <c r="X11" i="37"/>
  <c r="W11" i="37"/>
  <c r="V11" i="37"/>
  <c r="U11" i="37"/>
  <c r="Q11" i="37"/>
  <c r="P11" i="37"/>
  <c r="O11" i="37"/>
  <c r="BB10" i="37"/>
  <c r="AZ10" i="37"/>
  <c r="AY10" i="37"/>
  <c r="AX10" i="37"/>
  <c r="AT10" i="37"/>
  <c r="AS10" i="37"/>
  <c r="AR10" i="37"/>
  <c r="Y10" i="37"/>
  <c r="X10" i="37"/>
  <c r="W10" i="37"/>
  <c r="V10" i="37"/>
  <c r="U10" i="37"/>
  <c r="Q10" i="37"/>
  <c r="P10" i="37"/>
  <c r="O10" i="37"/>
  <c r="BB9" i="37"/>
  <c r="AZ9" i="37"/>
  <c r="AY9" i="37"/>
  <c r="AX9" i="37"/>
  <c r="AT9" i="37"/>
  <c r="AS9" i="37"/>
  <c r="AR9" i="37"/>
  <c r="Y9" i="37"/>
  <c r="X9" i="37"/>
  <c r="W9" i="37"/>
  <c r="V9" i="37"/>
  <c r="U9" i="37"/>
  <c r="Q9" i="37"/>
  <c r="P9" i="37"/>
  <c r="O9" i="37"/>
  <c r="BB8" i="37"/>
  <c r="AZ8" i="37"/>
  <c r="AY8" i="37"/>
  <c r="AX8" i="37"/>
  <c r="AT8" i="37"/>
  <c r="AS8" i="37"/>
  <c r="AR8" i="37"/>
  <c r="Y8" i="37"/>
  <c r="X8" i="37"/>
  <c r="W8" i="37"/>
  <c r="V8" i="37"/>
  <c r="U8" i="37"/>
  <c r="Q8" i="37"/>
  <c r="P8" i="37"/>
  <c r="O8" i="37"/>
  <c r="BB7" i="37"/>
  <c r="AZ7" i="37"/>
  <c r="AY7" i="37"/>
  <c r="AX7" i="37"/>
  <c r="AT7" i="37"/>
  <c r="AS7" i="37"/>
  <c r="AR7" i="37"/>
  <c r="Y7" i="37"/>
  <c r="X7" i="37"/>
  <c r="W7" i="37"/>
  <c r="V7" i="37"/>
  <c r="U7" i="37"/>
  <c r="Q7" i="37"/>
  <c r="P7" i="37"/>
  <c r="O7" i="37"/>
  <c r="G30" i="34"/>
  <c r="H30" i="34" s="1"/>
  <c r="F30" i="34"/>
  <c r="G29" i="34"/>
  <c r="H29" i="34" s="1"/>
  <c r="F29" i="34"/>
  <c r="G28" i="34"/>
  <c r="H28" i="34" s="1"/>
  <c r="F28" i="34"/>
  <c r="G27" i="34"/>
  <c r="H27" i="34" s="1"/>
  <c r="F27" i="34"/>
  <c r="G26" i="34"/>
  <c r="H26" i="34" s="1"/>
  <c r="F26" i="34"/>
  <c r="G25" i="34"/>
  <c r="H25" i="34" s="1"/>
  <c r="F25" i="34"/>
  <c r="G24" i="34"/>
  <c r="H24" i="34" s="1"/>
  <c r="F24" i="34"/>
  <c r="G23" i="34"/>
  <c r="H23" i="34" s="1"/>
  <c r="F23" i="34"/>
  <c r="G22" i="34"/>
  <c r="H22" i="34" s="1"/>
  <c r="F22" i="34"/>
  <c r="G21" i="34"/>
  <c r="H21" i="34" s="1"/>
  <c r="F21" i="34"/>
  <c r="G20" i="34"/>
  <c r="H20" i="34" s="1"/>
  <c r="F20" i="34"/>
  <c r="G19" i="34"/>
  <c r="H19" i="34" s="1"/>
  <c r="F19" i="34"/>
  <c r="G18" i="34"/>
  <c r="H18" i="34" s="1"/>
  <c r="F18" i="34"/>
  <c r="G17" i="34"/>
  <c r="H17" i="34" s="1"/>
  <c r="F17" i="34"/>
  <c r="G16" i="34"/>
  <c r="H16" i="34" s="1"/>
  <c r="F16" i="34"/>
  <c r="G15" i="34"/>
  <c r="H15" i="34" s="1"/>
  <c r="F15" i="34"/>
  <c r="BZ21" i="37"/>
  <c r="CA21" i="37" s="1"/>
  <c r="BY21" i="37"/>
  <c r="BZ20" i="37"/>
  <c r="CA20" i="37" s="1"/>
  <c r="BY20" i="37"/>
  <c r="BZ19" i="37"/>
  <c r="CA19" i="37" s="1"/>
  <c r="BY19" i="37"/>
  <c r="BZ18" i="37"/>
  <c r="CA18" i="37" s="1"/>
  <c r="BY18" i="37"/>
  <c r="BZ17" i="37"/>
  <c r="CA17" i="37" s="1"/>
  <c r="BY17" i="37"/>
  <c r="BZ16" i="37"/>
  <c r="CA16" i="37" s="1"/>
  <c r="BY16" i="37"/>
  <c r="BZ15" i="37"/>
  <c r="CA15" i="37" s="1"/>
  <c r="BY15" i="37"/>
  <c r="BZ14" i="37"/>
  <c r="CA14" i="37" s="1"/>
  <c r="BY14" i="37"/>
  <c r="BZ13" i="37"/>
  <c r="CA13" i="37" s="1"/>
  <c r="BY13" i="37"/>
  <c r="BZ12" i="37"/>
  <c r="CA12" i="37" s="1"/>
  <c r="BY12" i="37"/>
  <c r="BZ11" i="37"/>
  <c r="CA11" i="37" s="1"/>
  <c r="BY11" i="37"/>
  <c r="BZ10" i="37"/>
  <c r="CA10" i="37" s="1"/>
  <c r="BY10" i="37"/>
  <c r="BZ9" i="37"/>
  <c r="CA9" i="37" s="1"/>
  <c r="BY9" i="37"/>
  <c r="BZ8" i="37"/>
  <c r="CA8" i="37" s="1"/>
  <c r="BY8" i="37"/>
  <c r="BZ7" i="37"/>
  <c r="CA7" i="37" s="1"/>
  <c r="BY7" i="37"/>
  <c r="BZ6" i="37"/>
  <c r="CA6" i="37" s="1"/>
  <c r="BY6" i="37"/>
  <c r="BB6" i="37"/>
  <c r="AZ6" i="37"/>
  <c r="AY6" i="37"/>
  <c r="AX6" i="37"/>
  <c r="AT6" i="37"/>
  <c r="AS6" i="37"/>
  <c r="AR6" i="37"/>
  <c r="Y6" i="37"/>
  <c r="X6" i="37"/>
  <c r="W6" i="37"/>
  <c r="V6" i="37"/>
  <c r="U6" i="37"/>
  <c r="Q6" i="37"/>
  <c r="P6" i="37"/>
  <c r="O6" i="37"/>
  <c r="E7" i="37"/>
  <c r="E17" i="37"/>
  <c r="C21" i="34"/>
  <c r="E21" i="37"/>
  <c r="E13" i="37"/>
  <c r="E11" i="37"/>
  <c r="E9" i="37"/>
  <c r="E12" i="37"/>
  <c r="E19" i="37"/>
  <c r="E20" i="37"/>
  <c r="E8" i="37"/>
  <c r="E6" i="37"/>
  <c r="E18" i="37"/>
  <c r="E14" i="37"/>
  <c r="E15" i="37"/>
  <c r="E10" i="37"/>
  <c r="D21" i="34"/>
  <c r="C6" i="34" s="1"/>
  <c r="E16" i="37"/>
  <c r="C10" i="34"/>
  <c r="C11" i="34"/>
  <c r="BM13" i="37" l="1"/>
  <c r="AJ13" i="37"/>
  <c r="BM6" i="37"/>
  <c r="AJ6" i="37"/>
  <c r="AJ14" i="37"/>
  <c r="BM14" i="37"/>
  <c r="BM7" i="37"/>
  <c r="AJ7" i="37"/>
  <c r="BM8" i="37"/>
  <c r="AJ8" i="37"/>
  <c r="BM9" i="37"/>
  <c r="AJ9" i="37"/>
  <c r="BM17" i="37"/>
  <c r="AJ17" i="37"/>
  <c r="BM16" i="37"/>
  <c r="AJ16" i="37"/>
  <c r="BM10" i="37"/>
  <c r="AJ10" i="37"/>
  <c r="BM18" i="37"/>
  <c r="AJ18" i="37"/>
  <c r="BM15" i="37"/>
  <c r="AJ15" i="37"/>
  <c r="BM11" i="37"/>
  <c r="AJ11" i="37"/>
  <c r="BM19" i="37"/>
  <c r="AJ19" i="37"/>
  <c r="AJ12" i="37"/>
  <c r="BM12" i="37"/>
  <c r="BM20" i="37"/>
  <c r="AJ20" i="37"/>
  <c r="BM21" i="37"/>
  <c r="AJ21" i="37"/>
  <c r="T18" i="37"/>
  <c r="AW18" i="37"/>
  <c r="AW9" i="37"/>
  <c r="T9" i="37"/>
  <c r="AW13" i="37"/>
  <c r="T13" i="37"/>
  <c r="AW17" i="37"/>
  <c r="T17" i="37"/>
  <c r="AW21" i="37"/>
  <c r="T21" i="37"/>
  <c r="T14" i="37"/>
  <c r="AW14" i="37"/>
  <c r="T8" i="37"/>
  <c r="AW8" i="37"/>
  <c r="T10" i="37"/>
  <c r="AW10" i="37"/>
  <c r="T12" i="37"/>
  <c r="AW12" i="37"/>
  <c r="AW20" i="37"/>
  <c r="T20" i="37"/>
  <c r="AW11" i="37"/>
  <c r="T11" i="37"/>
  <c r="AW15" i="37"/>
  <c r="T15" i="37"/>
  <c r="AW19" i="37"/>
  <c r="T19" i="37"/>
  <c r="AW16" i="37"/>
  <c r="T16" i="37"/>
  <c r="AW7" i="37"/>
  <c r="T7" i="37"/>
  <c r="AW6" i="37"/>
  <c r="T6" i="37"/>
  <c r="E21" i="4"/>
  <c r="D22" i="3"/>
  <c r="D20" i="2"/>
  <c r="BT18" i="37"/>
  <c r="BT12" i="37"/>
  <c r="BT6" i="37"/>
  <c r="BT21" i="37"/>
  <c r="BT19" i="37"/>
  <c r="BT20" i="37"/>
  <c r="BT8" i="37"/>
  <c r="BT13" i="37"/>
  <c r="BT7" i="37"/>
  <c r="BT15" i="37"/>
  <c r="BT14" i="37"/>
  <c r="BT9" i="37"/>
  <c r="BT16" i="37"/>
  <c r="BT11" i="37"/>
  <c r="BT10" i="37"/>
  <c r="BT17" i="37"/>
  <c r="D7" i="2"/>
  <c r="BU18" i="37"/>
  <c r="BV18" i="37"/>
  <c r="BU12" i="37"/>
  <c r="BV12" i="37"/>
  <c r="BU6" i="37"/>
  <c r="BV6" i="37"/>
  <c r="BU21" i="37"/>
  <c r="BV21" i="37"/>
  <c r="BU19" i="37"/>
  <c r="BV19" i="37"/>
  <c r="BU20" i="37"/>
  <c r="BV20" i="37"/>
  <c r="BU8" i="37"/>
  <c r="BV8" i="37"/>
  <c r="BU13" i="37"/>
  <c r="BV13" i="37"/>
  <c r="BU7" i="37"/>
  <c r="BV7" i="37"/>
  <c r="BU15" i="37"/>
  <c r="BV15" i="37"/>
  <c r="BU14" i="37"/>
  <c r="BV14" i="37"/>
  <c r="BU9" i="37"/>
  <c r="BV9" i="37"/>
  <c r="BU16" i="37"/>
  <c r="BV16" i="37"/>
  <c r="BU11" i="37"/>
  <c r="BV11" i="37"/>
  <c r="BV10" i="37"/>
  <c r="BU10" i="37"/>
  <c r="BU17" i="37"/>
  <c r="BV17" i="37"/>
  <c r="C5" i="38" l="1"/>
  <c r="D8" i="2"/>
  <c r="BW16" i="37"/>
  <c r="BW20" i="37"/>
  <c r="BW9" i="37"/>
  <c r="BW17" i="37"/>
  <c r="BW6" i="37"/>
  <c r="C68" i="4"/>
  <c r="D8" i="3"/>
  <c r="BW7" i="37" l="1"/>
  <c r="BW15" i="37"/>
  <c r="F11" i="34"/>
  <c r="BW10" i="37"/>
  <c r="BW12" i="37"/>
  <c r="BW13" i="37"/>
  <c r="BW19" i="37"/>
  <c r="BW14" i="37"/>
  <c r="BW8" i="37"/>
  <c r="C35" i="38"/>
  <c r="BW21" i="37"/>
  <c r="BW11" i="37"/>
  <c r="D9" i="3"/>
  <c r="BW18" i="37"/>
  <c r="E7" i="4"/>
  <c r="E8" i="4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<sst xmlns="http://schemas.openxmlformats.org/spreadsheetml/2006/main" count="1189" uniqueCount="280">
  <si>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</si>
  <si>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</si>
  <si>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</si>
  <si>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</si>
  <si>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</si>
  <si>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</si>
  <si>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</si>
  <si>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</si>
  <si>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</si>
  <si>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</si>
  <si>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</si>
  <si>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</si>
  <si>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</si>
  <si>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</si>
  <si>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</si>
  <si>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</si>
  <si>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</si>
  <si>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</si>
  <si>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</si>
  <si>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</si>
  <si>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</si>
  <si>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</si>
  <si>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</si>
  <si>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</si>
  <si>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</si>
  <si>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</si>
  <si>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</si>
  <si>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</si>
  <si>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</si>
  <si>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</si>
  <si>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</si>
  <si>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</si>
  <si>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</si>
  <si>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</si>
  <si>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</si>
  <si>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</si>
  <si>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</si>
  <si>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</si>
  <si>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</si>
  <si>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</si>
  <si>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</si>
  <si>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</si>
  <si>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</si>
  <si>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</si>
  <si>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</si>
  <si>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</si>
  <si>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</si>
  <si>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</si>
  <si>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</si>
  <si>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</si>
  <si>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</si>
  <si>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</si>
  <si>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</si>
  <si>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</si>
  <si>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</si>
  <si>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</si>
  <si>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</si>
  <si>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</si>
  <si>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</si>
  <si>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</si>
  <si>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</si>
  <si>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</si>
  <si>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</si>
  <si>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</si>
  <si>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</si>
  <si>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</si>
  <si>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</si>
  <si>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</si>
  <si>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</si>
  <si>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</si>
  <si>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</si>
  <si>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</si>
  <si>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</si>
  <si>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</si>
  <si>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</si>
  <si>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</si>
  <si>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</si>
  <si>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</si>
  <si>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</si>
  <si>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</si>
  <si>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</si>
  <si>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</si>
  <si>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</si>
  <si>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</si>
  <si>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</si>
  <si>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</si>
  <si>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</si>
  <si>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</si>
  <si>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</si>
  <si>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</si>
  <si>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</si>
  <si>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</si>
  <si>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</si>
  <si>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</si>
  <si>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</si>
  <si>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</si>
  <si>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</si>
  <si>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</si>
  <si>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</si>
  <si>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</si>
  <si>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</si>
  <si>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</si>
  <si>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</si>
  <si>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</si>
  <si>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</si>
  <si>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</si>
  <si>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</si>
  <si>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</si>
  <si>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</si>
  <si>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</si>
  <si>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</si>
  <si>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</si>
  <si>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</si>
  <si>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</si>
  <si>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</si>
  <si>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</si>
  <si>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</si>
  <si>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</si>
  <si>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</si>
  <si>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</si>
  <si>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</si>
  <si>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</si>
  <si>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</si>
  <si>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</si>
  <si>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</si>
  <si>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</si>
  <si>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</si>
  <si>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</si>
  <si>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</si>
  <si>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</si>
  <si>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</si>
  <si>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</si>
  <si>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</si>
  <si>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</si>
  <si>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</si>
  <si>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</si>
  <si>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</si>
  <si>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</si>
  <si>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</si>
  <si>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</si>
  <si>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</si>
  <si>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</si>
  <si>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</si>
  <si>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</si>
  <si>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</si>
  <si>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</si>
  <si>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</si>
  <si>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</si>
  <si>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</si>
  <si>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</si>
  <si>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</si>
  <si>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</si>
  <si>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</si>
  <si>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</si>
  <si>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</si>
  <si>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</si>
  <si>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</si>
  <si>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</si>
  <si>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</si>
  <si>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</si>
  <si>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</si>
  <si>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</si>
  <si>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</si>
  <si>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</si>
  <si>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</si>
  <si>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</si>
  <si>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</si>
  <si>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</si>
  <si>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</si>
  <si>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</si>
  <si>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</si>
  <si>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</si>
  <si>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</si>
  <si>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</si>
  <si>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</si>
  <si>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</si>
  <si>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</si>
  <si>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</si>
  <si>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</si>
  <si>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</si>
  <si>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</si>
  <si>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</si>
  <si>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</si>
  <si>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</si>
  <si>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</si>
  <si>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</si>
  <si>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</si>
  <si>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</si>
  <si>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</si>
  <si>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</si>
  <si>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Known Leg</t>
  </si>
  <si>
    <t>Leg2Forecast Unknown : 
STD is the initial guess</t>
  </si>
  <si>
    <t>Curve Loaded</t>
  </si>
  <si>
    <t>Notional</t>
  </si>
  <si>
    <t>0D</t>
  </si>
  <si>
    <t>PV</t>
  </si>
  <si>
    <t>2D</t>
  </si>
  <si>
    <t>meCurveCalibrateOIS</t>
  </si>
  <si>
    <t>meCurveCalibrateSwap</t>
  </si>
  <si>
    <t>meCurveCalibrateBasis</t>
  </si>
  <si>
    <t>MaturityDate</t>
  </si>
  <si>
    <t>EffectiveDate</t>
  </si>
  <si>
    <t>ForecastCurve</t>
  </si>
  <si>
    <t>DiscountCurve</t>
  </si>
  <si>
    <t>FloatSpread</t>
  </si>
  <si>
    <t>Libor Fixing Table</t>
  </si>
  <si>
    <t>Money Market O/N and T/N Conventions</t>
  </si>
  <si>
    <t>EomDay</t>
  </si>
  <si>
    <t>basis.interpolation</t>
  </si>
  <si>
    <t>isFwdBasis</t>
  </si>
  <si>
    <t>dfCurveName</t>
  </si>
  <si>
    <t>AccrualBusinessDayAdjustment</t>
  </si>
  <si>
    <t>AccrualCalendar</t>
  </si>
  <si>
    <t>RollDay</t>
  </si>
  <si>
    <t>Settings</t>
  </si>
  <si>
    <t>Leverage</t>
  </si>
  <si>
    <t>SwapName</t>
  </si>
  <si>
    <t>CreateSwap</t>
  </si>
  <si>
    <t>NotionalExchange</t>
  </si>
  <si>
    <t>NONE</t>
  </si>
  <si>
    <t>LegType</t>
  </si>
  <si>
    <t>LEG2:FLOAT</t>
  </si>
  <si>
    <r>
      <t>meLWOCurveCreateOIS</t>
    </r>
    <r>
      <rPr>
        <sz val="11"/>
        <rFont val="Calibri"/>
        <family val="2"/>
        <scheme val="minor"/>
      </rPr>
      <t>( LWOCurveName, Curve.CollectionName,Curve.MarketDataTable,Curve.OISIndexName,Curve.BuildProperties,OIS.Conventions,OIS.MarketData,OIS.FixingTable,LiborOISBasis.Conventions,LiborOISBasis.MarketData,LiborSwap.Conventions,LiborSwap.MarketData)</t>
    </r>
  </si>
  <si>
    <r>
      <t>meLWOCurveCreateSwap</t>
    </r>
    <r>
      <rPr>
        <sz val="11"/>
        <rFont val="Calibri"/>
        <family val="2"/>
        <scheme val="minor"/>
      </rPr>
      <t>( LWOCurveName, 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  </r>
  </si>
  <si>
    <r>
      <t>meLWOCurveCreateBasis</t>
    </r>
    <r>
      <rPr>
        <sz val="11"/>
        <rFont val="Calibri"/>
        <family val="2"/>
        <scheme val="minor"/>
      </rPr>
      <t>( LWOCurveName, TenorBasisCurve3M6M.CollectionName,TenorBasisCurve3M6M.StaticDataTable,TenorBasisCurve3M6M.IndexName,TenorBasisCurve3M6M.BuildProperties,TenorBasisSwap3M6M.Conventions,TenorBasisSwap3M6M.MarketData)</t>
    </r>
  </si>
  <si>
    <t>CompoundingMethod</t>
  </si>
  <si>
    <t>GEOMETRIC</t>
  </si>
  <si>
    <t>SmoothShortEnd</t>
  </si>
  <si>
    <t>PayReceive</t>
  </si>
  <si>
    <t>RECEIVE</t>
  </si>
  <si>
    <r>
      <rPr>
        <sz val="14"/>
        <color rgb="FF0000FF"/>
        <rFont val="Calibri"/>
        <family val="2"/>
        <scheme val="minor"/>
      </rPr>
      <t>meLWOSwapTenorBasisSpread(</t>
    </r>
    <r>
      <rPr>
        <sz val="14"/>
        <color theme="1"/>
        <rFont val="Calibri"/>
        <family val="2"/>
        <scheme val="minor"/>
      </rPr>
      <t xml:space="preserve"> SwapName )</t>
    </r>
  </si>
  <si>
    <t>FirstFixing</t>
  </si>
  <si>
    <t>LastFixing</t>
  </si>
  <si>
    <t>FixingBusinessDayAdjustment</t>
  </si>
  <si>
    <t>FixingCalendar</t>
  </si>
  <si>
    <t>PaymentBusinessDayAdjustment</t>
  </si>
  <si>
    <t>PaymentCalendar</t>
  </si>
  <si>
    <t>FirstStubDate</t>
  </si>
  <si>
    <t>LastStubDate</t>
  </si>
  <si>
    <t>FixingLag</t>
  </si>
  <si>
    <t>PaymentLag</t>
  </si>
  <si>
    <t>StubType</t>
  </si>
  <si>
    <t>LEG1:FLOAT</t>
  </si>
  <si>
    <t>SEMI-ANNUAL</t>
  </si>
  <si>
    <t>SHORTSTART</t>
  </si>
  <si>
    <t>EffectiveLag</t>
  </si>
  <si>
    <t>EUR3ML</t>
  </si>
  <si>
    <t>QUARTERLY</t>
  </si>
  <si>
    <t>Spread</t>
  </si>
  <si>
    <t>Create Tenor Basis Swap</t>
  </si>
  <si>
    <t>Price Results</t>
  </si>
  <si>
    <t>Basis Swap Deal Information</t>
  </si>
  <si>
    <t>EUROIS</t>
  </si>
  <si>
    <t>PAY</t>
  </si>
  <si>
    <t>Trade Details</t>
  </si>
  <si>
    <t>Leg 2 : Float</t>
  </si>
  <si>
    <t>Leg 1 : Float</t>
  </si>
  <si>
    <t>Leg 2 : Label Value Block</t>
  </si>
  <si>
    <t>Leg 1 : Label Value Block</t>
  </si>
  <si>
    <t>TenorBasisSpread</t>
  </si>
  <si>
    <t>Pay/Rec</t>
  </si>
  <si>
    <t>Maturity</t>
  </si>
  <si>
    <t>+/-</t>
  </si>
  <si>
    <t>Pricing Results</t>
  </si>
  <si>
    <t>Tenor Basis Calibration Inputs ( 3 X 6 )</t>
  </si>
  <si>
    <t>Check</t>
  </si>
  <si>
    <t>LegName</t>
  </si>
  <si>
    <t>Leg1:Float</t>
  </si>
  <si>
    <r>
      <t>meLWOSwapDisplayCashflows</t>
    </r>
    <r>
      <rPr>
        <b/>
        <sz val="14"/>
        <rFont val="Calibri"/>
        <family val="2"/>
        <scheme val="minor"/>
      </rPr>
      <t>( SwapName, [ LegName=ShowAllLegs ], [ ShowHeaders=True ] )</t>
    </r>
  </si>
  <si>
    <t>Leg2:Float</t>
  </si>
  <si>
    <t>BasisSpread ( Bps )</t>
  </si>
  <si>
    <t>PV ( EUR )</t>
  </si>
  <si>
    <t>meLWOSwapPV()</t>
  </si>
  <si>
    <t>meLWOSwapTenorBasisSpread()</t>
  </si>
  <si>
    <t>meLWOSwapCreate()</t>
  </si>
  <si>
    <t>Tenor Basis Spread vs Basis Curve Calibration</t>
  </si>
  <si>
    <t>&lt;&lt;&lt; LVB  Inputs &gt;&gt;&gt;</t>
  </si>
  <si>
    <t>TENOR_BASIS_SWAP</t>
  </si>
  <si>
    <t>Calibration Difference</t>
  </si>
  <si>
    <t>Curve 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</si>
</sst>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ddd\,\ d\-mmm\-yy"/>
    <numFmt numFmtId="169" formatCode="#,##0.00000"/>
    <numFmt numFmtId="170" formatCode="0.0000"/>
    <numFmt numFmtId="171" formatCode="#,##0.000000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FF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/>
      <top style="thin">
        <color theme="0" tint="-0.24994659260841701"/>
      </top>
      <bottom/>
      <diagonal/>
    </border>
    <border>
      <left/>
      <right style="dotted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/>
      <top/>
      <bottom style="thin">
        <color theme="0" tint="-0.24994659260841701"/>
      </bottom>
      <diagonal/>
    </border>
    <border>
      <left/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/>
      <top/>
      <bottom/>
      <diagonal/>
    </border>
    <border>
      <left/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311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6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7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1" xfId="0" applyFill="1" applyBorder="1"/>
    <xf numFmtId="0" fontId="0" fillId="2" borderId="9" xfId="0" applyFill="1" applyBorder="1"/>
    <xf numFmtId="0" fontId="0" fillId="2" borderId="10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6" xfId="0" applyFill="1" applyBorder="1"/>
    <xf numFmtId="0" fontId="0" fillId="0" borderId="7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1" xfId="0" applyFill="1" applyBorder="1"/>
    <xf numFmtId="0" fontId="0" fillId="0" borderId="10" xfId="0" applyFill="1" applyBorder="1"/>
    <xf numFmtId="0" fontId="0" fillId="0" borderId="9" xfId="0" applyFill="1" applyBorder="1"/>
    <xf numFmtId="0" fontId="9" fillId="0" borderId="6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4" fontId="9" fillId="0" borderId="9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8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7" xfId="0" applyNumberFormat="1" applyFont="1" applyFill="1" applyBorder="1" applyAlignment="1">
      <alignment horizontal="center" vertical="center"/>
    </xf>
    <xf numFmtId="0" fontId="9" fillId="0" borderId="7" xfId="0" applyFont="1" applyFill="1" applyBorder="1" applyAlignment="1"/>
    <xf numFmtId="11" fontId="9" fillId="0" borderId="7" xfId="0" applyNumberFormat="1" applyFont="1" applyFill="1" applyBorder="1" applyAlignment="1">
      <alignment horizontal="center" vertical="center"/>
    </xf>
    <xf numFmtId="0" fontId="9" fillId="0" borderId="7" xfId="0" applyFont="1" applyFill="1" applyBorder="1"/>
    <xf numFmtId="0" fontId="9" fillId="0" borderId="10" xfId="0" applyFont="1" applyFill="1" applyBorder="1"/>
    <xf numFmtId="15" fontId="9" fillId="0" borderId="7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0" xfId="0" applyNumberFormat="1" applyFont="1" applyFill="1" applyBorder="1" applyAlignment="1">
      <alignment horizontal="center" vertical="center"/>
    </xf>
    <xf numFmtId="0" fontId="6" fillId="0" borderId="8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7" fillId="2" borderId="9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7" xfId="0" applyNumberFormat="1" applyFont="1" applyFill="1" applyBorder="1" applyAlignment="1">
      <alignment horizontal="center" vertical="center"/>
    </xf>
    <xf numFmtId="164" fontId="9" fillId="0" borderId="10" xfId="0" applyNumberFormat="1" applyFont="1" applyFill="1" applyBorder="1" applyAlignment="1">
      <alignment horizontal="center" vertical="center"/>
    </xf>
    <xf numFmtId="15" fontId="9" fillId="0" borderId="6" xfId="0" applyNumberFormat="1" applyFont="1" applyFill="1" applyBorder="1" applyAlignment="1">
      <alignment horizontal="center" vertical="center"/>
    </xf>
    <xf numFmtId="15" fontId="9" fillId="0" borderId="11" xfId="0" applyNumberFormat="1" applyFont="1" applyFill="1" applyBorder="1" applyAlignment="1">
      <alignment horizontal="center" vertical="center"/>
    </xf>
    <xf numFmtId="0" fontId="6" fillId="2" borderId="7" xfId="0" applyFont="1" applyFill="1" applyBorder="1"/>
    <xf numFmtId="0" fontId="5" fillId="0" borderId="0" xfId="0" applyFont="1"/>
    <xf numFmtId="0" fontId="3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/>
    </xf>
    <xf numFmtId="0" fontId="9" fillId="0" borderId="1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10" fontId="9" fillId="0" borderId="7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7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6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7" xfId="2" quotePrefix="1" applyNumberFormat="1" applyFont="1" applyFill="1" applyBorder="1" applyAlignment="1">
      <alignment horizontal="center" vertical="center"/>
    </xf>
    <xf numFmtId="165" fontId="9" fillId="0" borderId="6" xfId="1" quotePrefix="1" applyNumberFormat="1" applyFont="1" applyFill="1" applyBorder="1" applyAlignment="1">
      <alignment horizontal="center" vertical="center"/>
    </xf>
    <xf numFmtId="165" fontId="9" fillId="0" borderId="6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7" xfId="2" applyNumberFormat="1" applyFont="1" applyFill="1" applyBorder="1" applyAlignment="1">
      <alignment horizontal="center" vertical="center"/>
    </xf>
    <xf numFmtId="0" fontId="9" fillId="0" borderId="6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7" xfId="0" applyNumberFormat="1" applyFont="1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15" fontId="9" fillId="0" borderId="9" xfId="0" applyNumberFormat="1" applyFont="1" applyFill="1" applyBorder="1" applyAlignment="1">
      <alignment horizontal="center"/>
    </xf>
    <xf numFmtId="166" fontId="9" fillId="0" borderId="9" xfId="1" applyNumberFormat="1" applyFont="1" applyFill="1" applyBorder="1" applyAlignment="1">
      <alignment horizontal="center" vertical="center"/>
    </xf>
    <xf numFmtId="164" fontId="9" fillId="0" borderId="10" xfId="0" applyNumberFormat="1" applyFont="1" applyFill="1" applyBorder="1" applyAlignment="1">
      <alignment horizontal="center"/>
    </xf>
    <xf numFmtId="0" fontId="0" fillId="2" borderId="9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9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8" xfId="0" applyFont="1" applyFill="1" applyBorder="1"/>
    <xf numFmtId="0" fontId="11" fillId="0" borderId="7" xfId="0" applyFont="1" applyFill="1" applyBorder="1" applyAlignment="1">
      <alignment horizontal="center" vertical="center"/>
    </xf>
    <xf numFmtId="3" fontId="9" fillId="0" borderId="7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8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vertical="center"/>
    </xf>
    <xf numFmtId="0" fontId="9" fillId="0" borderId="15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vertical="center"/>
    </xf>
    <xf numFmtId="0" fontId="5" fillId="0" borderId="16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12" fillId="0" borderId="0" xfId="0" applyFont="1"/>
    <xf numFmtId="0" fontId="13" fillId="0" borderId="12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13" fillId="0" borderId="12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5" fillId="0" borderId="12" xfId="0" applyFont="1" applyBorder="1"/>
    <xf numFmtId="0" fontId="6" fillId="0" borderId="4" xfId="0" applyFont="1" applyFill="1" applyBorder="1" applyAlignment="1">
      <alignment horizontal="left" vertical="center"/>
    </xf>
    <xf numFmtId="0" fontId="2" fillId="0" borderId="0" xfId="0" applyFont="1"/>
    <xf numFmtId="0" fontId="0" fillId="2" borderId="1" xfId="0" applyFill="1" applyBorder="1"/>
    <xf numFmtId="0" fontId="0" fillId="2" borderId="8" xfId="0" applyFill="1" applyBorder="1"/>
    <xf numFmtId="0" fontId="23" fillId="0" borderId="0" xfId="0" applyFont="1"/>
    <xf numFmtId="168" fontId="0" fillId="3" borderId="12" xfId="0" applyNumberFormat="1" applyFill="1" applyBorder="1" applyAlignment="1">
      <alignment horizontal="center" vertical="center"/>
    </xf>
    <xf numFmtId="0" fontId="0" fillId="2" borderId="12" xfId="0" applyFill="1" applyBorder="1"/>
    <xf numFmtId="0" fontId="6" fillId="4" borderId="4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0" xfId="0" applyFont="1" applyFill="1" applyBorder="1"/>
    <xf numFmtId="0" fontId="0" fillId="2" borderId="1" xfId="0" applyNumberFormat="1" applyFill="1" applyBorder="1" applyAlignment="1">
      <alignment horizontal="center" vertical="center" wrapText="1"/>
    </xf>
    <xf numFmtId="0" fontId="0" fillId="2" borderId="4" xfId="0" applyNumberFormat="1" applyFill="1" applyBorder="1" applyAlignment="1">
      <alignment horizontal="center" vertical="center" wrapText="1"/>
    </xf>
    <xf numFmtId="3" fontId="6" fillId="4" borderId="4" xfId="0" applyNumberFormat="1" applyFont="1" applyFill="1" applyBorder="1" applyAlignment="1">
      <alignment horizontal="center" vertical="center"/>
    </xf>
    <xf numFmtId="167" fontId="6" fillId="4" borderId="4" xfId="0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6" fillId="4" borderId="4" xfId="0" quotePrefix="1" applyFont="1" applyFill="1" applyBorder="1" applyAlignment="1">
      <alignment horizontal="center" vertical="center"/>
    </xf>
    <xf numFmtId="0" fontId="0" fillId="2" borderId="8" xfId="0" applyNumberFormat="1" applyFill="1" applyBorder="1" applyAlignment="1">
      <alignment horizontal="center" vertical="center" wrapText="1"/>
    </xf>
    <xf numFmtId="4" fontId="0" fillId="4" borderId="4" xfId="0" applyNumberFormat="1" applyFill="1" applyBorder="1" applyAlignment="1">
      <alignment horizontal="center" vertical="center"/>
    </xf>
    <xf numFmtId="167" fontId="9" fillId="4" borderId="4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 vertical="center"/>
    </xf>
    <xf numFmtId="167" fontId="6" fillId="5" borderId="4" xfId="0" applyNumberFormat="1" applyFont="1" applyFill="1" applyBorder="1" applyAlignment="1">
      <alignment horizontal="center" vertical="center"/>
    </xf>
    <xf numFmtId="3" fontId="6" fillId="5" borderId="4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6" fillId="4" borderId="4" xfId="0" applyNumberFormat="1" applyFont="1" applyFill="1" applyBorder="1" applyAlignment="1">
      <alignment horizontal="center" vertical="center"/>
    </xf>
    <xf numFmtId="0" fontId="7" fillId="4" borderId="0" xfId="0" applyFont="1" applyFill="1" applyBorder="1"/>
    <xf numFmtId="0" fontId="6" fillId="4" borderId="0" xfId="0" applyFont="1" applyFill="1" applyBorder="1" applyAlignment="1">
      <alignment horizontal="center" vertical="center"/>
    </xf>
    <xf numFmtId="165" fontId="0" fillId="4" borderId="4" xfId="0" applyNumberForma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0" fontId="0" fillId="0" borderId="4" xfId="0" applyBorder="1"/>
    <xf numFmtId="166" fontId="5" fillId="0" borderId="0" xfId="0" applyNumberFormat="1" applyFont="1" applyAlignment="1">
      <alignment horizontal="center" vertical="center"/>
    </xf>
    <xf numFmtId="0" fontId="11" fillId="0" borderId="12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165" fontId="9" fillId="2" borderId="1" xfId="0" applyNumberFormat="1" applyFont="1" applyFill="1" applyBorder="1" applyAlignment="1">
      <alignment horizontal="center" vertical="center"/>
    </xf>
    <xf numFmtId="170" fontId="9" fillId="2" borderId="1" xfId="0" applyNumberFormat="1" applyFont="1" applyFill="1" applyBorder="1" applyAlignment="1">
      <alignment horizontal="center" vertical="center"/>
    </xf>
    <xf numFmtId="165" fontId="9" fillId="2" borderId="4" xfId="0" applyNumberFormat="1" applyFont="1" applyFill="1" applyBorder="1" applyAlignment="1">
      <alignment horizontal="center" vertical="center"/>
    </xf>
    <xf numFmtId="170" fontId="9" fillId="2" borderId="4" xfId="0" applyNumberFormat="1" applyFont="1" applyFill="1" applyBorder="1" applyAlignment="1">
      <alignment horizontal="center" vertical="center"/>
    </xf>
    <xf numFmtId="165" fontId="9" fillId="2" borderId="8" xfId="0" applyNumberFormat="1" applyFont="1" applyFill="1" applyBorder="1" applyAlignment="1">
      <alignment horizontal="center" vertical="center"/>
    </xf>
    <xf numFmtId="170" fontId="9" fillId="2" borderId="8" xfId="0" applyNumberFormat="1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166" fontId="9" fillId="2" borderId="12" xfId="0" applyNumberFormat="1" applyFont="1" applyFill="1" applyBorder="1" applyAlignment="1">
      <alignment horizontal="center" vertical="center"/>
    </xf>
    <xf numFmtId="166" fontId="11" fillId="0" borderId="8" xfId="0" applyNumberFormat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0" fillId="0" borderId="6" xfId="0" applyBorder="1"/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6" fillId="4" borderId="5" xfId="0" applyFont="1" applyFill="1" applyBorder="1" applyAlignment="1">
      <alignment horizontal="center"/>
    </xf>
    <xf numFmtId="0" fontId="6" fillId="4" borderId="2" xfId="0" quotePrefix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3" fontId="6" fillId="4" borderId="2" xfId="0" applyNumberFormat="1" applyFont="1" applyFill="1" applyBorder="1" applyAlignment="1">
      <alignment horizontal="center" vertical="center"/>
    </xf>
    <xf numFmtId="167" fontId="6" fillId="4" borderId="2" xfId="0" applyNumberFormat="1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166" fontId="9" fillId="2" borderId="3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/>
    </xf>
    <xf numFmtId="167" fontId="9" fillId="2" borderId="2" xfId="0" applyNumberFormat="1" applyFont="1" applyFill="1" applyBorder="1" applyAlignment="1">
      <alignment horizontal="left" vertical="center"/>
    </xf>
    <xf numFmtId="3" fontId="9" fillId="2" borderId="2" xfId="0" applyNumberFormat="1" applyFont="1" applyFill="1" applyBorder="1" applyAlignment="1">
      <alignment horizontal="left" vertical="center"/>
    </xf>
    <xf numFmtId="4" fontId="9" fillId="2" borderId="2" xfId="0" applyNumberFormat="1" applyFont="1" applyFill="1" applyBorder="1" applyAlignment="1">
      <alignment horizontal="left" vertical="center"/>
    </xf>
    <xf numFmtId="166" fontId="9" fillId="2" borderId="2" xfId="0" applyNumberFormat="1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166" fontId="6" fillId="4" borderId="3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/>
    </xf>
    <xf numFmtId="3" fontId="6" fillId="4" borderId="0" xfId="0" applyNumberFormat="1" applyFont="1" applyFill="1" applyBorder="1" applyAlignment="1">
      <alignment horizontal="center" vertical="center"/>
    </xf>
    <xf numFmtId="0" fontId="6" fillId="4" borderId="0" xfId="0" quotePrefix="1" applyFont="1" applyFill="1" applyBorder="1" applyAlignment="1">
      <alignment horizontal="center" vertical="center"/>
    </xf>
    <xf numFmtId="167" fontId="6" fillId="4" borderId="0" xfId="0" applyNumberFormat="1" applyFont="1" applyFill="1" applyBorder="1" applyAlignment="1">
      <alignment horizontal="center" vertical="center"/>
    </xf>
    <xf numFmtId="166" fontId="6" fillId="4" borderId="7" xfId="0" applyNumberFormat="1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/>
    </xf>
    <xf numFmtId="3" fontId="6" fillId="4" borderId="9" xfId="0" applyNumberFormat="1" applyFont="1" applyFill="1" applyBorder="1" applyAlignment="1">
      <alignment horizontal="center" vertical="center"/>
    </xf>
    <xf numFmtId="0" fontId="6" fillId="4" borderId="9" xfId="0" quotePrefix="1" applyFont="1" applyFill="1" applyBorder="1" applyAlignment="1">
      <alignment horizontal="center" vertical="center"/>
    </xf>
    <xf numFmtId="167" fontId="6" fillId="4" borderId="9" xfId="0" applyNumberFormat="1" applyFont="1" applyFill="1" applyBorder="1" applyAlignment="1">
      <alignment horizontal="center" vertical="center"/>
    </xf>
    <xf numFmtId="166" fontId="6" fillId="4" borderId="10" xfId="0" applyNumberFormat="1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167" fontId="9" fillId="2" borderId="0" xfId="0" applyNumberFormat="1" applyFont="1" applyFill="1" applyBorder="1" applyAlignment="1">
      <alignment horizontal="left" vertical="center"/>
    </xf>
    <xf numFmtId="3" fontId="9" fillId="2" borderId="0" xfId="0" applyNumberFormat="1" applyFont="1" applyFill="1" applyBorder="1" applyAlignment="1">
      <alignment horizontal="left" vertical="center"/>
    </xf>
    <xf numFmtId="4" fontId="9" fillId="2" borderId="0" xfId="0" applyNumberFormat="1" applyFont="1" applyFill="1" applyBorder="1" applyAlignment="1">
      <alignment horizontal="left" vertical="center"/>
    </xf>
    <xf numFmtId="166" fontId="9" fillId="2" borderId="0" xfId="0" applyNumberFormat="1" applyFont="1" applyFill="1" applyBorder="1" applyAlignment="1">
      <alignment horizontal="left" vertical="center"/>
    </xf>
    <xf numFmtId="0" fontId="9" fillId="2" borderId="7" xfId="0" applyFont="1" applyFill="1" applyBorder="1" applyAlignment="1">
      <alignment horizontal="left" vertical="center"/>
    </xf>
    <xf numFmtId="0" fontId="9" fillId="2" borderId="11" xfId="0" applyFont="1" applyFill="1" applyBorder="1" applyAlignment="1">
      <alignment horizontal="left" vertical="center"/>
    </xf>
    <xf numFmtId="0" fontId="9" fillId="2" borderId="9" xfId="0" applyFont="1" applyFill="1" applyBorder="1" applyAlignment="1">
      <alignment horizontal="left" vertical="center"/>
    </xf>
    <xf numFmtId="167" fontId="9" fillId="2" borderId="9" xfId="0" applyNumberFormat="1" applyFont="1" applyFill="1" applyBorder="1" applyAlignment="1">
      <alignment horizontal="left" vertical="center"/>
    </xf>
    <xf numFmtId="3" fontId="9" fillId="2" borderId="9" xfId="0" applyNumberFormat="1" applyFont="1" applyFill="1" applyBorder="1" applyAlignment="1">
      <alignment horizontal="left" vertical="center"/>
    </xf>
    <xf numFmtId="4" fontId="9" fillId="2" borderId="9" xfId="0" applyNumberFormat="1" applyFont="1" applyFill="1" applyBorder="1" applyAlignment="1">
      <alignment horizontal="left" vertical="center"/>
    </xf>
    <xf numFmtId="166" fontId="9" fillId="2" borderId="9" xfId="0" applyNumberFormat="1" applyFont="1" applyFill="1" applyBorder="1" applyAlignment="1">
      <alignment horizontal="left" vertical="center"/>
    </xf>
    <xf numFmtId="0" fontId="9" fillId="2" borderId="10" xfId="0" applyFont="1" applyFill="1" applyBorder="1" applyAlignment="1">
      <alignment horizontal="left" vertical="center"/>
    </xf>
    <xf numFmtId="166" fontId="9" fillId="2" borderId="2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7" xfId="0" applyNumberFormat="1" applyFont="1" applyFill="1" applyBorder="1" applyAlignment="1">
      <alignment horizontal="center" vertical="center"/>
    </xf>
    <xf numFmtId="3" fontId="9" fillId="2" borderId="9" xfId="0" applyNumberFormat="1" applyFont="1" applyFill="1" applyBorder="1" applyAlignment="1">
      <alignment horizontal="center" vertical="center"/>
    </xf>
    <xf numFmtId="166" fontId="9" fillId="2" borderId="9" xfId="0" applyNumberFormat="1" applyFont="1" applyFill="1" applyBorder="1" applyAlignment="1">
      <alignment horizontal="center" vertical="center"/>
    </xf>
    <xf numFmtId="166" fontId="9" fillId="2" borderId="10" xfId="0" applyNumberFormat="1" applyFont="1" applyFill="1" applyBorder="1" applyAlignment="1">
      <alignment horizontal="center" vertical="center"/>
    </xf>
    <xf numFmtId="0" fontId="0" fillId="2" borderId="11" xfId="0" applyFont="1" applyFill="1" applyBorder="1" applyAlignment="1">
      <alignment horizontal="left" vertical="center"/>
    </xf>
    <xf numFmtId="0" fontId="0" fillId="2" borderId="10" xfId="0" quotePrefix="1" applyFont="1" applyFill="1" applyBorder="1" applyAlignment="1">
      <alignment horizontal="center" vertical="center"/>
    </xf>
    <xf numFmtId="0" fontId="6" fillId="2" borderId="2" xfId="0" applyFont="1" applyFill="1" applyBorder="1"/>
    <xf numFmtId="0" fontId="6" fillId="2" borderId="11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left" vertical="center"/>
    </xf>
    <xf numFmtId="0" fontId="0" fillId="2" borderId="3" xfId="0" applyFont="1" applyFill="1" applyBorder="1" applyAlignment="1">
      <alignment horizontal="center" vertical="center"/>
    </xf>
    <xf numFmtId="0" fontId="6" fillId="2" borderId="5" xfId="0" applyFont="1" applyFill="1" applyBorder="1"/>
    <xf numFmtId="4" fontId="0" fillId="0" borderId="0" xfId="0" applyNumberFormat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25" fillId="0" borderId="0" xfId="0" applyFont="1"/>
    <xf numFmtId="0" fontId="0" fillId="0" borderId="0" xfId="0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6" fillId="4" borderId="1" xfId="0" applyNumberFormat="1" applyFont="1" applyFill="1" applyBorder="1" applyAlignment="1">
      <alignment horizontal="center" vertical="center"/>
    </xf>
    <xf numFmtId="0" fontId="6" fillId="4" borderId="8" xfId="0" quotePrefix="1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6" fillId="4" borderId="8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17" xfId="0" applyFont="1" applyFill="1" applyBorder="1" applyAlignment="1">
      <alignment horizontal="left" vertical="center"/>
    </xf>
    <xf numFmtId="0" fontId="2" fillId="2" borderId="18" xfId="0" applyFont="1" applyFill="1" applyBorder="1" applyAlignment="1">
      <alignment horizontal="left" vertical="center"/>
    </xf>
    <xf numFmtId="0" fontId="0" fillId="2" borderId="19" xfId="0" applyFont="1" applyFill="1" applyBorder="1" applyAlignment="1">
      <alignment horizontal="center" vertical="center"/>
    </xf>
    <xf numFmtId="0" fontId="0" fillId="2" borderId="20" xfId="0" applyFont="1" applyFill="1" applyBorder="1" applyAlignment="1">
      <alignment horizontal="center" vertical="center"/>
    </xf>
    <xf numFmtId="167" fontId="6" fillId="4" borderId="17" xfId="0" applyNumberFormat="1" applyFont="1" applyFill="1" applyBorder="1" applyAlignment="1">
      <alignment horizontal="center" vertical="center"/>
    </xf>
    <xf numFmtId="166" fontId="6" fillId="4" borderId="18" xfId="0" applyNumberFormat="1" applyFont="1" applyFill="1" applyBorder="1" applyAlignment="1">
      <alignment horizontal="center" vertical="center"/>
    </xf>
    <xf numFmtId="167" fontId="6" fillId="4" borderId="21" xfId="0" applyNumberFormat="1" applyFont="1" applyFill="1" applyBorder="1" applyAlignment="1">
      <alignment horizontal="center" vertical="center"/>
    </xf>
    <xf numFmtId="166" fontId="6" fillId="4" borderId="22" xfId="0" applyNumberFormat="1" applyFont="1" applyFill="1" applyBorder="1" applyAlignment="1">
      <alignment horizontal="center" vertical="center"/>
    </xf>
    <xf numFmtId="167" fontId="6" fillId="4" borderId="19" xfId="0" applyNumberFormat="1" applyFont="1" applyFill="1" applyBorder="1" applyAlignment="1">
      <alignment horizontal="center" vertical="center"/>
    </xf>
    <xf numFmtId="166" fontId="6" fillId="4" borderId="20" xfId="0" applyNumberFormat="1" applyFont="1" applyFill="1" applyBorder="1" applyAlignment="1">
      <alignment horizontal="center" vertical="center"/>
    </xf>
    <xf numFmtId="167" fontId="9" fillId="2" borderId="23" xfId="0" applyNumberFormat="1" applyFont="1" applyFill="1" applyBorder="1" applyAlignment="1">
      <alignment horizontal="center" vertical="center"/>
    </xf>
    <xf numFmtId="167" fontId="9" fillId="2" borderId="24" xfId="0" applyNumberFormat="1" applyFont="1" applyFill="1" applyBorder="1" applyAlignment="1">
      <alignment horizontal="center" vertical="center"/>
    </xf>
    <xf numFmtId="167" fontId="9" fillId="2" borderId="25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165" fontId="9" fillId="2" borderId="2" xfId="0" applyNumberFormat="1" applyFont="1" applyFill="1" applyBorder="1" applyAlignment="1">
      <alignment horizontal="center" vertical="center"/>
    </xf>
    <xf numFmtId="170" fontId="9" fillId="2" borderId="3" xfId="0" applyNumberFormat="1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170" fontId="9" fillId="2" borderId="7" xfId="0" applyNumberFormat="1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165" fontId="9" fillId="2" borderId="9" xfId="0" applyNumberFormat="1" applyFont="1" applyFill="1" applyBorder="1" applyAlignment="1">
      <alignment horizontal="center" vertical="center"/>
    </xf>
    <xf numFmtId="170" fontId="9" fillId="2" borderId="10" xfId="0" applyNumberFormat="1" applyFont="1" applyFill="1" applyBorder="1" applyAlignment="1">
      <alignment horizontal="center" vertical="center"/>
    </xf>
    <xf numFmtId="0" fontId="22" fillId="0" borderId="13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4" xfId="0" applyFont="1" applyBorder="1" applyAlignment="1">
      <alignment horizontal="center" vertical="center" textRotation="90"/>
    </xf>
    <xf numFmtId="0" fontId="21" fillId="0" borderId="13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4" xfId="0" applyFont="1" applyBorder="1" applyAlignment="1">
      <alignment horizontal="center" vertical="center" textRotation="90"/>
    </xf>
    <xf numFmtId="0" fontId="22" fillId="0" borderId="13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8" xfId="0" applyFont="1" applyBorder="1" applyAlignment="1">
      <alignment horizontal="center" vertical="center" textRotation="90" wrapText="1"/>
    </xf>
    <xf numFmtId="3" fontId="6" fillId="0" borderId="1" xfId="0" applyNumberFormat="1" applyFont="1" applyBorder="1" applyAlignment="1">
      <alignment horizontal="center" vertical="center"/>
    </xf>
    <xf numFmtId="0" fontId="0" fillId="2" borderId="4" xfId="0" applyFill="1" applyBorder="1"/>
    <xf numFmtId="3" fontId="9" fillId="0" borderId="4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168" fontId="9" fillId="0" borderId="6" xfId="0" applyNumberFormat="1" applyFont="1" applyBorder="1" applyAlignment="1">
      <alignment horizontal="left" vertical="center"/>
    </xf>
    <xf numFmtId="168" fontId="9" fillId="0" borderId="0" xfId="0" applyNumberFormat="1" applyFont="1" applyBorder="1" applyAlignment="1">
      <alignment horizontal="left" vertical="center"/>
    </xf>
    <xf numFmtId="3" fontId="9" fillId="0" borderId="0" xfId="0" applyNumberFormat="1" applyFont="1" applyBorder="1" applyAlignment="1">
      <alignment horizontal="left" vertical="center"/>
    </xf>
    <xf numFmtId="166" fontId="9" fillId="0" borderId="0" xfId="0" applyNumberFormat="1" applyFont="1" applyBorder="1" applyAlignment="1">
      <alignment horizontal="left" vertical="center"/>
    </xf>
    <xf numFmtId="4" fontId="9" fillId="0" borderId="0" xfId="0" applyNumberFormat="1" applyFont="1" applyBorder="1" applyAlignment="1">
      <alignment horizontal="left" vertical="center"/>
    </xf>
    <xf numFmtId="165" fontId="9" fillId="0" borderId="0" xfId="0" applyNumberFormat="1" applyFont="1" applyBorder="1" applyAlignment="1">
      <alignment horizontal="left" vertical="center"/>
    </xf>
    <xf numFmtId="171" fontId="9" fillId="0" borderId="0" xfId="0" applyNumberFormat="1" applyFont="1" applyBorder="1" applyAlignment="1">
      <alignment horizontal="left" vertical="center"/>
    </xf>
    <xf numFmtId="0" fontId="9" fillId="0" borderId="7" xfId="0" applyFont="1" applyBorder="1"/>
    <xf numFmtId="0" fontId="9" fillId="0" borderId="6" xfId="0" applyFont="1" applyBorder="1"/>
    <xf numFmtId="0" fontId="9" fillId="0" borderId="0" xfId="0" applyFont="1" applyBorder="1"/>
    <xf numFmtId="0" fontId="9" fillId="0" borderId="11" xfId="0" applyFont="1" applyBorder="1"/>
    <xf numFmtId="0" fontId="9" fillId="0" borderId="9" xfId="0" applyFont="1" applyBorder="1"/>
    <xf numFmtId="0" fontId="9" fillId="0" borderId="10" xfId="0" applyFont="1" applyBorder="1"/>
    <xf numFmtId="0" fontId="11" fillId="4" borderId="1" xfId="0" applyFont="1" applyFill="1" applyBorder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2:C3"/>
  <sheetViews>
    <sheetView showGridLines="0" workbookViewId="0"/>
  </sheetViews>
  <sheetFormatPr defaultRowHeight="15" x14ac:dyDescent="0.25"/>
  <cols>
    <col min="2" max="3" width="15.85546875" customWidth="1"/>
  </cols>
  <sheetData>
    <row r="2" spans="2:3" x14ac:dyDescent="0.25">
      <c r="B2" s="126" t="s">
        <v>214</v>
      </c>
    </row>
    <row r="3" spans="2:3" x14ac:dyDescent="0.25">
      <c r="B3" s="131" t="s">
        <v>10</v>
      </c>
      <c r="C3" s="130">
        <v>42419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A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21" t="s">
        <v>222</v>
      </c>
    </row>
    <row r="3" spans="2:14" x14ac:dyDescent="0.25">
      <c r="B3" s="61"/>
    </row>
    <row r="4" spans="2:14" x14ac:dyDescent="0.25">
      <c r="B4" s="61"/>
    </row>
    <row r="5" spans="2:14" x14ac:dyDescent="0.25">
      <c r="B5" s="116" t="s">
        <v>197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17" t="s">
        <v>197</v>
      </c>
      <c r="D7" s="162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(0.04700 sec)</v>
      </c>
      <c r="E7" s="123"/>
      <c r="F7" s="7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4" t="s">
        <v>192</v>
      </c>
      <c r="D8" s="115" t="b">
        <f ca="1">LEFT(D7,5)=Curve.CollectionName</f>
        <v>1</v>
      </c>
      <c r="E8" s="123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3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4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6" t="s">
        <v>189</v>
      </c>
      <c r="E13" s="7"/>
      <c r="F13" s="7"/>
      <c r="G13" s="7"/>
      <c r="H13" s="7"/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1:14" x14ac:dyDescent="0.25">
      <c r="B17" s="56" t="s">
        <v>70</v>
      </c>
    </row>
    <row r="18" spans="1:14" x14ac:dyDescent="0.25">
      <c r="B18" s="2"/>
      <c r="C18" s="45"/>
      <c r="D18" s="46"/>
      <c r="E18" s="3"/>
      <c r="F18" s="3"/>
      <c r="G18" s="3"/>
      <c r="H18" s="62"/>
      <c r="I18" s="3"/>
      <c r="J18" s="3"/>
      <c r="K18" s="3"/>
      <c r="L18" s="3"/>
      <c r="M18" s="3"/>
      <c r="N18" s="4"/>
    </row>
    <row r="19" spans="1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1:14" x14ac:dyDescent="0.25">
      <c r="B20" s="5"/>
      <c r="C20" s="27" t="s">
        <v>10</v>
      </c>
      <c r="D20" s="103">
        <f>COB</f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1:14" x14ac:dyDescent="0.25">
      <c r="A21" s="28"/>
      <c r="B21" s="5"/>
      <c r="C21" s="28" t="s">
        <v>16</v>
      </c>
      <c r="D21" s="104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1:14" x14ac:dyDescent="0.25">
      <c r="B22" s="5"/>
      <c r="C22" s="28" t="s">
        <v>24</v>
      </c>
      <c r="D22" s="107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1:14" x14ac:dyDescent="0.25">
      <c r="B23" s="5"/>
      <c r="C23" s="29"/>
      <c r="D23" s="104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1:14" x14ac:dyDescent="0.25">
      <c r="B24" s="5"/>
      <c r="C24" s="44"/>
      <c r="D24" s="106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1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1:14" x14ac:dyDescent="0.25">
      <c r="F27" s="63"/>
    </row>
    <row r="28" spans="1:14" x14ac:dyDescent="0.25">
      <c r="B28" s="56" t="s">
        <v>79</v>
      </c>
    </row>
    <row r="29" spans="1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1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1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1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2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0" t="s">
        <v>225</v>
      </c>
      <c r="D46" s="35" t="s">
        <v>226</v>
      </c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 t="s">
        <v>227</v>
      </c>
      <c r="D47" s="35" t="b">
        <v>1</v>
      </c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18" t="s">
        <v>223</v>
      </c>
    </row>
    <row r="6" spans="2:12" x14ac:dyDescent="0.25">
      <c r="B6" s="119" t="s">
        <v>198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24" t="s">
        <v>198</v>
      </c>
      <c r="D8" s="162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EURYC STD Curve has been set (0.01500 sec)</v>
      </c>
      <c r="E8" s="123"/>
      <c r="F8" s="7"/>
      <c r="G8" s="7"/>
      <c r="H8" s="7"/>
      <c r="I8" s="7"/>
      <c r="J8" s="7"/>
      <c r="K8" s="7"/>
      <c r="L8" s="8"/>
    </row>
    <row r="9" spans="2:12" x14ac:dyDescent="0.25">
      <c r="B9" s="5"/>
      <c r="C9" s="114" t="s">
        <v>192</v>
      </c>
      <c r="D9" s="123" t="b">
        <f ca="1">LEFT(D8,5)=STDCurve.CollectionName</f>
        <v>1</v>
      </c>
      <c r="E9" s="123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3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4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6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2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3">
        <f>COB</f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4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5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5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4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4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4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4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4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6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206</v>
      </c>
      <c r="D37" s="10"/>
      <c r="E37" s="10"/>
      <c r="F37" s="49" t="s">
        <v>103</v>
      </c>
      <c r="G37" s="10"/>
      <c r="H37" s="10"/>
      <c r="I37" s="49" t="s">
        <v>205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4" t="s">
        <v>11</v>
      </c>
      <c r="J38" s="74" t="s">
        <v>12</v>
      </c>
      <c r="K38" s="74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5" t="s">
        <v>6</v>
      </c>
      <c r="H39" s="10"/>
      <c r="I39" s="67" t="s">
        <v>185</v>
      </c>
      <c r="J39" s="71">
        <v>-2.8E-3</v>
      </c>
      <c r="K39" s="74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68" t="s">
        <v>169</v>
      </c>
      <c r="J40" s="72">
        <v>-2.2000000000000001E-3</v>
      </c>
      <c r="K40" s="74"/>
      <c r="L40" s="55"/>
    </row>
    <row r="41" spans="2:12" x14ac:dyDescent="0.25">
      <c r="B41" s="5"/>
      <c r="C41" s="28"/>
      <c r="D41" s="35"/>
      <c r="E41" s="9"/>
      <c r="F41" s="29" t="s">
        <v>101</v>
      </c>
      <c r="G41" s="65">
        <v>2</v>
      </c>
      <c r="H41" s="10"/>
      <c r="I41" s="68" t="s">
        <v>104</v>
      </c>
      <c r="J41" s="72">
        <v>-1.31E-3</v>
      </c>
      <c r="K41" s="74"/>
      <c r="L41" s="55"/>
    </row>
    <row r="42" spans="2:12" x14ac:dyDescent="0.25">
      <c r="B42" s="5"/>
      <c r="C42" s="28"/>
      <c r="D42" s="35"/>
      <c r="E42" s="9"/>
      <c r="F42" s="29" t="s">
        <v>21</v>
      </c>
      <c r="G42" s="65" t="s">
        <v>22</v>
      </c>
      <c r="H42" s="10"/>
      <c r="I42" s="68" t="s">
        <v>57</v>
      </c>
      <c r="J42" s="72">
        <v>-1E-4</v>
      </c>
      <c r="K42" s="74"/>
      <c r="L42" s="55"/>
    </row>
    <row r="43" spans="2:12" x14ac:dyDescent="0.25">
      <c r="B43" s="5"/>
      <c r="C43" s="33"/>
      <c r="D43" s="40"/>
      <c r="E43" s="9"/>
      <c r="F43" s="44"/>
      <c r="G43" s="66"/>
      <c r="H43" s="10"/>
      <c r="I43" s="69"/>
      <c r="J43" s="73"/>
      <c r="K43" s="74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4" t="s">
        <v>11</v>
      </c>
      <c r="G51" s="74" t="s">
        <v>12</v>
      </c>
      <c r="H51" s="10"/>
      <c r="I51" s="74" t="s">
        <v>11</v>
      </c>
      <c r="J51" s="74" t="s">
        <v>12</v>
      </c>
      <c r="K51" s="74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67"/>
      <c r="G52" s="71"/>
      <c r="H52" s="10"/>
      <c r="I52" s="67" t="s">
        <v>110</v>
      </c>
      <c r="J52" s="71">
        <v>-1.2900000000000001E-3</v>
      </c>
      <c r="K52" s="74"/>
      <c r="L52" s="55"/>
    </row>
    <row r="53" spans="2:12" x14ac:dyDescent="0.25">
      <c r="B53" s="5"/>
      <c r="C53" s="28" t="s">
        <v>107</v>
      </c>
      <c r="D53" s="35">
        <v>2</v>
      </c>
      <c r="E53" s="9"/>
      <c r="F53" s="68"/>
      <c r="G53" s="72"/>
      <c r="H53" s="10"/>
      <c r="I53" s="68" t="s">
        <v>111</v>
      </c>
      <c r="J53" s="72">
        <v>-1.2900000000000001E-3</v>
      </c>
      <c r="K53" s="74"/>
      <c r="L53" s="55"/>
    </row>
    <row r="54" spans="2:12" x14ac:dyDescent="0.25">
      <c r="B54" s="5"/>
      <c r="C54" s="28" t="s">
        <v>21</v>
      </c>
      <c r="D54" s="64" t="s">
        <v>22</v>
      </c>
      <c r="E54" s="9"/>
      <c r="F54" s="68"/>
      <c r="G54" s="72"/>
      <c r="H54" s="10"/>
      <c r="I54" s="68" t="s">
        <v>112</v>
      </c>
      <c r="J54" s="72">
        <v>-1.33E-3</v>
      </c>
      <c r="K54" s="74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68"/>
      <c r="G55" s="72"/>
      <c r="H55" s="10"/>
      <c r="I55" s="68" t="s">
        <v>113</v>
      </c>
      <c r="J55" s="72">
        <v>-1.3900000000000002E-3</v>
      </c>
      <c r="K55" s="74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68"/>
      <c r="G56" s="72"/>
      <c r="H56" s="10"/>
      <c r="I56" s="68" t="s">
        <v>114</v>
      </c>
      <c r="J56" s="72">
        <v>-1.4399999999999999E-3</v>
      </c>
      <c r="K56" s="74"/>
      <c r="L56" s="55"/>
    </row>
    <row r="57" spans="2:12" x14ac:dyDescent="0.25">
      <c r="B57" s="5"/>
      <c r="C57" s="28" t="s">
        <v>109</v>
      </c>
      <c r="D57" s="35">
        <v>2</v>
      </c>
      <c r="E57" s="9"/>
      <c r="F57" s="68"/>
      <c r="G57" s="72"/>
      <c r="H57" s="10"/>
      <c r="I57" s="68" t="s">
        <v>115</v>
      </c>
      <c r="J57" s="72">
        <v>-1.4399999999999999E-3</v>
      </c>
      <c r="K57" s="74"/>
      <c r="L57" s="55"/>
    </row>
    <row r="58" spans="2:12" x14ac:dyDescent="0.25">
      <c r="B58" s="5"/>
      <c r="C58" s="28"/>
      <c r="D58" s="35"/>
      <c r="E58" s="9"/>
      <c r="F58" s="68"/>
      <c r="G58" s="72"/>
      <c r="H58" s="10"/>
      <c r="I58" s="68" t="s">
        <v>116</v>
      </c>
      <c r="J58" s="72">
        <v>-1.4599999999999999E-3</v>
      </c>
      <c r="K58" s="74"/>
      <c r="L58" s="55"/>
    </row>
    <row r="59" spans="2:12" x14ac:dyDescent="0.25">
      <c r="B59" s="5"/>
      <c r="C59" s="28"/>
      <c r="D59" s="35"/>
      <c r="E59" s="9"/>
      <c r="F59" s="68"/>
      <c r="G59" s="72"/>
      <c r="H59" s="10"/>
      <c r="I59" s="68" t="s">
        <v>117</v>
      </c>
      <c r="J59" s="72">
        <v>-1.47E-3</v>
      </c>
      <c r="K59" s="74"/>
      <c r="L59" s="55"/>
    </row>
    <row r="60" spans="2:12" x14ac:dyDescent="0.25">
      <c r="B60" s="5"/>
      <c r="C60" s="28"/>
      <c r="D60" s="35"/>
      <c r="E60" s="9"/>
      <c r="F60" s="68"/>
      <c r="G60" s="72"/>
      <c r="H60" s="10"/>
      <c r="I60" s="68" t="s">
        <v>118</v>
      </c>
      <c r="J60" s="72">
        <v>-1.4599999999999999E-3</v>
      </c>
      <c r="K60" s="74"/>
      <c r="L60" s="55"/>
    </row>
    <row r="61" spans="2:12" x14ac:dyDescent="0.25">
      <c r="B61" s="5"/>
      <c r="C61" s="28"/>
      <c r="D61" s="35"/>
      <c r="E61" s="9"/>
      <c r="F61" s="68"/>
      <c r="G61" s="72"/>
      <c r="H61" s="10"/>
      <c r="I61" s="68" t="s">
        <v>119</v>
      </c>
      <c r="J61" s="72">
        <v>-1.4299999999999998E-3</v>
      </c>
      <c r="K61" s="74"/>
      <c r="L61" s="55"/>
    </row>
    <row r="62" spans="2:12" x14ac:dyDescent="0.25">
      <c r="B62" s="5"/>
      <c r="C62" s="28"/>
      <c r="D62" s="35"/>
      <c r="E62" s="9"/>
      <c r="F62" s="68"/>
      <c r="G62" s="72"/>
      <c r="H62" s="10"/>
      <c r="I62" s="68" t="s">
        <v>120</v>
      </c>
      <c r="J62" s="72">
        <v>-1.4099999999999998E-3</v>
      </c>
      <c r="K62" s="74"/>
      <c r="L62" s="55"/>
    </row>
    <row r="63" spans="2:12" x14ac:dyDescent="0.25">
      <c r="B63" s="5"/>
      <c r="C63" s="28"/>
      <c r="D63" s="35"/>
      <c r="E63" s="9"/>
      <c r="F63" s="68"/>
      <c r="G63" s="72"/>
      <c r="H63" s="10"/>
      <c r="I63" s="68"/>
      <c r="J63" s="72"/>
      <c r="K63" s="74"/>
      <c r="L63" s="55"/>
    </row>
    <row r="64" spans="2:12" x14ac:dyDescent="0.25">
      <c r="B64" s="5"/>
      <c r="C64" s="33"/>
      <c r="D64" s="40"/>
      <c r="E64" s="9"/>
      <c r="F64" s="69"/>
      <c r="G64" s="73"/>
      <c r="H64" s="10"/>
      <c r="I64" s="69"/>
      <c r="J64" s="73"/>
      <c r="K64" s="74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4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3" t="s">
        <v>139</v>
      </c>
      <c r="G72" s="93" t="s">
        <v>13</v>
      </c>
      <c r="H72" s="93" t="s">
        <v>14</v>
      </c>
      <c r="I72" s="93" t="s">
        <v>12</v>
      </c>
      <c r="J72" s="93" t="s">
        <v>124</v>
      </c>
      <c r="K72" s="10"/>
      <c r="L72" s="55"/>
    </row>
    <row r="73" spans="2:12" x14ac:dyDescent="0.25">
      <c r="B73" s="5"/>
      <c r="C73" s="28"/>
      <c r="D73" s="35"/>
      <c r="E73" s="9"/>
      <c r="F73" s="75"/>
      <c r="G73" s="76"/>
      <c r="H73" s="76"/>
      <c r="I73" s="77"/>
      <c r="J73" s="78"/>
      <c r="K73" s="10"/>
      <c r="L73" s="55"/>
    </row>
    <row r="74" spans="2:12" x14ac:dyDescent="0.25">
      <c r="B74" s="5"/>
      <c r="C74" s="28"/>
      <c r="D74" s="35"/>
      <c r="E74" s="9"/>
      <c r="F74" s="79"/>
      <c r="G74" s="76"/>
      <c r="H74" s="76"/>
      <c r="I74" s="77"/>
      <c r="J74" s="78"/>
      <c r="K74" s="10"/>
      <c r="L74" s="55"/>
    </row>
    <row r="75" spans="2:12" x14ac:dyDescent="0.25">
      <c r="B75" s="5"/>
      <c r="C75" s="28"/>
      <c r="D75" s="101"/>
      <c r="E75" s="9"/>
      <c r="F75" s="80"/>
      <c r="G75" s="81"/>
      <c r="H75" s="81"/>
      <c r="I75" s="82"/>
      <c r="J75" s="83"/>
      <c r="K75" s="10"/>
      <c r="L75" s="55"/>
    </row>
    <row r="76" spans="2:12" x14ac:dyDescent="0.25">
      <c r="B76" s="5"/>
      <c r="C76" s="28"/>
      <c r="D76" s="70"/>
      <c r="E76" s="9"/>
      <c r="F76" s="80"/>
      <c r="G76" s="81"/>
      <c r="H76" s="81"/>
      <c r="I76" s="82"/>
      <c r="J76" s="83"/>
      <c r="K76" s="10"/>
      <c r="L76" s="55"/>
    </row>
    <row r="77" spans="2:12" x14ac:dyDescent="0.25">
      <c r="B77" s="5"/>
      <c r="C77" s="28"/>
      <c r="D77" s="35"/>
      <c r="E77" s="9"/>
      <c r="F77" s="80"/>
      <c r="G77" s="81"/>
      <c r="H77" s="81"/>
      <c r="I77" s="82"/>
      <c r="J77" s="83"/>
      <c r="K77" s="10"/>
      <c r="L77" s="55"/>
    </row>
    <row r="78" spans="2:12" x14ac:dyDescent="0.25">
      <c r="B78" s="5"/>
      <c r="C78" s="28"/>
      <c r="D78" s="35"/>
      <c r="E78" s="9"/>
      <c r="F78" s="80"/>
      <c r="G78" s="81"/>
      <c r="H78" s="81"/>
      <c r="I78" s="82"/>
      <c r="J78" s="83"/>
      <c r="K78" s="10"/>
      <c r="L78" s="55"/>
    </row>
    <row r="79" spans="2:12" x14ac:dyDescent="0.25">
      <c r="B79" s="5"/>
      <c r="C79" s="28"/>
      <c r="D79" s="35"/>
      <c r="E79" s="9"/>
      <c r="F79" s="80"/>
      <c r="G79" s="81"/>
      <c r="H79" s="81"/>
      <c r="I79" s="82"/>
      <c r="J79" s="83"/>
      <c r="K79" s="10"/>
      <c r="L79" s="55"/>
    </row>
    <row r="80" spans="2:12" x14ac:dyDescent="0.25">
      <c r="B80" s="5"/>
      <c r="C80" s="28"/>
      <c r="D80" s="35"/>
      <c r="E80" s="9"/>
      <c r="F80" s="80"/>
      <c r="G80" s="81"/>
      <c r="H80" s="81"/>
      <c r="I80" s="82"/>
      <c r="J80" s="83"/>
      <c r="K80" s="10"/>
      <c r="L80" s="55"/>
    </row>
    <row r="81" spans="2:12" x14ac:dyDescent="0.25">
      <c r="B81" s="5"/>
      <c r="C81" s="28"/>
      <c r="D81" s="35"/>
      <c r="E81" s="9"/>
      <c r="F81" s="80"/>
      <c r="G81" s="81"/>
      <c r="H81" s="81"/>
      <c r="I81" s="82"/>
      <c r="J81" s="83"/>
      <c r="K81" s="10"/>
      <c r="L81" s="55"/>
    </row>
    <row r="82" spans="2:12" x14ac:dyDescent="0.25">
      <c r="B82" s="5"/>
      <c r="C82" s="28"/>
      <c r="D82" s="35"/>
      <c r="E82" s="9"/>
      <c r="F82" s="84"/>
      <c r="G82" s="81"/>
      <c r="H82" s="81"/>
      <c r="I82" s="85"/>
      <c r="J82" s="83"/>
      <c r="K82" s="10"/>
      <c r="L82" s="55"/>
    </row>
    <row r="83" spans="2:12" x14ac:dyDescent="0.25">
      <c r="B83" s="5"/>
      <c r="C83" s="28"/>
      <c r="D83" s="35"/>
      <c r="E83" s="9"/>
      <c r="F83" s="86"/>
      <c r="G83" s="87"/>
      <c r="H83" s="87"/>
      <c r="I83" s="85"/>
      <c r="J83" s="88"/>
      <c r="K83" s="10"/>
      <c r="L83" s="55"/>
    </row>
    <row r="84" spans="2:12" x14ac:dyDescent="0.25">
      <c r="B84" s="5"/>
      <c r="C84" s="28"/>
      <c r="D84" s="35"/>
      <c r="E84" s="9"/>
      <c r="F84" s="86"/>
      <c r="G84" s="87"/>
      <c r="H84" s="87"/>
      <c r="I84" s="85"/>
      <c r="J84" s="88"/>
      <c r="K84" s="10"/>
      <c r="L84" s="55"/>
    </row>
    <row r="85" spans="2:12" x14ac:dyDescent="0.25">
      <c r="B85" s="5"/>
      <c r="C85" s="33"/>
      <c r="D85" s="40"/>
      <c r="E85" s="9"/>
      <c r="F85" s="89"/>
      <c r="G85" s="90"/>
      <c r="H85" s="90"/>
      <c r="I85" s="91"/>
      <c r="J85" s="92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98" t="s">
        <v>1</v>
      </c>
      <c r="D93" s="34" t="s">
        <v>2</v>
      </c>
      <c r="E93" s="7"/>
      <c r="F93" s="74" t="s">
        <v>11</v>
      </c>
      <c r="G93" s="74" t="s">
        <v>12</v>
      </c>
      <c r="H93" s="74" t="s">
        <v>8</v>
      </c>
      <c r="I93" s="10"/>
      <c r="J93" s="10"/>
      <c r="K93" s="10"/>
      <c r="L93" s="55"/>
    </row>
    <row r="94" spans="2:12" x14ac:dyDescent="0.25">
      <c r="B94" s="5"/>
      <c r="C94" s="99" t="s">
        <v>97</v>
      </c>
      <c r="D94" s="35" t="s">
        <v>20</v>
      </c>
      <c r="E94" s="9"/>
      <c r="F94" s="97" t="s">
        <v>47</v>
      </c>
      <c r="G94" s="94">
        <v>-1.33E-3</v>
      </c>
      <c r="H94" s="71" t="b">
        <v>1</v>
      </c>
      <c r="I94" s="10"/>
      <c r="J94" s="10"/>
      <c r="K94" s="10"/>
      <c r="L94" s="55"/>
    </row>
    <row r="95" spans="2:12" x14ac:dyDescent="0.25">
      <c r="B95" s="5"/>
      <c r="C95" s="99" t="s">
        <v>129</v>
      </c>
      <c r="D95" s="35" t="s">
        <v>6</v>
      </c>
      <c r="E95" s="9"/>
      <c r="F95" s="24" t="s">
        <v>43</v>
      </c>
      <c r="G95" s="95">
        <v>-8.699999999999999E-4</v>
      </c>
      <c r="H95" s="72" t="b">
        <v>1</v>
      </c>
      <c r="I95" s="10"/>
      <c r="J95" s="10"/>
      <c r="K95" s="10"/>
      <c r="L95" s="55"/>
    </row>
    <row r="96" spans="2:12" x14ac:dyDescent="0.25">
      <c r="B96" s="5"/>
      <c r="C96" s="99" t="s">
        <v>27</v>
      </c>
      <c r="D96" s="35" t="s">
        <v>26</v>
      </c>
      <c r="E96" s="9"/>
      <c r="F96" s="24" t="s">
        <v>50</v>
      </c>
      <c r="G96" s="95">
        <v>-8.0000000000000007E-5</v>
      </c>
      <c r="H96" s="72" t="b">
        <v>1</v>
      </c>
      <c r="I96" s="10"/>
      <c r="J96" s="10"/>
      <c r="K96" s="10"/>
      <c r="L96" s="55"/>
    </row>
    <row r="97" spans="2:12" x14ac:dyDescent="0.25">
      <c r="B97" s="5"/>
      <c r="C97" s="99" t="s">
        <v>131</v>
      </c>
      <c r="D97" s="35" t="s">
        <v>130</v>
      </c>
      <c r="E97" s="9"/>
      <c r="F97" s="24" t="s">
        <v>52</v>
      </c>
      <c r="G97" s="95">
        <v>9.2999999999999995E-4</v>
      </c>
      <c r="H97" s="72" t="b">
        <v>1</v>
      </c>
      <c r="I97" s="10"/>
      <c r="J97" s="10"/>
      <c r="K97" s="10"/>
      <c r="L97" s="55"/>
    </row>
    <row r="98" spans="2:12" x14ac:dyDescent="0.25">
      <c r="B98" s="5"/>
      <c r="C98" s="99" t="s">
        <v>132</v>
      </c>
      <c r="D98" s="107" t="s">
        <v>84</v>
      </c>
      <c r="E98" s="9"/>
      <c r="F98" s="24" t="s">
        <v>54</v>
      </c>
      <c r="G98" s="95">
        <v>2.0200000000000001E-3</v>
      </c>
      <c r="H98" s="72" t="b">
        <v>1</v>
      </c>
      <c r="I98" s="10"/>
      <c r="J98" s="10"/>
      <c r="K98" s="10"/>
      <c r="L98" s="55"/>
    </row>
    <row r="99" spans="2:12" x14ac:dyDescent="0.25">
      <c r="B99" s="5"/>
      <c r="C99" s="99" t="s">
        <v>102</v>
      </c>
      <c r="D99" s="35" t="b">
        <v>1</v>
      </c>
      <c r="E99" s="9"/>
      <c r="F99" s="24" t="s">
        <v>56</v>
      </c>
      <c r="G99" s="95">
        <v>3.2100000000000002E-3</v>
      </c>
      <c r="H99" s="72" t="b">
        <v>1</v>
      </c>
      <c r="I99" s="10"/>
      <c r="J99" s="10"/>
      <c r="K99" s="10"/>
      <c r="L99" s="55"/>
    </row>
    <row r="100" spans="2:12" x14ac:dyDescent="0.25">
      <c r="B100" s="5"/>
      <c r="C100" s="99" t="s">
        <v>207</v>
      </c>
      <c r="D100" s="35">
        <v>31</v>
      </c>
      <c r="E100" s="9"/>
      <c r="F100" s="24" t="s">
        <v>58</v>
      </c>
      <c r="G100" s="95">
        <v>4.4400000000000004E-3</v>
      </c>
      <c r="H100" s="72" t="b">
        <v>1</v>
      </c>
      <c r="I100" s="10"/>
      <c r="J100" s="10"/>
      <c r="K100" s="10"/>
      <c r="L100" s="55"/>
    </row>
    <row r="101" spans="2:12" x14ac:dyDescent="0.25">
      <c r="B101" s="5"/>
      <c r="C101" s="99" t="s">
        <v>101</v>
      </c>
      <c r="D101" s="35">
        <v>2</v>
      </c>
      <c r="E101" s="9"/>
      <c r="F101" s="24" t="s">
        <v>60</v>
      </c>
      <c r="G101" s="95">
        <v>5.6100000000000004E-3</v>
      </c>
      <c r="H101" s="72" t="b">
        <v>1</v>
      </c>
      <c r="I101" s="10"/>
      <c r="J101" s="10"/>
      <c r="K101" s="10"/>
      <c r="L101" s="55"/>
    </row>
    <row r="102" spans="2:12" x14ac:dyDescent="0.25">
      <c r="B102" s="5"/>
      <c r="C102" s="99" t="s">
        <v>21</v>
      </c>
      <c r="D102" s="64" t="s">
        <v>22</v>
      </c>
      <c r="E102" s="9"/>
      <c r="F102" s="24" t="s">
        <v>61</v>
      </c>
      <c r="G102" s="95">
        <v>6.6700000000000006E-3</v>
      </c>
      <c r="H102" s="72" t="b">
        <v>1</v>
      </c>
      <c r="I102" s="10"/>
      <c r="J102" s="10"/>
      <c r="K102" s="10"/>
      <c r="L102" s="55"/>
    </row>
    <row r="103" spans="2:12" x14ac:dyDescent="0.25">
      <c r="B103" s="5"/>
      <c r="C103" s="99" t="s">
        <v>133</v>
      </c>
      <c r="D103" s="35" t="b">
        <v>1</v>
      </c>
      <c r="E103" s="9"/>
      <c r="F103" s="24" t="s">
        <v>62</v>
      </c>
      <c r="G103" s="95">
        <v>7.6300000000000005E-3</v>
      </c>
      <c r="H103" s="72" t="b">
        <v>1</v>
      </c>
      <c r="I103" s="10"/>
      <c r="J103" s="10"/>
      <c r="K103" s="10"/>
      <c r="L103" s="55"/>
    </row>
    <row r="104" spans="2:12" x14ac:dyDescent="0.25">
      <c r="B104" s="5"/>
      <c r="C104" s="99" t="s">
        <v>134</v>
      </c>
      <c r="D104" s="35" t="b">
        <v>1</v>
      </c>
      <c r="E104" s="9"/>
      <c r="F104" s="24" t="s">
        <v>63</v>
      </c>
      <c r="G104" s="95">
        <v>8.4700000000000001E-3</v>
      </c>
      <c r="H104" s="72" t="b">
        <v>1</v>
      </c>
      <c r="I104" s="10"/>
      <c r="J104" s="10"/>
      <c r="K104" s="10"/>
      <c r="L104" s="55"/>
    </row>
    <row r="105" spans="2:12" x14ac:dyDescent="0.25">
      <c r="B105" s="5"/>
      <c r="C105" s="99" t="s">
        <v>135</v>
      </c>
      <c r="D105" s="38">
        <v>1.0000000000000001E-9</v>
      </c>
      <c r="E105" s="9"/>
      <c r="F105" s="24" t="s">
        <v>64</v>
      </c>
      <c r="G105" s="95">
        <v>1.03E-2</v>
      </c>
      <c r="H105" s="72" t="b">
        <v>1</v>
      </c>
      <c r="I105" s="10"/>
      <c r="J105" s="10"/>
      <c r="K105" s="10"/>
      <c r="L105" s="55"/>
    </row>
    <row r="106" spans="2:12" x14ac:dyDescent="0.25">
      <c r="B106" s="5"/>
      <c r="C106" s="99" t="s">
        <v>136</v>
      </c>
      <c r="D106" s="102">
        <v>1000</v>
      </c>
      <c r="E106" s="9"/>
      <c r="F106" s="24" t="s">
        <v>65</v>
      </c>
      <c r="G106" s="95">
        <v>1.1659999999999998E-2</v>
      </c>
      <c r="H106" s="72" t="b">
        <v>1</v>
      </c>
      <c r="I106" s="10"/>
      <c r="J106" s="10"/>
      <c r="K106" s="10"/>
      <c r="L106" s="55"/>
    </row>
    <row r="107" spans="2:12" x14ac:dyDescent="0.25">
      <c r="B107" s="5"/>
      <c r="C107" s="99"/>
      <c r="D107" s="38"/>
      <c r="E107" s="9"/>
      <c r="F107" s="24" t="s">
        <v>66</v>
      </c>
      <c r="G107" s="95">
        <v>1.201E-2</v>
      </c>
      <c r="H107" s="72" t="b">
        <v>1</v>
      </c>
      <c r="I107" s="10"/>
      <c r="J107" s="10"/>
      <c r="K107" s="10"/>
      <c r="L107" s="55"/>
    </row>
    <row r="108" spans="2:12" x14ac:dyDescent="0.25">
      <c r="B108" s="5"/>
      <c r="C108" s="99"/>
      <c r="D108" s="35"/>
      <c r="E108" s="9"/>
      <c r="F108" s="24" t="s">
        <v>67</v>
      </c>
      <c r="G108" s="95">
        <v>1.204E-2</v>
      </c>
      <c r="H108" s="72" t="b">
        <v>1</v>
      </c>
      <c r="I108" s="10"/>
      <c r="J108" s="10"/>
      <c r="K108" s="10"/>
      <c r="L108" s="55"/>
    </row>
    <row r="109" spans="2:12" x14ac:dyDescent="0.25">
      <c r="B109" s="5"/>
      <c r="C109" s="99"/>
      <c r="D109" s="35"/>
      <c r="E109" s="9"/>
      <c r="F109" s="24" t="s">
        <v>68</v>
      </c>
      <c r="G109" s="95">
        <v>1.1859999999999999E-2</v>
      </c>
      <c r="H109" s="72" t="b">
        <v>1</v>
      </c>
      <c r="I109" s="10"/>
      <c r="J109" s="10"/>
      <c r="K109" s="10"/>
      <c r="L109" s="55"/>
    </row>
    <row r="110" spans="2:12" x14ac:dyDescent="0.25">
      <c r="B110" s="5"/>
      <c r="C110" s="99"/>
      <c r="D110" s="35"/>
      <c r="E110" s="9"/>
      <c r="F110" s="24" t="s">
        <v>69</v>
      </c>
      <c r="G110" s="95">
        <v>1.1200000000000002E-2</v>
      </c>
      <c r="H110" s="72" t="b">
        <v>1</v>
      </c>
      <c r="I110" s="10"/>
      <c r="J110" s="10"/>
      <c r="K110" s="10"/>
      <c r="L110" s="55"/>
    </row>
    <row r="111" spans="2:12" x14ac:dyDescent="0.25">
      <c r="B111" s="5"/>
      <c r="C111" s="100"/>
      <c r="D111" s="40"/>
      <c r="E111" s="9"/>
      <c r="F111" s="25"/>
      <c r="G111" s="96"/>
      <c r="H111" s="73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120" t="s">
        <v>224</v>
      </c>
    </row>
    <row r="5" spans="2:10" x14ac:dyDescent="0.25">
      <c r="B5" s="121" t="s">
        <v>199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122" t="s">
        <v>199</v>
      </c>
      <c r="E7" s="162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(0.01600 sec)</v>
      </c>
      <c r="F7" s="123"/>
      <c r="G7" s="7"/>
      <c r="H7" s="7"/>
      <c r="I7" s="7"/>
      <c r="J7" s="8"/>
    </row>
    <row r="8" spans="2:10" x14ac:dyDescent="0.25">
      <c r="B8" s="5"/>
      <c r="C8" s="7"/>
      <c r="D8" s="114" t="s">
        <v>192</v>
      </c>
      <c r="E8" s="123" t="b">
        <f ca="1">LEFT(E7,5)=TenorBasisCurve3M6M.CollectionName</f>
        <v>1</v>
      </c>
      <c r="F8" s="123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 t="s">
        <v>4</v>
      </c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3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4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06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3">
        <f>COB</f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4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208</v>
      </c>
      <c r="E23" s="107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125" t="s">
        <v>209</v>
      </c>
      <c r="E24" s="104" t="b">
        <v>0</v>
      </c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125" t="s">
        <v>210</v>
      </c>
      <c r="E25" s="104" t="s">
        <v>9</v>
      </c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4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4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4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4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4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06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11"/>
      <c r="D38" s="27" t="s">
        <v>143</v>
      </c>
      <c r="E38" s="34" t="s">
        <v>144</v>
      </c>
      <c r="F38" s="7"/>
      <c r="G38" s="74" t="s">
        <v>11</v>
      </c>
      <c r="H38" s="74" t="s">
        <v>12</v>
      </c>
      <c r="I38" s="10"/>
      <c r="J38" s="55"/>
    </row>
    <row r="39" spans="2:10" x14ac:dyDescent="0.25">
      <c r="B39" s="5"/>
      <c r="C39" s="279" t="s">
        <v>190</v>
      </c>
      <c r="D39" s="108" t="s">
        <v>145</v>
      </c>
      <c r="E39" s="109" t="b">
        <v>0</v>
      </c>
      <c r="F39" s="9"/>
      <c r="G39" s="67" t="s">
        <v>183</v>
      </c>
      <c r="H39" s="71">
        <v>1.1300000000000001E-3</v>
      </c>
      <c r="I39" s="10"/>
      <c r="J39" s="55"/>
    </row>
    <row r="40" spans="2:10" x14ac:dyDescent="0.25">
      <c r="B40" s="5"/>
      <c r="C40" s="280"/>
      <c r="D40" s="28" t="s">
        <v>146</v>
      </c>
      <c r="E40" s="35" t="s">
        <v>2</v>
      </c>
      <c r="F40" s="9"/>
      <c r="G40" s="68" t="s">
        <v>47</v>
      </c>
      <c r="H40" s="72">
        <v>1.1925E-3</v>
      </c>
      <c r="I40" s="10"/>
      <c r="J40" s="55"/>
    </row>
    <row r="41" spans="2:10" x14ac:dyDescent="0.25">
      <c r="B41" s="5"/>
      <c r="C41" s="280"/>
      <c r="D41" s="28" t="s">
        <v>147</v>
      </c>
      <c r="E41" s="35" t="s">
        <v>148</v>
      </c>
      <c r="F41" s="9"/>
      <c r="G41" s="68" t="s">
        <v>43</v>
      </c>
      <c r="H41" s="72">
        <v>1.2425000000000001E-3</v>
      </c>
      <c r="I41" s="10"/>
      <c r="J41" s="55"/>
    </row>
    <row r="42" spans="2:10" x14ac:dyDescent="0.25">
      <c r="B42" s="5"/>
      <c r="C42" s="280"/>
      <c r="D42" s="28" t="s">
        <v>149</v>
      </c>
      <c r="E42" s="64" t="s">
        <v>130</v>
      </c>
      <c r="F42" s="9"/>
      <c r="G42" s="68" t="s">
        <v>50</v>
      </c>
      <c r="H42" s="72">
        <v>1.2975E-3</v>
      </c>
      <c r="I42" s="10"/>
      <c r="J42" s="55"/>
    </row>
    <row r="43" spans="2:10" x14ac:dyDescent="0.25">
      <c r="B43" s="5"/>
      <c r="C43" s="280"/>
      <c r="D43" s="28" t="s">
        <v>150</v>
      </c>
      <c r="E43" s="64" t="s">
        <v>22</v>
      </c>
      <c r="F43" s="9"/>
      <c r="G43" s="68" t="s">
        <v>52</v>
      </c>
      <c r="H43" s="72">
        <v>1.3324999999999999E-3</v>
      </c>
      <c r="I43" s="10"/>
      <c r="J43" s="55"/>
    </row>
    <row r="44" spans="2:10" x14ac:dyDescent="0.25">
      <c r="B44" s="5"/>
      <c r="C44" s="280"/>
      <c r="D44" s="28" t="s">
        <v>151</v>
      </c>
      <c r="E44" s="35" t="s">
        <v>123</v>
      </c>
      <c r="F44" s="9"/>
      <c r="G44" s="68" t="s">
        <v>54</v>
      </c>
      <c r="H44" s="72">
        <v>1.3074999999999999E-3</v>
      </c>
      <c r="I44" s="10"/>
      <c r="J44" s="55"/>
    </row>
    <row r="45" spans="2:10" x14ac:dyDescent="0.25">
      <c r="B45" s="5"/>
      <c r="C45" s="280"/>
      <c r="D45" s="28" t="s">
        <v>152</v>
      </c>
      <c r="E45" s="35" t="s">
        <v>9</v>
      </c>
      <c r="F45" s="9"/>
      <c r="G45" s="68" t="s">
        <v>56</v>
      </c>
      <c r="H45" s="72">
        <v>1.2725E-3</v>
      </c>
      <c r="I45" s="10"/>
      <c r="J45" s="55"/>
    </row>
    <row r="46" spans="2:10" x14ac:dyDescent="0.25">
      <c r="B46" s="5"/>
      <c r="C46" s="280"/>
      <c r="D46" s="28" t="s">
        <v>153</v>
      </c>
      <c r="E46" s="35" t="s">
        <v>188</v>
      </c>
      <c r="F46" s="9"/>
      <c r="G46" s="68" t="s">
        <v>58</v>
      </c>
      <c r="H46" s="72">
        <v>1.2275000000000001E-3</v>
      </c>
      <c r="I46" s="10"/>
      <c r="J46" s="55"/>
    </row>
    <row r="47" spans="2:10" x14ac:dyDescent="0.25">
      <c r="B47" s="5"/>
      <c r="C47" s="280"/>
      <c r="D47" s="28" t="s">
        <v>154</v>
      </c>
      <c r="E47" s="35" t="s">
        <v>104</v>
      </c>
      <c r="F47" s="9"/>
      <c r="G47" s="68" t="s">
        <v>60</v>
      </c>
      <c r="H47" s="72">
        <v>1.1675000000000001E-3</v>
      </c>
      <c r="I47" s="10"/>
      <c r="J47" s="55"/>
    </row>
    <row r="48" spans="2:10" x14ac:dyDescent="0.25">
      <c r="B48" s="5"/>
      <c r="C48" s="280"/>
      <c r="D48" s="28" t="s">
        <v>155</v>
      </c>
      <c r="E48" s="35" t="s">
        <v>148</v>
      </c>
      <c r="F48" s="9"/>
      <c r="G48" s="68" t="s">
        <v>61</v>
      </c>
      <c r="H48" s="72">
        <v>1.1025E-3</v>
      </c>
      <c r="I48" s="10"/>
      <c r="J48" s="55"/>
    </row>
    <row r="49" spans="2:10" x14ac:dyDescent="0.25">
      <c r="B49" s="5"/>
      <c r="C49" s="280"/>
      <c r="D49" s="28" t="s">
        <v>156</v>
      </c>
      <c r="E49" s="35" t="s">
        <v>2</v>
      </c>
      <c r="F49" s="9"/>
      <c r="G49" s="68" t="s">
        <v>62</v>
      </c>
      <c r="H49" s="72">
        <v>1.0425E-3</v>
      </c>
      <c r="I49" s="10"/>
      <c r="J49" s="55"/>
    </row>
    <row r="50" spans="2:10" x14ac:dyDescent="0.25">
      <c r="B50" s="5"/>
      <c r="C50" s="280"/>
      <c r="D50" s="28" t="s">
        <v>157</v>
      </c>
      <c r="E50" s="35" t="s">
        <v>100</v>
      </c>
      <c r="F50" s="9"/>
      <c r="G50" s="68" t="s">
        <v>63</v>
      </c>
      <c r="H50" s="72">
        <v>9.9250000000000011E-4</v>
      </c>
      <c r="I50" s="10"/>
      <c r="J50" s="55"/>
    </row>
    <row r="51" spans="2:10" x14ac:dyDescent="0.25">
      <c r="B51" s="5"/>
      <c r="C51" s="280"/>
      <c r="D51" s="28" t="s">
        <v>158</v>
      </c>
      <c r="E51" s="35" t="s">
        <v>2</v>
      </c>
      <c r="F51" s="9"/>
      <c r="G51" s="68" t="s">
        <v>64</v>
      </c>
      <c r="H51" s="72">
        <v>8.6249999999999999E-4</v>
      </c>
      <c r="I51" s="10"/>
      <c r="J51" s="55"/>
    </row>
    <row r="52" spans="2:10" x14ac:dyDescent="0.25">
      <c r="B52" s="5"/>
      <c r="C52" s="280"/>
      <c r="D52" s="28" t="s">
        <v>159</v>
      </c>
      <c r="E52" s="35" t="s">
        <v>123</v>
      </c>
      <c r="F52" s="9"/>
      <c r="G52" s="68" t="s">
        <v>65</v>
      </c>
      <c r="H52" s="72">
        <v>6.8749999999999996E-4</v>
      </c>
      <c r="I52" s="10"/>
      <c r="J52" s="55"/>
    </row>
    <row r="53" spans="2:10" x14ac:dyDescent="0.25">
      <c r="B53" s="5"/>
      <c r="C53" s="281"/>
      <c r="D53" s="110" t="s">
        <v>160</v>
      </c>
      <c r="E53" s="64" t="s">
        <v>22</v>
      </c>
      <c r="F53" s="9"/>
      <c r="G53" s="68" t="s">
        <v>66</v>
      </c>
      <c r="H53" s="72">
        <v>5.8250000000000001E-4</v>
      </c>
      <c r="I53" s="10"/>
      <c r="J53" s="55"/>
    </row>
    <row r="54" spans="2:10" x14ac:dyDescent="0.25">
      <c r="B54" s="5"/>
      <c r="C54" s="282" t="s">
        <v>191</v>
      </c>
      <c r="D54" s="108" t="s">
        <v>161</v>
      </c>
      <c r="E54" s="109" t="s">
        <v>2</v>
      </c>
      <c r="F54" s="9"/>
      <c r="G54" s="68" t="s">
        <v>67</v>
      </c>
      <c r="H54" s="72">
        <v>5.1250000000000004E-4</v>
      </c>
      <c r="I54" s="10"/>
      <c r="J54" s="55"/>
    </row>
    <row r="55" spans="2:10" x14ac:dyDescent="0.25">
      <c r="B55" s="5"/>
      <c r="C55" s="283"/>
      <c r="D55" s="28" t="s">
        <v>162</v>
      </c>
      <c r="E55" s="35" t="s">
        <v>148</v>
      </c>
      <c r="F55" s="9"/>
      <c r="G55" s="68"/>
      <c r="H55" s="72"/>
      <c r="I55" s="10"/>
      <c r="J55" s="55"/>
    </row>
    <row r="56" spans="2:10" x14ac:dyDescent="0.25">
      <c r="B56" s="5"/>
      <c r="C56" s="283"/>
      <c r="D56" s="28" t="s">
        <v>163</v>
      </c>
      <c r="E56" s="64" t="s">
        <v>28</v>
      </c>
      <c r="F56" s="9"/>
      <c r="G56" s="68"/>
      <c r="H56" s="72"/>
      <c r="I56" s="10"/>
      <c r="J56" s="55"/>
    </row>
    <row r="57" spans="2:10" x14ac:dyDescent="0.25">
      <c r="B57" s="5"/>
      <c r="C57" s="283"/>
      <c r="D57" s="28" t="s">
        <v>164</v>
      </c>
      <c r="E57" s="64" t="s">
        <v>22</v>
      </c>
      <c r="F57" s="9"/>
      <c r="G57" s="68"/>
      <c r="H57" s="72"/>
      <c r="I57" s="10"/>
      <c r="J57" s="55"/>
    </row>
    <row r="58" spans="2:10" x14ac:dyDescent="0.25">
      <c r="B58" s="5"/>
      <c r="C58" s="283"/>
      <c r="D58" s="28" t="s">
        <v>165</v>
      </c>
      <c r="E58" s="35" t="s">
        <v>123</v>
      </c>
      <c r="F58" s="9"/>
      <c r="G58" s="68"/>
      <c r="H58" s="72"/>
      <c r="I58" s="10"/>
      <c r="J58" s="55"/>
    </row>
    <row r="59" spans="2:10" x14ac:dyDescent="0.25">
      <c r="B59" s="5"/>
      <c r="C59" s="283"/>
      <c r="D59" s="28" t="s">
        <v>166</v>
      </c>
      <c r="E59" s="35" t="s">
        <v>9</v>
      </c>
      <c r="F59" s="9"/>
      <c r="G59" s="68"/>
      <c r="H59" s="72"/>
      <c r="I59" s="10"/>
      <c r="J59" s="55"/>
    </row>
    <row r="60" spans="2:10" x14ac:dyDescent="0.25">
      <c r="B60" s="5"/>
      <c r="C60" s="283"/>
      <c r="D60" s="28" t="s">
        <v>167</v>
      </c>
      <c r="E60" s="35" t="s">
        <v>90</v>
      </c>
      <c r="F60" s="9"/>
      <c r="G60" s="68"/>
      <c r="H60" s="72"/>
      <c r="I60" s="10"/>
      <c r="J60" s="55"/>
    </row>
    <row r="61" spans="2:10" x14ac:dyDescent="0.25">
      <c r="B61" s="5"/>
      <c r="C61" s="283"/>
      <c r="D61" s="28" t="s">
        <v>168</v>
      </c>
      <c r="E61" s="35" t="s">
        <v>169</v>
      </c>
      <c r="F61" s="9"/>
      <c r="G61" s="68"/>
      <c r="H61" s="72"/>
      <c r="I61" s="10"/>
      <c r="J61" s="55"/>
    </row>
    <row r="62" spans="2:10" x14ac:dyDescent="0.25">
      <c r="B62" s="5"/>
      <c r="C62" s="283"/>
      <c r="D62" s="28" t="s">
        <v>170</v>
      </c>
      <c r="E62" s="35" t="s">
        <v>148</v>
      </c>
      <c r="F62" s="9"/>
      <c r="G62" s="68"/>
      <c r="H62" s="72"/>
      <c r="I62" s="10"/>
      <c r="J62" s="55"/>
    </row>
    <row r="63" spans="2:10" x14ac:dyDescent="0.25">
      <c r="B63" s="5"/>
      <c r="C63" s="283"/>
      <c r="D63" s="28" t="s">
        <v>171</v>
      </c>
      <c r="E63" s="35" t="s">
        <v>2</v>
      </c>
      <c r="F63" s="9"/>
      <c r="G63" s="68"/>
      <c r="H63" s="72"/>
      <c r="I63" s="10"/>
      <c r="J63" s="55"/>
    </row>
    <row r="64" spans="2:10" x14ac:dyDescent="0.25">
      <c r="B64" s="5"/>
      <c r="C64" s="283"/>
      <c r="D64" s="28" t="s">
        <v>172</v>
      </c>
      <c r="E64" s="35" t="s">
        <v>100</v>
      </c>
      <c r="F64" s="9"/>
      <c r="G64" s="68"/>
      <c r="H64" s="72"/>
      <c r="I64" s="10"/>
      <c r="J64" s="55"/>
    </row>
    <row r="65" spans="2:10" x14ac:dyDescent="0.25">
      <c r="B65" s="5"/>
      <c r="C65" s="283"/>
      <c r="D65" s="28" t="s">
        <v>173</v>
      </c>
      <c r="E65" s="35" t="s">
        <v>2</v>
      </c>
      <c r="F65" s="9"/>
      <c r="G65" s="68"/>
      <c r="H65" s="72"/>
      <c r="I65" s="10"/>
      <c r="J65" s="55"/>
    </row>
    <row r="66" spans="2:10" x14ac:dyDescent="0.25">
      <c r="B66" s="5"/>
      <c r="C66" s="283"/>
      <c r="D66" s="28" t="s">
        <v>174</v>
      </c>
      <c r="E66" s="35" t="s">
        <v>123</v>
      </c>
      <c r="F66" s="9"/>
      <c r="G66" s="68"/>
      <c r="H66" s="72"/>
      <c r="I66" s="10"/>
      <c r="J66" s="55"/>
    </row>
    <row r="67" spans="2:10" x14ac:dyDescent="0.25">
      <c r="B67" s="5"/>
      <c r="C67" s="284"/>
      <c r="D67" s="110" t="s">
        <v>175</v>
      </c>
      <c r="E67" s="64" t="s">
        <v>22</v>
      </c>
      <c r="F67" s="9"/>
      <c r="G67" s="68"/>
      <c r="H67" s="72"/>
      <c r="I67" s="10"/>
      <c r="J67" s="55"/>
    </row>
    <row r="68" spans="2:10" x14ac:dyDescent="0.25">
      <c r="B68" s="5"/>
      <c r="C68" s="285" t="str">
        <f>"Solving For :"&amp;CHAR(32)&amp;$E$68</f>
        <v>Solving For : Leg2Forecast</v>
      </c>
      <c r="D68" s="113" t="s">
        <v>176</v>
      </c>
      <c r="E68" s="112" t="s">
        <v>177</v>
      </c>
      <c r="F68" s="9"/>
      <c r="G68" s="68"/>
      <c r="H68" s="72"/>
      <c r="I68" s="10"/>
      <c r="J68" s="55"/>
    </row>
    <row r="69" spans="2:10" x14ac:dyDescent="0.25">
      <c r="B69" s="5"/>
      <c r="C69" s="286"/>
      <c r="D69" s="28" t="s">
        <v>134</v>
      </c>
      <c r="E69" s="35" t="b">
        <v>1</v>
      </c>
      <c r="F69" s="9"/>
      <c r="G69" s="68"/>
      <c r="H69" s="72"/>
      <c r="I69" s="10"/>
      <c r="J69" s="55"/>
    </row>
    <row r="70" spans="2:10" x14ac:dyDescent="0.25">
      <c r="B70" s="5"/>
      <c r="C70" s="286"/>
      <c r="D70" s="28" t="s">
        <v>178</v>
      </c>
      <c r="E70" s="107" t="s">
        <v>84</v>
      </c>
      <c r="F70" s="9"/>
      <c r="G70" s="68"/>
      <c r="H70" s="72"/>
      <c r="I70" s="10"/>
      <c r="J70" s="55"/>
    </row>
    <row r="71" spans="2:10" x14ac:dyDescent="0.25">
      <c r="B71" s="5"/>
      <c r="C71" s="286"/>
      <c r="D71" s="28" t="s">
        <v>179</v>
      </c>
      <c r="E71" s="35" t="b">
        <v>1</v>
      </c>
      <c r="F71" s="9"/>
      <c r="G71" s="68"/>
      <c r="H71" s="72"/>
      <c r="I71" s="10"/>
      <c r="J71" s="55"/>
    </row>
    <row r="72" spans="2:10" x14ac:dyDescent="0.25">
      <c r="B72" s="5"/>
      <c r="C72" s="286"/>
      <c r="D72" s="28" t="s">
        <v>180</v>
      </c>
      <c r="E72" s="35" t="b">
        <v>1</v>
      </c>
      <c r="F72" s="9"/>
      <c r="G72" s="68"/>
      <c r="H72" s="72"/>
      <c r="I72" s="10"/>
      <c r="J72" s="55"/>
    </row>
    <row r="73" spans="2:10" x14ac:dyDescent="0.25">
      <c r="B73" s="5"/>
      <c r="C73" s="286"/>
      <c r="D73" s="28" t="s">
        <v>181</v>
      </c>
      <c r="E73" s="35" t="s">
        <v>169</v>
      </c>
      <c r="F73" s="9"/>
      <c r="G73" s="68"/>
      <c r="H73" s="72"/>
      <c r="I73" s="10"/>
      <c r="J73" s="55"/>
    </row>
    <row r="74" spans="2:10" x14ac:dyDescent="0.25">
      <c r="B74" s="5"/>
      <c r="C74" s="286"/>
      <c r="D74" s="28" t="s">
        <v>182</v>
      </c>
      <c r="E74" s="35" t="b">
        <v>0</v>
      </c>
      <c r="F74" s="9"/>
      <c r="G74" s="68"/>
      <c r="H74" s="72"/>
      <c r="I74" s="10"/>
      <c r="J74" s="55"/>
    </row>
    <row r="75" spans="2:10" x14ac:dyDescent="0.25">
      <c r="B75" s="5"/>
      <c r="C75" s="286"/>
      <c r="D75" s="28" t="s">
        <v>135</v>
      </c>
      <c r="E75" s="38">
        <v>1.0000000000000001E-9</v>
      </c>
      <c r="F75" s="9"/>
      <c r="G75" s="68"/>
      <c r="H75" s="72"/>
      <c r="I75" s="10"/>
      <c r="J75" s="55"/>
    </row>
    <row r="76" spans="2:10" x14ac:dyDescent="0.25">
      <c r="B76" s="5"/>
      <c r="C76" s="286"/>
      <c r="D76" s="28" t="s">
        <v>136</v>
      </c>
      <c r="E76" s="102">
        <v>1000</v>
      </c>
      <c r="F76" s="9"/>
      <c r="G76" s="68"/>
      <c r="H76" s="72"/>
      <c r="I76" s="10"/>
      <c r="J76" s="55"/>
    </row>
    <row r="77" spans="2:10" x14ac:dyDescent="0.25">
      <c r="B77" s="5"/>
      <c r="C77" s="286"/>
      <c r="D77" s="28"/>
      <c r="E77" s="35"/>
      <c r="F77" s="9"/>
      <c r="G77" s="68"/>
      <c r="H77" s="72"/>
      <c r="I77" s="10"/>
      <c r="J77" s="55"/>
    </row>
    <row r="78" spans="2:10" x14ac:dyDescent="0.25">
      <c r="B78" s="5"/>
      <c r="C78" s="286"/>
      <c r="D78" s="28"/>
      <c r="E78" s="35"/>
      <c r="F78" s="9"/>
      <c r="G78" s="68"/>
      <c r="H78" s="72"/>
      <c r="I78" s="10"/>
      <c r="J78" s="55"/>
    </row>
    <row r="79" spans="2:10" x14ac:dyDescent="0.25">
      <c r="B79" s="5"/>
      <c r="C79" s="286"/>
      <c r="D79" s="28"/>
      <c r="E79" s="35"/>
      <c r="F79" s="9"/>
      <c r="G79" s="68"/>
      <c r="H79" s="72"/>
      <c r="I79" s="10"/>
      <c r="J79" s="55"/>
    </row>
    <row r="80" spans="2:10" x14ac:dyDescent="0.25">
      <c r="B80" s="5"/>
      <c r="C80" s="287"/>
      <c r="D80" s="33"/>
      <c r="E80" s="40"/>
      <c r="F80" s="9"/>
      <c r="G80" s="69"/>
      <c r="H80" s="73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4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24">
      <formula1>"TRUE,FALSE"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B2:H42"/>
  <sheetViews>
    <sheetView showGridLines="0" workbookViewId="0"/>
  </sheetViews>
  <sheetFormatPr defaultRowHeight="15" x14ac:dyDescent="0.25"/>
  <cols>
    <col min="2" max="2" width="31.5703125" customWidth="1"/>
    <col min="3" max="4" width="25.7109375" customWidth="1"/>
    <col min="5" max="5" width="9.140625" customWidth="1"/>
    <col min="6" max="8" width="15.7109375" customWidth="1"/>
  </cols>
  <sheetData>
    <row r="2" spans="2:8" ht="18.75" x14ac:dyDescent="0.3">
      <c r="B2" s="129" t="s">
        <v>230</v>
      </c>
      <c r="F2" s="126"/>
    </row>
    <row r="3" spans="2:8" x14ac:dyDescent="0.25">
      <c r="F3" s="121"/>
    </row>
    <row r="4" spans="2:8" x14ac:dyDescent="0.25">
      <c r="B4" t="s">
        <v>249</v>
      </c>
      <c r="F4" s="121"/>
    </row>
    <row r="5" spans="2:8" x14ac:dyDescent="0.25">
      <c r="B5" s="127" t="s">
        <v>216</v>
      </c>
      <c r="C5" s="145" t="s">
        <v>277</v>
      </c>
      <c r="D5" s="159"/>
      <c r="F5" s="121"/>
    </row>
    <row r="6" spans="2:8" x14ac:dyDescent="0.25">
      <c r="B6" s="128" t="s">
        <v>217</v>
      </c>
      <c r="C6" s="174" t="str">
        <f ca="1">_xll.meLWOSwapCreate(C5,B14:D42,FALSE)</f>
        <v>TENOR_BASIS_SWAP:2</v>
      </c>
      <c r="D6" s="254" t="s">
        <v>274</v>
      </c>
      <c r="F6" s="121"/>
    </row>
    <row r="8" spans="2:8" x14ac:dyDescent="0.25">
      <c r="B8" t="s">
        <v>250</v>
      </c>
      <c r="F8" s="161"/>
    </row>
    <row r="9" spans="2:8" x14ac:dyDescent="0.25">
      <c r="B9" s="127" t="s">
        <v>279</v>
      </c>
      <c r="C9" s="288" t="s">
        <v>80</v>
      </c>
      <c r="F9" s="161"/>
    </row>
    <row r="10" spans="2:8" x14ac:dyDescent="0.25">
      <c r="B10" s="289" t="s">
        <v>271</v>
      </c>
      <c r="C10" s="290">
        <f ca="1">_xll.meLWOSwapPV(C6,C9)</f>
        <v>6815.4670112718213</v>
      </c>
      <c r="D10" s="254" t="s">
        <v>272</v>
      </c>
      <c r="F10" s="156" t="s">
        <v>278</v>
      </c>
      <c r="G10" s="150"/>
    </row>
    <row r="11" spans="2:8" x14ac:dyDescent="0.25">
      <c r="B11" s="128" t="s">
        <v>270</v>
      </c>
      <c r="C11" s="173">
        <f ca="1">_xll.meLWOSwapTenorBasisSpread(C6,C9)</f>
        <v>13.325000823297579</v>
      </c>
      <c r="D11" s="254" t="s">
        <v>273</v>
      </c>
      <c r="F11" s="172">
        <f ca="1">$C$11-VLOOKUP($C$22,$F$15:$H$30,3,FALSE)</f>
        <v>8.2329757944421544E-7</v>
      </c>
    </row>
    <row r="12" spans="2:8" x14ac:dyDescent="0.25">
      <c r="C12" s="158"/>
      <c r="G12" s="135"/>
    </row>
    <row r="13" spans="2:8" x14ac:dyDescent="0.25">
      <c r="B13" t="s">
        <v>251</v>
      </c>
      <c r="F13" s="153" t="s">
        <v>264</v>
      </c>
      <c r="G13" s="135"/>
    </row>
    <row r="14" spans="2:8" x14ac:dyDescent="0.25">
      <c r="B14" s="136" t="s">
        <v>220</v>
      </c>
      <c r="C14" s="252" t="s">
        <v>242</v>
      </c>
      <c r="D14" s="252" t="s">
        <v>221</v>
      </c>
      <c r="F14" s="154" t="s">
        <v>11</v>
      </c>
      <c r="G14" s="154" t="s">
        <v>12</v>
      </c>
      <c r="H14" s="151" t="s">
        <v>248</v>
      </c>
    </row>
    <row r="15" spans="2:8" x14ac:dyDescent="0.25">
      <c r="B15" s="137" t="s">
        <v>16</v>
      </c>
      <c r="C15" s="133" t="s">
        <v>17</v>
      </c>
      <c r="D15" s="133" t="s">
        <v>17</v>
      </c>
      <c r="F15" s="163" t="str">
        <f ca="1">'EUR BASIS 3ML'!G39</f>
        <v>1Y</v>
      </c>
      <c r="G15" s="164">
        <f ca="1">'EUR BASIS 3ML'!H39</f>
        <v>1.1300000000000001E-3</v>
      </c>
      <c r="H15" s="165">
        <f t="shared" ref="H15:H30" ca="1" si="0">G15*10000</f>
        <v>11.3</v>
      </c>
    </row>
    <row r="16" spans="2:8" x14ac:dyDescent="0.25">
      <c r="B16" s="137" t="s">
        <v>228</v>
      </c>
      <c r="C16" s="148" t="s">
        <v>253</v>
      </c>
      <c r="D16" s="148" t="s">
        <v>229</v>
      </c>
      <c r="F16" s="170" t="str">
        <f ca="1">'EUR BASIS 3ML'!G40</f>
        <v>2Y</v>
      </c>
      <c r="G16" s="166">
        <f ca="1">'EUR BASIS 3ML'!H40</f>
        <v>1.1925E-3</v>
      </c>
      <c r="H16" s="167">
        <f t="shared" ca="1" si="0"/>
        <v>11.925000000000001</v>
      </c>
    </row>
    <row r="17" spans="2:8" x14ac:dyDescent="0.25">
      <c r="B17" s="137" t="s">
        <v>193</v>
      </c>
      <c r="C17" s="149">
        <v>1000000</v>
      </c>
      <c r="D17" s="149">
        <v>1000000</v>
      </c>
      <c r="F17" s="170" t="str">
        <f ca="1">'EUR BASIS 3ML'!G41</f>
        <v>3Y</v>
      </c>
      <c r="G17" s="166">
        <f ca="1">'EUR BASIS 3ML'!H41</f>
        <v>1.2425000000000001E-3</v>
      </c>
      <c r="H17" s="167">
        <f t="shared" ca="1" si="0"/>
        <v>12.425000000000001</v>
      </c>
    </row>
    <row r="18" spans="2:8" x14ac:dyDescent="0.25">
      <c r="B18" s="137" t="s">
        <v>218</v>
      </c>
      <c r="C18" s="138" t="s">
        <v>219</v>
      </c>
      <c r="D18" s="138" t="s">
        <v>219</v>
      </c>
      <c r="F18" s="170" t="str">
        <f ca="1">'EUR BASIS 3ML'!G42</f>
        <v>4Y</v>
      </c>
      <c r="G18" s="166">
        <f ca="1">'EUR BASIS 3ML'!H42</f>
        <v>1.2975E-3</v>
      </c>
      <c r="H18" s="167">
        <f t="shared" ca="1" si="0"/>
        <v>12.975</v>
      </c>
    </row>
    <row r="19" spans="2:8" x14ac:dyDescent="0.25">
      <c r="B19" s="137" t="s">
        <v>215</v>
      </c>
      <c r="C19" s="143">
        <v>1</v>
      </c>
      <c r="D19" s="143">
        <v>1</v>
      </c>
      <c r="F19" s="170" t="str">
        <f ca="1">'EUR BASIS 3ML'!G43</f>
        <v>5Y</v>
      </c>
      <c r="G19" s="166">
        <f ca="1">'EUR BASIS 3ML'!H43</f>
        <v>1.3324999999999999E-3</v>
      </c>
      <c r="H19" s="167">
        <f t="shared" ca="1" si="0"/>
        <v>13.324999999999999</v>
      </c>
    </row>
    <row r="20" spans="2:8" x14ac:dyDescent="0.25">
      <c r="B20" s="137" t="s">
        <v>245</v>
      </c>
      <c r="C20" s="141" t="s">
        <v>196</v>
      </c>
      <c r="D20" s="141" t="s">
        <v>196</v>
      </c>
      <c r="F20" s="170" t="str">
        <f ca="1">'EUR BASIS 3ML'!G44</f>
        <v>6Y</v>
      </c>
      <c r="G20" s="166">
        <f ca="1">'EUR BASIS 3ML'!H44</f>
        <v>1.3074999999999999E-3</v>
      </c>
      <c r="H20" s="167">
        <f t="shared" ca="1" si="0"/>
        <v>13.074999999999999</v>
      </c>
    </row>
    <row r="21" spans="2:8" x14ac:dyDescent="0.25">
      <c r="B21" s="137" t="s">
        <v>201</v>
      </c>
      <c r="C21" s="144">
        <f ca="1">_xll.meDateFromTenor(COB,C20,C34,C35)</f>
        <v>42423</v>
      </c>
      <c r="D21" s="144">
        <f ca="1">_xll.meDateFromTenor(COB,D20,D34,D35)</f>
        <v>42423</v>
      </c>
      <c r="F21" s="170" t="str">
        <f ca="1">'EUR BASIS 3ML'!G45</f>
        <v>7Y</v>
      </c>
      <c r="G21" s="166">
        <f ca="1">'EUR BASIS 3ML'!H45</f>
        <v>1.2725E-3</v>
      </c>
      <c r="H21" s="167">
        <f t="shared" ca="1" si="0"/>
        <v>12.725</v>
      </c>
    </row>
    <row r="22" spans="2:8" x14ac:dyDescent="0.25">
      <c r="B22" s="137" t="s">
        <v>200</v>
      </c>
      <c r="C22" s="148" t="s">
        <v>52</v>
      </c>
      <c r="D22" s="148" t="s">
        <v>52</v>
      </c>
      <c r="F22" s="170" t="str">
        <f ca="1">'EUR BASIS 3ML'!G46</f>
        <v>8Y</v>
      </c>
      <c r="G22" s="166">
        <f ca="1">'EUR BASIS 3ML'!H46</f>
        <v>1.2275000000000001E-3</v>
      </c>
      <c r="H22" s="167">
        <f t="shared" ca="1" si="0"/>
        <v>12.275</v>
      </c>
    </row>
    <row r="23" spans="2:8" x14ac:dyDescent="0.25">
      <c r="B23" s="137" t="s">
        <v>27</v>
      </c>
      <c r="C23" s="147" t="s">
        <v>247</v>
      </c>
      <c r="D23" s="147" t="s">
        <v>243</v>
      </c>
      <c r="F23" s="170" t="str">
        <f ca="1">'EUR BASIS 3ML'!G47</f>
        <v>9Y</v>
      </c>
      <c r="G23" s="166">
        <f ca="1">'EUR BASIS 3ML'!H47</f>
        <v>1.1675000000000001E-3</v>
      </c>
      <c r="H23" s="167">
        <f t="shared" ca="1" si="0"/>
        <v>11.675000000000001</v>
      </c>
    </row>
    <row r="24" spans="2:8" x14ac:dyDescent="0.25">
      <c r="B24" s="137" t="s">
        <v>204</v>
      </c>
      <c r="C24" s="152">
        <v>0</v>
      </c>
      <c r="D24" s="152">
        <v>0</v>
      </c>
      <c r="F24" s="170" t="str">
        <f ca="1">'EUR BASIS 3ML'!G48</f>
        <v>10Y</v>
      </c>
      <c r="G24" s="166">
        <f ca="1">'EUR BASIS 3ML'!H48</f>
        <v>1.1025E-3</v>
      </c>
      <c r="H24" s="167">
        <f t="shared" ca="1" si="0"/>
        <v>11.025</v>
      </c>
    </row>
    <row r="25" spans="2:8" x14ac:dyDescent="0.25">
      <c r="B25" s="137" t="s">
        <v>88</v>
      </c>
      <c r="C25" s="139" t="s">
        <v>80</v>
      </c>
      <c r="D25" s="132" t="s">
        <v>80</v>
      </c>
      <c r="F25" s="170" t="str">
        <f ca="1">'EUR BASIS 3ML'!G49</f>
        <v>11Y</v>
      </c>
      <c r="G25" s="166">
        <f ca="1">'EUR BASIS 3ML'!H49</f>
        <v>1.0425E-3</v>
      </c>
      <c r="H25" s="167">
        <f t="shared" ca="1" si="0"/>
        <v>10.425000000000001</v>
      </c>
    </row>
    <row r="26" spans="2:8" x14ac:dyDescent="0.25">
      <c r="B26" s="137" t="s">
        <v>202</v>
      </c>
      <c r="C26" s="146" t="s">
        <v>246</v>
      </c>
      <c r="D26" s="146" t="s">
        <v>188</v>
      </c>
      <c r="F26" s="170" t="str">
        <f ca="1">'EUR BASIS 3ML'!G50</f>
        <v>12Y</v>
      </c>
      <c r="G26" s="166">
        <f ca="1">'EUR BASIS 3ML'!H50</f>
        <v>9.9250000000000011E-4</v>
      </c>
      <c r="H26" s="167">
        <f t="shared" ca="1" si="0"/>
        <v>9.9250000000000007</v>
      </c>
    </row>
    <row r="27" spans="2:8" x14ac:dyDescent="0.25">
      <c r="B27" s="137" t="s">
        <v>203</v>
      </c>
      <c r="C27" s="133" t="s">
        <v>252</v>
      </c>
      <c r="D27" s="133" t="s">
        <v>252</v>
      </c>
      <c r="F27" s="170" t="str">
        <f ca="1">'EUR BASIS 3ML'!G51</f>
        <v>15Y</v>
      </c>
      <c r="G27" s="166">
        <f ca="1">'EUR BASIS 3ML'!H51</f>
        <v>8.6249999999999999E-4</v>
      </c>
      <c r="H27" s="167">
        <f t="shared" ca="1" si="0"/>
        <v>8.625</v>
      </c>
    </row>
    <row r="28" spans="2:8" x14ac:dyDescent="0.25">
      <c r="B28" s="137" t="s">
        <v>18</v>
      </c>
      <c r="C28" s="141" t="s">
        <v>6</v>
      </c>
      <c r="D28" s="141" t="s">
        <v>6</v>
      </c>
      <c r="F28" s="170" t="str">
        <f ca="1">'EUR BASIS 3ML'!G52</f>
        <v>20Y</v>
      </c>
      <c r="G28" s="166">
        <f ca="1">'EUR BASIS 3ML'!H52</f>
        <v>6.8749999999999996E-4</v>
      </c>
      <c r="H28" s="167">
        <f t="shared" ca="1" si="0"/>
        <v>6.875</v>
      </c>
    </row>
    <row r="29" spans="2:8" x14ac:dyDescent="0.25">
      <c r="B29" s="137" t="s">
        <v>211</v>
      </c>
      <c r="C29" s="132" t="s">
        <v>22</v>
      </c>
      <c r="D29" s="132" t="s">
        <v>22</v>
      </c>
      <c r="F29" s="170" t="str">
        <f ca="1">'EUR BASIS 3ML'!G53</f>
        <v>25Y</v>
      </c>
      <c r="G29" s="166">
        <f ca="1">'EUR BASIS 3ML'!H53</f>
        <v>5.8250000000000001E-4</v>
      </c>
      <c r="H29" s="167">
        <f t="shared" ca="1" si="0"/>
        <v>5.8250000000000002</v>
      </c>
    </row>
    <row r="30" spans="2:8" x14ac:dyDescent="0.25">
      <c r="B30" s="137" t="s">
        <v>212</v>
      </c>
      <c r="C30" s="132" t="s">
        <v>2</v>
      </c>
      <c r="D30" s="132" t="s">
        <v>2</v>
      </c>
      <c r="F30" s="171" t="str">
        <f ca="1">'EUR BASIS 3ML'!G54</f>
        <v>30Y</v>
      </c>
      <c r="G30" s="168">
        <f ca="1">'EUR BASIS 3ML'!H54</f>
        <v>5.1250000000000004E-4</v>
      </c>
      <c r="H30" s="169">
        <f t="shared" ca="1" si="0"/>
        <v>5.125</v>
      </c>
    </row>
    <row r="31" spans="2:8" x14ac:dyDescent="0.25">
      <c r="B31" s="137" t="s">
        <v>233</v>
      </c>
      <c r="C31" s="132" t="s">
        <v>22</v>
      </c>
      <c r="D31" s="132" t="s">
        <v>22</v>
      </c>
    </row>
    <row r="32" spans="2:8" x14ac:dyDescent="0.25">
      <c r="B32" s="137" t="s">
        <v>234</v>
      </c>
      <c r="C32" s="132" t="s">
        <v>2</v>
      </c>
      <c r="D32" s="132" t="s">
        <v>2</v>
      </c>
    </row>
    <row r="33" spans="2:4" x14ac:dyDescent="0.25">
      <c r="B33" s="137" t="s">
        <v>239</v>
      </c>
      <c r="C33" s="141" t="s">
        <v>194</v>
      </c>
      <c r="D33" s="141" t="s">
        <v>194</v>
      </c>
    </row>
    <row r="34" spans="2:4" x14ac:dyDescent="0.25">
      <c r="B34" s="137" t="s">
        <v>235</v>
      </c>
      <c r="C34" s="132" t="s">
        <v>22</v>
      </c>
      <c r="D34" s="132" t="s">
        <v>22</v>
      </c>
    </row>
    <row r="35" spans="2:4" x14ac:dyDescent="0.25">
      <c r="B35" s="137" t="s">
        <v>236</v>
      </c>
      <c r="C35" s="132" t="s">
        <v>2</v>
      </c>
      <c r="D35" s="132" t="s">
        <v>2</v>
      </c>
    </row>
    <row r="36" spans="2:4" x14ac:dyDescent="0.25">
      <c r="B36" s="137" t="s">
        <v>240</v>
      </c>
      <c r="C36" s="141" t="s">
        <v>194</v>
      </c>
      <c r="D36" s="141" t="s">
        <v>194</v>
      </c>
    </row>
    <row r="37" spans="2:4" x14ac:dyDescent="0.25">
      <c r="B37" s="137" t="s">
        <v>213</v>
      </c>
      <c r="C37" s="132">
        <v>23</v>
      </c>
      <c r="D37" s="132">
        <v>23</v>
      </c>
    </row>
    <row r="38" spans="2:4" x14ac:dyDescent="0.25">
      <c r="B38" s="137" t="s">
        <v>237</v>
      </c>
      <c r="C38" s="140"/>
      <c r="D38" s="140"/>
    </row>
    <row r="39" spans="2:4" x14ac:dyDescent="0.25">
      <c r="B39" s="137" t="s">
        <v>238</v>
      </c>
      <c r="C39" s="140"/>
      <c r="D39" s="140"/>
    </row>
    <row r="40" spans="2:4" x14ac:dyDescent="0.25">
      <c r="B40" s="137" t="s">
        <v>231</v>
      </c>
      <c r="C40" s="155"/>
      <c r="D40" s="134"/>
    </row>
    <row r="41" spans="2:4" x14ac:dyDescent="0.25">
      <c r="B41" s="137" t="s">
        <v>232</v>
      </c>
      <c r="C41" s="140"/>
      <c r="D41" s="140"/>
    </row>
    <row r="42" spans="2:4" x14ac:dyDescent="0.25">
      <c r="B42" s="142" t="s">
        <v>241</v>
      </c>
      <c r="C42" s="253" t="s">
        <v>244</v>
      </c>
      <c r="D42" s="253" t="s">
        <v>244</v>
      </c>
    </row>
  </sheetData>
  <dataValidations count="8">
    <dataValidation type="list" allowBlank="1" showInputMessage="1" showErrorMessage="1" sqref="C18:D18">
      <formula1>"NONE,START,END,START_END"</formula1>
    </dataValidation>
    <dataValidation type="list" allowBlank="1" showInputMessage="1" showErrorMessage="1" sqref="C32:D32 C30:D30 C35:D35">
      <formula1>"TGT,NYB:LNB,LNB,TKB:LNB"</formula1>
    </dataValidation>
    <dataValidation type="list" allowBlank="1" showInputMessage="1" showErrorMessage="1" sqref="C28:D28">
      <formula1>"30/360,ACT/360,ACT/365"</formula1>
    </dataValidation>
    <dataValidation type="list" allowBlank="1" showInputMessage="1" showErrorMessage="1" sqref="C34:D34 C29:D29 C31:D31">
      <formula1>"MOD_FOLLOWING,FOLLOWING,MOD_PRECEDING,PRECEDING,NO_CHANGE"</formula1>
    </dataValidation>
    <dataValidation type="list" allowBlank="1" showInputMessage="1" showErrorMessage="1" sqref="C16:D16">
      <formula1>"PAY,RECEIVE"</formula1>
    </dataValidation>
    <dataValidation type="list" allowBlank="1" showInputMessage="1" showErrorMessage="1" sqref="C23:D23">
      <formula1>"ANNUAL,SEMI-ANNUAL,QUARTERLY,MONTHLY"</formula1>
    </dataValidation>
    <dataValidation type="list" allowBlank="1" showInputMessage="1" showErrorMessage="1" sqref="C42:D42">
      <formula1>"NONE,SHORTSTART,SHORTEND,LONGSTART,LONGEND"</formula1>
    </dataValidation>
    <dataValidation type="list" allowBlank="1" showInputMessage="1" showErrorMessage="1" sqref="C37:D37">
      <formula1>"NORMAL,IMM,EOM,1,2,3,4,5,6,7,8,9,10,11,12,13,14,15,16,17,18,19,20,21,22,23,24,25,26,27,28,29,30,31"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B1:CA21"/>
  <sheetViews>
    <sheetView showGridLines="0" tabSelected="1" workbookViewId="0"/>
  </sheetViews>
  <sheetFormatPr defaultRowHeight="15" outlineLevelCol="1" x14ac:dyDescent="0.25"/>
  <cols>
    <col min="1" max="1" width="4.7109375" customWidth="1"/>
    <col min="2" max="2" width="9.28515625" customWidth="1"/>
    <col min="3" max="3" width="13.42578125" customWidth="1"/>
    <col min="4" max="4" width="11.7109375" bestFit="1" customWidth="1"/>
    <col min="5" max="5" width="14.5703125" customWidth="1"/>
    <col min="6" max="7" width="10" customWidth="1"/>
    <col min="8" max="8" width="13.7109375" bestFit="1" customWidth="1"/>
    <col min="9" max="9" width="9" customWidth="1"/>
    <col min="10" max="10" width="11" customWidth="1"/>
    <col min="11" max="11" width="13.7109375" bestFit="1" customWidth="1"/>
    <col min="12" max="12" width="8.7109375" customWidth="1"/>
    <col min="13" max="13" width="9.140625" hidden="1" customWidth="1" outlineLevel="1"/>
    <col min="14" max="14" width="12.7109375" style="157" hidden="1" customWidth="1" outlineLevel="1"/>
    <col min="15" max="15" width="8.85546875" style="157" hidden="1" customWidth="1" outlineLevel="1"/>
    <col min="16" max="19" width="12.7109375" style="157" hidden="1" customWidth="1" outlineLevel="1"/>
    <col min="20" max="20" width="15.140625" style="157" hidden="1" customWidth="1" outlineLevel="1"/>
    <col min="21" max="21" width="14.7109375" style="157" hidden="1" customWidth="1" outlineLevel="1"/>
    <col min="22" max="22" width="11.140625" style="157" hidden="1" customWidth="1" outlineLevel="1"/>
    <col min="23" max="23" width="11.5703125" style="157" hidden="1" customWidth="1" outlineLevel="1"/>
    <col min="24" max="24" width="15.28515625" style="157" hidden="1" customWidth="1" outlineLevel="1"/>
    <col min="25" max="25" width="13.7109375" style="157" hidden="1" customWidth="1" outlineLevel="1"/>
    <col min="26" max="26" width="14" style="157" hidden="1" customWidth="1" outlineLevel="1"/>
    <col min="27" max="27" width="9.28515625" style="157" hidden="1" customWidth="1" outlineLevel="1"/>
    <col min="28" max="28" width="29.42578125" style="157" hidden="1" customWidth="1" outlineLevel="1"/>
    <col min="29" max="29" width="15.42578125" style="157" hidden="1" customWidth="1" outlineLevel="1"/>
    <col min="30" max="30" width="28.28515625" style="157" hidden="1" customWidth="1" outlineLevel="1"/>
    <col min="31" max="31" width="14.28515625" style="157" hidden="1" customWidth="1" outlineLevel="1"/>
    <col min="32" max="32" width="9.140625" style="157" hidden="1" customWidth="1" outlineLevel="1"/>
    <col min="33" max="33" width="31" style="157" hidden="1" customWidth="1" outlineLevel="1"/>
    <col min="34" max="34" width="16.85546875" style="157" hidden="1" customWidth="1" outlineLevel="1"/>
    <col min="35" max="35" width="11.7109375" style="157" hidden="1" customWidth="1" outlineLevel="1"/>
    <col min="36" max="36" width="8.85546875" style="157" hidden="1" customWidth="1" outlineLevel="1"/>
    <col min="37" max="40" width="12.7109375" style="157" hidden="1" customWidth="1" outlineLevel="1"/>
    <col min="41" max="41" width="12.28515625" style="157" hidden="1" customWidth="1" outlineLevel="1"/>
    <col min="42" max="43" width="12.7109375" style="157" hidden="1" customWidth="1" outlineLevel="1"/>
    <col min="44" max="44" width="8.85546875" style="157" hidden="1" customWidth="1" outlineLevel="1"/>
    <col min="45" max="45" width="13.28515625" style="157" hidden="1" customWidth="1" outlineLevel="1"/>
    <col min="46" max="46" width="12.7109375" style="157" hidden="1" customWidth="1" outlineLevel="1"/>
    <col min="47" max="47" width="17.28515625" style="157" hidden="1" customWidth="1" outlineLevel="1"/>
    <col min="48" max="48" width="9" style="157" hidden="1" customWidth="1" outlineLevel="1"/>
    <col min="49" max="49" width="14.85546875" style="157" hidden="1" customWidth="1" outlineLevel="1"/>
    <col min="50" max="50" width="16.28515625" style="157" hidden="1" customWidth="1" outlineLevel="1"/>
    <col min="51" max="51" width="13.7109375" style="157" hidden="1" customWidth="1" outlineLevel="1"/>
    <col min="52" max="52" width="11.5703125" style="157" hidden="1" customWidth="1" outlineLevel="1"/>
    <col min="53" max="53" width="15.28515625" style="157" hidden="1" customWidth="1" outlineLevel="1"/>
    <col min="54" max="54" width="13.7109375" style="157" hidden="1" customWidth="1" outlineLevel="1"/>
    <col min="55" max="55" width="14" style="157" hidden="1" customWidth="1" outlineLevel="1"/>
    <col min="56" max="56" width="9.28515625" style="157" hidden="1" customWidth="1" outlineLevel="1"/>
    <col min="57" max="57" width="29.42578125" style="157" hidden="1" customWidth="1" outlineLevel="1"/>
    <col min="58" max="58" width="15.42578125" style="157" hidden="1" customWidth="1" outlineLevel="1"/>
    <col min="59" max="59" width="28.28515625" style="157" hidden="1" customWidth="1" outlineLevel="1"/>
    <col min="60" max="60" width="14.28515625" style="157" hidden="1" customWidth="1" outlineLevel="1"/>
    <col min="61" max="61" width="12.7109375" style="157" hidden="1" customWidth="1" outlineLevel="1"/>
    <col min="62" max="62" width="31" style="157" hidden="1" customWidth="1" outlineLevel="1"/>
    <col min="63" max="63" width="16.85546875" style="157" hidden="1" customWidth="1" outlineLevel="1"/>
    <col min="64" max="64" width="12.7109375" style="157" hidden="1" customWidth="1" outlineLevel="1"/>
    <col min="65" max="65" width="8.85546875" style="157" hidden="1" customWidth="1" outlineLevel="1"/>
    <col min="66" max="70" width="12.7109375" style="157" hidden="1" customWidth="1" outlineLevel="1"/>
    <col min="71" max="71" width="9.140625" collapsed="1"/>
    <col min="72" max="72" width="14.5703125" customWidth="1"/>
    <col min="73" max="73" width="12.7109375" customWidth="1"/>
    <col min="74" max="74" width="16.85546875" bestFit="1" customWidth="1"/>
    <col min="75" max="75" width="11.42578125" customWidth="1"/>
    <col min="77" max="79" width="12.7109375" customWidth="1"/>
  </cols>
  <sheetData>
    <row r="1" spans="2:79" x14ac:dyDescent="0.25">
      <c r="H1" s="243"/>
      <c r="J1" s="179"/>
      <c r="M1" s="179"/>
      <c r="AP1" s="179"/>
      <c r="BS1" s="179" t="s">
        <v>276</v>
      </c>
    </row>
    <row r="2" spans="2:79" x14ac:dyDescent="0.25">
      <c r="B2" s="126" t="s">
        <v>275</v>
      </c>
      <c r="H2" s="243"/>
    </row>
    <row r="3" spans="2:79" x14ac:dyDescent="0.25">
      <c r="BV3" s="158"/>
    </row>
    <row r="4" spans="2:79" x14ac:dyDescent="0.25">
      <c r="B4" s="240" t="s">
        <v>254</v>
      </c>
      <c r="C4" s="181"/>
      <c r="D4" s="181"/>
      <c r="E4" s="181"/>
      <c r="F4" s="181"/>
      <c r="G4" s="257" t="s">
        <v>256</v>
      </c>
      <c r="H4" s="181"/>
      <c r="I4" s="258"/>
      <c r="J4" s="256" t="s">
        <v>255</v>
      </c>
      <c r="K4" s="181"/>
      <c r="L4" s="182"/>
      <c r="M4" s="183"/>
      <c r="N4" s="180" t="s">
        <v>258</v>
      </c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/>
      <c r="AF4" s="184"/>
      <c r="AG4" s="184"/>
      <c r="AH4" s="184"/>
      <c r="AI4" s="184"/>
      <c r="AJ4" s="184"/>
      <c r="AK4" s="184"/>
      <c r="AL4" s="184"/>
      <c r="AM4" s="184"/>
      <c r="AN4" s="184"/>
      <c r="AO4" s="185"/>
      <c r="AQ4" s="180" t="s">
        <v>257</v>
      </c>
      <c r="AR4" s="184"/>
      <c r="AS4" s="184"/>
      <c r="AT4" s="184"/>
      <c r="AU4" s="184"/>
      <c r="AV4" s="184"/>
      <c r="AW4" s="184"/>
      <c r="AX4" s="184"/>
      <c r="AY4" s="184"/>
      <c r="AZ4" s="184"/>
      <c r="BA4" s="184"/>
      <c r="BB4" s="184"/>
      <c r="BC4" s="184"/>
      <c r="BD4" s="184"/>
      <c r="BE4" s="184"/>
      <c r="BF4" s="184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184"/>
      <c r="BS4" s="160"/>
      <c r="BT4" s="240" t="s">
        <v>263</v>
      </c>
      <c r="BU4" s="3"/>
      <c r="BV4" s="3"/>
      <c r="BW4" s="241" t="s">
        <v>265</v>
      </c>
      <c r="BY4" s="242" t="s">
        <v>264</v>
      </c>
      <c r="BZ4" s="238"/>
      <c r="CA4" s="4"/>
    </row>
    <row r="5" spans="2:79" x14ac:dyDescent="0.25">
      <c r="B5" s="175" t="s">
        <v>16</v>
      </c>
      <c r="C5" s="176" t="s">
        <v>193</v>
      </c>
      <c r="D5" s="176" t="s">
        <v>245</v>
      </c>
      <c r="E5" s="176" t="s">
        <v>201</v>
      </c>
      <c r="F5" s="176" t="s">
        <v>261</v>
      </c>
      <c r="G5" s="259" t="s">
        <v>260</v>
      </c>
      <c r="H5" s="93" t="s">
        <v>27</v>
      </c>
      <c r="I5" s="260" t="s">
        <v>248</v>
      </c>
      <c r="J5" s="93" t="s">
        <v>260</v>
      </c>
      <c r="K5" s="93" t="s">
        <v>27</v>
      </c>
      <c r="L5" s="178" t="s">
        <v>248</v>
      </c>
      <c r="M5" s="183"/>
      <c r="N5" s="186" t="s">
        <v>220</v>
      </c>
      <c r="O5" s="187" t="s">
        <v>16</v>
      </c>
      <c r="P5" s="187" t="s">
        <v>228</v>
      </c>
      <c r="Q5" s="187" t="s">
        <v>193</v>
      </c>
      <c r="R5" s="187" t="s">
        <v>218</v>
      </c>
      <c r="S5" s="187" t="s">
        <v>215</v>
      </c>
      <c r="T5" s="187" t="s">
        <v>201</v>
      </c>
      <c r="U5" s="187" t="s">
        <v>200</v>
      </c>
      <c r="V5" s="187" t="s">
        <v>27</v>
      </c>
      <c r="W5" s="187" t="s">
        <v>204</v>
      </c>
      <c r="X5" s="187" t="s">
        <v>88</v>
      </c>
      <c r="Y5" s="187" t="s">
        <v>202</v>
      </c>
      <c r="Z5" s="187" t="s">
        <v>203</v>
      </c>
      <c r="AA5" s="187" t="s">
        <v>18</v>
      </c>
      <c r="AB5" s="187" t="s">
        <v>211</v>
      </c>
      <c r="AC5" s="187" t="s">
        <v>212</v>
      </c>
      <c r="AD5" s="187" t="s">
        <v>233</v>
      </c>
      <c r="AE5" s="187" t="s">
        <v>234</v>
      </c>
      <c r="AF5" s="187" t="s">
        <v>239</v>
      </c>
      <c r="AG5" s="187" t="s">
        <v>235</v>
      </c>
      <c r="AH5" s="187" t="s">
        <v>236</v>
      </c>
      <c r="AI5" s="187" t="s">
        <v>240</v>
      </c>
      <c r="AJ5" s="187" t="s">
        <v>213</v>
      </c>
      <c r="AK5" s="187" t="s">
        <v>237</v>
      </c>
      <c r="AL5" s="187" t="s">
        <v>238</v>
      </c>
      <c r="AM5" s="187" t="s">
        <v>231</v>
      </c>
      <c r="AN5" s="187" t="s">
        <v>232</v>
      </c>
      <c r="AO5" s="188" t="s">
        <v>241</v>
      </c>
      <c r="AQ5" s="186" t="s">
        <v>220</v>
      </c>
      <c r="AR5" s="187" t="s">
        <v>16</v>
      </c>
      <c r="AS5" s="187" t="s">
        <v>228</v>
      </c>
      <c r="AT5" s="187" t="s">
        <v>193</v>
      </c>
      <c r="AU5" s="187" t="s">
        <v>218</v>
      </c>
      <c r="AV5" s="187" t="s">
        <v>215</v>
      </c>
      <c r="AW5" s="187" t="s">
        <v>201</v>
      </c>
      <c r="AX5" s="187" t="s">
        <v>200</v>
      </c>
      <c r="AY5" s="187" t="s">
        <v>27</v>
      </c>
      <c r="AZ5" s="187" t="s">
        <v>204</v>
      </c>
      <c r="BA5" s="187" t="s">
        <v>88</v>
      </c>
      <c r="BB5" s="187" t="s">
        <v>202</v>
      </c>
      <c r="BC5" s="187" t="s">
        <v>203</v>
      </c>
      <c r="BD5" s="187" t="s">
        <v>18</v>
      </c>
      <c r="BE5" s="187" t="s">
        <v>211</v>
      </c>
      <c r="BF5" s="187" t="s">
        <v>212</v>
      </c>
      <c r="BG5" s="187" t="s">
        <v>233</v>
      </c>
      <c r="BH5" s="187" t="s">
        <v>234</v>
      </c>
      <c r="BI5" s="187" t="s">
        <v>239</v>
      </c>
      <c r="BJ5" s="187" t="s">
        <v>235</v>
      </c>
      <c r="BK5" s="187" t="s">
        <v>236</v>
      </c>
      <c r="BL5" s="187" t="s">
        <v>240</v>
      </c>
      <c r="BM5" s="187" t="s">
        <v>213</v>
      </c>
      <c r="BN5" s="187" t="s">
        <v>237</v>
      </c>
      <c r="BO5" s="187" t="s">
        <v>238</v>
      </c>
      <c r="BP5" s="187" t="s">
        <v>231</v>
      </c>
      <c r="BQ5" s="187" t="s">
        <v>232</v>
      </c>
      <c r="BR5" s="187" t="s">
        <v>241</v>
      </c>
      <c r="BS5" s="160"/>
      <c r="BT5" s="236" t="s">
        <v>217</v>
      </c>
      <c r="BU5" s="93" t="s">
        <v>195</v>
      </c>
      <c r="BV5" s="93" t="s">
        <v>259</v>
      </c>
      <c r="BW5" s="237" t="s">
        <v>262</v>
      </c>
      <c r="BY5" s="239" t="s">
        <v>11</v>
      </c>
      <c r="BZ5" s="58" t="s">
        <v>12</v>
      </c>
      <c r="CA5" s="177" t="s">
        <v>248</v>
      </c>
    </row>
    <row r="6" spans="2:79" x14ac:dyDescent="0.25">
      <c r="B6" s="189" t="s">
        <v>17</v>
      </c>
      <c r="C6" s="192">
        <v>1000000</v>
      </c>
      <c r="D6" s="190" t="s">
        <v>196</v>
      </c>
      <c r="E6" s="267">
        <f ca="1">_xll.meDateFromTenor(COB,$D6,$AG6,$AH6)</f>
        <v>42423</v>
      </c>
      <c r="F6" s="193" t="s">
        <v>183</v>
      </c>
      <c r="G6" s="261" t="s">
        <v>229</v>
      </c>
      <c r="H6" s="191" t="s">
        <v>247</v>
      </c>
      <c r="I6" s="262">
        <v>0</v>
      </c>
      <c r="J6" s="193" t="s">
        <v>253</v>
      </c>
      <c r="K6" s="191" t="s">
        <v>243</v>
      </c>
      <c r="L6" s="203">
        <v>0</v>
      </c>
      <c r="M6" s="183"/>
      <c r="N6" s="196" t="s">
        <v>242</v>
      </c>
      <c r="O6" s="197" t="str">
        <f>$B6</f>
        <v>EUR</v>
      </c>
      <c r="P6" s="198" t="str">
        <f>$G6</f>
        <v>RECEIVE</v>
      </c>
      <c r="Q6" s="199">
        <f>$C6</f>
        <v>1000000</v>
      </c>
      <c r="R6" s="197" t="s">
        <v>219</v>
      </c>
      <c r="S6" s="200">
        <v>1</v>
      </c>
      <c r="T6" s="198">
        <f ca="1">$E6</f>
        <v>42423</v>
      </c>
      <c r="U6" s="198" t="str">
        <f>$F6</f>
        <v>1Y</v>
      </c>
      <c r="V6" s="197" t="str">
        <f>$H6</f>
        <v>QUARTERLY</v>
      </c>
      <c r="W6" s="201">
        <f>$I6</f>
        <v>0</v>
      </c>
      <c r="X6" s="197" t="str">
        <f t="shared" ref="X6:X21" si="0">TenorBasisCurve3M6M.CollectionName</f>
        <v>EURYC</v>
      </c>
      <c r="Y6" s="197" t="str">
        <f>IF($H6="QUARTERLY","EUR3ML","EUR6ML")</f>
        <v>EUR3ML</v>
      </c>
      <c r="Z6" s="197" t="s">
        <v>252</v>
      </c>
      <c r="AA6" s="197" t="s">
        <v>6</v>
      </c>
      <c r="AB6" s="197" t="s">
        <v>22</v>
      </c>
      <c r="AC6" s="197" t="s">
        <v>2</v>
      </c>
      <c r="AD6" s="197" t="s">
        <v>22</v>
      </c>
      <c r="AE6" s="197" t="s">
        <v>2</v>
      </c>
      <c r="AF6" s="197" t="s">
        <v>194</v>
      </c>
      <c r="AG6" s="197" t="s">
        <v>22</v>
      </c>
      <c r="AH6" s="197" t="s">
        <v>2</v>
      </c>
      <c r="AI6" s="197" t="s">
        <v>194</v>
      </c>
      <c r="AJ6" s="197">
        <f ca="1">DAY($E6)</f>
        <v>23</v>
      </c>
      <c r="AK6" s="197"/>
      <c r="AL6" s="197"/>
      <c r="AM6" s="197"/>
      <c r="AN6" s="197"/>
      <c r="AO6" s="202" t="s">
        <v>244</v>
      </c>
      <c r="AQ6" s="196" t="s">
        <v>221</v>
      </c>
      <c r="AR6" s="197" t="str">
        <f>$B6</f>
        <v>EUR</v>
      </c>
      <c r="AS6" s="198" t="str">
        <f>$J6</f>
        <v>PAY</v>
      </c>
      <c r="AT6" s="199">
        <f>$C6</f>
        <v>1000000</v>
      </c>
      <c r="AU6" s="197" t="s">
        <v>219</v>
      </c>
      <c r="AV6" s="200">
        <v>1</v>
      </c>
      <c r="AW6" s="198">
        <f ca="1">$E6</f>
        <v>42423</v>
      </c>
      <c r="AX6" s="198" t="str">
        <f>F6</f>
        <v>1Y</v>
      </c>
      <c r="AY6" s="197" t="str">
        <f>$K6</f>
        <v>SEMI-ANNUAL</v>
      </c>
      <c r="AZ6" s="201">
        <f>$L6</f>
        <v>0</v>
      </c>
      <c r="BA6" s="197" t="s">
        <v>80</v>
      </c>
      <c r="BB6" s="197" t="str">
        <f>IF($K6="QUARTERLY","EUR3ML","EUR6ML")</f>
        <v>EUR6ML</v>
      </c>
      <c r="BC6" s="197" t="s">
        <v>252</v>
      </c>
      <c r="BD6" s="197" t="s">
        <v>6</v>
      </c>
      <c r="BE6" s="197" t="s">
        <v>22</v>
      </c>
      <c r="BF6" s="197" t="s">
        <v>2</v>
      </c>
      <c r="BG6" s="197" t="s">
        <v>22</v>
      </c>
      <c r="BH6" s="197" t="s">
        <v>2</v>
      </c>
      <c r="BI6" s="197" t="s">
        <v>194</v>
      </c>
      <c r="BJ6" s="197" t="s">
        <v>22</v>
      </c>
      <c r="BK6" s="197" t="s">
        <v>2</v>
      </c>
      <c r="BL6" s="197" t="s">
        <v>194</v>
      </c>
      <c r="BM6" s="197">
        <f ca="1">DAY($E6)</f>
        <v>23</v>
      </c>
      <c r="BN6" s="197"/>
      <c r="BO6" s="197"/>
      <c r="BP6" s="197"/>
      <c r="BQ6" s="197"/>
      <c r="BR6" s="202" t="s">
        <v>244</v>
      </c>
      <c r="BS6" s="160"/>
      <c r="BT6" s="196" t="str">
        <f ca="1">_xll.meLWOSwapCreateFromLegLVBs("Basis3x6_"&amp;$F6,_xll.meUtilityLVBFromKeysValues(Leg1Keys,$N6:$AO6),_xll.meUtilityLVBFromKeysValues(Leg2Keys,$AQ6:$BR6),FALSE)</f>
        <v>BASIS3X6_1Y:3</v>
      </c>
      <c r="BU6" s="194">
        <f ca="1">_xll.meLWOSwapPV(BT6,BA6)</f>
        <v>-1151.48170871908</v>
      </c>
      <c r="BV6" s="229">
        <f ca="1">_xll.meLWOSwapTenorBasisSpread($BT6,BA6)</f>
        <v>11.300000000357501</v>
      </c>
      <c r="BW6" s="195">
        <f ca="1">BV6-CA6</f>
        <v>3.5750069571349741E-10</v>
      </c>
      <c r="BY6" s="270" t="str">
        <f>'EUR BASIS 3ML'!G39</f>
        <v>1Y</v>
      </c>
      <c r="BZ6" s="271">
        <f>'EUR BASIS 3ML'!H39</f>
        <v>1.1300000000000001E-3</v>
      </c>
      <c r="CA6" s="272">
        <f>BZ6*10000</f>
        <v>11.3</v>
      </c>
    </row>
    <row r="7" spans="2:79" x14ac:dyDescent="0.25">
      <c r="B7" s="204" t="s">
        <v>17</v>
      </c>
      <c r="C7" s="205">
        <v>1000000</v>
      </c>
      <c r="D7" s="206" t="s">
        <v>196</v>
      </c>
      <c r="E7" s="268">
        <f ca="1">_xll.meDateFromTenor(COB,$D7,$AG7,$AH7)</f>
        <v>42423</v>
      </c>
      <c r="F7" s="207" t="s">
        <v>47</v>
      </c>
      <c r="G7" s="263" t="s">
        <v>229</v>
      </c>
      <c r="H7" s="154" t="s">
        <v>247</v>
      </c>
      <c r="I7" s="264">
        <v>0</v>
      </c>
      <c r="J7" s="207" t="s">
        <v>253</v>
      </c>
      <c r="K7" s="154" t="s">
        <v>243</v>
      </c>
      <c r="L7" s="208">
        <v>0</v>
      </c>
      <c r="M7" s="183"/>
      <c r="N7" s="215" t="s">
        <v>242</v>
      </c>
      <c r="O7" s="216" t="str">
        <f t="shared" ref="O7:O21" si="1">$B7</f>
        <v>EUR</v>
      </c>
      <c r="P7" s="217" t="str">
        <f t="shared" ref="P7:P21" si="2">$G7</f>
        <v>RECEIVE</v>
      </c>
      <c r="Q7" s="218">
        <f t="shared" ref="Q7:Q21" si="3">$C7</f>
        <v>1000000</v>
      </c>
      <c r="R7" s="216" t="s">
        <v>219</v>
      </c>
      <c r="S7" s="219">
        <v>1</v>
      </c>
      <c r="T7" s="217">
        <f t="shared" ref="T7:T21" ca="1" si="4">$E7</f>
        <v>42423</v>
      </c>
      <c r="U7" s="217" t="str">
        <f t="shared" ref="U7:U21" si="5">$F7</f>
        <v>2Y</v>
      </c>
      <c r="V7" s="216" t="str">
        <f t="shared" ref="V7:V21" si="6">$H7</f>
        <v>QUARTERLY</v>
      </c>
      <c r="W7" s="220">
        <f t="shared" ref="W7:W21" si="7">$I7</f>
        <v>0</v>
      </c>
      <c r="X7" s="216" t="str">
        <f t="shared" si="0"/>
        <v>EURYC</v>
      </c>
      <c r="Y7" s="216" t="str">
        <f t="shared" ref="Y7:Y21" si="8">IF($H7="QUARTERLY","EUR3ML","EUR6ML")</f>
        <v>EUR3ML</v>
      </c>
      <c r="Z7" s="216" t="s">
        <v>252</v>
      </c>
      <c r="AA7" s="216" t="s">
        <v>6</v>
      </c>
      <c r="AB7" s="216" t="s">
        <v>22</v>
      </c>
      <c r="AC7" s="216" t="s">
        <v>2</v>
      </c>
      <c r="AD7" s="216" t="s">
        <v>22</v>
      </c>
      <c r="AE7" s="216" t="s">
        <v>2</v>
      </c>
      <c r="AF7" s="216" t="s">
        <v>194</v>
      </c>
      <c r="AG7" s="216" t="s">
        <v>22</v>
      </c>
      <c r="AH7" s="216" t="s">
        <v>2</v>
      </c>
      <c r="AI7" s="216" t="s">
        <v>194</v>
      </c>
      <c r="AJ7" s="216">
        <f t="shared" ref="AJ7:AJ21" ca="1" si="9">DAY($E7)</f>
        <v>23</v>
      </c>
      <c r="AK7" s="216"/>
      <c r="AL7" s="216"/>
      <c r="AM7" s="216"/>
      <c r="AN7" s="216"/>
      <c r="AO7" s="221" t="s">
        <v>244</v>
      </c>
      <c r="AQ7" s="215" t="s">
        <v>221</v>
      </c>
      <c r="AR7" s="216" t="str">
        <f t="shared" ref="AR7:AR21" si="10">$B7</f>
        <v>EUR</v>
      </c>
      <c r="AS7" s="217" t="str">
        <f t="shared" ref="AS7:AS21" si="11">$J7</f>
        <v>PAY</v>
      </c>
      <c r="AT7" s="218">
        <f t="shared" ref="AT7:AT21" si="12">$C7</f>
        <v>1000000</v>
      </c>
      <c r="AU7" s="216" t="s">
        <v>219</v>
      </c>
      <c r="AV7" s="219">
        <v>1</v>
      </c>
      <c r="AW7" s="217">
        <f t="shared" ref="AW7:AW21" ca="1" si="13">$E7</f>
        <v>42423</v>
      </c>
      <c r="AX7" s="217" t="str">
        <f t="shared" ref="AX7:AX21" si="14">F7</f>
        <v>2Y</v>
      </c>
      <c r="AY7" s="216" t="str">
        <f t="shared" ref="AY7:AY21" si="15">$K7</f>
        <v>SEMI-ANNUAL</v>
      </c>
      <c r="AZ7" s="220">
        <f t="shared" ref="AZ7:AZ21" si="16">$L7</f>
        <v>0</v>
      </c>
      <c r="BA7" s="216" t="s">
        <v>80</v>
      </c>
      <c r="BB7" s="216" t="str">
        <f t="shared" ref="BB7:BB21" si="17">IF($K7="QUARTERLY","EUR3ML","EUR6ML")</f>
        <v>EUR6ML</v>
      </c>
      <c r="BC7" s="216" t="s">
        <v>252</v>
      </c>
      <c r="BD7" s="216" t="s">
        <v>6</v>
      </c>
      <c r="BE7" s="216" t="s">
        <v>22</v>
      </c>
      <c r="BF7" s="216" t="s">
        <v>2</v>
      </c>
      <c r="BG7" s="216" t="s">
        <v>22</v>
      </c>
      <c r="BH7" s="216" t="s">
        <v>2</v>
      </c>
      <c r="BI7" s="216" t="s">
        <v>194</v>
      </c>
      <c r="BJ7" s="216" t="s">
        <v>22</v>
      </c>
      <c r="BK7" s="216" t="s">
        <v>2</v>
      </c>
      <c r="BL7" s="216" t="s">
        <v>194</v>
      </c>
      <c r="BM7" s="216">
        <f t="shared" ref="BM7:BM21" ca="1" si="18">DAY($E7)</f>
        <v>23</v>
      </c>
      <c r="BN7" s="216"/>
      <c r="BO7" s="216"/>
      <c r="BP7" s="216"/>
      <c r="BQ7" s="216"/>
      <c r="BR7" s="221" t="s">
        <v>244</v>
      </c>
      <c r="BS7" s="160"/>
      <c r="BT7" s="215" t="str">
        <f ca="1">_xll.meLWOSwapCreateFromLegLVBs("Basis3x6_"&amp;$F7,_xll.meUtilityLVBFromKeysValues(Leg1Keys,$N7:$AO7),_xll.meUtilityLVBFromKeysValues(Leg2Keys,$AQ7:$BR7),FALSE)</f>
        <v>BASIS3X6_2Y:2</v>
      </c>
      <c r="BU7" s="230">
        <f ca="1">_xll.meLWOSwapPV(BT7,BA7)</f>
        <v>-2431.8446689701941</v>
      </c>
      <c r="BV7" s="231">
        <f ca="1">_xll.meLWOSwapTenorBasisSpread($BT7,BA7)</f>
        <v>11.925000002689329</v>
      </c>
      <c r="BW7" s="232">
        <f t="shared" ref="BW7:BW21" ca="1" si="19">BV7-CA7</f>
        <v>2.689327871507885E-9</v>
      </c>
      <c r="BY7" s="273" t="str">
        <f>'EUR BASIS 3ML'!G40</f>
        <v>2Y</v>
      </c>
      <c r="BZ7" s="274">
        <f>'EUR BASIS 3ML'!H40</f>
        <v>1.1925E-3</v>
      </c>
      <c r="CA7" s="275">
        <f t="shared" ref="CA7:CA21" si="20">BZ7*10000</f>
        <v>11.925000000000001</v>
      </c>
    </row>
    <row r="8" spans="2:79" x14ac:dyDescent="0.25">
      <c r="B8" s="204" t="s">
        <v>17</v>
      </c>
      <c r="C8" s="205">
        <v>1000000</v>
      </c>
      <c r="D8" s="206" t="s">
        <v>196</v>
      </c>
      <c r="E8" s="268">
        <f ca="1">_xll.meDateFromTenor(COB,$D8,$AG8,$AH8)</f>
        <v>42423</v>
      </c>
      <c r="F8" s="207" t="s">
        <v>43</v>
      </c>
      <c r="G8" s="263" t="s">
        <v>229</v>
      </c>
      <c r="H8" s="154" t="s">
        <v>247</v>
      </c>
      <c r="I8" s="264">
        <v>0</v>
      </c>
      <c r="J8" s="207" t="s">
        <v>253</v>
      </c>
      <c r="K8" s="154" t="s">
        <v>243</v>
      </c>
      <c r="L8" s="208">
        <v>0</v>
      </c>
      <c r="M8" s="183"/>
      <c r="N8" s="215" t="s">
        <v>242</v>
      </c>
      <c r="O8" s="216" t="str">
        <f t="shared" si="1"/>
        <v>EUR</v>
      </c>
      <c r="P8" s="217" t="str">
        <f t="shared" si="2"/>
        <v>RECEIVE</v>
      </c>
      <c r="Q8" s="218">
        <f t="shared" si="3"/>
        <v>1000000</v>
      </c>
      <c r="R8" s="216" t="s">
        <v>219</v>
      </c>
      <c r="S8" s="219">
        <v>1</v>
      </c>
      <c r="T8" s="217">
        <f t="shared" ca="1" si="4"/>
        <v>42423</v>
      </c>
      <c r="U8" s="217" t="str">
        <f t="shared" si="5"/>
        <v>3Y</v>
      </c>
      <c r="V8" s="216" t="str">
        <f t="shared" si="6"/>
        <v>QUARTERLY</v>
      </c>
      <c r="W8" s="220">
        <f t="shared" si="7"/>
        <v>0</v>
      </c>
      <c r="X8" s="216" t="str">
        <f t="shared" si="0"/>
        <v>EURYC</v>
      </c>
      <c r="Y8" s="216" t="str">
        <f t="shared" si="8"/>
        <v>EUR3ML</v>
      </c>
      <c r="Z8" s="216" t="s">
        <v>252</v>
      </c>
      <c r="AA8" s="216" t="s">
        <v>6</v>
      </c>
      <c r="AB8" s="216" t="s">
        <v>22</v>
      </c>
      <c r="AC8" s="216" t="s">
        <v>2</v>
      </c>
      <c r="AD8" s="216" t="s">
        <v>22</v>
      </c>
      <c r="AE8" s="216" t="s">
        <v>2</v>
      </c>
      <c r="AF8" s="216" t="s">
        <v>194</v>
      </c>
      <c r="AG8" s="216" t="s">
        <v>22</v>
      </c>
      <c r="AH8" s="216" t="s">
        <v>2</v>
      </c>
      <c r="AI8" s="216" t="s">
        <v>194</v>
      </c>
      <c r="AJ8" s="216">
        <f t="shared" ca="1" si="9"/>
        <v>23</v>
      </c>
      <c r="AK8" s="216"/>
      <c r="AL8" s="216"/>
      <c r="AM8" s="216"/>
      <c r="AN8" s="216"/>
      <c r="AO8" s="221" t="s">
        <v>244</v>
      </c>
      <c r="AQ8" s="215" t="s">
        <v>221</v>
      </c>
      <c r="AR8" s="216" t="str">
        <f t="shared" si="10"/>
        <v>EUR</v>
      </c>
      <c r="AS8" s="217" t="str">
        <f t="shared" si="11"/>
        <v>PAY</v>
      </c>
      <c r="AT8" s="218">
        <f t="shared" si="12"/>
        <v>1000000</v>
      </c>
      <c r="AU8" s="216" t="s">
        <v>219</v>
      </c>
      <c r="AV8" s="219">
        <v>1</v>
      </c>
      <c r="AW8" s="217">
        <f t="shared" ca="1" si="13"/>
        <v>42423</v>
      </c>
      <c r="AX8" s="217" t="str">
        <f t="shared" si="14"/>
        <v>3Y</v>
      </c>
      <c r="AY8" s="216" t="str">
        <f t="shared" si="15"/>
        <v>SEMI-ANNUAL</v>
      </c>
      <c r="AZ8" s="220">
        <f t="shared" si="16"/>
        <v>0</v>
      </c>
      <c r="BA8" s="216" t="s">
        <v>80</v>
      </c>
      <c r="BB8" s="216" t="str">
        <f t="shared" si="17"/>
        <v>EUR6ML</v>
      </c>
      <c r="BC8" s="216" t="s">
        <v>252</v>
      </c>
      <c r="BD8" s="216" t="s">
        <v>6</v>
      </c>
      <c r="BE8" s="216" t="s">
        <v>22</v>
      </c>
      <c r="BF8" s="216" t="s">
        <v>2</v>
      </c>
      <c r="BG8" s="216" t="s">
        <v>22</v>
      </c>
      <c r="BH8" s="216" t="s">
        <v>2</v>
      </c>
      <c r="BI8" s="216" t="s">
        <v>194</v>
      </c>
      <c r="BJ8" s="216" t="s">
        <v>22</v>
      </c>
      <c r="BK8" s="216" t="s">
        <v>2</v>
      </c>
      <c r="BL8" s="216" t="s">
        <v>194</v>
      </c>
      <c r="BM8" s="216">
        <f t="shared" ca="1" si="18"/>
        <v>23</v>
      </c>
      <c r="BN8" s="216"/>
      <c r="BO8" s="216"/>
      <c r="BP8" s="216"/>
      <c r="BQ8" s="216"/>
      <c r="BR8" s="221" t="s">
        <v>244</v>
      </c>
      <c r="BS8" s="160"/>
      <c r="BT8" s="215" t="str">
        <f ca="1">_xll.meLWOSwapCreateFromLegLVBs("Basis3x6_"&amp;$F8,_xll.meUtilityLVBFromKeysValues(Leg1Keys,$N8:$AO8),_xll.meUtilityLVBFromKeysValues(Leg2Keys,$AQ8:$BR8),FALSE)</f>
        <v>BASIS3X6_3Y:2</v>
      </c>
      <c r="BU8" s="230">
        <f ca="1">_xll.meLWOSwapPV(BT8,BA8)</f>
        <v>-3812.601132517113</v>
      </c>
      <c r="BV8" s="231">
        <f ca="1">_xll.meLWOSwapTenorBasisSpread($BT8,BA8)</f>
        <v>12.425001194248335</v>
      </c>
      <c r="BW8" s="232">
        <f t="shared" ca="1" si="19"/>
        <v>1.1942483340021681E-6</v>
      </c>
      <c r="BY8" s="273" t="str">
        <f>'EUR BASIS 3ML'!G41</f>
        <v>3Y</v>
      </c>
      <c r="BZ8" s="274">
        <f>'EUR BASIS 3ML'!H41</f>
        <v>1.2425000000000001E-3</v>
      </c>
      <c r="CA8" s="275">
        <f t="shared" si="20"/>
        <v>12.425000000000001</v>
      </c>
    </row>
    <row r="9" spans="2:79" x14ac:dyDescent="0.25">
      <c r="B9" s="204" t="s">
        <v>17</v>
      </c>
      <c r="C9" s="205">
        <v>1000000</v>
      </c>
      <c r="D9" s="206" t="s">
        <v>196</v>
      </c>
      <c r="E9" s="268">
        <f ca="1">_xll.meDateFromTenor(COB,$D9,$AG9,$AH9)</f>
        <v>42423</v>
      </c>
      <c r="F9" s="207" t="s">
        <v>50</v>
      </c>
      <c r="G9" s="263" t="s">
        <v>229</v>
      </c>
      <c r="H9" s="154" t="s">
        <v>247</v>
      </c>
      <c r="I9" s="264">
        <v>0</v>
      </c>
      <c r="J9" s="207" t="s">
        <v>253</v>
      </c>
      <c r="K9" s="154" t="s">
        <v>243</v>
      </c>
      <c r="L9" s="208">
        <v>0</v>
      </c>
      <c r="M9" s="183"/>
      <c r="N9" s="215" t="s">
        <v>242</v>
      </c>
      <c r="O9" s="216" t="str">
        <f t="shared" si="1"/>
        <v>EUR</v>
      </c>
      <c r="P9" s="217" t="str">
        <f t="shared" si="2"/>
        <v>RECEIVE</v>
      </c>
      <c r="Q9" s="218">
        <f t="shared" si="3"/>
        <v>1000000</v>
      </c>
      <c r="R9" s="216" t="s">
        <v>219</v>
      </c>
      <c r="S9" s="219">
        <v>1</v>
      </c>
      <c r="T9" s="217">
        <f t="shared" ca="1" si="4"/>
        <v>42423</v>
      </c>
      <c r="U9" s="217" t="str">
        <f t="shared" si="5"/>
        <v>4Y</v>
      </c>
      <c r="V9" s="216" t="str">
        <f t="shared" si="6"/>
        <v>QUARTERLY</v>
      </c>
      <c r="W9" s="220">
        <f t="shared" si="7"/>
        <v>0</v>
      </c>
      <c r="X9" s="216" t="str">
        <f t="shared" si="0"/>
        <v>EURYC</v>
      </c>
      <c r="Y9" s="216" t="str">
        <f t="shared" si="8"/>
        <v>EUR3ML</v>
      </c>
      <c r="Z9" s="216" t="s">
        <v>252</v>
      </c>
      <c r="AA9" s="216" t="s">
        <v>6</v>
      </c>
      <c r="AB9" s="216" t="s">
        <v>22</v>
      </c>
      <c r="AC9" s="216" t="s">
        <v>2</v>
      </c>
      <c r="AD9" s="216" t="s">
        <v>22</v>
      </c>
      <c r="AE9" s="216" t="s">
        <v>2</v>
      </c>
      <c r="AF9" s="216" t="s">
        <v>194</v>
      </c>
      <c r="AG9" s="216" t="s">
        <v>22</v>
      </c>
      <c r="AH9" s="216" t="s">
        <v>2</v>
      </c>
      <c r="AI9" s="216" t="s">
        <v>194</v>
      </c>
      <c r="AJ9" s="216">
        <f t="shared" ca="1" si="9"/>
        <v>23</v>
      </c>
      <c r="AK9" s="216"/>
      <c r="AL9" s="216"/>
      <c r="AM9" s="216"/>
      <c r="AN9" s="216"/>
      <c r="AO9" s="221" t="s">
        <v>244</v>
      </c>
      <c r="AQ9" s="215" t="s">
        <v>221</v>
      </c>
      <c r="AR9" s="216" t="str">
        <f t="shared" si="10"/>
        <v>EUR</v>
      </c>
      <c r="AS9" s="217" t="str">
        <f t="shared" si="11"/>
        <v>PAY</v>
      </c>
      <c r="AT9" s="218">
        <f t="shared" si="12"/>
        <v>1000000</v>
      </c>
      <c r="AU9" s="216" t="s">
        <v>219</v>
      </c>
      <c r="AV9" s="219">
        <v>1</v>
      </c>
      <c r="AW9" s="217">
        <f t="shared" ca="1" si="13"/>
        <v>42423</v>
      </c>
      <c r="AX9" s="217" t="str">
        <f t="shared" si="14"/>
        <v>4Y</v>
      </c>
      <c r="AY9" s="216" t="str">
        <f t="shared" si="15"/>
        <v>SEMI-ANNUAL</v>
      </c>
      <c r="AZ9" s="220">
        <f t="shared" si="16"/>
        <v>0</v>
      </c>
      <c r="BA9" s="216" t="s">
        <v>80</v>
      </c>
      <c r="BB9" s="216" t="str">
        <f t="shared" si="17"/>
        <v>EUR6ML</v>
      </c>
      <c r="BC9" s="216" t="s">
        <v>252</v>
      </c>
      <c r="BD9" s="216" t="s">
        <v>6</v>
      </c>
      <c r="BE9" s="216" t="s">
        <v>22</v>
      </c>
      <c r="BF9" s="216" t="s">
        <v>2</v>
      </c>
      <c r="BG9" s="216" t="s">
        <v>22</v>
      </c>
      <c r="BH9" s="216" t="s">
        <v>2</v>
      </c>
      <c r="BI9" s="216" t="s">
        <v>194</v>
      </c>
      <c r="BJ9" s="216" t="s">
        <v>22</v>
      </c>
      <c r="BK9" s="216" t="s">
        <v>2</v>
      </c>
      <c r="BL9" s="216" t="s">
        <v>194</v>
      </c>
      <c r="BM9" s="216">
        <f t="shared" ca="1" si="18"/>
        <v>23</v>
      </c>
      <c r="BN9" s="216"/>
      <c r="BO9" s="216"/>
      <c r="BP9" s="216"/>
      <c r="BQ9" s="216"/>
      <c r="BR9" s="221" t="s">
        <v>244</v>
      </c>
      <c r="BS9" s="160"/>
      <c r="BT9" s="215" t="str">
        <f ca="1">_xll.meLWOSwapCreateFromLegLVBs("Basis3x6_"&amp;$F9,_xll.meUtilityLVBFromKeysValues(Leg1Keys,$N9:$AO9),_xll.meUtilityLVBFromKeysValues(Leg2Keys,$AQ9:$BR9),FALSE)</f>
        <v>BASIS3X6_4Y:2</v>
      </c>
      <c r="BU9" s="230">
        <f ca="1">_xll.meLWOSwapPV(BT9,BA9)</f>
        <v>-5307.7855725792961</v>
      </c>
      <c r="BV9" s="231">
        <f ca="1">_xll.meLWOSwapTenorBasisSpread($BT9,BA9)</f>
        <v>12.975001681408491</v>
      </c>
      <c r="BW9" s="232">
        <f t="shared" ca="1" si="19"/>
        <v>1.6814084915495187E-6</v>
      </c>
      <c r="BY9" s="273" t="str">
        <f>'EUR BASIS 3ML'!G42</f>
        <v>4Y</v>
      </c>
      <c r="BZ9" s="274">
        <f>'EUR BASIS 3ML'!H42</f>
        <v>1.2975E-3</v>
      </c>
      <c r="CA9" s="275">
        <f t="shared" si="20"/>
        <v>12.975</v>
      </c>
    </row>
    <row r="10" spans="2:79" x14ac:dyDescent="0.25">
      <c r="B10" s="204" t="s">
        <v>17</v>
      </c>
      <c r="C10" s="205">
        <v>1000000</v>
      </c>
      <c r="D10" s="206" t="s">
        <v>196</v>
      </c>
      <c r="E10" s="268">
        <f ca="1">_xll.meDateFromTenor(COB,$D10,$AG10,$AH10)</f>
        <v>42423</v>
      </c>
      <c r="F10" s="207" t="s">
        <v>52</v>
      </c>
      <c r="G10" s="263" t="s">
        <v>229</v>
      </c>
      <c r="H10" s="154" t="s">
        <v>247</v>
      </c>
      <c r="I10" s="264">
        <v>0</v>
      </c>
      <c r="J10" s="207" t="s">
        <v>253</v>
      </c>
      <c r="K10" s="154" t="s">
        <v>243</v>
      </c>
      <c r="L10" s="208">
        <v>0</v>
      </c>
      <c r="M10" s="183"/>
      <c r="N10" s="215" t="s">
        <v>242</v>
      </c>
      <c r="O10" s="216" t="str">
        <f t="shared" si="1"/>
        <v>EUR</v>
      </c>
      <c r="P10" s="217" t="str">
        <f t="shared" si="2"/>
        <v>RECEIVE</v>
      </c>
      <c r="Q10" s="218">
        <f t="shared" si="3"/>
        <v>1000000</v>
      </c>
      <c r="R10" s="216" t="s">
        <v>219</v>
      </c>
      <c r="S10" s="219">
        <v>1</v>
      </c>
      <c r="T10" s="217">
        <f t="shared" ca="1" si="4"/>
        <v>42423</v>
      </c>
      <c r="U10" s="217" t="str">
        <f t="shared" si="5"/>
        <v>5Y</v>
      </c>
      <c r="V10" s="216" t="str">
        <f t="shared" si="6"/>
        <v>QUARTERLY</v>
      </c>
      <c r="W10" s="220">
        <f t="shared" si="7"/>
        <v>0</v>
      </c>
      <c r="X10" s="216" t="str">
        <f t="shared" si="0"/>
        <v>EURYC</v>
      </c>
      <c r="Y10" s="216" t="str">
        <f t="shared" si="8"/>
        <v>EUR3ML</v>
      </c>
      <c r="Z10" s="216" t="s">
        <v>252</v>
      </c>
      <c r="AA10" s="216" t="s">
        <v>6</v>
      </c>
      <c r="AB10" s="216" t="s">
        <v>22</v>
      </c>
      <c r="AC10" s="216" t="s">
        <v>2</v>
      </c>
      <c r="AD10" s="216" t="s">
        <v>22</v>
      </c>
      <c r="AE10" s="216" t="s">
        <v>2</v>
      </c>
      <c r="AF10" s="216" t="s">
        <v>194</v>
      </c>
      <c r="AG10" s="216" t="s">
        <v>22</v>
      </c>
      <c r="AH10" s="216" t="s">
        <v>2</v>
      </c>
      <c r="AI10" s="216" t="s">
        <v>194</v>
      </c>
      <c r="AJ10" s="216">
        <f t="shared" ca="1" si="9"/>
        <v>23</v>
      </c>
      <c r="AK10" s="216"/>
      <c r="AL10" s="216"/>
      <c r="AM10" s="216"/>
      <c r="AN10" s="216"/>
      <c r="AO10" s="221" t="s">
        <v>244</v>
      </c>
      <c r="AQ10" s="215" t="s">
        <v>221</v>
      </c>
      <c r="AR10" s="216" t="str">
        <f t="shared" si="10"/>
        <v>EUR</v>
      </c>
      <c r="AS10" s="217" t="str">
        <f t="shared" si="11"/>
        <v>PAY</v>
      </c>
      <c r="AT10" s="218">
        <f t="shared" si="12"/>
        <v>1000000</v>
      </c>
      <c r="AU10" s="216" t="s">
        <v>219</v>
      </c>
      <c r="AV10" s="219">
        <v>1</v>
      </c>
      <c r="AW10" s="217">
        <f t="shared" ca="1" si="13"/>
        <v>42423</v>
      </c>
      <c r="AX10" s="217" t="str">
        <f t="shared" si="14"/>
        <v>5Y</v>
      </c>
      <c r="AY10" s="216" t="str">
        <f t="shared" si="15"/>
        <v>SEMI-ANNUAL</v>
      </c>
      <c r="AZ10" s="220">
        <f t="shared" si="16"/>
        <v>0</v>
      </c>
      <c r="BA10" s="216" t="s">
        <v>80</v>
      </c>
      <c r="BB10" s="216" t="str">
        <f t="shared" si="17"/>
        <v>EUR6ML</v>
      </c>
      <c r="BC10" s="216" t="s">
        <v>252</v>
      </c>
      <c r="BD10" s="216" t="s">
        <v>6</v>
      </c>
      <c r="BE10" s="216" t="s">
        <v>22</v>
      </c>
      <c r="BF10" s="216" t="s">
        <v>2</v>
      </c>
      <c r="BG10" s="216" t="s">
        <v>22</v>
      </c>
      <c r="BH10" s="216" t="s">
        <v>2</v>
      </c>
      <c r="BI10" s="216" t="s">
        <v>194</v>
      </c>
      <c r="BJ10" s="216" t="s">
        <v>22</v>
      </c>
      <c r="BK10" s="216" t="s">
        <v>2</v>
      </c>
      <c r="BL10" s="216" t="s">
        <v>194</v>
      </c>
      <c r="BM10" s="216">
        <f t="shared" ca="1" si="18"/>
        <v>23</v>
      </c>
      <c r="BN10" s="216"/>
      <c r="BO10" s="216"/>
      <c r="BP10" s="216"/>
      <c r="BQ10" s="216"/>
      <c r="BR10" s="221" t="s">
        <v>244</v>
      </c>
      <c r="BS10" s="160"/>
      <c r="BT10" s="215" t="str">
        <f ca="1">_xll.meLWOSwapCreateFromLegLVBs("Basis3x6_"&amp;$F10,_xll.meUtilityLVBFromKeysValues(Leg1Keys,$N10:$AO10),_xll.meUtilityLVBFromKeysValues(Leg2Keys,$AQ10:$BR10),FALSE)</f>
        <v>BASIS3X6_5Y:2</v>
      </c>
      <c r="BU10" s="230">
        <f ca="1">_xll.meLWOSwapPV(BT10,BA10)</f>
        <v>-6815.4670112718213</v>
      </c>
      <c r="BV10" s="231">
        <f ca="1">_xll.meLWOSwapTenorBasisSpread($BT10,BA10)</f>
        <v>13.325000823297579</v>
      </c>
      <c r="BW10" s="232">
        <f t="shared" ca="1" si="19"/>
        <v>8.2329757944421544E-7</v>
      </c>
      <c r="BY10" s="273" t="str">
        <f>'EUR BASIS 3ML'!G43</f>
        <v>5Y</v>
      </c>
      <c r="BZ10" s="274">
        <f>'EUR BASIS 3ML'!H43</f>
        <v>1.3324999999999999E-3</v>
      </c>
      <c r="CA10" s="275">
        <f t="shared" si="20"/>
        <v>13.324999999999999</v>
      </c>
    </row>
    <row r="11" spans="2:79" x14ac:dyDescent="0.25">
      <c r="B11" s="204" t="s">
        <v>17</v>
      </c>
      <c r="C11" s="205">
        <v>1000000</v>
      </c>
      <c r="D11" s="206" t="s">
        <v>196</v>
      </c>
      <c r="E11" s="268">
        <f ca="1">_xll.meDateFromTenor(COB,$D11,$AG11,$AH11)</f>
        <v>42423</v>
      </c>
      <c r="F11" s="207" t="s">
        <v>54</v>
      </c>
      <c r="G11" s="263" t="s">
        <v>229</v>
      </c>
      <c r="H11" s="154" t="s">
        <v>247</v>
      </c>
      <c r="I11" s="264">
        <v>0</v>
      </c>
      <c r="J11" s="207" t="s">
        <v>253</v>
      </c>
      <c r="K11" s="154" t="s">
        <v>243</v>
      </c>
      <c r="L11" s="208">
        <v>0</v>
      </c>
      <c r="M11" s="183"/>
      <c r="N11" s="215" t="s">
        <v>242</v>
      </c>
      <c r="O11" s="216" t="str">
        <f t="shared" si="1"/>
        <v>EUR</v>
      </c>
      <c r="P11" s="217" t="str">
        <f t="shared" si="2"/>
        <v>RECEIVE</v>
      </c>
      <c r="Q11" s="218">
        <f t="shared" si="3"/>
        <v>1000000</v>
      </c>
      <c r="R11" s="216" t="s">
        <v>219</v>
      </c>
      <c r="S11" s="219">
        <v>1</v>
      </c>
      <c r="T11" s="217">
        <f t="shared" ca="1" si="4"/>
        <v>42423</v>
      </c>
      <c r="U11" s="217" t="str">
        <f t="shared" si="5"/>
        <v>6Y</v>
      </c>
      <c r="V11" s="216" t="str">
        <f t="shared" si="6"/>
        <v>QUARTERLY</v>
      </c>
      <c r="W11" s="220">
        <f t="shared" si="7"/>
        <v>0</v>
      </c>
      <c r="X11" s="216" t="str">
        <f t="shared" si="0"/>
        <v>EURYC</v>
      </c>
      <c r="Y11" s="216" t="str">
        <f t="shared" si="8"/>
        <v>EUR3ML</v>
      </c>
      <c r="Z11" s="216" t="s">
        <v>252</v>
      </c>
      <c r="AA11" s="216" t="s">
        <v>6</v>
      </c>
      <c r="AB11" s="216" t="s">
        <v>22</v>
      </c>
      <c r="AC11" s="216" t="s">
        <v>2</v>
      </c>
      <c r="AD11" s="216" t="s">
        <v>22</v>
      </c>
      <c r="AE11" s="216" t="s">
        <v>2</v>
      </c>
      <c r="AF11" s="216" t="s">
        <v>194</v>
      </c>
      <c r="AG11" s="216" t="s">
        <v>22</v>
      </c>
      <c r="AH11" s="216" t="s">
        <v>2</v>
      </c>
      <c r="AI11" s="216" t="s">
        <v>194</v>
      </c>
      <c r="AJ11" s="216">
        <f t="shared" ca="1" si="9"/>
        <v>23</v>
      </c>
      <c r="AK11" s="216"/>
      <c r="AL11" s="216"/>
      <c r="AM11" s="216"/>
      <c r="AN11" s="216"/>
      <c r="AO11" s="221" t="s">
        <v>244</v>
      </c>
      <c r="AQ11" s="215" t="s">
        <v>221</v>
      </c>
      <c r="AR11" s="216" t="str">
        <f t="shared" si="10"/>
        <v>EUR</v>
      </c>
      <c r="AS11" s="217" t="str">
        <f t="shared" si="11"/>
        <v>PAY</v>
      </c>
      <c r="AT11" s="218">
        <f t="shared" si="12"/>
        <v>1000000</v>
      </c>
      <c r="AU11" s="216" t="s">
        <v>219</v>
      </c>
      <c r="AV11" s="219">
        <v>1</v>
      </c>
      <c r="AW11" s="217">
        <f t="shared" ca="1" si="13"/>
        <v>42423</v>
      </c>
      <c r="AX11" s="217" t="str">
        <f t="shared" si="14"/>
        <v>6Y</v>
      </c>
      <c r="AY11" s="216" t="str">
        <f t="shared" si="15"/>
        <v>SEMI-ANNUAL</v>
      </c>
      <c r="AZ11" s="220">
        <f t="shared" si="16"/>
        <v>0</v>
      </c>
      <c r="BA11" s="216" t="s">
        <v>80</v>
      </c>
      <c r="BB11" s="216" t="str">
        <f t="shared" si="17"/>
        <v>EUR6ML</v>
      </c>
      <c r="BC11" s="216" t="s">
        <v>252</v>
      </c>
      <c r="BD11" s="216" t="s">
        <v>6</v>
      </c>
      <c r="BE11" s="216" t="s">
        <v>22</v>
      </c>
      <c r="BF11" s="216" t="s">
        <v>2</v>
      </c>
      <c r="BG11" s="216" t="s">
        <v>22</v>
      </c>
      <c r="BH11" s="216" t="s">
        <v>2</v>
      </c>
      <c r="BI11" s="216" t="s">
        <v>194</v>
      </c>
      <c r="BJ11" s="216" t="s">
        <v>22</v>
      </c>
      <c r="BK11" s="216" t="s">
        <v>2</v>
      </c>
      <c r="BL11" s="216" t="s">
        <v>194</v>
      </c>
      <c r="BM11" s="216">
        <f t="shared" ca="1" si="18"/>
        <v>23</v>
      </c>
      <c r="BN11" s="216"/>
      <c r="BO11" s="216"/>
      <c r="BP11" s="216"/>
      <c r="BQ11" s="216"/>
      <c r="BR11" s="221" t="s">
        <v>244</v>
      </c>
      <c r="BS11" s="160"/>
      <c r="BT11" s="215" t="str">
        <f ca="1">_xll.meLWOSwapCreateFromLegLVBs("Basis3x6_"&amp;$F11,_xll.meUtilityLVBFromKeysValues(Leg1Keys,$N11:$AO11),_xll.meUtilityLVBFromKeysValues(Leg2Keys,$AQ11:$BR11),FALSE)</f>
        <v>BASIS3X6_6Y:2</v>
      </c>
      <c r="BU11" s="230">
        <f ca="1">_xll.meLWOSwapPV(BT11,BA11)</f>
        <v>-8021.3166864074401</v>
      </c>
      <c r="BV11" s="231">
        <f ca="1">_xll.meLWOSwapTenorBasisSpread($BT11,BA11)</f>
        <v>13.0749979557551</v>
      </c>
      <c r="BW11" s="232">
        <f t="shared" ca="1" si="19"/>
        <v>-2.0442448995794393E-6</v>
      </c>
      <c r="BY11" s="273" t="str">
        <f>'EUR BASIS 3ML'!G44</f>
        <v>6Y</v>
      </c>
      <c r="BZ11" s="274">
        <f>'EUR BASIS 3ML'!H44</f>
        <v>1.3074999999999999E-3</v>
      </c>
      <c r="CA11" s="275">
        <f t="shared" si="20"/>
        <v>13.074999999999999</v>
      </c>
    </row>
    <row r="12" spans="2:79" x14ac:dyDescent="0.25">
      <c r="B12" s="204" t="s">
        <v>17</v>
      </c>
      <c r="C12" s="205">
        <v>1000000</v>
      </c>
      <c r="D12" s="206" t="s">
        <v>196</v>
      </c>
      <c r="E12" s="268">
        <f ca="1">_xll.meDateFromTenor(COB,$D12,$AG12,$AH12)</f>
        <v>42423</v>
      </c>
      <c r="F12" s="207" t="s">
        <v>56</v>
      </c>
      <c r="G12" s="263" t="s">
        <v>229</v>
      </c>
      <c r="H12" s="154" t="s">
        <v>247</v>
      </c>
      <c r="I12" s="264">
        <v>0</v>
      </c>
      <c r="J12" s="207" t="s">
        <v>253</v>
      </c>
      <c r="K12" s="154" t="s">
        <v>243</v>
      </c>
      <c r="L12" s="208">
        <v>0</v>
      </c>
      <c r="M12" s="183"/>
      <c r="N12" s="215" t="s">
        <v>242</v>
      </c>
      <c r="O12" s="216" t="str">
        <f t="shared" si="1"/>
        <v>EUR</v>
      </c>
      <c r="P12" s="217" t="str">
        <f t="shared" si="2"/>
        <v>RECEIVE</v>
      </c>
      <c r="Q12" s="218">
        <f t="shared" si="3"/>
        <v>1000000</v>
      </c>
      <c r="R12" s="216" t="s">
        <v>219</v>
      </c>
      <c r="S12" s="219">
        <v>1</v>
      </c>
      <c r="T12" s="217">
        <f t="shared" ca="1" si="4"/>
        <v>42423</v>
      </c>
      <c r="U12" s="217" t="str">
        <f t="shared" si="5"/>
        <v>7Y</v>
      </c>
      <c r="V12" s="216" t="str">
        <f t="shared" si="6"/>
        <v>QUARTERLY</v>
      </c>
      <c r="W12" s="220">
        <f t="shared" si="7"/>
        <v>0</v>
      </c>
      <c r="X12" s="216" t="str">
        <f t="shared" si="0"/>
        <v>EURYC</v>
      </c>
      <c r="Y12" s="216" t="str">
        <f t="shared" si="8"/>
        <v>EUR3ML</v>
      </c>
      <c r="Z12" s="216" t="s">
        <v>252</v>
      </c>
      <c r="AA12" s="216" t="s">
        <v>6</v>
      </c>
      <c r="AB12" s="216" t="s">
        <v>22</v>
      </c>
      <c r="AC12" s="216" t="s">
        <v>2</v>
      </c>
      <c r="AD12" s="216" t="s">
        <v>22</v>
      </c>
      <c r="AE12" s="216" t="s">
        <v>2</v>
      </c>
      <c r="AF12" s="216" t="s">
        <v>194</v>
      </c>
      <c r="AG12" s="216" t="s">
        <v>22</v>
      </c>
      <c r="AH12" s="216" t="s">
        <v>2</v>
      </c>
      <c r="AI12" s="216" t="s">
        <v>194</v>
      </c>
      <c r="AJ12" s="216">
        <f t="shared" ca="1" si="9"/>
        <v>23</v>
      </c>
      <c r="AK12" s="216"/>
      <c r="AL12" s="216"/>
      <c r="AM12" s="216"/>
      <c r="AN12" s="216"/>
      <c r="AO12" s="221" t="s">
        <v>244</v>
      </c>
      <c r="AQ12" s="215" t="s">
        <v>221</v>
      </c>
      <c r="AR12" s="216" t="str">
        <f t="shared" si="10"/>
        <v>EUR</v>
      </c>
      <c r="AS12" s="217" t="str">
        <f t="shared" si="11"/>
        <v>PAY</v>
      </c>
      <c r="AT12" s="218">
        <f t="shared" si="12"/>
        <v>1000000</v>
      </c>
      <c r="AU12" s="216" t="s">
        <v>219</v>
      </c>
      <c r="AV12" s="219">
        <v>1</v>
      </c>
      <c r="AW12" s="217">
        <f t="shared" ca="1" si="13"/>
        <v>42423</v>
      </c>
      <c r="AX12" s="217" t="str">
        <f t="shared" si="14"/>
        <v>7Y</v>
      </c>
      <c r="AY12" s="216" t="str">
        <f t="shared" si="15"/>
        <v>SEMI-ANNUAL</v>
      </c>
      <c r="AZ12" s="220">
        <f t="shared" si="16"/>
        <v>0</v>
      </c>
      <c r="BA12" s="216" t="s">
        <v>80</v>
      </c>
      <c r="BB12" s="216" t="str">
        <f t="shared" si="17"/>
        <v>EUR6ML</v>
      </c>
      <c r="BC12" s="216" t="s">
        <v>252</v>
      </c>
      <c r="BD12" s="216" t="s">
        <v>6</v>
      </c>
      <c r="BE12" s="216" t="s">
        <v>22</v>
      </c>
      <c r="BF12" s="216" t="s">
        <v>2</v>
      </c>
      <c r="BG12" s="216" t="s">
        <v>22</v>
      </c>
      <c r="BH12" s="216" t="s">
        <v>2</v>
      </c>
      <c r="BI12" s="216" t="s">
        <v>194</v>
      </c>
      <c r="BJ12" s="216" t="s">
        <v>22</v>
      </c>
      <c r="BK12" s="216" t="s">
        <v>2</v>
      </c>
      <c r="BL12" s="216" t="s">
        <v>194</v>
      </c>
      <c r="BM12" s="216">
        <f t="shared" ca="1" si="18"/>
        <v>23</v>
      </c>
      <c r="BN12" s="216"/>
      <c r="BO12" s="216"/>
      <c r="BP12" s="216"/>
      <c r="BQ12" s="216"/>
      <c r="BR12" s="221" t="s">
        <v>244</v>
      </c>
      <c r="BS12" s="160"/>
      <c r="BT12" s="215" t="str">
        <f ca="1">_xll.meLWOSwapCreateFromLegLVBs("Basis3x6_"&amp;$F12,_xll.meUtilityLVBFromKeysValues(Leg1Keys,$N12:$AO12),_xll.meUtilityLVBFromKeysValues(Leg2Keys,$AQ12:$BR12),FALSE)</f>
        <v>BASIS3X6_7Y:2</v>
      </c>
      <c r="BU12" s="230">
        <f ca="1">_xll.meLWOSwapPV(BT12,BA12)</f>
        <v>-9095.6992376850721</v>
      </c>
      <c r="BV12" s="231">
        <f ca="1">_xll.meLWOSwapTenorBasisSpread($BT12,BA12)</f>
        <v>12.724996436119444</v>
      </c>
      <c r="BW12" s="232">
        <f t="shared" ca="1" si="19"/>
        <v>-3.5638805560012088E-6</v>
      </c>
      <c r="BY12" s="273" t="str">
        <f>'EUR BASIS 3ML'!G45</f>
        <v>7Y</v>
      </c>
      <c r="BZ12" s="274">
        <f>'EUR BASIS 3ML'!H45</f>
        <v>1.2725E-3</v>
      </c>
      <c r="CA12" s="275">
        <f t="shared" si="20"/>
        <v>12.725</v>
      </c>
    </row>
    <row r="13" spans="2:79" x14ac:dyDescent="0.25">
      <c r="B13" s="204" t="s">
        <v>17</v>
      </c>
      <c r="C13" s="205">
        <v>1000000</v>
      </c>
      <c r="D13" s="206" t="s">
        <v>196</v>
      </c>
      <c r="E13" s="268">
        <f ca="1">_xll.meDateFromTenor(COB,$D13,$AG13,$AH13)</f>
        <v>42423</v>
      </c>
      <c r="F13" s="207" t="s">
        <v>58</v>
      </c>
      <c r="G13" s="263" t="s">
        <v>229</v>
      </c>
      <c r="H13" s="154" t="s">
        <v>247</v>
      </c>
      <c r="I13" s="264">
        <v>0</v>
      </c>
      <c r="J13" s="207" t="s">
        <v>253</v>
      </c>
      <c r="K13" s="154" t="s">
        <v>243</v>
      </c>
      <c r="L13" s="208">
        <v>0</v>
      </c>
      <c r="M13" s="183"/>
      <c r="N13" s="215" t="s">
        <v>242</v>
      </c>
      <c r="O13" s="216" t="str">
        <f t="shared" si="1"/>
        <v>EUR</v>
      </c>
      <c r="P13" s="217" t="str">
        <f t="shared" si="2"/>
        <v>RECEIVE</v>
      </c>
      <c r="Q13" s="218">
        <f t="shared" si="3"/>
        <v>1000000</v>
      </c>
      <c r="R13" s="216" t="s">
        <v>219</v>
      </c>
      <c r="S13" s="219">
        <v>1</v>
      </c>
      <c r="T13" s="217">
        <f t="shared" ca="1" si="4"/>
        <v>42423</v>
      </c>
      <c r="U13" s="217" t="str">
        <f t="shared" si="5"/>
        <v>8Y</v>
      </c>
      <c r="V13" s="216" t="str">
        <f t="shared" si="6"/>
        <v>QUARTERLY</v>
      </c>
      <c r="W13" s="220">
        <f t="shared" si="7"/>
        <v>0</v>
      </c>
      <c r="X13" s="216" t="str">
        <f t="shared" si="0"/>
        <v>EURYC</v>
      </c>
      <c r="Y13" s="216" t="str">
        <f t="shared" si="8"/>
        <v>EUR3ML</v>
      </c>
      <c r="Z13" s="216" t="s">
        <v>252</v>
      </c>
      <c r="AA13" s="216" t="s">
        <v>6</v>
      </c>
      <c r="AB13" s="216" t="s">
        <v>22</v>
      </c>
      <c r="AC13" s="216" t="s">
        <v>2</v>
      </c>
      <c r="AD13" s="216" t="s">
        <v>22</v>
      </c>
      <c r="AE13" s="216" t="s">
        <v>2</v>
      </c>
      <c r="AF13" s="216" t="s">
        <v>194</v>
      </c>
      <c r="AG13" s="216" t="s">
        <v>22</v>
      </c>
      <c r="AH13" s="216" t="s">
        <v>2</v>
      </c>
      <c r="AI13" s="216" t="s">
        <v>194</v>
      </c>
      <c r="AJ13" s="216">
        <f t="shared" ca="1" si="9"/>
        <v>23</v>
      </c>
      <c r="AK13" s="216"/>
      <c r="AL13" s="216"/>
      <c r="AM13" s="216"/>
      <c r="AN13" s="216"/>
      <c r="AO13" s="221" t="s">
        <v>244</v>
      </c>
      <c r="AQ13" s="215" t="s">
        <v>221</v>
      </c>
      <c r="AR13" s="216" t="str">
        <f t="shared" si="10"/>
        <v>EUR</v>
      </c>
      <c r="AS13" s="217" t="str">
        <f t="shared" si="11"/>
        <v>PAY</v>
      </c>
      <c r="AT13" s="218">
        <f t="shared" si="12"/>
        <v>1000000</v>
      </c>
      <c r="AU13" s="216" t="s">
        <v>219</v>
      </c>
      <c r="AV13" s="219">
        <v>1</v>
      </c>
      <c r="AW13" s="217">
        <f t="shared" ca="1" si="13"/>
        <v>42423</v>
      </c>
      <c r="AX13" s="217" t="str">
        <f t="shared" si="14"/>
        <v>8Y</v>
      </c>
      <c r="AY13" s="216" t="str">
        <f t="shared" si="15"/>
        <v>SEMI-ANNUAL</v>
      </c>
      <c r="AZ13" s="220">
        <f t="shared" si="16"/>
        <v>0</v>
      </c>
      <c r="BA13" s="216" t="s">
        <v>80</v>
      </c>
      <c r="BB13" s="216" t="str">
        <f t="shared" si="17"/>
        <v>EUR6ML</v>
      </c>
      <c r="BC13" s="216" t="s">
        <v>252</v>
      </c>
      <c r="BD13" s="216" t="s">
        <v>6</v>
      </c>
      <c r="BE13" s="216" t="s">
        <v>22</v>
      </c>
      <c r="BF13" s="216" t="s">
        <v>2</v>
      </c>
      <c r="BG13" s="216" t="s">
        <v>22</v>
      </c>
      <c r="BH13" s="216" t="s">
        <v>2</v>
      </c>
      <c r="BI13" s="216" t="s">
        <v>194</v>
      </c>
      <c r="BJ13" s="216" t="s">
        <v>22</v>
      </c>
      <c r="BK13" s="216" t="s">
        <v>2</v>
      </c>
      <c r="BL13" s="216" t="s">
        <v>194</v>
      </c>
      <c r="BM13" s="216">
        <f t="shared" ca="1" si="18"/>
        <v>23</v>
      </c>
      <c r="BN13" s="216"/>
      <c r="BO13" s="216"/>
      <c r="BP13" s="216"/>
      <c r="BQ13" s="216"/>
      <c r="BR13" s="221" t="s">
        <v>244</v>
      </c>
      <c r="BS13" s="160"/>
      <c r="BT13" s="215" t="str">
        <f ca="1">_xll.meLWOSwapCreateFromLegLVBs("Basis3x6_"&amp;$F13,_xll.meUtilityLVBFromKeysValues(Leg1Keys,$N13:$AO13),_xll.meUtilityLVBFromKeysValues(Leg2Keys,$AQ13:$BR13),FALSE)</f>
        <v>BASIS3X6_8Y:2</v>
      </c>
      <c r="BU13" s="230">
        <f ca="1">_xll.meLWOSwapPV(BT13,BA13)</f>
        <v>-10005.374906379533</v>
      </c>
      <c r="BV13" s="231">
        <f ca="1">_xll.meLWOSwapTenorBasisSpread($BT13,BA13)</f>
        <v>12.275001060055219</v>
      </c>
      <c r="BW13" s="232">
        <f t="shared" ca="1" si="19"/>
        <v>1.0600552187156609E-6</v>
      </c>
      <c r="BY13" s="273" t="str">
        <f>'EUR BASIS 3ML'!G46</f>
        <v>8Y</v>
      </c>
      <c r="BZ13" s="274">
        <f>'EUR BASIS 3ML'!H46</f>
        <v>1.2275000000000001E-3</v>
      </c>
      <c r="CA13" s="275">
        <f t="shared" si="20"/>
        <v>12.275</v>
      </c>
    </row>
    <row r="14" spans="2:79" x14ac:dyDescent="0.25">
      <c r="B14" s="204" t="s">
        <v>17</v>
      </c>
      <c r="C14" s="205">
        <v>1000000</v>
      </c>
      <c r="D14" s="206" t="s">
        <v>196</v>
      </c>
      <c r="E14" s="268">
        <f ca="1">_xll.meDateFromTenor(COB,$D14,$AG14,$AH14)</f>
        <v>42423</v>
      </c>
      <c r="F14" s="207" t="s">
        <v>60</v>
      </c>
      <c r="G14" s="263" t="s">
        <v>229</v>
      </c>
      <c r="H14" s="154" t="s">
        <v>247</v>
      </c>
      <c r="I14" s="264">
        <v>0</v>
      </c>
      <c r="J14" s="207" t="s">
        <v>253</v>
      </c>
      <c r="K14" s="154" t="s">
        <v>243</v>
      </c>
      <c r="L14" s="208">
        <v>0</v>
      </c>
      <c r="M14" s="183"/>
      <c r="N14" s="215" t="s">
        <v>242</v>
      </c>
      <c r="O14" s="216" t="str">
        <f t="shared" si="1"/>
        <v>EUR</v>
      </c>
      <c r="P14" s="217" t="str">
        <f t="shared" si="2"/>
        <v>RECEIVE</v>
      </c>
      <c r="Q14" s="218">
        <f t="shared" si="3"/>
        <v>1000000</v>
      </c>
      <c r="R14" s="216" t="s">
        <v>219</v>
      </c>
      <c r="S14" s="219">
        <v>1</v>
      </c>
      <c r="T14" s="217">
        <f t="shared" ca="1" si="4"/>
        <v>42423</v>
      </c>
      <c r="U14" s="217" t="str">
        <f t="shared" si="5"/>
        <v>9Y</v>
      </c>
      <c r="V14" s="216" t="str">
        <f t="shared" si="6"/>
        <v>QUARTERLY</v>
      </c>
      <c r="W14" s="220">
        <f t="shared" si="7"/>
        <v>0</v>
      </c>
      <c r="X14" s="216" t="str">
        <f t="shared" si="0"/>
        <v>EURYC</v>
      </c>
      <c r="Y14" s="216" t="str">
        <f t="shared" si="8"/>
        <v>EUR3ML</v>
      </c>
      <c r="Z14" s="216" t="s">
        <v>252</v>
      </c>
      <c r="AA14" s="216" t="s">
        <v>6</v>
      </c>
      <c r="AB14" s="216" t="s">
        <v>22</v>
      </c>
      <c r="AC14" s="216" t="s">
        <v>2</v>
      </c>
      <c r="AD14" s="216" t="s">
        <v>22</v>
      </c>
      <c r="AE14" s="216" t="s">
        <v>2</v>
      </c>
      <c r="AF14" s="216" t="s">
        <v>194</v>
      </c>
      <c r="AG14" s="216" t="s">
        <v>22</v>
      </c>
      <c r="AH14" s="216" t="s">
        <v>2</v>
      </c>
      <c r="AI14" s="216" t="s">
        <v>194</v>
      </c>
      <c r="AJ14" s="216">
        <f t="shared" ca="1" si="9"/>
        <v>23</v>
      </c>
      <c r="AK14" s="216"/>
      <c r="AL14" s="216"/>
      <c r="AM14" s="216"/>
      <c r="AN14" s="216"/>
      <c r="AO14" s="221" t="s">
        <v>244</v>
      </c>
      <c r="AQ14" s="215" t="s">
        <v>221</v>
      </c>
      <c r="AR14" s="216" t="str">
        <f t="shared" si="10"/>
        <v>EUR</v>
      </c>
      <c r="AS14" s="217" t="str">
        <f t="shared" si="11"/>
        <v>PAY</v>
      </c>
      <c r="AT14" s="218">
        <f t="shared" si="12"/>
        <v>1000000</v>
      </c>
      <c r="AU14" s="216" t="s">
        <v>219</v>
      </c>
      <c r="AV14" s="219">
        <v>1</v>
      </c>
      <c r="AW14" s="217">
        <f t="shared" ca="1" si="13"/>
        <v>42423</v>
      </c>
      <c r="AX14" s="217" t="str">
        <f t="shared" si="14"/>
        <v>9Y</v>
      </c>
      <c r="AY14" s="216" t="str">
        <f t="shared" si="15"/>
        <v>SEMI-ANNUAL</v>
      </c>
      <c r="AZ14" s="220">
        <f t="shared" si="16"/>
        <v>0</v>
      </c>
      <c r="BA14" s="216" t="s">
        <v>80</v>
      </c>
      <c r="BB14" s="216" t="str">
        <f t="shared" si="17"/>
        <v>EUR6ML</v>
      </c>
      <c r="BC14" s="216" t="s">
        <v>252</v>
      </c>
      <c r="BD14" s="216" t="s">
        <v>6</v>
      </c>
      <c r="BE14" s="216" t="s">
        <v>22</v>
      </c>
      <c r="BF14" s="216" t="s">
        <v>2</v>
      </c>
      <c r="BG14" s="216" t="s">
        <v>22</v>
      </c>
      <c r="BH14" s="216" t="s">
        <v>2</v>
      </c>
      <c r="BI14" s="216" t="s">
        <v>194</v>
      </c>
      <c r="BJ14" s="216" t="s">
        <v>22</v>
      </c>
      <c r="BK14" s="216" t="s">
        <v>2</v>
      </c>
      <c r="BL14" s="216" t="s">
        <v>194</v>
      </c>
      <c r="BM14" s="216">
        <f t="shared" ca="1" si="18"/>
        <v>23</v>
      </c>
      <c r="BN14" s="216"/>
      <c r="BO14" s="216"/>
      <c r="BP14" s="216"/>
      <c r="BQ14" s="216"/>
      <c r="BR14" s="221" t="s">
        <v>244</v>
      </c>
      <c r="BS14" s="160"/>
      <c r="BT14" s="215" t="str">
        <f ca="1">_xll.meLWOSwapCreateFromLegLVBs("Basis3x6_"&amp;$F14,_xll.meUtilityLVBFromKeysValues(Leg1Keys,$N14:$AO14),_xll.meUtilityLVBFromKeysValues(Leg2Keys,$AQ14:$BR14),FALSE)</f>
        <v>BASIS3X6_9Y:2</v>
      </c>
      <c r="BU14" s="230">
        <f ca="1">_xll.meLWOSwapPV(BT14,BA14)</f>
        <v>-10679.250339327999</v>
      </c>
      <c r="BV14" s="231">
        <f ca="1">_xll.meLWOSwapTenorBasisSpread($BT14,BA14)</f>
        <v>11.675005723459849</v>
      </c>
      <c r="BW14" s="232">
        <f t="shared" ca="1" si="19"/>
        <v>5.7234598482835963E-6</v>
      </c>
      <c r="BY14" s="273" t="str">
        <f>'EUR BASIS 3ML'!G47</f>
        <v>9Y</v>
      </c>
      <c r="BZ14" s="274">
        <f>'EUR BASIS 3ML'!H47</f>
        <v>1.1675000000000001E-3</v>
      </c>
      <c r="CA14" s="275">
        <f t="shared" si="20"/>
        <v>11.675000000000001</v>
      </c>
    </row>
    <row r="15" spans="2:79" x14ac:dyDescent="0.25">
      <c r="B15" s="204" t="s">
        <v>17</v>
      </c>
      <c r="C15" s="205">
        <v>1000000</v>
      </c>
      <c r="D15" s="206" t="s">
        <v>196</v>
      </c>
      <c r="E15" s="268">
        <f ca="1">_xll.meDateFromTenor(COB,$D15,$AG15,$AH15)</f>
        <v>42423</v>
      </c>
      <c r="F15" s="207" t="s">
        <v>61</v>
      </c>
      <c r="G15" s="263" t="s">
        <v>229</v>
      </c>
      <c r="H15" s="154" t="s">
        <v>247</v>
      </c>
      <c r="I15" s="264">
        <v>0</v>
      </c>
      <c r="J15" s="207" t="s">
        <v>253</v>
      </c>
      <c r="K15" s="154" t="s">
        <v>243</v>
      </c>
      <c r="L15" s="208">
        <v>0</v>
      </c>
      <c r="M15" s="183"/>
      <c r="N15" s="215" t="s">
        <v>242</v>
      </c>
      <c r="O15" s="216" t="str">
        <f t="shared" si="1"/>
        <v>EUR</v>
      </c>
      <c r="P15" s="217" t="str">
        <f t="shared" si="2"/>
        <v>RECEIVE</v>
      </c>
      <c r="Q15" s="218">
        <f t="shared" si="3"/>
        <v>1000000</v>
      </c>
      <c r="R15" s="216" t="s">
        <v>219</v>
      </c>
      <c r="S15" s="219">
        <v>1</v>
      </c>
      <c r="T15" s="217">
        <f t="shared" ca="1" si="4"/>
        <v>42423</v>
      </c>
      <c r="U15" s="217" t="str">
        <f t="shared" si="5"/>
        <v>10Y</v>
      </c>
      <c r="V15" s="216" t="str">
        <f t="shared" si="6"/>
        <v>QUARTERLY</v>
      </c>
      <c r="W15" s="220">
        <f t="shared" si="7"/>
        <v>0</v>
      </c>
      <c r="X15" s="216" t="str">
        <f t="shared" si="0"/>
        <v>EURYC</v>
      </c>
      <c r="Y15" s="216" t="str">
        <f t="shared" si="8"/>
        <v>EUR3ML</v>
      </c>
      <c r="Z15" s="216" t="s">
        <v>252</v>
      </c>
      <c r="AA15" s="216" t="s">
        <v>6</v>
      </c>
      <c r="AB15" s="216" t="s">
        <v>22</v>
      </c>
      <c r="AC15" s="216" t="s">
        <v>2</v>
      </c>
      <c r="AD15" s="216" t="s">
        <v>22</v>
      </c>
      <c r="AE15" s="216" t="s">
        <v>2</v>
      </c>
      <c r="AF15" s="216" t="s">
        <v>194</v>
      </c>
      <c r="AG15" s="216" t="s">
        <v>22</v>
      </c>
      <c r="AH15" s="216" t="s">
        <v>2</v>
      </c>
      <c r="AI15" s="216" t="s">
        <v>194</v>
      </c>
      <c r="AJ15" s="216">
        <f t="shared" ca="1" si="9"/>
        <v>23</v>
      </c>
      <c r="AK15" s="216"/>
      <c r="AL15" s="216"/>
      <c r="AM15" s="216"/>
      <c r="AN15" s="216"/>
      <c r="AO15" s="221" t="s">
        <v>244</v>
      </c>
      <c r="AQ15" s="215" t="s">
        <v>221</v>
      </c>
      <c r="AR15" s="216" t="str">
        <f t="shared" si="10"/>
        <v>EUR</v>
      </c>
      <c r="AS15" s="217" t="str">
        <f t="shared" si="11"/>
        <v>PAY</v>
      </c>
      <c r="AT15" s="218">
        <f t="shared" si="12"/>
        <v>1000000</v>
      </c>
      <c r="AU15" s="216" t="s">
        <v>219</v>
      </c>
      <c r="AV15" s="219">
        <v>1</v>
      </c>
      <c r="AW15" s="217">
        <f t="shared" ca="1" si="13"/>
        <v>42423</v>
      </c>
      <c r="AX15" s="217" t="str">
        <f t="shared" si="14"/>
        <v>10Y</v>
      </c>
      <c r="AY15" s="216" t="str">
        <f t="shared" si="15"/>
        <v>SEMI-ANNUAL</v>
      </c>
      <c r="AZ15" s="220">
        <f t="shared" si="16"/>
        <v>0</v>
      </c>
      <c r="BA15" s="216" t="s">
        <v>80</v>
      </c>
      <c r="BB15" s="216" t="str">
        <f t="shared" si="17"/>
        <v>EUR6ML</v>
      </c>
      <c r="BC15" s="216" t="s">
        <v>252</v>
      </c>
      <c r="BD15" s="216" t="s">
        <v>6</v>
      </c>
      <c r="BE15" s="216" t="s">
        <v>22</v>
      </c>
      <c r="BF15" s="216" t="s">
        <v>2</v>
      </c>
      <c r="BG15" s="216" t="s">
        <v>22</v>
      </c>
      <c r="BH15" s="216" t="s">
        <v>2</v>
      </c>
      <c r="BI15" s="216" t="s">
        <v>194</v>
      </c>
      <c r="BJ15" s="216" t="s">
        <v>22</v>
      </c>
      <c r="BK15" s="216" t="s">
        <v>2</v>
      </c>
      <c r="BL15" s="216" t="s">
        <v>194</v>
      </c>
      <c r="BM15" s="216">
        <f t="shared" ca="1" si="18"/>
        <v>23</v>
      </c>
      <c r="BN15" s="216"/>
      <c r="BO15" s="216"/>
      <c r="BP15" s="216"/>
      <c r="BQ15" s="216"/>
      <c r="BR15" s="221" t="s">
        <v>244</v>
      </c>
      <c r="BS15" s="160"/>
      <c r="BT15" s="215" t="str">
        <f ca="1">_xll.meLWOSwapCreateFromLegLVBs("Basis3x6_"&amp;$F15,_xll.meUtilityLVBFromKeysValues(Leg1Keys,$N15:$AO15),_xll.meUtilityLVBFromKeysValues(Leg2Keys,$AQ15:$BR15),FALSE)</f>
        <v>BASIS3X6_10Y:2</v>
      </c>
      <c r="BU15" s="230">
        <f ca="1">_xll.meLWOSwapPV(BT15,BA15)</f>
        <v>-11158.395920001749</v>
      </c>
      <c r="BV15" s="231">
        <f ca="1">_xll.meLWOSwapTenorBasisSpread($BT15,BA15)</f>
        <v>11.025008026493905</v>
      </c>
      <c r="BW15" s="232">
        <f t="shared" ca="1" si="19"/>
        <v>8.0264939050778139E-6</v>
      </c>
      <c r="BY15" s="273" t="str">
        <f>'EUR BASIS 3ML'!G48</f>
        <v>10Y</v>
      </c>
      <c r="BZ15" s="274">
        <f>'EUR BASIS 3ML'!H48</f>
        <v>1.1025E-3</v>
      </c>
      <c r="CA15" s="275">
        <f t="shared" si="20"/>
        <v>11.025</v>
      </c>
    </row>
    <row r="16" spans="2:79" x14ac:dyDescent="0.25">
      <c r="B16" s="204" t="s">
        <v>17</v>
      </c>
      <c r="C16" s="205">
        <v>1000000</v>
      </c>
      <c r="D16" s="206" t="s">
        <v>196</v>
      </c>
      <c r="E16" s="268">
        <f ca="1">_xll.meDateFromTenor(COB,$D16,$AG16,$AH16)</f>
        <v>42423</v>
      </c>
      <c r="F16" s="207" t="s">
        <v>62</v>
      </c>
      <c r="G16" s="263" t="s">
        <v>229</v>
      </c>
      <c r="H16" s="154" t="s">
        <v>247</v>
      </c>
      <c r="I16" s="264">
        <v>0</v>
      </c>
      <c r="J16" s="207" t="s">
        <v>253</v>
      </c>
      <c r="K16" s="154" t="s">
        <v>243</v>
      </c>
      <c r="L16" s="208">
        <v>0</v>
      </c>
      <c r="M16" s="183"/>
      <c r="N16" s="215" t="s">
        <v>242</v>
      </c>
      <c r="O16" s="216" t="str">
        <f t="shared" si="1"/>
        <v>EUR</v>
      </c>
      <c r="P16" s="217" t="str">
        <f t="shared" si="2"/>
        <v>RECEIVE</v>
      </c>
      <c r="Q16" s="218">
        <f t="shared" si="3"/>
        <v>1000000</v>
      </c>
      <c r="R16" s="216" t="s">
        <v>219</v>
      </c>
      <c r="S16" s="219">
        <v>1</v>
      </c>
      <c r="T16" s="217">
        <f t="shared" ca="1" si="4"/>
        <v>42423</v>
      </c>
      <c r="U16" s="217" t="str">
        <f t="shared" si="5"/>
        <v>11Y</v>
      </c>
      <c r="V16" s="216" t="str">
        <f t="shared" si="6"/>
        <v>QUARTERLY</v>
      </c>
      <c r="W16" s="220">
        <f t="shared" si="7"/>
        <v>0</v>
      </c>
      <c r="X16" s="216" t="str">
        <f t="shared" si="0"/>
        <v>EURYC</v>
      </c>
      <c r="Y16" s="216" t="str">
        <f t="shared" si="8"/>
        <v>EUR3ML</v>
      </c>
      <c r="Z16" s="216" t="s">
        <v>252</v>
      </c>
      <c r="AA16" s="216" t="s">
        <v>6</v>
      </c>
      <c r="AB16" s="216" t="s">
        <v>22</v>
      </c>
      <c r="AC16" s="216" t="s">
        <v>2</v>
      </c>
      <c r="AD16" s="216" t="s">
        <v>22</v>
      </c>
      <c r="AE16" s="216" t="s">
        <v>2</v>
      </c>
      <c r="AF16" s="216" t="s">
        <v>194</v>
      </c>
      <c r="AG16" s="216" t="s">
        <v>22</v>
      </c>
      <c r="AH16" s="216" t="s">
        <v>2</v>
      </c>
      <c r="AI16" s="216" t="s">
        <v>194</v>
      </c>
      <c r="AJ16" s="216">
        <f t="shared" ca="1" si="9"/>
        <v>23</v>
      </c>
      <c r="AK16" s="216"/>
      <c r="AL16" s="216"/>
      <c r="AM16" s="216"/>
      <c r="AN16" s="216"/>
      <c r="AO16" s="221" t="s">
        <v>244</v>
      </c>
      <c r="AQ16" s="215" t="s">
        <v>221</v>
      </c>
      <c r="AR16" s="216" t="str">
        <f t="shared" si="10"/>
        <v>EUR</v>
      </c>
      <c r="AS16" s="217" t="str">
        <f t="shared" si="11"/>
        <v>PAY</v>
      </c>
      <c r="AT16" s="218">
        <f t="shared" si="12"/>
        <v>1000000</v>
      </c>
      <c r="AU16" s="216" t="s">
        <v>219</v>
      </c>
      <c r="AV16" s="219">
        <v>1</v>
      </c>
      <c r="AW16" s="217">
        <f t="shared" ca="1" si="13"/>
        <v>42423</v>
      </c>
      <c r="AX16" s="217" t="str">
        <f t="shared" si="14"/>
        <v>11Y</v>
      </c>
      <c r="AY16" s="216" t="str">
        <f t="shared" si="15"/>
        <v>SEMI-ANNUAL</v>
      </c>
      <c r="AZ16" s="220">
        <f t="shared" si="16"/>
        <v>0</v>
      </c>
      <c r="BA16" s="216" t="s">
        <v>80</v>
      </c>
      <c r="BB16" s="216" t="str">
        <f t="shared" si="17"/>
        <v>EUR6ML</v>
      </c>
      <c r="BC16" s="216" t="s">
        <v>252</v>
      </c>
      <c r="BD16" s="216" t="s">
        <v>6</v>
      </c>
      <c r="BE16" s="216" t="s">
        <v>22</v>
      </c>
      <c r="BF16" s="216" t="s">
        <v>2</v>
      </c>
      <c r="BG16" s="216" t="s">
        <v>22</v>
      </c>
      <c r="BH16" s="216" t="s">
        <v>2</v>
      </c>
      <c r="BI16" s="216" t="s">
        <v>194</v>
      </c>
      <c r="BJ16" s="216" t="s">
        <v>22</v>
      </c>
      <c r="BK16" s="216" t="s">
        <v>2</v>
      </c>
      <c r="BL16" s="216" t="s">
        <v>194</v>
      </c>
      <c r="BM16" s="216">
        <f t="shared" ca="1" si="18"/>
        <v>23</v>
      </c>
      <c r="BN16" s="216"/>
      <c r="BO16" s="216"/>
      <c r="BP16" s="216"/>
      <c r="BQ16" s="216"/>
      <c r="BR16" s="221" t="s">
        <v>244</v>
      </c>
      <c r="BS16" s="160"/>
      <c r="BT16" s="215" t="str">
        <f ca="1">_xll.meLWOSwapCreateFromLegLVBs("Basis3x6_"&amp;$F16,_xll.meUtilityLVBFromKeysValues(Leg1Keys,$N16:$AO16),_xll.meUtilityLVBFromKeysValues(Leg2Keys,$AQ16:$BR16),FALSE)</f>
        <v>BASIS3X6_11Y:2</v>
      </c>
      <c r="BU16" s="230">
        <f ca="1">_xll.meLWOSwapPV(BT16,BA16)</f>
        <v>-11553.391197950463</v>
      </c>
      <c r="BV16" s="231">
        <f ca="1">_xll.meLWOSwapTenorBasisSpread($BT16,BA16)</f>
        <v>10.424965750981134</v>
      </c>
      <c r="BW16" s="232">
        <f t="shared" ca="1" si="19"/>
        <v>-3.4249018867171799E-5</v>
      </c>
      <c r="BY16" s="273" t="str">
        <f>'EUR BASIS 3ML'!G49</f>
        <v>11Y</v>
      </c>
      <c r="BZ16" s="274">
        <f>'EUR BASIS 3ML'!H49</f>
        <v>1.0425E-3</v>
      </c>
      <c r="CA16" s="275">
        <f t="shared" si="20"/>
        <v>10.425000000000001</v>
      </c>
    </row>
    <row r="17" spans="2:79" x14ac:dyDescent="0.25">
      <c r="B17" s="204" t="s">
        <v>17</v>
      </c>
      <c r="C17" s="205">
        <v>1000000</v>
      </c>
      <c r="D17" s="206" t="s">
        <v>196</v>
      </c>
      <c r="E17" s="268">
        <f ca="1">_xll.meDateFromTenor(COB,$D17,$AG17,$AH17)</f>
        <v>42423</v>
      </c>
      <c r="F17" s="207" t="s">
        <v>63</v>
      </c>
      <c r="G17" s="263" t="s">
        <v>229</v>
      </c>
      <c r="H17" s="154" t="s">
        <v>247</v>
      </c>
      <c r="I17" s="264">
        <v>0</v>
      </c>
      <c r="J17" s="207" t="s">
        <v>253</v>
      </c>
      <c r="K17" s="154" t="s">
        <v>243</v>
      </c>
      <c r="L17" s="208">
        <v>0</v>
      </c>
      <c r="M17" s="183"/>
      <c r="N17" s="215" t="s">
        <v>242</v>
      </c>
      <c r="O17" s="216" t="str">
        <f t="shared" si="1"/>
        <v>EUR</v>
      </c>
      <c r="P17" s="217" t="str">
        <f t="shared" si="2"/>
        <v>RECEIVE</v>
      </c>
      <c r="Q17" s="218">
        <f t="shared" si="3"/>
        <v>1000000</v>
      </c>
      <c r="R17" s="216" t="s">
        <v>219</v>
      </c>
      <c r="S17" s="219">
        <v>1</v>
      </c>
      <c r="T17" s="217">
        <f t="shared" ca="1" si="4"/>
        <v>42423</v>
      </c>
      <c r="U17" s="217" t="str">
        <f t="shared" si="5"/>
        <v>12Y</v>
      </c>
      <c r="V17" s="216" t="str">
        <f t="shared" si="6"/>
        <v>QUARTERLY</v>
      </c>
      <c r="W17" s="220">
        <f t="shared" si="7"/>
        <v>0</v>
      </c>
      <c r="X17" s="216" t="str">
        <f t="shared" si="0"/>
        <v>EURYC</v>
      </c>
      <c r="Y17" s="216" t="str">
        <f t="shared" si="8"/>
        <v>EUR3ML</v>
      </c>
      <c r="Z17" s="216" t="s">
        <v>252</v>
      </c>
      <c r="AA17" s="216" t="s">
        <v>6</v>
      </c>
      <c r="AB17" s="216" t="s">
        <v>22</v>
      </c>
      <c r="AC17" s="216" t="s">
        <v>2</v>
      </c>
      <c r="AD17" s="216" t="s">
        <v>22</v>
      </c>
      <c r="AE17" s="216" t="s">
        <v>2</v>
      </c>
      <c r="AF17" s="216" t="s">
        <v>194</v>
      </c>
      <c r="AG17" s="216" t="s">
        <v>22</v>
      </c>
      <c r="AH17" s="216" t="s">
        <v>2</v>
      </c>
      <c r="AI17" s="216" t="s">
        <v>194</v>
      </c>
      <c r="AJ17" s="216">
        <f t="shared" ca="1" si="9"/>
        <v>23</v>
      </c>
      <c r="AK17" s="216"/>
      <c r="AL17" s="216"/>
      <c r="AM17" s="216"/>
      <c r="AN17" s="216"/>
      <c r="AO17" s="221" t="s">
        <v>244</v>
      </c>
      <c r="AQ17" s="215" t="s">
        <v>221</v>
      </c>
      <c r="AR17" s="216" t="str">
        <f t="shared" si="10"/>
        <v>EUR</v>
      </c>
      <c r="AS17" s="217" t="str">
        <f t="shared" si="11"/>
        <v>PAY</v>
      </c>
      <c r="AT17" s="218">
        <f t="shared" si="12"/>
        <v>1000000</v>
      </c>
      <c r="AU17" s="216" t="s">
        <v>219</v>
      </c>
      <c r="AV17" s="219">
        <v>1</v>
      </c>
      <c r="AW17" s="217">
        <f t="shared" ca="1" si="13"/>
        <v>42423</v>
      </c>
      <c r="AX17" s="217" t="str">
        <f t="shared" si="14"/>
        <v>12Y</v>
      </c>
      <c r="AY17" s="216" t="str">
        <f t="shared" si="15"/>
        <v>SEMI-ANNUAL</v>
      </c>
      <c r="AZ17" s="220">
        <f t="shared" si="16"/>
        <v>0</v>
      </c>
      <c r="BA17" s="216" t="s">
        <v>80</v>
      </c>
      <c r="BB17" s="216" t="str">
        <f t="shared" si="17"/>
        <v>EUR6ML</v>
      </c>
      <c r="BC17" s="216" t="s">
        <v>252</v>
      </c>
      <c r="BD17" s="216" t="s">
        <v>6</v>
      </c>
      <c r="BE17" s="216" t="s">
        <v>22</v>
      </c>
      <c r="BF17" s="216" t="s">
        <v>2</v>
      </c>
      <c r="BG17" s="216" t="s">
        <v>22</v>
      </c>
      <c r="BH17" s="216" t="s">
        <v>2</v>
      </c>
      <c r="BI17" s="216" t="s">
        <v>194</v>
      </c>
      <c r="BJ17" s="216" t="s">
        <v>22</v>
      </c>
      <c r="BK17" s="216" t="s">
        <v>2</v>
      </c>
      <c r="BL17" s="216" t="s">
        <v>194</v>
      </c>
      <c r="BM17" s="216">
        <f t="shared" ca="1" si="18"/>
        <v>23</v>
      </c>
      <c r="BN17" s="216"/>
      <c r="BO17" s="216"/>
      <c r="BP17" s="216"/>
      <c r="BQ17" s="216"/>
      <c r="BR17" s="221" t="s">
        <v>244</v>
      </c>
      <c r="BS17" s="160"/>
      <c r="BT17" s="215" t="str">
        <f ca="1">_xll.meLWOSwapCreateFromLegLVBs("Basis3x6_"&amp;$F17,_xll.meUtilityLVBFromKeysValues(Leg1Keys,$N17:$AO17),_xll.meUtilityLVBFromKeysValues(Leg2Keys,$AQ17:$BR17),FALSE)</f>
        <v>BASIS3X6_12Y:2</v>
      </c>
      <c r="BU17" s="230">
        <f ca="1">_xll.meLWOSwapPV(BT17,BA17)</f>
        <v>-11938.268303555611</v>
      </c>
      <c r="BV17" s="231">
        <f ca="1">_xll.meLWOSwapTenorBasisSpread($BT17,BA17)</f>
        <v>9.9252486536935525</v>
      </c>
      <c r="BW17" s="232">
        <f t="shared" ca="1" si="19"/>
        <v>2.4865369355175915E-4</v>
      </c>
      <c r="BY17" s="273" t="str">
        <f>'EUR BASIS 3ML'!G50</f>
        <v>12Y</v>
      </c>
      <c r="BZ17" s="274">
        <f>'EUR BASIS 3ML'!H50</f>
        <v>9.9250000000000011E-4</v>
      </c>
      <c r="CA17" s="275">
        <f t="shared" si="20"/>
        <v>9.9250000000000007</v>
      </c>
    </row>
    <row r="18" spans="2:79" x14ac:dyDescent="0.25">
      <c r="B18" s="204" t="s">
        <v>17</v>
      </c>
      <c r="C18" s="205">
        <v>1000000</v>
      </c>
      <c r="D18" s="206" t="s">
        <v>196</v>
      </c>
      <c r="E18" s="268">
        <f ca="1">_xll.meDateFromTenor(COB,$D18,$AG18,$AH18)</f>
        <v>42423</v>
      </c>
      <c r="F18" s="207" t="s">
        <v>64</v>
      </c>
      <c r="G18" s="263" t="s">
        <v>229</v>
      </c>
      <c r="H18" s="154" t="s">
        <v>247</v>
      </c>
      <c r="I18" s="264">
        <v>0</v>
      </c>
      <c r="J18" s="207" t="s">
        <v>253</v>
      </c>
      <c r="K18" s="154" t="s">
        <v>243</v>
      </c>
      <c r="L18" s="208">
        <v>0</v>
      </c>
      <c r="M18" s="183"/>
      <c r="N18" s="215" t="s">
        <v>242</v>
      </c>
      <c r="O18" s="216" t="str">
        <f t="shared" si="1"/>
        <v>EUR</v>
      </c>
      <c r="P18" s="217" t="str">
        <f t="shared" si="2"/>
        <v>RECEIVE</v>
      </c>
      <c r="Q18" s="218">
        <f t="shared" si="3"/>
        <v>1000000</v>
      </c>
      <c r="R18" s="216" t="s">
        <v>219</v>
      </c>
      <c r="S18" s="219">
        <v>1</v>
      </c>
      <c r="T18" s="217">
        <f t="shared" ca="1" si="4"/>
        <v>42423</v>
      </c>
      <c r="U18" s="217" t="str">
        <f t="shared" si="5"/>
        <v>15Y</v>
      </c>
      <c r="V18" s="216" t="str">
        <f t="shared" si="6"/>
        <v>QUARTERLY</v>
      </c>
      <c r="W18" s="220">
        <f t="shared" si="7"/>
        <v>0</v>
      </c>
      <c r="X18" s="216" t="str">
        <f t="shared" si="0"/>
        <v>EURYC</v>
      </c>
      <c r="Y18" s="216" t="str">
        <f t="shared" si="8"/>
        <v>EUR3ML</v>
      </c>
      <c r="Z18" s="216" t="s">
        <v>252</v>
      </c>
      <c r="AA18" s="216" t="s">
        <v>6</v>
      </c>
      <c r="AB18" s="216" t="s">
        <v>22</v>
      </c>
      <c r="AC18" s="216" t="s">
        <v>2</v>
      </c>
      <c r="AD18" s="216" t="s">
        <v>22</v>
      </c>
      <c r="AE18" s="216" t="s">
        <v>2</v>
      </c>
      <c r="AF18" s="216" t="s">
        <v>194</v>
      </c>
      <c r="AG18" s="216" t="s">
        <v>22</v>
      </c>
      <c r="AH18" s="216" t="s">
        <v>2</v>
      </c>
      <c r="AI18" s="216" t="s">
        <v>194</v>
      </c>
      <c r="AJ18" s="216">
        <f t="shared" ca="1" si="9"/>
        <v>23</v>
      </c>
      <c r="AK18" s="216"/>
      <c r="AL18" s="216"/>
      <c r="AM18" s="216"/>
      <c r="AN18" s="216"/>
      <c r="AO18" s="221" t="s">
        <v>244</v>
      </c>
      <c r="AQ18" s="215" t="s">
        <v>221</v>
      </c>
      <c r="AR18" s="216" t="str">
        <f t="shared" si="10"/>
        <v>EUR</v>
      </c>
      <c r="AS18" s="217" t="str">
        <f t="shared" si="11"/>
        <v>PAY</v>
      </c>
      <c r="AT18" s="218">
        <f t="shared" si="12"/>
        <v>1000000</v>
      </c>
      <c r="AU18" s="216" t="s">
        <v>219</v>
      </c>
      <c r="AV18" s="219">
        <v>1</v>
      </c>
      <c r="AW18" s="217">
        <f t="shared" ca="1" si="13"/>
        <v>42423</v>
      </c>
      <c r="AX18" s="217" t="str">
        <f t="shared" si="14"/>
        <v>15Y</v>
      </c>
      <c r="AY18" s="216" t="str">
        <f t="shared" si="15"/>
        <v>SEMI-ANNUAL</v>
      </c>
      <c r="AZ18" s="220">
        <f t="shared" si="16"/>
        <v>0</v>
      </c>
      <c r="BA18" s="216" t="s">
        <v>80</v>
      </c>
      <c r="BB18" s="216" t="str">
        <f t="shared" si="17"/>
        <v>EUR6ML</v>
      </c>
      <c r="BC18" s="216" t="s">
        <v>252</v>
      </c>
      <c r="BD18" s="216" t="s">
        <v>6</v>
      </c>
      <c r="BE18" s="216" t="s">
        <v>22</v>
      </c>
      <c r="BF18" s="216" t="s">
        <v>2</v>
      </c>
      <c r="BG18" s="216" t="s">
        <v>22</v>
      </c>
      <c r="BH18" s="216" t="s">
        <v>2</v>
      </c>
      <c r="BI18" s="216" t="s">
        <v>194</v>
      </c>
      <c r="BJ18" s="216" t="s">
        <v>22</v>
      </c>
      <c r="BK18" s="216" t="s">
        <v>2</v>
      </c>
      <c r="BL18" s="216" t="s">
        <v>194</v>
      </c>
      <c r="BM18" s="216">
        <f t="shared" ca="1" si="18"/>
        <v>23</v>
      </c>
      <c r="BN18" s="216"/>
      <c r="BO18" s="216"/>
      <c r="BP18" s="216"/>
      <c r="BQ18" s="216"/>
      <c r="BR18" s="221" t="s">
        <v>244</v>
      </c>
      <c r="BS18" s="160"/>
      <c r="BT18" s="215" t="str">
        <f ca="1">_xll.meLWOSwapCreateFromLegLVBs("Basis3x6_"&amp;$F18,_xll.meUtilityLVBFromKeysValues(Leg1Keys,$N18:$AO18),_xll.meUtilityLVBFromKeysValues(Leg2Keys,$AQ18:$BR18),FALSE)</f>
        <v>BASIS3X6_15Y:2</v>
      </c>
      <c r="BU18" s="230">
        <f ca="1">_xll.meLWOSwapPV(BT18,BA18)</f>
        <v>-12744.95924929835</v>
      </c>
      <c r="BV18" s="231">
        <f ca="1">_xll.meLWOSwapTenorBasisSpread($BT18,BA18)</f>
        <v>8.6250409556650869</v>
      </c>
      <c r="BW18" s="232">
        <f t="shared" ca="1" si="19"/>
        <v>4.0955665086883641E-5</v>
      </c>
      <c r="BY18" s="273" t="str">
        <f>'EUR BASIS 3ML'!G51</f>
        <v>15Y</v>
      </c>
      <c r="BZ18" s="274">
        <f>'EUR BASIS 3ML'!H51</f>
        <v>8.6249999999999999E-4</v>
      </c>
      <c r="CA18" s="275">
        <f t="shared" si="20"/>
        <v>8.625</v>
      </c>
    </row>
    <row r="19" spans="2:79" x14ac:dyDescent="0.25">
      <c r="B19" s="204" t="s">
        <v>17</v>
      </c>
      <c r="C19" s="205">
        <v>1000000</v>
      </c>
      <c r="D19" s="206" t="s">
        <v>196</v>
      </c>
      <c r="E19" s="268">
        <f ca="1">_xll.meDateFromTenor(COB,$D19,$AG19,$AH19)</f>
        <v>42423</v>
      </c>
      <c r="F19" s="207" t="s">
        <v>65</v>
      </c>
      <c r="G19" s="263" t="s">
        <v>229</v>
      </c>
      <c r="H19" s="154" t="s">
        <v>247</v>
      </c>
      <c r="I19" s="264">
        <v>0</v>
      </c>
      <c r="J19" s="207" t="s">
        <v>253</v>
      </c>
      <c r="K19" s="154" t="s">
        <v>243</v>
      </c>
      <c r="L19" s="208">
        <v>0</v>
      </c>
      <c r="M19" s="183"/>
      <c r="N19" s="215" t="s">
        <v>242</v>
      </c>
      <c r="O19" s="216" t="str">
        <f t="shared" si="1"/>
        <v>EUR</v>
      </c>
      <c r="P19" s="217" t="str">
        <f t="shared" si="2"/>
        <v>RECEIVE</v>
      </c>
      <c r="Q19" s="218">
        <f t="shared" si="3"/>
        <v>1000000</v>
      </c>
      <c r="R19" s="216" t="s">
        <v>219</v>
      </c>
      <c r="S19" s="219">
        <v>1</v>
      </c>
      <c r="T19" s="217">
        <f t="shared" ca="1" si="4"/>
        <v>42423</v>
      </c>
      <c r="U19" s="217" t="str">
        <f t="shared" si="5"/>
        <v>20Y</v>
      </c>
      <c r="V19" s="216" t="str">
        <f t="shared" si="6"/>
        <v>QUARTERLY</v>
      </c>
      <c r="W19" s="220">
        <f t="shared" si="7"/>
        <v>0</v>
      </c>
      <c r="X19" s="216" t="str">
        <f t="shared" si="0"/>
        <v>EURYC</v>
      </c>
      <c r="Y19" s="216" t="str">
        <f t="shared" si="8"/>
        <v>EUR3ML</v>
      </c>
      <c r="Z19" s="216" t="s">
        <v>252</v>
      </c>
      <c r="AA19" s="216" t="s">
        <v>6</v>
      </c>
      <c r="AB19" s="216" t="s">
        <v>22</v>
      </c>
      <c r="AC19" s="216" t="s">
        <v>2</v>
      </c>
      <c r="AD19" s="216" t="s">
        <v>22</v>
      </c>
      <c r="AE19" s="216" t="s">
        <v>2</v>
      </c>
      <c r="AF19" s="216" t="s">
        <v>194</v>
      </c>
      <c r="AG19" s="216" t="s">
        <v>22</v>
      </c>
      <c r="AH19" s="216" t="s">
        <v>2</v>
      </c>
      <c r="AI19" s="216" t="s">
        <v>194</v>
      </c>
      <c r="AJ19" s="216">
        <f t="shared" ca="1" si="9"/>
        <v>23</v>
      </c>
      <c r="AK19" s="216"/>
      <c r="AL19" s="216"/>
      <c r="AM19" s="216"/>
      <c r="AN19" s="216"/>
      <c r="AO19" s="221" t="s">
        <v>244</v>
      </c>
      <c r="AQ19" s="215" t="s">
        <v>221</v>
      </c>
      <c r="AR19" s="216" t="str">
        <f t="shared" si="10"/>
        <v>EUR</v>
      </c>
      <c r="AS19" s="217" t="str">
        <f t="shared" si="11"/>
        <v>PAY</v>
      </c>
      <c r="AT19" s="218">
        <f t="shared" si="12"/>
        <v>1000000</v>
      </c>
      <c r="AU19" s="216" t="s">
        <v>219</v>
      </c>
      <c r="AV19" s="219">
        <v>1</v>
      </c>
      <c r="AW19" s="217">
        <f t="shared" ca="1" si="13"/>
        <v>42423</v>
      </c>
      <c r="AX19" s="217" t="str">
        <f t="shared" si="14"/>
        <v>20Y</v>
      </c>
      <c r="AY19" s="216" t="str">
        <f t="shared" si="15"/>
        <v>SEMI-ANNUAL</v>
      </c>
      <c r="AZ19" s="220">
        <f t="shared" si="16"/>
        <v>0</v>
      </c>
      <c r="BA19" s="216" t="s">
        <v>80</v>
      </c>
      <c r="BB19" s="216" t="str">
        <f t="shared" si="17"/>
        <v>EUR6ML</v>
      </c>
      <c r="BC19" s="216" t="s">
        <v>252</v>
      </c>
      <c r="BD19" s="216" t="s">
        <v>6</v>
      </c>
      <c r="BE19" s="216" t="s">
        <v>22</v>
      </c>
      <c r="BF19" s="216" t="s">
        <v>2</v>
      </c>
      <c r="BG19" s="216" t="s">
        <v>22</v>
      </c>
      <c r="BH19" s="216" t="s">
        <v>2</v>
      </c>
      <c r="BI19" s="216" t="s">
        <v>194</v>
      </c>
      <c r="BJ19" s="216" t="s">
        <v>22</v>
      </c>
      <c r="BK19" s="216" t="s">
        <v>2</v>
      </c>
      <c r="BL19" s="216" t="s">
        <v>194</v>
      </c>
      <c r="BM19" s="216">
        <f t="shared" ca="1" si="18"/>
        <v>23</v>
      </c>
      <c r="BN19" s="216"/>
      <c r="BO19" s="216"/>
      <c r="BP19" s="216"/>
      <c r="BQ19" s="216"/>
      <c r="BR19" s="221" t="s">
        <v>244</v>
      </c>
      <c r="BS19" s="160"/>
      <c r="BT19" s="215" t="str">
        <f ca="1">_xll.meLWOSwapCreateFromLegLVBs("Basis3x6_"&amp;$F19,_xll.meUtilityLVBFromKeysValues(Leg1Keys,$N19:$AO19),_xll.meUtilityLVBFromKeysValues(Leg2Keys,$AQ19:$BR19),FALSE)</f>
        <v>BASIS3X6_20Y:2</v>
      </c>
      <c r="BU19" s="230">
        <f ca="1">_xll.meLWOSwapPV(BT19,BA19)</f>
        <v>-13105.992198887048</v>
      </c>
      <c r="BV19" s="231">
        <f ca="1">_xll.meLWOSwapTenorBasisSpread($BT19,BA19)</f>
        <v>6.874894265451494</v>
      </c>
      <c r="BW19" s="232">
        <f t="shared" ca="1" si="19"/>
        <v>-1.0573454850604236E-4</v>
      </c>
      <c r="BY19" s="273" t="str">
        <f>'EUR BASIS 3ML'!G52</f>
        <v>20Y</v>
      </c>
      <c r="BZ19" s="274">
        <f>'EUR BASIS 3ML'!H52</f>
        <v>6.8749999999999996E-4</v>
      </c>
      <c r="CA19" s="275">
        <f t="shared" si="20"/>
        <v>6.875</v>
      </c>
    </row>
    <row r="20" spans="2:79" x14ac:dyDescent="0.25">
      <c r="B20" s="204" t="s">
        <v>17</v>
      </c>
      <c r="C20" s="205">
        <v>1000000</v>
      </c>
      <c r="D20" s="206" t="s">
        <v>196</v>
      </c>
      <c r="E20" s="268">
        <f ca="1">_xll.meDateFromTenor(COB,$D20,$AG20,$AH20)</f>
        <v>42423</v>
      </c>
      <c r="F20" s="207" t="s">
        <v>66</v>
      </c>
      <c r="G20" s="263" t="s">
        <v>229</v>
      </c>
      <c r="H20" s="154" t="s">
        <v>247</v>
      </c>
      <c r="I20" s="264">
        <v>0</v>
      </c>
      <c r="J20" s="207" t="s">
        <v>253</v>
      </c>
      <c r="K20" s="154" t="s">
        <v>243</v>
      </c>
      <c r="L20" s="208">
        <v>0</v>
      </c>
      <c r="M20" s="183"/>
      <c r="N20" s="215" t="s">
        <v>242</v>
      </c>
      <c r="O20" s="216" t="str">
        <f t="shared" si="1"/>
        <v>EUR</v>
      </c>
      <c r="P20" s="217" t="str">
        <f t="shared" si="2"/>
        <v>RECEIVE</v>
      </c>
      <c r="Q20" s="218">
        <f t="shared" si="3"/>
        <v>1000000</v>
      </c>
      <c r="R20" s="216" t="s">
        <v>219</v>
      </c>
      <c r="S20" s="219">
        <v>1</v>
      </c>
      <c r="T20" s="217">
        <f t="shared" ca="1" si="4"/>
        <v>42423</v>
      </c>
      <c r="U20" s="217" t="str">
        <f t="shared" si="5"/>
        <v>25Y</v>
      </c>
      <c r="V20" s="216" t="str">
        <f t="shared" si="6"/>
        <v>QUARTERLY</v>
      </c>
      <c r="W20" s="220">
        <f t="shared" si="7"/>
        <v>0</v>
      </c>
      <c r="X20" s="216" t="str">
        <f t="shared" si="0"/>
        <v>EURYC</v>
      </c>
      <c r="Y20" s="216" t="str">
        <f t="shared" si="8"/>
        <v>EUR3ML</v>
      </c>
      <c r="Z20" s="216" t="s">
        <v>252</v>
      </c>
      <c r="AA20" s="216" t="s">
        <v>6</v>
      </c>
      <c r="AB20" s="216" t="s">
        <v>22</v>
      </c>
      <c r="AC20" s="216" t="s">
        <v>2</v>
      </c>
      <c r="AD20" s="216" t="s">
        <v>22</v>
      </c>
      <c r="AE20" s="216" t="s">
        <v>2</v>
      </c>
      <c r="AF20" s="216" t="s">
        <v>194</v>
      </c>
      <c r="AG20" s="216" t="s">
        <v>22</v>
      </c>
      <c r="AH20" s="216" t="s">
        <v>2</v>
      </c>
      <c r="AI20" s="216" t="s">
        <v>194</v>
      </c>
      <c r="AJ20" s="216">
        <f t="shared" ca="1" si="9"/>
        <v>23</v>
      </c>
      <c r="AK20" s="216"/>
      <c r="AL20" s="216"/>
      <c r="AM20" s="216"/>
      <c r="AN20" s="216"/>
      <c r="AO20" s="221" t="s">
        <v>244</v>
      </c>
      <c r="AQ20" s="215" t="s">
        <v>221</v>
      </c>
      <c r="AR20" s="216" t="str">
        <f t="shared" si="10"/>
        <v>EUR</v>
      </c>
      <c r="AS20" s="217" t="str">
        <f t="shared" si="11"/>
        <v>PAY</v>
      </c>
      <c r="AT20" s="218">
        <f t="shared" si="12"/>
        <v>1000000</v>
      </c>
      <c r="AU20" s="216" t="s">
        <v>219</v>
      </c>
      <c r="AV20" s="219">
        <v>1</v>
      </c>
      <c r="AW20" s="217">
        <f t="shared" ca="1" si="13"/>
        <v>42423</v>
      </c>
      <c r="AX20" s="217" t="str">
        <f t="shared" si="14"/>
        <v>25Y</v>
      </c>
      <c r="AY20" s="216" t="str">
        <f t="shared" si="15"/>
        <v>SEMI-ANNUAL</v>
      </c>
      <c r="AZ20" s="220">
        <f t="shared" si="16"/>
        <v>0</v>
      </c>
      <c r="BA20" s="216" t="s">
        <v>80</v>
      </c>
      <c r="BB20" s="216" t="str">
        <f t="shared" si="17"/>
        <v>EUR6ML</v>
      </c>
      <c r="BC20" s="216" t="s">
        <v>252</v>
      </c>
      <c r="BD20" s="216" t="s">
        <v>6</v>
      </c>
      <c r="BE20" s="216" t="s">
        <v>22</v>
      </c>
      <c r="BF20" s="216" t="s">
        <v>2</v>
      </c>
      <c r="BG20" s="216" t="s">
        <v>22</v>
      </c>
      <c r="BH20" s="216" t="s">
        <v>2</v>
      </c>
      <c r="BI20" s="216" t="s">
        <v>194</v>
      </c>
      <c r="BJ20" s="216" t="s">
        <v>22</v>
      </c>
      <c r="BK20" s="216" t="s">
        <v>2</v>
      </c>
      <c r="BL20" s="216" t="s">
        <v>194</v>
      </c>
      <c r="BM20" s="216">
        <f t="shared" ca="1" si="18"/>
        <v>23</v>
      </c>
      <c r="BN20" s="216"/>
      <c r="BO20" s="216"/>
      <c r="BP20" s="216"/>
      <c r="BQ20" s="216"/>
      <c r="BR20" s="221" t="s">
        <v>244</v>
      </c>
      <c r="BS20" s="160"/>
      <c r="BT20" s="215" t="str">
        <f ca="1">_xll.meLWOSwapCreateFromLegLVBs("Basis3x6_"&amp;$F20,_xll.meUtilityLVBFromKeysValues(Leg1Keys,$N20:$AO20),_xll.meUtilityLVBFromKeysValues(Leg2Keys,$AQ20:$BR20),FALSE)</f>
        <v>BASIS3X6_25Y:2</v>
      </c>
      <c r="BU20" s="230">
        <f ca="1">_xll.meLWOSwapPV(BT20,BA20)</f>
        <v>-13429.345571053884</v>
      </c>
      <c r="BV20" s="231">
        <f ca="1">_xll.meLWOSwapTenorBasisSpread($BT20,BA20)</f>
        <v>5.8249048695570291</v>
      </c>
      <c r="BW20" s="232">
        <f t="shared" ca="1" si="19"/>
        <v>-9.5130442971047557E-5</v>
      </c>
      <c r="BY20" s="273" t="str">
        <f>'EUR BASIS 3ML'!G53</f>
        <v>25Y</v>
      </c>
      <c r="BZ20" s="274">
        <f>'EUR BASIS 3ML'!H53</f>
        <v>5.8250000000000001E-4</v>
      </c>
      <c r="CA20" s="275">
        <f t="shared" si="20"/>
        <v>5.8250000000000002</v>
      </c>
    </row>
    <row r="21" spans="2:79" x14ac:dyDescent="0.25">
      <c r="B21" s="209" t="s">
        <v>17</v>
      </c>
      <c r="C21" s="210">
        <v>1000000</v>
      </c>
      <c r="D21" s="211" t="s">
        <v>196</v>
      </c>
      <c r="E21" s="269">
        <f ca="1">_xll.meDateFromTenor(COB,$D21,$AG21,$AH21)</f>
        <v>42423</v>
      </c>
      <c r="F21" s="212" t="s">
        <v>67</v>
      </c>
      <c r="G21" s="265" t="s">
        <v>229</v>
      </c>
      <c r="H21" s="214" t="s">
        <v>247</v>
      </c>
      <c r="I21" s="266">
        <v>0</v>
      </c>
      <c r="J21" s="212" t="s">
        <v>253</v>
      </c>
      <c r="K21" s="214" t="s">
        <v>243</v>
      </c>
      <c r="L21" s="213">
        <v>0</v>
      </c>
      <c r="M21" s="183"/>
      <c r="N21" s="222" t="s">
        <v>242</v>
      </c>
      <c r="O21" s="223" t="str">
        <f t="shared" si="1"/>
        <v>EUR</v>
      </c>
      <c r="P21" s="224" t="str">
        <f t="shared" si="2"/>
        <v>RECEIVE</v>
      </c>
      <c r="Q21" s="225">
        <f t="shared" si="3"/>
        <v>1000000</v>
      </c>
      <c r="R21" s="223" t="s">
        <v>219</v>
      </c>
      <c r="S21" s="226">
        <v>1</v>
      </c>
      <c r="T21" s="224">
        <f t="shared" ca="1" si="4"/>
        <v>42423</v>
      </c>
      <c r="U21" s="224" t="str">
        <f t="shared" si="5"/>
        <v>30Y</v>
      </c>
      <c r="V21" s="223" t="str">
        <f t="shared" si="6"/>
        <v>QUARTERLY</v>
      </c>
      <c r="W21" s="227">
        <f t="shared" si="7"/>
        <v>0</v>
      </c>
      <c r="X21" s="223" t="str">
        <f t="shared" si="0"/>
        <v>EURYC</v>
      </c>
      <c r="Y21" s="223" t="str">
        <f t="shared" si="8"/>
        <v>EUR3ML</v>
      </c>
      <c r="Z21" s="223" t="s">
        <v>252</v>
      </c>
      <c r="AA21" s="223" t="s">
        <v>6</v>
      </c>
      <c r="AB21" s="223" t="s">
        <v>22</v>
      </c>
      <c r="AC21" s="223" t="s">
        <v>2</v>
      </c>
      <c r="AD21" s="223" t="s">
        <v>22</v>
      </c>
      <c r="AE21" s="223" t="s">
        <v>2</v>
      </c>
      <c r="AF21" s="223" t="s">
        <v>194</v>
      </c>
      <c r="AG21" s="223" t="s">
        <v>22</v>
      </c>
      <c r="AH21" s="223" t="s">
        <v>2</v>
      </c>
      <c r="AI21" s="223" t="s">
        <v>194</v>
      </c>
      <c r="AJ21" s="223">
        <f t="shared" ca="1" si="9"/>
        <v>23</v>
      </c>
      <c r="AK21" s="223"/>
      <c r="AL21" s="223"/>
      <c r="AM21" s="223"/>
      <c r="AN21" s="223"/>
      <c r="AO21" s="228" t="s">
        <v>244</v>
      </c>
      <c r="AQ21" s="222" t="s">
        <v>221</v>
      </c>
      <c r="AR21" s="223" t="str">
        <f t="shared" si="10"/>
        <v>EUR</v>
      </c>
      <c r="AS21" s="224" t="str">
        <f t="shared" si="11"/>
        <v>PAY</v>
      </c>
      <c r="AT21" s="225">
        <f t="shared" si="12"/>
        <v>1000000</v>
      </c>
      <c r="AU21" s="223" t="s">
        <v>219</v>
      </c>
      <c r="AV21" s="226">
        <v>1</v>
      </c>
      <c r="AW21" s="224">
        <f t="shared" ca="1" si="13"/>
        <v>42423</v>
      </c>
      <c r="AX21" s="224" t="str">
        <f t="shared" si="14"/>
        <v>30Y</v>
      </c>
      <c r="AY21" s="223" t="str">
        <f t="shared" si="15"/>
        <v>SEMI-ANNUAL</v>
      </c>
      <c r="AZ21" s="227">
        <f t="shared" si="16"/>
        <v>0</v>
      </c>
      <c r="BA21" s="223" t="s">
        <v>80</v>
      </c>
      <c r="BB21" s="223" t="str">
        <f t="shared" si="17"/>
        <v>EUR6ML</v>
      </c>
      <c r="BC21" s="223" t="s">
        <v>252</v>
      </c>
      <c r="BD21" s="223" t="s">
        <v>6</v>
      </c>
      <c r="BE21" s="223" t="s">
        <v>22</v>
      </c>
      <c r="BF21" s="223" t="s">
        <v>2</v>
      </c>
      <c r="BG21" s="223" t="s">
        <v>22</v>
      </c>
      <c r="BH21" s="223" t="s">
        <v>2</v>
      </c>
      <c r="BI21" s="223" t="s">
        <v>194</v>
      </c>
      <c r="BJ21" s="223" t="s">
        <v>22</v>
      </c>
      <c r="BK21" s="223" t="s">
        <v>2</v>
      </c>
      <c r="BL21" s="223" t="s">
        <v>194</v>
      </c>
      <c r="BM21" s="223">
        <f t="shared" ca="1" si="18"/>
        <v>23</v>
      </c>
      <c r="BN21" s="223"/>
      <c r="BO21" s="223"/>
      <c r="BP21" s="223"/>
      <c r="BQ21" s="223"/>
      <c r="BR21" s="228" t="s">
        <v>244</v>
      </c>
      <c r="BS21" s="160"/>
      <c r="BT21" s="222" t="str">
        <f ca="1">_xll.meLWOSwapCreateFromLegLVBs("Basis3x6_"&amp;$F21,_xll.meUtilityLVBFromKeysValues(Leg1Keys,$N21:$AO21),_xll.meUtilityLVBFromKeysValues(Leg2Keys,$AQ21:$BR21),FALSE)</f>
        <v>BASIS3X6_30Y:2</v>
      </c>
      <c r="BU21" s="233">
        <f ca="1">_xll.meLWOSwapPV(BT21,BA21)</f>
        <v>-13735.109491577547</v>
      </c>
      <c r="BV21" s="234">
        <f ca="1">_xll.meLWOSwapTenorBasisSpread($BT21,BA21)</f>
        <v>5.124935954331808</v>
      </c>
      <c r="BW21" s="235">
        <f t="shared" ca="1" si="19"/>
        <v>-6.4045668191958782E-5</v>
      </c>
      <c r="BY21" s="276" t="str">
        <f>'EUR BASIS 3ML'!G54</f>
        <v>30Y</v>
      </c>
      <c r="BZ21" s="277">
        <f>'EUR BASIS 3ML'!H54</f>
        <v>5.1250000000000004E-4</v>
      </c>
      <c r="CA21" s="278">
        <f t="shared" si="20"/>
        <v>5.125</v>
      </c>
    </row>
  </sheetData>
  <dataValidations count="2">
    <dataValidation type="list" allowBlank="1" showInputMessage="1" showErrorMessage="1" sqref="J6:J21 G6:G21">
      <formula1>"PAY,RECEIVE"</formula1>
    </dataValidation>
    <dataValidation type="list" allowBlank="1" showInputMessage="1" showErrorMessage="1" sqref="H6:H21 K6:K21">
      <formula1>"SEMI-ANNUAL,QUARTERLY"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B2:S62"/>
  <sheetViews>
    <sheetView showGridLines="0" workbookViewId="0"/>
  </sheetViews>
  <sheetFormatPr defaultRowHeight="15" x14ac:dyDescent="0.25"/>
  <cols>
    <col min="2" max="2" width="16.28515625" customWidth="1"/>
    <col min="3" max="4" width="15.28515625" bestFit="1" customWidth="1"/>
    <col min="5" max="5" width="11.5703125" bestFit="1" customWidth="1"/>
    <col min="6" max="6" width="19.5703125" bestFit="1" customWidth="1"/>
    <col min="7" max="7" width="15.28515625" bestFit="1" customWidth="1"/>
    <col min="8" max="8" width="11.7109375" bestFit="1" customWidth="1"/>
    <col min="10" max="10" width="11.5703125" bestFit="1" customWidth="1"/>
    <col min="11" max="11" width="9.85546875" bestFit="1" customWidth="1"/>
    <col min="12" max="12" width="10.85546875" bestFit="1" customWidth="1"/>
    <col min="13" max="13" width="14.28515625" bestFit="1" customWidth="1"/>
    <col min="14" max="14" width="10.28515625" bestFit="1" customWidth="1"/>
    <col min="16" max="16" width="11.7109375" bestFit="1" customWidth="1"/>
    <col min="18" max="18" width="11.42578125" style="151" customWidth="1"/>
    <col min="19" max="19" width="14" style="151" customWidth="1"/>
  </cols>
  <sheetData>
    <row r="2" spans="2:19" ht="18.75" x14ac:dyDescent="0.3">
      <c r="B2" s="246" t="s">
        <v>268</v>
      </c>
    </row>
    <row r="3" spans="2:19" x14ac:dyDescent="0.25">
      <c r="B3" s="121"/>
    </row>
    <row r="4" spans="2:19" x14ac:dyDescent="0.25">
      <c r="B4" s="121"/>
      <c r="L4" s="150"/>
    </row>
    <row r="5" spans="2:19" x14ac:dyDescent="0.25">
      <c r="B5" s="127" t="s">
        <v>216</v>
      </c>
      <c r="C5" s="310" t="str">
        <f ca="1">'Basis Spread vs Calibration'!BT10</f>
        <v>BASIS3X6_5Y:2</v>
      </c>
      <c r="E5" s="159"/>
      <c r="G5" s="151"/>
      <c r="J5" s="151"/>
      <c r="L5" s="151"/>
    </row>
    <row r="6" spans="2:19" x14ac:dyDescent="0.25">
      <c r="B6" s="289" t="s">
        <v>88</v>
      </c>
      <c r="C6" s="132" t="s">
        <v>80</v>
      </c>
      <c r="E6" s="159"/>
      <c r="G6" s="151"/>
      <c r="J6" s="151"/>
      <c r="L6" s="151"/>
    </row>
    <row r="7" spans="2:19" x14ac:dyDescent="0.25">
      <c r="B7" s="128" t="s">
        <v>266</v>
      </c>
      <c r="C7" s="255" t="s">
        <v>267</v>
      </c>
      <c r="E7" s="159"/>
      <c r="G7" s="151"/>
      <c r="H7" s="159"/>
      <c r="J7" s="159"/>
      <c r="L7" s="249"/>
      <c r="N7" s="159"/>
      <c r="S7" s="159"/>
    </row>
    <row r="9" spans="2:19" x14ac:dyDescent="0.25">
      <c r="B9" s="291" t="str">
        <f t="array" aca="1" ref="B9:O32" ca="1">_xll.meUtilityResize(_xll.meLWOSwapDisplayCashflows($C$5,$C$6,$C$7,TRUE),50,50)</f>
        <v>LEG1:FLOAT Leg Schedule &amp; Cashflows</v>
      </c>
      <c r="C9" s="292" t="str">
        <f ca="1"/>
        <v/>
      </c>
      <c r="D9" s="292" t="str">
        <f ca="1"/>
        <v/>
      </c>
      <c r="E9" s="292" t="str">
        <f ca="1"/>
        <v/>
      </c>
      <c r="F9" s="292" t="str">
        <f ca="1"/>
        <v/>
      </c>
      <c r="G9" s="292" t="str">
        <f ca="1"/>
        <v/>
      </c>
      <c r="H9" s="292" t="str">
        <f ca="1"/>
        <v/>
      </c>
      <c r="I9" s="292" t="str">
        <f ca="1"/>
        <v/>
      </c>
      <c r="J9" s="292" t="str">
        <f ca="1"/>
        <v/>
      </c>
      <c r="K9" s="292" t="str">
        <f ca="1"/>
        <v/>
      </c>
      <c r="L9" s="292" t="str">
        <f ca="1"/>
        <v/>
      </c>
      <c r="M9" s="292" t="str">
        <f ca="1"/>
        <v/>
      </c>
      <c r="N9" s="292" t="str">
        <f ca="1"/>
        <v/>
      </c>
      <c r="O9" s="293" t="str">
        <f ca="1"/>
        <v/>
      </c>
      <c r="P9" s="245"/>
    </row>
    <row r="10" spans="2:19" x14ac:dyDescent="0.25">
      <c r="B10" s="294" t="str">
        <f ca="1"/>
        <v>FixingDate</v>
      </c>
      <c r="C10" s="295" t="str">
        <f ca="1"/>
        <v>AccrualStart</v>
      </c>
      <c r="D10" s="295" t="str">
        <f ca="1"/>
        <v>AccrualEnd</v>
      </c>
      <c r="E10" s="295" t="str">
        <f ca="1"/>
        <v>AccrualDays</v>
      </c>
      <c r="F10" s="295" t="str">
        <f ca="1"/>
        <v>AccrualYearFractions</v>
      </c>
      <c r="G10" s="295" t="str">
        <f ca="1"/>
        <v>PaymentDate</v>
      </c>
      <c r="H10" s="295" t="str">
        <f ca="1"/>
        <v>Notional</v>
      </c>
      <c r="I10" s="295" t="str">
        <f ca="1"/>
        <v>Leverage</v>
      </c>
      <c r="J10" s="295" t="str">
        <f ca="1"/>
        <v>FloatSpread</v>
      </c>
      <c r="K10" s="295" t="str">
        <f ca="1"/>
        <v>FloatRate</v>
      </c>
      <c r="L10" s="295" t="str">
        <f ca="1"/>
        <v>Coupon</v>
      </c>
      <c r="M10" s="295" t="str">
        <f ca="1"/>
        <v>DiscountFactor</v>
      </c>
      <c r="N10" s="295" t="str">
        <f ca="1"/>
        <v>CouponPV</v>
      </c>
      <c r="O10" s="296" t="str">
        <f ca="1"/>
        <v/>
      </c>
      <c r="P10" s="247"/>
      <c r="Q10" s="151"/>
      <c r="R10" s="247"/>
    </row>
    <row r="11" spans="2:19" x14ac:dyDescent="0.25">
      <c r="B11" s="297">
        <f ca="1"/>
        <v>42423</v>
      </c>
      <c r="C11" s="298">
        <f ca="1"/>
        <v>42423</v>
      </c>
      <c r="D11" s="298">
        <f ca="1"/>
        <v>42513</v>
      </c>
      <c r="E11" s="299">
        <f ca="1"/>
        <v>90</v>
      </c>
      <c r="F11" s="300">
        <f ca="1"/>
        <v>0.25</v>
      </c>
      <c r="G11" s="298">
        <f ca="1"/>
        <v>42513</v>
      </c>
      <c r="H11" s="299">
        <f ca="1"/>
        <v>1000000</v>
      </c>
      <c r="I11" s="301">
        <f ca="1"/>
        <v>1</v>
      </c>
      <c r="J11" s="300">
        <f ca="1"/>
        <v>0</v>
      </c>
      <c r="K11" s="302">
        <f ca="1"/>
        <v>-2.1999999999999997E-3</v>
      </c>
      <c r="L11" s="299">
        <f ca="1"/>
        <v>-550</v>
      </c>
      <c r="M11" s="303">
        <f ca="1"/>
        <v>1.000875</v>
      </c>
      <c r="N11" s="299">
        <f ca="1"/>
        <v>-550.48118999999997</v>
      </c>
      <c r="O11" s="296" t="str">
        <f ca="1"/>
        <v/>
      </c>
      <c r="P11" s="250"/>
      <c r="Q11" s="151"/>
      <c r="R11" s="248"/>
      <c r="S11" s="159"/>
    </row>
    <row r="12" spans="2:19" x14ac:dyDescent="0.25">
      <c r="B12" s="297">
        <f ca="1"/>
        <v>42513</v>
      </c>
      <c r="C12" s="298">
        <f ca="1"/>
        <v>42513</v>
      </c>
      <c r="D12" s="298">
        <f ca="1"/>
        <v>42605</v>
      </c>
      <c r="E12" s="299">
        <f ca="1"/>
        <v>92</v>
      </c>
      <c r="F12" s="300">
        <f ca="1"/>
        <v>0.25555600000000001</v>
      </c>
      <c r="G12" s="298">
        <f ca="1"/>
        <v>42605</v>
      </c>
      <c r="H12" s="299">
        <f ca="1"/>
        <v>1000000</v>
      </c>
      <c r="I12" s="301">
        <f ca="1"/>
        <v>1</v>
      </c>
      <c r="J12" s="300">
        <f ca="1"/>
        <v>0</v>
      </c>
      <c r="K12" s="302">
        <f ca="1"/>
        <v>-2.598E-3</v>
      </c>
      <c r="L12" s="299">
        <f ca="1"/>
        <v>-663.93299000000002</v>
      </c>
      <c r="M12" s="303">
        <f ca="1"/>
        <v>1.0017780000000001</v>
      </c>
      <c r="N12" s="299">
        <f ca="1"/>
        <v>-665.11345300000005</v>
      </c>
      <c r="O12" s="296" t="str">
        <f ca="1"/>
        <v/>
      </c>
      <c r="P12" s="250"/>
      <c r="Q12" s="151"/>
      <c r="R12" s="248"/>
      <c r="S12" s="159"/>
    </row>
    <row r="13" spans="2:19" x14ac:dyDescent="0.25">
      <c r="B13" s="297">
        <f ca="1"/>
        <v>42605</v>
      </c>
      <c r="C13" s="298">
        <f ca="1"/>
        <v>42605</v>
      </c>
      <c r="D13" s="298">
        <f ca="1"/>
        <v>42697</v>
      </c>
      <c r="E13" s="299">
        <f ca="1"/>
        <v>92</v>
      </c>
      <c r="F13" s="300">
        <f ca="1"/>
        <v>0.25555600000000001</v>
      </c>
      <c r="G13" s="298">
        <f ca="1"/>
        <v>42697</v>
      </c>
      <c r="H13" s="299">
        <f ca="1"/>
        <v>1000000</v>
      </c>
      <c r="I13" s="301">
        <f ca="1"/>
        <v>1</v>
      </c>
      <c r="J13" s="300">
        <f ca="1"/>
        <v>0</v>
      </c>
      <c r="K13" s="302">
        <f ca="1"/>
        <v>-2.6280000000000001E-3</v>
      </c>
      <c r="L13" s="299">
        <f ca="1"/>
        <v>-671.62003600000003</v>
      </c>
      <c r="M13" s="303">
        <f ca="1"/>
        <v>1.0027440000000001</v>
      </c>
      <c r="N13" s="299">
        <f ca="1"/>
        <v>-673.46322799999996</v>
      </c>
      <c r="O13" s="296" t="str">
        <f ca="1"/>
        <v/>
      </c>
      <c r="P13" s="250"/>
      <c r="Q13" s="151"/>
      <c r="R13" s="248"/>
      <c r="S13" s="159"/>
    </row>
    <row r="14" spans="2:19" x14ac:dyDescent="0.25">
      <c r="B14" s="297">
        <f ca="1"/>
        <v>42697</v>
      </c>
      <c r="C14" s="298">
        <f ca="1"/>
        <v>42697</v>
      </c>
      <c r="D14" s="298">
        <f ca="1"/>
        <v>42789</v>
      </c>
      <c r="E14" s="299">
        <f ca="1"/>
        <v>92</v>
      </c>
      <c r="F14" s="300">
        <f ca="1"/>
        <v>0.25555600000000001</v>
      </c>
      <c r="G14" s="298">
        <f ca="1"/>
        <v>42789</v>
      </c>
      <c r="H14" s="299">
        <f ca="1"/>
        <v>1000000</v>
      </c>
      <c r="I14" s="301">
        <f ca="1"/>
        <v>1</v>
      </c>
      <c r="J14" s="300">
        <f ca="1"/>
        <v>0</v>
      </c>
      <c r="K14" s="302">
        <f ca="1"/>
        <v>-2.591E-3</v>
      </c>
      <c r="L14" s="299">
        <f ca="1"/>
        <v>-662.15919399999996</v>
      </c>
      <c r="M14" s="303">
        <f ca="1"/>
        <v>1.0037929999999999</v>
      </c>
      <c r="N14" s="299">
        <f ca="1"/>
        <v>-664.67058399999996</v>
      </c>
      <c r="O14" s="296" t="str">
        <f ca="1"/>
        <v/>
      </c>
      <c r="P14" s="250"/>
      <c r="Q14" s="151"/>
      <c r="R14" s="248"/>
      <c r="S14" s="159"/>
    </row>
    <row r="15" spans="2:19" x14ac:dyDescent="0.25">
      <c r="B15" s="297">
        <f ca="1"/>
        <v>42789</v>
      </c>
      <c r="C15" s="298">
        <f ca="1"/>
        <v>42789</v>
      </c>
      <c r="D15" s="298">
        <f ca="1"/>
        <v>42878</v>
      </c>
      <c r="E15" s="299">
        <f ca="1"/>
        <v>89</v>
      </c>
      <c r="F15" s="300">
        <f ca="1"/>
        <v>0.247222</v>
      </c>
      <c r="G15" s="298">
        <f ca="1"/>
        <v>42878</v>
      </c>
      <c r="H15" s="299">
        <f ca="1"/>
        <v>1000000</v>
      </c>
      <c r="I15" s="301">
        <f ca="1"/>
        <v>1</v>
      </c>
      <c r="J15" s="300">
        <f ca="1"/>
        <v>0</v>
      </c>
      <c r="K15" s="302">
        <f ca="1"/>
        <v>-2.565E-3</v>
      </c>
      <c r="L15" s="299">
        <f ca="1"/>
        <v>-634.06230600000004</v>
      </c>
      <c r="M15" s="303">
        <f ca="1"/>
        <v>1.0048010000000001</v>
      </c>
      <c r="N15" s="299">
        <f ca="1"/>
        <v>-637.10666100000003</v>
      </c>
      <c r="O15" s="296" t="str">
        <f ca="1"/>
        <v/>
      </c>
      <c r="P15" s="250"/>
      <c r="Q15" s="151"/>
      <c r="R15" s="248"/>
      <c r="S15" s="159"/>
    </row>
    <row r="16" spans="2:19" x14ac:dyDescent="0.25">
      <c r="B16" s="297">
        <f ca="1"/>
        <v>42878</v>
      </c>
      <c r="C16" s="298">
        <f ca="1"/>
        <v>42878</v>
      </c>
      <c r="D16" s="298">
        <f ca="1"/>
        <v>42970</v>
      </c>
      <c r="E16" s="299">
        <f ca="1"/>
        <v>92</v>
      </c>
      <c r="F16" s="300">
        <f ca="1"/>
        <v>0.25555600000000001</v>
      </c>
      <c r="G16" s="298">
        <f ca="1"/>
        <v>42970</v>
      </c>
      <c r="H16" s="299">
        <f ca="1"/>
        <v>1000000</v>
      </c>
      <c r="I16" s="301">
        <f ca="1"/>
        <v>1</v>
      </c>
      <c r="J16" s="300">
        <f ca="1"/>
        <v>0</v>
      </c>
      <c r="K16" s="302">
        <f ca="1"/>
        <v>-2.565E-3</v>
      </c>
      <c r="L16" s="299">
        <f ca="1"/>
        <v>-655.42818699999998</v>
      </c>
      <c r="M16" s="303">
        <f ca="1"/>
        <v>1.005811</v>
      </c>
      <c r="N16" s="299">
        <f ca="1"/>
        <v>-659.23716400000001</v>
      </c>
      <c r="O16" s="296" t="str">
        <f ca="1"/>
        <v/>
      </c>
      <c r="P16" s="250"/>
      <c r="Q16" s="151"/>
      <c r="R16" s="248"/>
      <c r="S16" s="159"/>
    </row>
    <row r="17" spans="2:19" x14ac:dyDescent="0.25">
      <c r="B17" s="297">
        <f ca="1"/>
        <v>42970</v>
      </c>
      <c r="C17" s="298">
        <f ca="1"/>
        <v>42970</v>
      </c>
      <c r="D17" s="298">
        <f ca="1"/>
        <v>43062</v>
      </c>
      <c r="E17" s="299">
        <f ca="1"/>
        <v>92</v>
      </c>
      <c r="F17" s="300">
        <f ca="1"/>
        <v>0.25555600000000001</v>
      </c>
      <c r="G17" s="298">
        <f ca="1"/>
        <v>43062</v>
      </c>
      <c r="H17" s="299">
        <f ca="1"/>
        <v>1000000</v>
      </c>
      <c r="I17" s="301">
        <f ca="1"/>
        <v>1</v>
      </c>
      <c r="J17" s="300">
        <f ca="1"/>
        <v>0</v>
      </c>
      <c r="K17" s="302">
        <f ca="1"/>
        <v>-2.5639999999999999E-3</v>
      </c>
      <c r="L17" s="299">
        <f ca="1"/>
        <v>-655.35805600000003</v>
      </c>
      <c r="M17" s="303">
        <f ca="1"/>
        <v>1.006796</v>
      </c>
      <c r="N17" s="299">
        <f ca="1"/>
        <v>-659.81212700000003</v>
      </c>
      <c r="O17" s="304" t="str">
        <f ca="1"/>
        <v/>
      </c>
      <c r="P17" s="251"/>
      <c r="Q17" s="151"/>
      <c r="R17" s="248"/>
      <c r="S17" s="159"/>
    </row>
    <row r="18" spans="2:19" x14ac:dyDescent="0.25">
      <c r="B18" s="297">
        <f ca="1"/>
        <v>43062</v>
      </c>
      <c r="C18" s="298">
        <f ca="1"/>
        <v>43062</v>
      </c>
      <c r="D18" s="298">
        <f ca="1"/>
        <v>43154</v>
      </c>
      <c r="E18" s="299">
        <f ca="1"/>
        <v>92</v>
      </c>
      <c r="F18" s="300">
        <f ca="1"/>
        <v>0.25555600000000001</v>
      </c>
      <c r="G18" s="298">
        <f ca="1"/>
        <v>43154</v>
      </c>
      <c r="H18" s="299">
        <f ca="1"/>
        <v>1000000</v>
      </c>
      <c r="I18" s="301">
        <f ca="1"/>
        <v>1</v>
      </c>
      <c r="J18" s="300">
        <f ca="1"/>
        <v>0</v>
      </c>
      <c r="K18" s="302">
        <f ca="1"/>
        <v>-2.3189999999999999E-3</v>
      </c>
      <c r="L18" s="299">
        <f ca="1"/>
        <v>-592.70115699999997</v>
      </c>
      <c r="M18" s="303">
        <f ca="1"/>
        <v>1.0077259999999999</v>
      </c>
      <c r="N18" s="299">
        <f ca="1"/>
        <v>-597.28052300000002</v>
      </c>
      <c r="O18" s="304" t="str">
        <f ca="1"/>
        <v/>
      </c>
      <c r="P18" s="251"/>
      <c r="Q18" s="151"/>
      <c r="R18" s="248"/>
      <c r="S18" s="159"/>
    </row>
    <row r="19" spans="2:19" x14ac:dyDescent="0.25">
      <c r="B19" s="297">
        <f ca="1"/>
        <v>43154</v>
      </c>
      <c r="C19" s="298">
        <f ca="1"/>
        <v>43154</v>
      </c>
      <c r="D19" s="298">
        <f ca="1"/>
        <v>43243</v>
      </c>
      <c r="E19" s="299">
        <f ca="1"/>
        <v>89</v>
      </c>
      <c r="F19" s="300">
        <f ca="1"/>
        <v>0.247222</v>
      </c>
      <c r="G19" s="298">
        <f ca="1"/>
        <v>43243</v>
      </c>
      <c r="H19" s="299">
        <f ca="1"/>
        <v>1000000</v>
      </c>
      <c r="I19" s="301">
        <f ca="1"/>
        <v>1</v>
      </c>
      <c r="J19" s="300">
        <f ca="1"/>
        <v>0</v>
      </c>
      <c r="K19" s="302">
        <f ca="1"/>
        <v>-1.841E-3</v>
      </c>
      <c r="L19" s="299">
        <f ca="1"/>
        <v>-455.14152300000001</v>
      </c>
      <c r="M19" s="303">
        <f ca="1"/>
        <v>1.0085459999999999</v>
      </c>
      <c r="N19" s="299">
        <f ca="1"/>
        <v>-459.03109699999999</v>
      </c>
      <c r="O19" s="304" t="str">
        <f ca="1"/>
        <v/>
      </c>
      <c r="P19" s="251"/>
      <c r="Q19" s="151"/>
      <c r="R19" s="248"/>
      <c r="S19" s="159"/>
    </row>
    <row r="20" spans="2:19" x14ac:dyDescent="0.25">
      <c r="B20" s="297">
        <f ca="1"/>
        <v>43243</v>
      </c>
      <c r="C20" s="298">
        <f ca="1"/>
        <v>43243</v>
      </c>
      <c r="D20" s="298">
        <f ca="1"/>
        <v>43335</v>
      </c>
      <c r="E20" s="299">
        <f ca="1"/>
        <v>92</v>
      </c>
      <c r="F20" s="300">
        <f ca="1"/>
        <v>0.25555600000000001</v>
      </c>
      <c r="G20" s="298">
        <f ca="1"/>
        <v>43335</v>
      </c>
      <c r="H20" s="299">
        <f ca="1"/>
        <v>1000000</v>
      </c>
      <c r="I20" s="301">
        <f ca="1"/>
        <v>1</v>
      </c>
      <c r="J20" s="300">
        <f ca="1"/>
        <v>0</v>
      </c>
      <c r="K20" s="302">
        <f ca="1"/>
        <v>-1.6029999999999998E-3</v>
      </c>
      <c r="L20" s="299">
        <f ca="1"/>
        <v>-409.64619399999998</v>
      </c>
      <c r="M20" s="303">
        <f ca="1"/>
        <v>1.009288</v>
      </c>
      <c r="N20" s="299">
        <f ca="1"/>
        <v>-413.451188</v>
      </c>
      <c r="O20" s="304" t="str">
        <f ca="1"/>
        <v/>
      </c>
      <c r="P20" s="251"/>
      <c r="Q20" s="151"/>
      <c r="R20" s="248"/>
      <c r="S20" s="159"/>
    </row>
    <row r="21" spans="2:19" x14ac:dyDescent="0.25">
      <c r="B21" s="297">
        <f ca="1"/>
        <v>43335</v>
      </c>
      <c r="C21" s="298">
        <f ca="1"/>
        <v>43335</v>
      </c>
      <c r="D21" s="298">
        <f ca="1"/>
        <v>43427</v>
      </c>
      <c r="E21" s="299">
        <f ca="1"/>
        <v>92</v>
      </c>
      <c r="F21" s="300">
        <f ca="1"/>
        <v>0.25555600000000001</v>
      </c>
      <c r="G21" s="298">
        <f ca="1"/>
        <v>43427</v>
      </c>
      <c r="H21" s="299">
        <f ca="1"/>
        <v>1000000</v>
      </c>
      <c r="I21" s="301">
        <f ca="1"/>
        <v>1</v>
      </c>
      <c r="J21" s="300">
        <f ca="1"/>
        <v>0</v>
      </c>
      <c r="K21" s="302">
        <f ca="1"/>
        <v>-1.1919999999999999E-3</v>
      </c>
      <c r="L21" s="299">
        <f ca="1"/>
        <v>-304.70727399999998</v>
      </c>
      <c r="M21" s="303">
        <f ca="1"/>
        <v>1.0099290000000001</v>
      </c>
      <c r="N21" s="299">
        <f ca="1"/>
        <v>-307.732846</v>
      </c>
      <c r="O21" s="304" t="str">
        <f ca="1"/>
        <v/>
      </c>
      <c r="P21" s="251"/>
      <c r="Q21" s="151"/>
      <c r="R21" s="248"/>
      <c r="S21" s="159"/>
    </row>
    <row r="22" spans="2:19" x14ac:dyDescent="0.25">
      <c r="B22" s="297">
        <f ca="1"/>
        <v>43427</v>
      </c>
      <c r="C22" s="298">
        <f ca="1"/>
        <v>43427</v>
      </c>
      <c r="D22" s="298">
        <f ca="1"/>
        <v>43521</v>
      </c>
      <c r="E22" s="299">
        <f ca="1"/>
        <v>94</v>
      </c>
      <c r="F22" s="300">
        <f ca="1"/>
        <v>0.26111099999999998</v>
      </c>
      <c r="G22" s="298">
        <f ca="1"/>
        <v>43521</v>
      </c>
      <c r="H22" s="299">
        <f ca="1"/>
        <v>1000000</v>
      </c>
      <c r="I22" s="301">
        <f ca="1"/>
        <v>1</v>
      </c>
      <c r="J22" s="300">
        <f ca="1"/>
        <v>0</v>
      </c>
      <c r="K22" s="302">
        <f ca="1"/>
        <v>-6.0400000000000004E-4</v>
      </c>
      <c r="L22" s="299">
        <f ca="1"/>
        <v>-157.60336799999999</v>
      </c>
      <c r="M22" s="303">
        <f ca="1"/>
        <v>1.0104949999999999</v>
      </c>
      <c r="N22" s="299">
        <f ca="1"/>
        <v>-159.257441</v>
      </c>
      <c r="O22" s="304" t="str">
        <f ca="1"/>
        <v/>
      </c>
      <c r="P22" s="251"/>
      <c r="Q22" s="151"/>
      <c r="R22" s="248"/>
      <c r="S22" s="159"/>
    </row>
    <row r="23" spans="2:19" x14ac:dyDescent="0.25">
      <c r="B23" s="297">
        <f ca="1"/>
        <v>43521</v>
      </c>
      <c r="C23" s="298">
        <f ca="1"/>
        <v>43521</v>
      </c>
      <c r="D23" s="298">
        <f ca="1"/>
        <v>43608</v>
      </c>
      <c r="E23" s="299">
        <f ca="1"/>
        <v>87</v>
      </c>
      <c r="F23" s="300">
        <f ca="1"/>
        <v>0.24166699999999999</v>
      </c>
      <c r="G23" s="298">
        <f ca="1"/>
        <v>43608</v>
      </c>
      <c r="H23" s="299">
        <f ca="1"/>
        <v>1000000</v>
      </c>
      <c r="I23" s="301">
        <f ca="1"/>
        <v>1</v>
      </c>
      <c r="J23" s="300">
        <f ca="1"/>
        <v>0</v>
      </c>
      <c r="K23" s="302">
        <f ca="1"/>
        <v>-4.6E-5</v>
      </c>
      <c r="L23" s="299">
        <f ca="1"/>
        <v>-11.179926</v>
      </c>
      <c r="M23" s="303">
        <f ca="1"/>
        <v>1.0108710000000001</v>
      </c>
      <c r="N23" s="299">
        <f ca="1"/>
        <v>-11.301462000000001</v>
      </c>
      <c r="O23" s="304" t="str">
        <f ca="1"/>
        <v/>
      </c>
      <c r="P23" s="251"/>
      <c r="Q23" s="151"/>
      <c r="R23" s="248"/>
      <c r="S23" s="159"/>
    </row>
    <row r="24" spans="2:19" x14ac:dyDescent="0.25">
      <c r="B24" s="297">
        <f ca="1"/>
        <v>43608</v>
      </c>
      <c r="C24" s="298">
        <f ca="1"/>
        <v>43608</v>
      </c>
      <c r="D24" s="298">
        <f ca="1"/>
        <v>43700</v>
      </c>
      <c r="E24" s="299">
        <f ca="1"/>
        <v>92</v>
      </c>
      <c r="F24" s="300">
        <f ca="1"/>
        <v>0.25555600000000001</v>
      </c>
      <c r="G24" s="298">
        <f ca="1"/>
        <v>43700</v>
      </c>
      <c r="H24" s="299">
        <f ca="1"/>
        <v>1000000</v>
      </c>
      <c r="I24" s="301">
        <f ca="1"/>
        <v>1</v>
      </c>
      <c r="J24" s="300">
        <f ca="1"/>
        <v>0</v>
      </c>
      <c r="K24" s="302">
        <f ca="1"/>
        <v>4.3299999999999995E-4</v>
      </c>
      <c r="L24" s="299">
        <f ca="1"/>
        <v>110.54641700000001</v>
      </c>
      <c r="M24" s="303">
        <f ca="1"/>
        <v>1.0110950000000001</v>
      </c>
      <c r="N24" s="299">
        <f ca="1"/>
        <v>111.772974</v>
      </c>
      <c r="O24" s="304" t="str">
        <f ca="1"/>
        <v/>
      </c>
      <c r="P24" s="251"/>
      <c r="Q24" s="151"/>
      <c r="R24" s="248"/>
      <c r="S24" s="159"/>
    </row>
    <row r="25" spans="2:19" x14ac:dyDescent="0.25">
      <c r="B25" s="297">
        <f ca="1"/>
        <v>43700</v>
      </c>
      <c r="C25" s="298">
        <f ca="1"/>
        <v>43700</v>
      </c>
      <c r="D25" s="298">
        <f ca="1"/>
        <v>43794</v>
      </c>
      <c r="E25" s="299">
        <f ca="1"/>
        <v>94</v>
      </c>
      <c r="F25" s="300">
        <f ca="1"/>
        <v>0.26111099999999998</v>
      </c>
      <c r="G25" s="298">
        <f ca="1"/>
        <v>43794</v>
      </c>
      <c r="H25" s="299">
        <f ca="1"/>
        <v>1000000</v>
      </c>
      <c r="I25" s="301">
        <f ca="1"/>
        <v>1</v>
      </c>
      <c r="J25" s="300">
        <f ca="1"/>
        <v>0</v>
      </c>
      <c r="K25" s="302">
        <f ca="1"/>
        <v>1.0330000000000001E-3</v>
      </c>
      <c r="L25" s="299">
        <f ca="1"/>
        <v>269.84938599999998</v>
      </c>
      <c r="M25" s="303">
        <f ca="1"/>
        <v>1.0111559999999999</v>
      </c>
      <c r="N25" s="299">
        <f ca="1"/>
        <v>272.85986800000001</v>
      </c>
      <c r="O25" s="304" t="str">
        <f ca="1"/>
        <v/>
      </c>
      <c r="P25" s="251"/>
      <c r="Q25" s="151"/>
      <c r="R25" s="248"/>
      <c r="S25" s="159"/>
    </row>
    <row r="26" spans="2:19" x14ac:dyDescent="0.25">
      <c r="B26" s="297">
        <f ca="1"/>
        <v>43794</v>
      </c>
      <c r="C26" s="298">
        <f ca="1"/>
        <v>43794</v>
      </c>
      <c r="D26" s="298">
        <f ca="1"/>
        <v>43885</v>
      </c>
      <c r="E26" s="299">
        <f ca="1"/>
        <v>91</v>
      </c>
      <c r="F26" s="300">
        <f ca="1"/>
        <v>0.252778</v>
      </c>
      <c r="G26" s="298">
        <f ca="1"/>
        <v>43885</v>
      </c>
      <c r="H26" s="299">
        <f ca="1"/>
        <v>1000000</v>
      </c>
      <c r="I26" s="301">
        <f ca="1"/>
        <v>1</v>
      </c>
      <c r="J26" s="300">
        <f ca="1"/>
        <v>0</v>
      </c>
      <c r="K26" s="302">
        <f ca="1"/>
        <v>1.7319999999999998E-3</v>
      </c>
      <c r="L26" s="299">
        <f ca="1"/>
        <v>437.79929600000003</v>
      </c>
      <c r="M26" s="303">
        <f ca="1"/>
        <v>1.011077</v>
      </c>
      <c r="N26" s="299">
        <f ca="1"/>
        <v>442.64883600000002</v>
      </c>
      <c r="O26" s="304" t="str">
        <f ca="1"/>
        <v/>
      </c>
      <c r="P26" s="251"/>
      <c r="Q26" s="151"/>
      <c r="R26" s="248"/>
      <c r="S26" s="159"/>
    </row>
    <row r="27" spans="2:19" x14ac:dyDescent="0.25">
      <c r="B27" s="297">
        <f ca="1"/>
        <v>43885</v>
      </c>
      <c r="C27" s="298">
        <f ca="1"/>
        <v>43885</v>
      </c>
      <c r="D27" s="298">
        <f ca="1"/>
        <v>43976</v>
      </c>
      <c r="E27" s="299">
        <f ca="1"/>
        <v>91</v>
      </c>
      <c r="F27" s="300">
        <f ca="1"/>
        <v>0.252778</v>
      </c>
      <c r="G27" s="298">
        <f ca="1"/>
        <v>43976</v>
      </c>
      <c r="H27" s="299">
        <f ca="1"/>
        <v>1000000</v>
      </c>
      <c r="I27" s="301">
        <f ca="1"/>
        <v>1</v>
      </c>
      <c r="J27" s="300">
        <f ca="1"/>
        <v>0</v>
      </c>
      <c r="K27" s="302">
        <f ca="1"/>
        <v>2.4230000000000002E-3</v>
      </c>
      <c r="L27" s="299">
        <f ca="1"/>
        <v>612.58895500000006</v>
      </c>
      <c r="M27" s="303">
        <f ca="1"/>
        <v>1.0108220000000001</v>
      </c>
      <c r="N27" s="299">
        <f ca="1"/>
        <v>619.21838100000002</v>
      </c>
      <c r="O27" s="304" t="str">
        <f ca="1"/>
        <v/>
      </c>
      <c r="P27" s="251"/>
      <c r="Q27" s="151"/>
      <c r="R27" s="248"/>
      <c r="S27" s="159"/>
    </row>
    <row r="28" spans="2:19" x14ac:dyDescent="0.25">
      <c r="B28" s="297">
        <f ca="1"/>
        <v>43976</v>
      </c>
      <c r="C28" s="298">
        <f ca="1"/>
        <v>43976</v>
      </c>
      <c r="D28" s="298">
        <f ca="1"/>
        <v>44067</v>
      </c>
      <c r="E28" s="299">
        <f ca="1"/>
        <v>91</v>
      </c>
      <c r="F28" s="300">
        <f ca="1"/>
        <v>0.252778</v>
      </c>
      <c r="G28" s="298">
        <f ca="1"/>
        <v>44067</v>
      </c>
      <c r="H28" s="299">
        <f ca="1"/>
        <v>1000000</v>
      </c>
      <c r="I28" s="301">
        <f ca="1"/>
        <v>1</v>
      </c>
      <c r="J28" s="300">
        <f ca="1"/>
        <v>0</v>
      </c>
      <c r="K28" s="302">
        <f ca="1"/>
        <v>3.0700000000000002E-3</v>
      </c>
      <c r="L28" s="299">
        <f ca="1"/>
        <v>776.04609300000004</v>
      </c>
      <c r="M28" s="303">
        <f ca="1"/>
        <v>1.0103819999999999</v>
      </c>
      <c r="N28" s="299">
        <f ca="1"/>
        <v>784.10303399999998</v>
      </c>
      <c r="O28" s="304" t="str">
        <f ca="1"/>
        <v/>
      </c>
      <c r="P28" s="251"/>
      <c r="Q28" s="151"/>
      <c r="R28" s="248"/>
      <c r="S28" s="159"/>
    </row>
    <row r="29" spans="2:19" x14ac:dyDescent="0.25">
      <c r="B29" s="297">
        <f ca="1"/>
        <v>44067</v>
      </c>
      <c r="C29" s="298">
        <f ca="1"/>
        <v>44067</v>
      </c>
      <c r="D29" s="298">
        <f ca="1"/>
        <v>44158</v>
      </c>
      <c r="E29" s="299">
        <f ca="1"/>
        <v>91</v>
      </c>
      <c r="F29" s="300">
        <f ca="1"/>
        <v>0.252778</v>
      </c>
      <c r="G29" s="298">
        <f ca="1"/>
        <v>44158</v>
      </c>
      <c r="H29" s="299">
        <f ca="1"/>
        <v>1000000</v>
      </c>
      <c r="I29" s="301">
        <f ca="1"/>
        <v>1</v>
      </c>
      <c r="J29" s="300">
        <f ca="1"/>
        <v>0</v>
      </c>
      <c r="K29" s="302">
        <f ca="1"/>
        <v>3.7400000000000003E-3</v>
      </c>
      <c r="L29" s="299">
        <f ca="1"/>
        <v>945.45183299999997</v>
      </c>
      <c r="M29" s="303">
        <f ca="1"/>
        <v>1.009771</v>
      </c>
      <c r="N29" s="299">
        <f ca="1"/>
        <v>954.69005000000004</v>
      </c>
      <c r="O29" s="304" t="str">
        <f ca="1"/>
        <v/>
      </c>
      <c r="P29" s="251"/>
      <c r="Q29" s="151"/>
      <c r="R29" s="248"/>
      <c r="S29" s="159"/>
    </row>
    <row r="30" spans="2:19" x14ac:dyDescent="0.25">
      <c r="B30" s="297">
        <f ca="1"/>
        <v>44158</v>
      </c>
      <c r="C30" s="298">
        <f ca="1"/>
        <v>44158</v>
      </c>
      <c r="D30" s="298">
        <f ca="1"/>
        <v>44250</v>
      </c>
      <c r="E30" s="299">
        <f ca="1"/>
        <v>92</v>
      </c>
      <c r="F30" s="300">
        <f ca="1"/>
        <v>0.25555600000000001</v>
      </c>
      <c r="G30" s="298">
        <f ca="1"/>
        <v>44250</v>
      </c>
      <c r="H30" s="299">
        <f ca="1"/>
        <v>1000000</v>
      </c>
      <c r="I30" s="301">
        <f ca="1"/>
        <v>1</v>
      </c>
      <c r="J30" s="300">
        <f ca="1"/>
        <v>0</v>
      </c>
      <c r="K30" s="302">
        <f ca="1"/>
        <v>4.4460000000000003E-3</v>
      </c>
      <c r="L30" s="299">
        <f ca="1"/>
        <v>1136.101465</v>
      </c>
      <c r="M30" s="303">
        <f ca="1"/>
        <v>1.008999</v>
      </c>
      <c r="N30" s="299">
        <f ca="1"/>
        <v>1146.3246819999999</v>
      </c>
      <c r="O30" s="304" t="str">
        <f ca="1"/>
        <v/>
      </c>
      <c r="P30" s="251"/>
      <c r="Q30" s="151"/>
      <c r="R30" s="248"/>
      <c r="S30" s="159"/>
    </row>
    <row r="31" spans="2:19" x14ac:dyDescent="0.25">
      <c r="B31" s="305" t="str">
        <f ca="1"/>
        <v/>
      </c>
      <c r="C31" s="306" t="str">
        <f ca="1"/>
        <v/>
      </c>
      <c r="D31" s="306" t="str">
        <f ca="1"/>
        <v/>
      </c>
      <c r="E31" s="306" t="str">
        <f ca="1"/>
        <v/>
      </c>
      <c r="F31" s="306" t="str">
        <f ca="1"/>
        <v/>
      </c>
      <c r="G31" s="306" t="str">
        <f ca="1"/>
        <v/>
      </c>
      <c r="H31" s="306" t="str">
        <f ca="1"/>
        <v/>
      </c>
      <c r="I31" s="306" t="str">
        <f ca="1"/>
        <v/>
      </c>
      <c r="J31" s="306" t="str">
        <f ca="1"/>
        <v/>
      </c>
      <c r="K31" s="306" t="str">
        <f ca="1"/>
        <v/>
      </c>
      <c r="L31" s="306" t="str">
        <f ca="1"/>
        <v/>
      </c>
      <c r="M31" s="306" t="str">
        <f ca="1"/>
        <v/>
      </c>
      <c r="N31" s="306" t="str">
        <f ca="1"/>
        <v/>
      </c>
      <c r="O31" s="304" t="str">
        <f ca="1"/>
        <v/>
      </c>
      <c r="P31" s="244"/>
    </row>
    <row r="32" spans="2:19" x14ac:dyDescent="0.25">
      <c r="B32" s="307" t="str">
        <f ca="1"/>
        <v/>
      </c>
      <c r="C32" s="308" t="str">
        <f ca="1"/>
        <v/>
      </c>
      <c r="D32" s="308" t="str">
        <f ca="1"/>
        <v/>
      </c>
      <c r="E32" s="308" t="str">
        <f ca="1"/>
        <v/>
      </c>
      <c r="F32" s="308" t="str">
        <f ca="1"/>
        <v/>
      </c>
      <c r="G32" s="308" t="str">
        <f ca="1"/>
        <v/>
      </c>
      <c r="H32" s="308" t="str">
        <f ca="1"/>
        <v/>
      </c>
      <c r="I32" s="308" t="str">
        <f ca="1"/>
        <v/>
      </c>
      <c r="J32" s="308" t="str">
        <f ca="1"/>
        <v/>
      </c>
      <c r="K32" s="308" t="str">
        <f ca="1"/>
        <v/>
      </c>
      <c r="L32" s="308" t="str">
        <f ca="1"/>
        <v/>
      </c>
      <c r="M32" s="308" t="str">
        <f ca="1"/>
        <v/>
      </c>
      <c r="N32" s="308" t="str">
        <f ca="1"/>
        <v/>
      </c>
      <c r="O32" s="309" t="str">
        <f ca="1"/>
        <v/>
      </c>
      <c r="P32" s="244"/>
    </row>
    <row r="35" spans="2:16" x14ac:dyDescent="0.25">
      <c r="B35" s="127" t="s">
        <v>216</v>
      </c>
      <c r="C35" s="310" t="str">
        <f ca="1">C5</f>
        <v>BASIS3X6_5Y:2</v>
      </c>
    </row>
    <row r="36" spans="2:16" x14ac:dyDescent="0.25">
      <c r="B36" s="289" t="s">
        <v>88</v>
      </c>
      <c r="C36" s="132" t="s">
        <v>80</v>
      </c>
    </row>
    <row r="37" spans="2:16" x14ac:dyDescent="0.25">
      <c r="B37" s="128" t="s">
        <v>266</v>
      </c>
      <c r="C37" s="255" t="s">
        <v>269</v>
      </c>
    </row>
    <row r="39" spans="2:16" x14ac:dyDescent="0.25">
      <c r="B39" s="291" t="str">
        <f t="array" aca="1" ref="B39:O62" ca="1">_xll.meUtilityResize(_xll.meLWOSwapDisplayCashflows($C$35,$C$36,$C$37,TRUE),50,50)</f>
        <v>LEG2:FLOAT Leg Schedule &amp; Cashflows</v>
      </c>
      <c r="C39" s="292" t="str">
        <f ca="1"/>
        <v/>
      </c>
      <c r="D39" s="292" t="str">
        <f ca="1"/>
        <v/>
      </c>
      <c r="E39" s="292" t="str">
        <f ca="1"/>
        <v/>
      </c>
      <c r="F39" s="292" t="str">
        <f ca="1"/>
        <v/>
      </c>
      <c r="G39" s="292" t="str">
        <f ca="1"/>
        <v/>
      </c>
      <c r="H39" s="292" t="str">
        <f ca="1"/>
        <v/>
      </c>
      <c r="I39" s="292" t="str">
        <f ca="1"/>
        <v/>
      </c>
      <c r="J39" s="292" t="str">
        <f ca="1"/>
        <v/>
      </c>
      <c r="K39" s="292" t="str">
        <f ca="1"/>
        <v/>
      </c>
      <c r="L39" s="292" t="str">
        <f ca="1"/>
        <v/>
      </c>
      <c r="M39" s="292" t="str">
        <f ca="1"/>
        <v/>
      </c>
      <c r="N39" s="292" t="str">
        <f ca="1"/>
        <v/>
      </c>
      <c r="O39" s="293" t="str">
        <f ca="1"/>
        <v/>
      </c>
      <c r="P39" s="245"/>
    </row>
    <row r="40" spans="2:16" x14ac:dyDescent="0.25">
      <c r="B40" s="294" t="str">
        <f ca="1"/>
        <v>FixingDate</v>
      </c>
      <c r="C40" s="295" t="str">
        <f ca="1"/>
        <v>AccrualStart</v>
      </c>
      <c r="D40" s="295" t="str">
        <f ca="1"/>
        <v>AccrualEnd</v>
      </c>
      <c r="E40" s="295" t="str">
        <f ca="1"/>
        <v>AccrualDays</v>
      </c>
      <c r="F40" s="295" t="str">
        <f ca="1"/>
        <v>AccrualYearFractions</v>
      </c>
      <c r="G40" s="295" t="str">
        <f ca="1"/>
        <v>PaymentDate</v>
      </c>
      <c r="H40" s="295" t="str">
        <f ca="1"/>
        <v>Notional</v>
      </c>
      <c r="I40" s="295" t="str">
        <f ca="1"/>
        <v>Leverage</v>
      </c>
      <c r="J40" s="295" t="str">
        <f ca="1"/>
        <v>FloatSpread</v>
      </c>
      <c r="K40" s="295" t="str">
        <f ca="1"/>
        <v>FloatRate</v>
      </c>
      <c r="L40" s="295" t="str">
        <f ca="1"/>
        <v>Coupon</v>
      </c>
      <c r="M40" s="295" t="str">
        <f ca="1"/>
        <v>DiscountFactor</v>
      </c>
      <c r="N40" s="295" t="str">
        <f ca="1"/>
        <v>CouponPV</v>
      </c>
      <c r="O40" s="296" t="str">
        <f ca="1"/>
        <v/>
      </c>
      <c r="P40" s="245"/>
    </row>
    <row r="41" spans="2:16" x14ac:dyDescent="0.25">
      <c r="B41" s="297">
        <f ca="1"/>
        <v>42423</v>
      </c>
      <c r="C41" s="298">
        <f ca="1"/>
        <v>42423</v>
      </c>
      <c r="D41" s="298">
        <f ca="1"/>
        <v>42605</v>
      </c>
      <c r="E41" s="299">
        <f ca="1"/>
        <v>182</v>
      </c>
      <c r="F41" s="300">
        <f ca="1"/>
        <v>0.50555600000000001</v>
      </c>
      <c r="G41" s="298">
        <f ca="1"/>
        <v>42605</v>
      </c>
      <c r="H41" s="299">
        <f ca="1"/>
        <v>1000000</v>
      </c>
      <c r="I41" s="301">
        <f ca="1"/>
        <v>1</v>
      </c>
      <c r="J41" s="300">
        <f ca="1"/>
        <v>0</v>
      </c>
      <c r="K41" s="302">
        <f ca="1"/>
        <v>-1.31E-3</v>
      </c>
      <c r="L41" s="299">
        <f ca="1"/>
        <v>-662.27777800000001</v>
      </c>
      <c r="M41" s="303">
        <f ca="1"/>
        <v>1.0017780000000001</v>
      </c>
      <c r="N41" s="299">
        <f ca="1"/>
        <v>663.45529699999997</v>
      </c>
      <c r="O41" s="296" t="str">
        <f ca="1"/>
        <v/>
      </c>
      <c r="P41" s="245"/>
    </row>
    <row r="42" spans="2:16" x14ac:dyDescent="0.25">
      <c r="B42" s="297">
        <f ca="1"/>
        <v>42605</v>
      </c>
      <c r="C42" s="298">
        <f ca="1"/>
        <v>42605</v>
      </c>
      <c r="D42" s="298">
        <f ca="1"/>
        <v>42789</v>
      </c>
      <c r="E42" s="299">
        <f ca="1"/>
        <v>184</v>
      </c>
      <c r="F42" s="300">
        <f ca="1"/>
        <v>0.51111099999999998</v>
      </c>
      <c r="G42" s="298">
        <f ca="1"/>
        <v>42789</v>
      </c>
      <c r="H42" s="299">
        <f ca="1"/>
        <v>1000000</v>
      </c>
      <c r="I42" s="301">
        <f ca="1"/>
        <v>1</v>
      </c>
      <c r="J42" s="300">
        <f ca="1"/>
        <v>0</v>
      </c>
      <c r="K42" s="302">
        <f ca="1"/>
        <v>-1.4399999999999999E-3</v>
      </c>
      <c r="L42" s="299">
        <f ca="1"/>
        <v>-736</v>
      </c>
      <c r="M42" s="303">
        <f ca="1"/>
        <v>1.0037929999999999</v>
      </c>
      <c r="N42" s="299">
        <f ca="1"/>
        <v>738.79144899999994</v>
      </c>
      <c r="O42" s="296" t="str">
        <f ca="1"/>
        <v/>
      </c>
      <c r="P42" s="245"/>
    </row>
    <row r="43" spans="2:16" x14ac:dyDescent="0.25">
      <c r="B43" s="297">
        <f ca="1"/>
        <v>42789</v>
      </c>
      <c r="C43" s="298">
        <f ca="1"/>
        <v>42789</v>
      </c>
      <c r="D43" s="298">
        <f ca="1"/>
        <v>42970</v>
      </c>
      <c r="E43" s="299">
        <f ca="1"/>
        <v>181</v>
      </c>
      <c r="F43" s="300">
        <f ca="1"/>
        <v>0.50277799999999995</v>
      </c>
      <c r="G43" s="298">
        <f ca="1"/>
        <v>42970</v>
      </c>
      <c r="H43" s="299">
        <f ca="1"/>
        <v>1000000</v>
      </c>
      <c r="I43" s="301">
        <f ca="1"/>
        <v>1</v>
      </c>
      <c r="J43" s="300">
        <f ca="1"/>
        <v>0</v>
      </c>
      <c r="K43" s="302">
        <f ca="1"/>
        <v>-1.41E-3</v>
      </c>
      <c r="L43" s="299">
        <f ca="1"/>
        <v>-708.91666699999996</v>
      </c>
      <c r="M43" s="303">
        <f ca="1"/>
        <v>1.005811</v>
      </c>
      <c r="N43" s="299">
        <f ca="1"/>
        <v>713.03648799999996</v>
      </c>
      <c r="O43" s="296" t="str">
        <f ca="1"/>
        <v/>
      </c>
      <c r="P43" s="245"/>
    </row>
    <row r="44" spans="2:16" x14ac:dyDescent="0.25">
      <c r="B44" s="297">
        <f ca="1"/>
        <v>42970</v>
      </c>
      <c r="C44" s="298">
        <f ca="1"/>
        <v>42970</v>
      </c>
      <c r="D44" s="298">
        <f ca="1"/>
        <v>43154</v>
      </c>
      <c r="E44" s="299">
        <f ca="1"/>
        <v>184</v>
      </c>
      <c r="F44" s="300">
        <f ca="1"/>
        <v>0.51111099999999998</v>
      </c>
      <c r="G44" s="298">
        <f ca="1"/>
        <v>43154</v>
      </c>
      <c r="H44" s="299">
        <f ca="1"/>
        <v>1000000</v>
      </c>
      <c r="I44" s="301">
        <f ca="1"/>
        <v>1</v>
      </c>
      <c r="J44" s="300">
        <f ca="1"/>
        <v>0</v>
      </c>
      <c r="K44" s="302">
        <f ca="1"/>
        <v>-1.0869999999999999E-3</v>
      </c>
      <c r="L44" s="299">
        <f ca="1"/>
        <v>-555.74320799999998</v>
      </c>
      <c r="M44" s="303">
        <f ca="1"/>
        <v>1.0077259999999999</v>
      </c>
      <c r="N44" s="299">
        <f ca="1"/>
        <v>560.03702699999997</v>
      </c>
      <c r="O44" s="296" t="str">
        <f ca="1"/>
        <v/>
      </c>
      <c r="P44" s="245"/>
    </row>
    <row r="45" spans="2:16" x14ac:dyDescent="0.25">
      <c r="B45" s="297">
        <f ca="1"/>
        <v>43154</v>
      </c>
      <c r="C45" s="298">
        <f ca="1"/>
        <v>43154</v>
      </c>
      <c r="D45" s="298">
        <f ca="1"/>
        <v>43335</v>
      </c>
      <c r="E45" s="299">
        <f ca="1"/>
        <v>181</v>
      </c>
      <c r="F45" s="300">
        <f ca="1"/>
        <v>0.50277799999999995</v>
      </c>
      <c r="G45" s="298">
        <f ca="1"/>
        <v>43335</v>
      </c>
      <c r="H45" s="299">
        <f ca="1"/>
        <v>1000000</v>
      </c>
      <c r="I45" s="301">
        <f ca="1"/>
        <v>1</v>
      </c>
      <c r="J45" s="300">
        <f ca="1"/>
        <v>0</v>
      </c>
      <c r="K45" s="302">
        <f ca="1"/>
        <v>-4.3199999999999998E-4</v>
      </c>
      <c r="L45" s="299">
        <f ca="1"/>
        <v>-217.084565</v>
      </c>
      <c r="M45" s="303">
        <f ca="1"/>
        <v>1.009288</v>
      </c>
      <c r="N45" s="299">
        <f ca="1"/>
        <v>219.100953</v>
      </c>
      <c r="O45" s="296" t="str">
        <f ca="1"/>
        <v/>
      </c>
      <c r="P45" s="245"/>
    </row>
    <row r="46" spans="2:16" x14ac:dyDescent="0.25">
      <c r="B46" s="297">
        <f ca="1"/>
        <v>43335</v>
      </c>
      <c r="C46" s="298">
        <f ca="1"/>
        <v>43335</v>
      </c>
      <c r="D46" s="298">
        <f ca="1"/>
        <v>43521</v>
      </c>
      <c r="E46" s="299">
        <f ca="1"/>
        <v>186</v>
      </c>
      <c r="F46" s="300">
        <f ca="1"/>
        <v>0.51666699999999999</v>
      </c>
      <c r="G46" s="298">
        <f ca="1"/>
        <v>43521</v>
      </c>
      <c r="H46" s="299">
        <f ca="1"/>
        <v>1000000</v>
      </c>
      <c r="I46" s="301">
        <f ca="1"/>
        <v>1</v>
      </c>
      <c r="J46" s="300">
        <f ca="1"/>
        <v>0</v>
      </c>
      <c r="K46" s="302">
        <f ca="1"/>
        <v>4.9899999999999999E-4</v>
      </c>
      <c r="L46" s="299">
        <f ca="1"/>
        <v>257.68044600000002</v>
      </c>
      <c r="M46" s="303">
        <f ca="1"/>
        <v>1.0104949999999999</v>
      </c>
      <c r="N46" s="299">
        <f ca="1"/>
        <v>-260.38484399999999</v>
      </c>
      <c r="O46" s="296" t="str">
        <f ca="1"/>
        <v/>
      </c>
      <c r="P46" s="245"/>
    </row>
    <row r="47" spans="2:16" x14ac:dyDescent="0.25">
      <c r="B47" s="297">
        <f ca="1"/>
        <v>43521</v>
      </c>
      <c r="C47" s="298">
        <f ca="1"/>
        <v>43521</v>
      </c>
      <c r="D47" s="298">
        <f ca="1"/>
        <v>43700</v>
      </c>
      <c r="E47" s="299">
        <f ca="1"/>
        <v>179</v>
      </c>
      <c r="F47" s="300">
        <f ca="1"/>
        <v>0.497222</v>
      </c>
      <c r="G47" s="298">
        <f ca="1"/>
        <v>43700</v>
      </c>
      <c r="H47" s="299">
        <f ca="1"/>
        <v>1000000</v>
      </c>
      <c r="I47" s="301">
        <f ca="1"/>
        <v>1</v>
      </c>
      <c r="J47" s="300">
        <f ca="1"/>
        <v>0</v>
      </c>
      <c r="K47" s="302">
        <f ca="1"/>
        <v>1.6459999999999999E-3</v>
      </c>
      <c r="L47" s="299">
        <f ca="1"/>
        <v>818.25485100000003</v>
      </c>
      <c r="M47" s="303">
        <f ca="1"/>
        <v>1.0110950000000001</v>
      </c>
      <c r="N47" s="299">
        <f ca="1"/>
        <v>-827.33371799999998</v>
      </c>
      <c r="O47" s="304" t="str">
        <f ca="1"/>
        <v/>
      </c>
      <c r="P47" s="244"/>
    </row>
    <row r="48" spans="2:16" x14ac:dyDescent="0.25">
      <c r="B48" s="297">
        <f ca="1"/>
        <v>43700</v>
      </c>
      <c r="C48" s="298">
        <f ca="1"/>
        <v>43700</v>
      </c>
      <c r="D48" s="298">
        <f ca="1"/>
        <v>43885</v>
      </c>
      <c r="E48" s="299">
        <f ca="1"/>
        <v>185</v>
      </c>
      <c r="F48" s="300">
        <f ca="1"/>
        <v>0.51388900000000004</v>
      </c>
      <c r="G48" s="298">
        <f ca="1"/>
        <v>43885</v>
      </c>
      <c r="H48" s="299">
        <f ca="1"/>
        <v>1000000</v>
      </c>
      <c r="I48" s="301">
        <f ca="1"/>
        <v>1</v>
      </c>
      <c r="J48" s="300">
        <f ca="1"/>
        <v>0</v>
      </c>
      <c r="K48" s="302">
        <f ca="1"/>
        <v>2.856E-3</v>
      </c>
      <c r="L48" s="299">
        <f ca="1"/>
        <v>1467.5744930000001</v>
      </c>
      <c r="M48" s="303">
        <f ca="1"/>
        <v>1.011077</v>
      </c>
      <c r="N48" s="299">
        <f ca="1"/>
        <v>-1483.8309369999999</v>
      </c>
      <c r="O48" s="304" t="str">
        <f ca="1"/>
        <v/>
      </c>
      <c r="P48" s="244"/>
    </row>
    <row r="49" spans="2:16" x14ac:dyDescent="0.25">
      <c r="B49" s="297">
        <f ca="1"/>
        <v>43885</v>
      </c>
      <c r="C49" s="298">
        <f ca="1"/>
        <v>43885</v>
      </c>
      <c r="D49" s="298">
        <f ca="1"/>
        <v>44067</v>
      </c>
      <c r="E49" s="299">
        <f ca="1"/>
        <v>182</v>
      </c>
      <c r="F49" s="300">
        <f ca="1"/>
        <v>0.50555600000000001</v>
      </c>
      <c r="G49" s="298">
        <f ca="1"/>
        <v>44067</v>
      </c>
      <c r="H49" s="299">
        <f ca="1"/>
        <v>1000000</v>
      </c>
      <c r="I49" s="301">
        <f ca="1"/>
        <v>1</v>
      </c>
      <c r="J49" s="300">
        <f ca="1"/>
        <v>0</v>
      </c>
      <c r="K49" s="302">
        <f ca="1"/>
        <v>4.254E-3</v>
      </c>
      <c r="L49" s="299">
        <f ca="1"/>
        <v>2150.737404</v>
      </c>
      <c r="M49" s="303">
        <f ca="1"/>
        <v>1.0103819999999999</v>
      </c>
      <c r="N49" s="299">
        <f ca="1"/>
        <v>-2173.066444</v>
      </c>
      <c r="O49" s="304" t="str">
        <f ca="1"/>
        <v/>
      </c>
      <c r="P49" s="244"/>
    </row>
    <row r="50" spans="2:16" x14ac:dyDescent="0.25">
      <c r="B50" s="297">
        <f ca="1"/>
        <v>44067</v>
      </c>
      <c r="C50" s="298">
        <f ca="1"/>
        <v>44067</v>
      </c>
      <c r="D50" s="298">
        <f ca="1"/>
        <v>44250</v>
      </c>
      <c r="E50" s="299">
        <f ca="1"/>
        <v>183</v>
      </c>
      <c r="F50" s="300">
        <f ca="1"/>
        <v>0.50833300000000003</v>
      </c>
      <c r="G50" s="298">
        <f ca="1"/>
        <v>44250</v>
      </c>
      <c r="H50" s="299">
        <f ca="1"/>
        <v>1000000</v>
      </c>
      <c r="I50" s="301">
        <f ca="1"/>
        <v>1</v>
      </c>
      <c r="J50" s="300">
        <f ca="1"/>
        <v>0</v>
      </c>
      <c r="K50" s="302">
        <f ca="1"/>
        <v>5.535E-3</v>
      </c>
      <c r="L50" s="299">
        <f ca="1"/>
        <v>2813.6326490000001</v>
      </c>
      <c r="M50" s="303">
        <f ca="1"/>
        <v>1.008999</v>
      </c>
      <c r="N50" s="299">
        <f ca="1"/>
        <v>-2838.9511419999999</v>
      </c>
      <c r="O50" s="304" t="str">
        <f ca="1"/>
        <v/>
      </c>
      <c r="P50" s="244"/>
    </row>
    <row r="51" spans="2:16" x14ac:dyDescent="0.25">
      <c r="B51" s="297" t="str">
        <f ca="1"/>
        <v/>
      </c>
      <c r="C51" s="298" t="str">
        <f ca="1"/>
        <v/>
      </c>
      <c r="D51" s="298" t="str">
        <f ca="1"/>
        <v/>
      </c>
      <c r="E51" s="299" t="str">
        <f ca="1"/>
        <v/>
      </c>
      <c r="F51" s="300" t="str">
        <f ca="1"/>
        <v/>
      </c>
      <c r="G51" s="298" t="str">
        <f ca="1"/>
        <v/>
      </c>
      <c r="H51" s="299" t="str">
        <f ca="1"/>
        <v/>
      </c>
      <c r="I51" s="301" t="str">
        <f ca="1"/>
        <v/>
      </c>
      <c r="J51" s="300" t="str">
        <f ca="1"/>
        <v/>
      </c>
      <c r="K51" s="302" t="str">
        <f ca="1"/>
        <v/>
      </c>
      <c r="L51" s="299" t="str">
        <f ca="1"/>
        <v/>
      </c>
      <c r="M51" s="303" t="str">
        <f ca="1"/>
        <v/>
      </c>
      <c r="N51" s="299" t="str">
        <f ca="1"/>
        <v/>
      </c>
      <c r="O51" s="304" t="str">
        <f ca="1"/>
        <v/>
      </c>
      <c r="P51" s="244"/>
    </row>
    <row r="52" spans="2:16" x14ac:dyDescent="0.25">
      <c r="B52" s="297" t="str">
        <f ca="1"/>
        <v/>
      </c>
      <c r="C52" s="298" t="str">
        <f ca="1"/>
        <v/>
      </c>
      <c r="D52" s="298" t="str">
        <f ca="1"/>
        <v/>
      </c>
      <c r="E52" s="299" t="str">
        <f ca="1"/>
        <v/>
      </c>
      <c r="F52" s="300" t="str">
        <f ca="1"/>
        <v/>
      </c>
      <c r="G52" s="298" t="str">
        <f ca="1"/>
        <v/>
      </c>
      <c r="H52" s="299" t="str">
        <f ca="1"/>
        <v/>
      </c>
      <c r="I52" s="301" t="str">
        <f ca="1"/>
        <v/>
      </c>
      <c r="J52" s="300" t="str">
        <f ca="1"/>
        <v/>
      </c>
      <c r="K52" s="302" t="str">
        <f ca="1"/>
        <v/>
      </c>
      <c r="L52" s="299" t="str">
        <f ca="1"/>
        <v/>
      </c>
      <c r="M52" s="303" t="str">
        <f ca="1"/>
        <v/>
      </c>
      <c r="N52" s="299" t="str">
        <f ca="1"/>
        <v/>
      </c>
      <c r="O52" s="304" t="str">
        <f ca="1"/>
        <v/>
      </c>
      <c r="P52" s="244"/>
    </row>
    <row r="53" spans="2:16" x14ac:dyDescent="0.25">
      <c r="B53" s="297" t="str">
        <f ca="1"/>
        <v/>
      </c>
      <c r="C53" s="298" t="str">
        <f ca="1"/>
        <v/>
      </c>
      <c r="D53" s="298" t="str">
        <f ca="1"/>
        <v/>
      </c>
      <c r="E53" s="299" t="str">
        <f ca="1"/>
        <v/>
      </c>
      <c r="F53" s="300" t="str">
        <f ca="1"/>
        <v/>
      </c>
      <c r="G53" s="298" t="str">
        <f ca="1"/>
        <v/>
      </c>
      <c r="H53" s="299" t="str">
        <f ca="1"/>
        <v/>
      </c>
      <c r="I53" s="301" t="str">
        <f ca="1"/>
        <v/>
      </c>
      <c r="J53" s="300" t="str">
        <f ca="1"/>
        <v/>
      </c>
      <c r="K53" s="302" t="str">
        <f ca="1"/>
        <v/>
      </c>
      <c r="L53" s="299" t="str">
        <f ca="1"/>
        <v/>
      </c>
      <c r="M53" s="303" t="str">
        <f ca="1"/>
        <v/>
      </c>
      <c r="N53" s="299" t="str">
        <f ca="1"/>
        <v/>
      </c>
      <c r="O53" s="304" t="str">
        <f ca="1"/>
        <v/>
      </c>
      <c r="P53" s="244"/>
    </row>
    <row r="54" spans="2:16" x14ac:dyDescent="0.25">
      <c r="B54" s="297" t="str">
        <f ca="1"/>
        <v/>
      </c>
      <c r="C54" s="298" t="str">
        <f ca="1"/>
        <v/>
      </c>
      <c r="D54" s="298" t="str">
        <f ca="1"/>
        <v/>
      </c>
      <c r="E54" s="299" t="str">
        <f ca="1"/>
        <v/>
      </c>
      <c r="F54" s="300" t="str">
        <f ca="1"/>
        <v/>
      </c>
      <c r="G54" s="298" t="str">
        <f ca="1"/>
        <v/>
      </c>
      <c r="H54" s="299" t="str">
        <f ca="1"/>
        <v/>
      </c>
      <c r="I54" s="301" t="str">
        <f ca="1"/>
        <v/>
      </c>
      <c r="J54" s="300" t="str">
        <f ca="1"/>
        <v/>
      </c>
      <c r="K54" s="302" t="str">
        <f ca="1"/>
        <v/>
      </c>
      <c r="L54" s="299" t="str">
        <f ca="1"/>
        <v/>
      </c>
      <c r="M54" s="303" t="str">
        <f ca="1"/>
        <v/>
      </c>
      <c r="N54" s="299" t="str">
        <f ca="1"/>
        <v/>
      </c>
      <c r="O54" s="304" t="str">
        <f ca="1"/>
        <v/>
      </c>
      <c r="P54" s="244"/>
    </row>
    <row r="55" spans="2:16" x14ac:dyDescent="0.25">
      <c r="B55" s="297" t="str">
        <f ca="1"/>
        <v/>
      </c>
      <c r="C55" s="298" t="str">
        <f ca="1"/>
        <v/>
      </c>
      <c r="D55" s="298" t="str">
        <f ca="1"/>
        <v/>
      </c>
      <c r="E55" s="299" t="str">
        <f ca="1"/>
        <v/>
      </c>
      <c r="F55" s="300" t="str">
        <f ca="1"/>
        <v/>
      </c>
      <c r="G55" s="298" t="str">
        <f ca="1"/>
        <v/>
      </c>
      <c r="H55" s="299" t="str">
        <f ca="1"/>
        <v/>
      </c>
      <c r="I55" s="301" t="str">
        <f ca="1"/>
        <v/>
      </c>
      <c r="J55" s="300" t="str">
        <f ca="1"/>
        <v/>
      </c>
      <c r="K55" s="302" t="str">
        <f ca="1"/>
        <v/>
      </c>
      <c r="L55" s="299" t="str">
        <f ca="1"/>
        <v/>
      </c>
      <c r="M55" s="303" t="str">
        <f ca="1"/>
        <v/>
      </c>
      <c r="N55" s="299" t="str">
        <f ca="1"/>
        <v/>
      </c>
      <c r="O55" s="304" t="str">
        <f ca="1"/>
        <v/>
      </c>
      <c r="P55" s="244"/>
    </row>
    <row r="56" spans="2:16" x14ac:dyDescent="0.25">
      <c r="B56" s="297" t="str">
        <f ca="1"/>
        <v/>
      </c>
      <c r="C56" s="298" t="str">
        <f ca="1"/>
        <v/>
      </c>
      <c r="D56" s="298" t="str">
        <f ca="1"/>
        <v/>
      </c>
      <c r="E56" s="299" t="str">
        <f ca="1"/>
        <v/>
      </c>
      <c r="F56" s="300" t="str">
        <f ca="1"/>
        <v/>
      </c>
      <c r="G56" s="298" t="str">
        <f ca="1"/>
        <v/>
      </c>
      <c r="H56" s="299" t="str">
        <f ca="1"/>
        <v/>
      </c>
      <c r="I56" s="301" t="str">
        <f ca="1"/>
        <v/>
      </c>
      <c r="J56" s="300" t="str">
        <f ca="1"/>
        <v/>
      </c>
      <c r="K56" s="302" t="str">
        <f ca="1"/>
        <v/>
      </c>
      <c r="L56" s="299" t="str">
        <f ca="1"/>
        <v/>
      </c>
      <c r="M56" s="303" t="str">
        <f ca="1"/>
        <v/>
      </c>
      <c r="N56" s="299" t="str">
        <f ca="1"/>
        <v/>
      </c>
      <c r="O56" s="304" t="str">
        <f ca="1"/>
        <v/>
      </c>
      <c r="P56" s="244"/>
    </row>
    <row r="57" spans="2:16" x14ac:dyDescent="0.25">
      <c r="B57" s="297" t="str">
        <f ca="1"/>
        <v/>
      </c>
      <c r="C57" s="298" t="str">
        <f ca="1"/>
        <v/>
      </c>
      <c r="D57" s="298" t="str">
        <f ca="1"/>
        <v/>
      </c>
      <c r="E57" s="299" t="str">
        <f ca="1"/>
        <v/>
      </c>
      <c r="F57" s="300" t="str">
        <f ca="1"/>
        <v/>
      </c>
      <c r="G57" s="298" t="str">
        <f ca="1"/>
        <v/>
      </c>
      <c r="H57" s="299" t="str">
        <f ca="1"/>
        <v/>
      </c>
      <c r="I57" s="301" t="str">
        <f ca="1"/>
        <v/>
      </c>
      <c r="J57" s="300" t="str">
        <f ca="1"/>
        <v/>
      </c>
      <c r="K57" s="302" t="str">
        <f ca="1"/>
        <v/>
      </c>
      <c r="L57" s="299" t="str">
        <f ca="1"/>
        <v/>
      </c>
      <c r="M57" s="303" t="str">
        <f ca="1"/>
        <v/>
      </c>
      <c r="N57" s="299" t="str">
        <f ca="1"/>
        <v/>
      </c>
      <c r="O57" s="304" t="str">
        <f ca="1"/>
        <v/>
      </c>
      <c r="P57" s="244"/>
    </row>
    <row r="58" spans="2:16" x14ac:dyDescent="0.25">
      <c r="B58" s="297" t="str">
        <f ca="1"/>
        <v/>
      </c>
      <c r="C58" s="298" t="str">
        <f ca="1"/>
        <v/>
      </c>
      <c r="D58" s="298" t="str">
        <f ca="1"/>
        <v/>
      </c>
      <c r="E58" s="299" t="str">
        <f ca="1"/>
        <v/>
      </c>
      <c r="F58" s="300" t="str">
        <f ca="1"/>
        <v/>
      </c>
      <c r="G58" s="298" t="str">
        <f ca="1"/>
        <v/>
      </c>
      <c r="H58" s="299" t="str">
        <f ca="1"/>
        <v/>
      </c>
      <c r="I58" s="301" t="str">
        <f ca="1"/>
        <v/>
      </c>
      <c r="J58" s="300" t="str">
        <f ca="1"/>
        <v/>
      </c>
      <c r="K58" s="302" t="str">
        <f ca="1"/>
        <v/>
      </c>
      <c r="L58" s="299" t="str">
        <f ca="1"/>
        <v/>
      </c>
      <c r="M58" s="303" t="str">
        <f ca="1"/>
        <v/>
      </c>
      <c r="N58" s="299" t="str">
        <f ca="1"/>
        <v/>
      </c>
      <c r="O58" s="304" t="str">
        <f ca="1"/>
        <v/>
      </c>
      <c r="P58" s="244"/>
    </row>
    <row r="59" spans="2:16" x14ac:dyDescent="0.25">
      <c r="B59" s="297" t="str">
        <f ca="1"/>
        <v/>
      </c>
      <c r="C59" s="298" t="str">
        <f ca="1"/>
        <v/>
      </c>
      <c r="D59" s="298" t="str">
        <f ca="1"/>
        <v/>
      </c>
      <c r="E59" s="299" t="str">
        <f ca="1"/>
        <v/>
      </c>
      <c r="F59" s="300" t="str">
        <f ca="1"/>
        <v/>
      </c>
      <c r="G59" s="298" t="str">
        <f ca="1"/>
        <v/>
      </c>
      <c r="H59" s="299" t="str">
        <f ca="1"/>
        <v/>
      </c>
      <c r="I59" s="301" t="str">
        <f ca="1"/>
        <v/>
      </c>
      <c r="J59" s="300" t="str">
        <f ca="1"/>
        <v/>
      </c>
      <c r="K59" s="302" t="str">
        <f ca="1"/>
        <v/>
      </c>
      <c r="L59" s="299" t="str">
        <f ca="1"/>
        <v/>
      </c>
      <c r="M59" s="303" t="str">
        <f ca="1"/>
        <v/>
      </c>
      <c r="N59" s="299" t="str">
        <f ca="1"/>
        <v/>
      </c>
      <c r="O59" s="304" t="str">
        <f ca="1"/>
        <v/>
      </c>
      <c r="P59" s="244"/>
    </row>
    <row r="60" spans="2:16" x14ac:dyDescent="0.25">
      <c r="B60" s="297" t="str">
        <f ca="1"/>
        <v/>
      </c>
      <c r="C60" s="298" t="str">
        <f ca="1"/>
        <v/>
      </c>
      <c r="D60" s="298" t="str">
        <f ca="1"/>
        <v/>
      </c>
      <c r="E60" s="299" t="str">
        <f ca="1"/>
        <v/>
      </c>
      <c r="F60" s="300" t="str">
        <f ca="1"/>
        <v/>
      </c>
      <c r="G60" s="298" t="str">
        <f ca="1"/>
        <v/>
      </c>
      <c r="H60" s="299" t="str">
        <f ca="1"/>
        <v/>
      </c>
      <c r="I60" s="301" t="str">
        <f ca="1"/>
        <v/>
      </c>
      <c r="J60" s="300" t="str">
        <f ca="1"/>
        <v/>
      </c>
      <c r="K60" s="302" t="str">
        <f ca="1"/>
        <v/>
      </c>
      <c r="L60" s="299" t="str">
        <f ca="1"/>
        <v/>
      </c>
      <c r="M60" s="303" t="str">
        <f ca="1"/>
        <v/>
      </c>
      <c r="N60" s="299" t="str">
        <f ca="1"/>
        <v/>
      </c>
      <c r="O60" s="304" t="str">
        <f ca="1"/>
        <v/>
      </c>
      <c r="P60" s="244"/>
    </row>
    <row r="61" spans="2:16" x14ac:dyDescent="0.25">
      <c r="B61" s="305" t="str">
        <f ca="1"/>
        <v/>
      </c>
      <c r="C61" s="306" t="str">
        <f ca="1"/>
        <v/>
      </c>
      <c r="D61" s="306" t="str">
        <f ca="1"/>
        <v/>
      </c>
      <c r="E61" s="306" t="str">
        <f ca="1"/>
        <v/>
      </c>
      <c r="F61" s="306" t="str">
        <f ca="1"/>
        <v/>
      </c>
      <c r="G61" s="306" t="str">
        <f ca="1"/>
        <v/>
      </c>
      <c r="H61" s="306" t="str">
        <f ca="1"/>
        <v/>
      </c>
      <c r="I61" s="306" t="str">
        <f ca="1"/>
        <v/>
      </c>
      <c r="J61" s="306" t="str">
        <f ca="1"/>
        <v/>
      </c>
      <c r="K61" s="306" t="str">
        <f ca="1"/>
        <v/>
      </c>
      <c r="L61" s="306" t="str">
        <f ca="1"/>
        <v/>
      </c>
      <c r="M61" s="306" t="str">
        <f ca="1"/>
        <v/>
      </c>
      <c r="N61" s="306" t="str">
        <f ca="1"/>
        <v/>
      </c>
      <c r="O61" s="304" t="str">
        <f ca="1"/>
        <v/>
      </c>
      <c r="P61" s="244"/>
    </row>
    <row r="62" spans="2:16" x14ac:dyDescent="0.25">
      <c r="B62" s="307" t="str">
        <f ca="1"/>
        <v/>
      </c>
      <c r="C62" s="308" t="str">
        <f ca="1"/>
        <v/>
      </c>
      <c r="D62" s="308" t="str">
        <f ca="1"/>
        <v/>
      </c>
      <c r="E62" s="308" t="str">
        <f ca="1"/>
        <v/>
      </c>
      <c r="F62" s="308" t="str">
        <f ca="1"/>
        <v/>
      </c>
      <c r="G62" s="308" t="str">
        <f ca="1"/>
        <v/>
      </c>
      <c r="H62" s="308" t="str">
        <f ca="1"/>
        <v/>
      </c>
      <c r="I62" s="308" t="str">
        <f ca="1"/>
        <v/>
      </c>
      <c r="J62" s="308" t="str">
        <f ca="1"/>
        <v/>
      </c>
      <c r="K62" s="308" t="str">
        <f ca="1"/>
        <v/>
      </c>
      <c r="L62" s="308" t="str">
        <f ca="1"/>
        <v/>
      </c>
      <c r="M62" s="308" t="str">
        <f ca="1"/>
        <v/>
      </c>
      <c r="N62" s="308" t="str">
        <f ca="1"/>
        <v/>
      </c>
      <c r="O62" s="309" t="str">
        <f ca="1"/>
        <v/>
      </c>
      <c r="P62" s="24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Settings</vt:lpstr>
      <vt:lpstr>EUR OIS</vt:lpstr>
      <vt:lpstr>EUR SWAP 6ML</vt:lpstr>
      <vt:lpstr>EUR BASIS 3ML</vt:lpstr>
      <vt:lpstr>Tenor Basis Swap</vt:lpstr>
      <vt:lpstr>Basis Spread vs Calibration</vt:lpstr>
      <vt:lpstr>Basis Swap Cashflows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isEUR3MLLoaded</vt:lpstr>
      <vt:lpstr>isEUR6MLLoaded</vt:lpstr>
      <vt:lpstr>isEUROISLoaded</vt:lpstr>
      <vt:lpstr>Leg1Keys</vt:lpstr>
      <vt:lpstr>Leg2Keys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2016-10-10T13:21:45Z</dcterms:modified>
</cp:coreProperties>
</file>