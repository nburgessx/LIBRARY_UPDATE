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20700" windowHeight="11700" tabRatio="703" activeTab="5"/>
  </bookViews>
  <sheets>
    <sheet name="Settings" sheetId="26" r:id="rId1"/>
    <sheet name="EUR OIS" sheetId="2" r:id="rId2"/>
    <sheet name="EUR SWAP 6ML" sheetId="3" r:id="rId3"/>
    <sheet name="EUR OIS Bumped" sheetId="22" r:id="rId4"/>
    <sheet name="EUR SWAP 6ML Bumped" sheetId="23" r:id="rId5"/>
    <sheet name="Swap Pricing &amp; Risk" sheetId="21" r:id="rId6"/>
  </sheets>
  <definedNames>
    <definedName name="Bump">Settings!$D$13</definedName>
    <definedName name="BumpOIS">Settings!$D$15</definedName>
    <definedName name="BumpSTD">Settings!$D$16</definedName>
    <definedName name="COB">Settings!$D$12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CollectionBase">'EUR OIS'!$D$11</definedName>
    <definedName name="CurveCollectionBumped">'EUR OIS Bumped'!$D$11</definedName>
    <definedName name="EffectiveLag">'Swap Pricing &amp; Risk'!$C$3</definedName>
    <definedName name="FixingFromEUR6MLCurve">'EUR SWAP 6ML'!$J$39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nterpolation">Settings!$D$17</definedName>
    <definedName name="InterpolationLabelForCurves">Settings!$E$17</definedName>
    <definedName name="isBumpedEUR6MLLoaded">'EUR SWAP 6ML Bumped'!$D$9</definedName>
    <definedName name="isBumpedEUROISLoaded">'EUR OIS Bumped'!$D$8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Notional">'Swap Pricing &amp; Risk'!$D$3</definedName>
    <definedName name="OIS.Conventions">'EUR OIS'!$C$31:$D$57</definedName>
    <definedName name="OIS.FixingTable">'EUR OIS'!$L$32:$M$57</definedName>
    <definedName name="OIS.MarketData">'EUR OIS'!$F$32:$J$57</definedName>
    <definedName name="PayRec">'Swap Pricing &amp; Risk'!$F$3</definedName>
    <definedName name="Rate">'Swap Pricing &amp; Risk'!$H$3</definedName>
    <definedName name="Spread">'Swap Pricing &amp; Risk'!$J$3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Interval">'Swap Pricing &amp; Risk'!$G$3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J6" i="21" l="1"/>
  <c r="J7" i="21"/>
  <c r="J8" i="21"/>
  <c r="J9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D6" i="21" l="1"/>
  <c r="AL29" i="21" l="1"/>
  <c r="AL30" i="21"/>
  <c r="AL31" i="21"/>
  <c r="AL32" i="21"/>
  <c r="AL33" i="21"/>
  <c r="AL34" i="21"/>
  <c r="AL35" i="21"/>
  <c r="AL36" i="21"/>
  <c r="AL37" i="21"/>
  <c r="AL38" i="21"/>
  <c r="AL39" i="21"/>
  <c r="AL40" i="21"/>
  <c r="AL41" i="21"/>
  <c r="AL42" i="21"/>
  <c r="AL43" i="21"/>
  <c r="AL44" i="21"/>
  <c r="AL45" i="21"/>
  <c r="AL46" i="21"/>
  <c r="AL47" i="21"/>
  <c r="AL48" i="21"/>
  <c r="AL52" i="21"/>
  <c r="AL53" i="21"/>
  <c r="AL54" i="21"/>
  <c r="AL55" i="21"/>
  <c r="AL56" i="21"/>
  <c r="AL57" i="21"/>
  <c r="AL58" i="21"/>
  <c r="AL59" i="21"/>
  <c r="AL60" i="21"/>
  <c r="AL61" i="21"/>
  <c r="AL62" i="21"/>
  <c r="AL63" i="21"/>
  <c r="AL64" i="21"/>
  <c r="AL65" i="21"/>
  <c r="AL66" i="21"/>
  <c r="AL67" i="21"/>
  <c r="AL68" i="21"/>
  <c r="AL69" i="21"/>
  <c r="AL70" i="21"/>
  <c r="AL71" i="21"/>
  <c r="K6" i="21"/>
  <c r="K29" i="21" s="1"/>
  <c r="AH29" i="21" s="1"/>
  <c r="K7" i="21"/>
  <c r="K30" i="21" s="1"/>
  <c r="AH30" i="21" s="1"/>
  <c r="K8" i="21"/>
  <c r="K31" i="21" s="1"/>
  <c r="AH31" i="21" s="1"/>
  <c r="K9" i="21"/>
  <c r="K55" i="21" s="1"/>
  <c r="AH55" i="21" s="1"/>
  <c r="K10" i="21"/>
  <c r="K33" i="21" s="1"/>
  <c r="AH33" i="21" s="1"/>
  <c r="K11" i="21"/>
  <c r="K57" i="21" s="1"/>
  <c r="AH57" i="21" s="1"/>
  <c r="K12" i="21"/>
  <c r="K35" i="21" s="1"/>
  <c r="AH35" i="21" s="1"/>
  <c r="K13" i="21"/>
  <c r="K36" i="21" s="1"/>
  <c r="AH36" i="21" s="1"/>
  <c r="K14" i="21"/>
  <c r="K60" i="21" s="1"/>
  <c r="AH60" i="21" s="1"/>
  <c r="K15" i="21"/>
  <c r="K38" i="21" s="1"/>
  <c r="AH38" i="21" s="1"/>
  <c r="K16" i="21"/>
  <c r="K39" i="21" s="1"/>
  <c r="AH39" i="21" s="1"/>
  <c r="K17" i="21"/>
  <c r="K40" i="21" s="1"/>
  <c r="AH40" i="21" s="1"/>
  <c r="K18" i="21"/>
  <c r="K41" i="21" s="1"/>
  <c r="AH41" i="21" s="1"/>
  <c r="K19" i="21"/>
  <c r="K42" i="21" s="1"/>
  <c r="AH42" i="21" s="1"/>
  <c r="K20" i="21"/>
  <c r="K43" i="21" s="1"/>
  <c r="AH43" i="21" s="1"/>
  <c r="K21" i="21"/>
  <c r="K44" i="21" s="1"/>
  <c r="AH44" i="21" s="1"/>
  <c r="K22" i="21"/>
  <c r="K68" i="21" s="1"/>
  <c r="AH68" i="21" s="1"/>
  <c r="K23" i="21"/>
  <c r="K46" i="21" s="1"/>
  <c r="AH46" i="21" s="1"/>
  <c r="K24" i="21"/>
  <c r="K70" i="21" s="1"/>
  <c r="AH70" i="21" s="1"/>
  <c r="K25" i="21"/>
  <c r="K71" i="21" s="1"/>
  <c r="AH71" i="21" s="1"/>
  <c r="M43" i="21"/>
  <c r="M65" i="21"/>
  <c r="M36" i="21"/>
  <c r="M38" i="21"/>
  <c r="M52" i="21"/>
  <c r="M54" i="21"/>
  <c r="M30" i="21"/>
  <c r="M46" i="21"/>
  <c r="M55" i="21"/>
  <c r="M44" i="21"/>
  <c r="M47" i="21"/>
  <c r="M57" i="21"/>
  <c r="M40" i="21"/>
  <c r="M59" i="21"/>
  <c r="M70" i="21"/>
  <c r="M42" i="21"/>
  <c r="M32" i="21"/>
  <c r="M39" i="21"/>
  <c r="M35" i="21"/>
  <c r="M45" i="21"/>
  <c r="M58" i="21"/>
  <c r="M48" i="21"/>
  <c r="M67" i="21"/>
  <c r="M33" i="21"/>
  <c r="M64" i="21"/>
  <c r="M63" i="21"/>
  <c r="M37" i="21"/>
  <c r="M68" i="21"/>
  <c r="M34" i="21"/>
  <c r="M56" i="21"/>
  <c r="M62" i="21"/>
  <c r="M41" i="21"/>
  <c r="M60" i="21"/>
  <c r="M61" i="21"/>
  <c r="M71" i="21"/>
  <c r="M66" i="21"/>
  <c r="M69" i="21"/>
  <c r="M31" i="21"/>
  <c r="M29" i="21"/>
  <c r="M53" i="21"/>
  <c r="K34" i="21" l="1"/>
  <c r="AH34" i="21" s="1"/>
  <c r="K52" i="21"/>
  <c r="AH52" i="21" s="1"/>
  <c r="K47" i="21"/>
  <c r="AH47" i="21" s="1"/>
  <c r="K45" i="21"/>
  <c r="AH45" i="21" s="1"/>
  <c r="K62" i="21"/>
  <c r="AH62" i="21" s="1"/>
  <c r="K37" i="21"/>
  <c r="AH37" i="21" s="1"/>
  <c r="K54" i="21"/>
  <c r="AH54" i="21" s="1"/>
  <c r="K32" i="21"/>
  <c r="AH32" i="21" s="1"/>
  <c r="K53" i="21"/>
  <c r="AH53" i="21" s="1"/>
  <c r="K48" i="21"/>
  <c r="AH48" i="21" s="1"/>
  <c r="K69" i="21"/>
  <c r="AH69" i="21" s="1"/>
  <c r="K61" i="21"/>
  <c r="AH61" i="21" s="1"/>
  <c r="K63" i="21"/>
  <c r="AH63" i="21" s="1"/>
  <c r="K58" i="21"/>
  <c r="AH58" i="21" s="1"/>
  <c r="K65" i="21"/>
  <c r="AH65" i="21" s="1"/>
  <c r="K67" i="21"/>
  <c r="AH67" i="21" s="1"/>
  <c r="K66" i="21"/>
  <c r="AH66" i="21" s="1"/>
  <c r="K56" i="21"/>
  <c r="AH56" i="21" s="1"/>
  <c r="K59" i="21"/>
  <c r="AH59" i="21" s="1"/>
  <c r="K64" i="21"/>
  <c r="AH64" i="21" s="1"/>
  <c r="C7" i="21"/>
  <c r="C8" i="21" s="1"/>
  <c r="C9" i="21" s="1"/>
  <c r="C10" i="21" s="1"/>
  <c r="C11" i="21" s="1"/>
  <c r="C12" i="21" s="1"/>
  <c r="C13" i="21" s="1"/>
  <c r="C14" i="21" s="1"/>
  <c r="C15" i="21" s="1"/>
  <c r="C16" i="21" s="1"/>
  <c r="C17" i="21" s="1"/>
  <c r="C18" i="21" s="1"/>
  <c r="C19" i="21" s="1"/>
  <c r="C20" i="21" s="1"/>
  <c r="C21" i="21" s="1"/>
  <c r="C22" i="21" s="1"/>
  <c r="C23" i="21" s="1"/>
  <c r="C24" i="21" s="1"/>
  <c r="C25" i="21" s="1"/>
  <c r="C29" i="21"/>
  <c r="F6" i="21" l="1"/>
  <c r="F52" i="21" s="1"/>
  <c r="F7" i="21"/>
  <c r="F30" i="21" s="1"/>
  <c r="F8" i="21"/>
  <c r="F54" i="21" s="1"/>
  <c r="F9" i="21"/>
  <c r="F32" i="21" s="1"/>
  <c r="F10" i="21"/>
  <c r="F56" i="21" s="1"/>
  <c r="F11" i="21"/>
  <c r="F34" i="21" s="1"/>
  <c r="F12" i="21"/>
  <c r="F58" i="21" s="1"/>
  <c r="F13" i="21"/>
  <c r="F36" i="21" s="1"/>
  <c r="F14" i="21"/>
  <c r="F37" i="21" s="1"/>
  <c r="F15" i="21"/>
  <c r="F38" i="21" s="1"/>
  <c r="F16" i="21"/>
  <c r="F39" i="21" s="1"/>
  <c r="F17" i="21"/>
  <c r="F40" i="21" s="1"/>
  <c r="F18" i="21"/>
  <c r="F64" i="21" s="1"/>
  <c r="F19" i="21"/>
  <c r="F42" i="21" s="1"/>
  <c r="F20" i="21"/>
  <c r="F43" i="21" s="1"/>
  <c r="F21" i="21"/>
  <c r="F44" i="21" s="1"/>
  <c r="F22" i="21"/>
  <c r="F45" i="21" s="1"/>
  <c r="F23" i="21"/>
  <c r="F46" i="21" s="1"/>
  <c r="F24" i="21"/>
  <c r="F70" i="21" s="1"/>
  <c r="F25" i="21"/>
  <c r="F48" i="21" s="1"/>
  <c r="G52" i="21"/>
  <c r="I52" i="21"/>
  <c r="G53" i="21"/>
  <c r="C53" i="21"/>
  <c r="I53" i="21"/>
  <c r="G54" i="21"/>
  <c r="C54" i="21"/>
  <c r="I54" i="21"/>
  <c r="G55" i="21"/>
  <c r="C55" i="21"/>
  <c r="I55" i="21"/>
  <c r="G56" i="21"/>
  <c r="C56" i="21"/>
  <c r="I56" i="21"/>
  <c r="G57" i="21"/>
  <c r="C57" i="21"/>
  <c r="I57" i="21"/>
  <c r="G58" i="21"/>
  <c r="C58" i="21"/>
  <c r="I58" i="21"/>
  <c r="G59" i="21"/>
  <c r="C59" i="21"/>
  <c r="I59" i="21"/>
  <c r="G60" i="21"/>
  <c r="C60" i="21"/>
  <c r="I60" i="21"/>
  <c r="G61" i="21"/>
  <c r="C61" i="21"/>
  <c r="I61" i="21"/>
  <c r="G62" i="21"/>
  <c r="C62" i="21"/>
  <c r="I62" i="21"/>
  <c r="G63" i="21"/>
  <c r="C63" i="21"/>
  <c r="I63" i="21"/>
  <c r="G64" i="21"/>
  <c r="C64" i="21"/>
  <c r="I64" i="21"/>
  <c r="G65" i="21"/>
  <c r="C65" i="21"/>
  <c r="I65" i="21"/>
  <c r="G66" i="21"/>
  <c r="C66" i="21"/>
  <c r="I66" i="21"/>
  <c r="G67" i="21"/>
  <c r="C67" i="21"/>
  <c r="I67" i="21"/>
  <c r="G68" i="21"/>
  <c r="C68" i="21"/>
  <c r="I68" i="21"/>
  <c r="G69" i="21"/>
  <c r="C69" i="21"/>
  <c r="I69" i="21"/>
  <c r="G70" i="21"/>
  <c r="C70" i="21"/>
  <c r="I70" i="21"/>
  <c r="G71" i="21"/>
  <c r="C71" i="21"/>
  <c r="I71" i="21"/>
  <c r="G29" i="21"/>
  <c r="I29" i="21"/>
  <c r="G30" i="21"/>
  <c r="C30" i="21"/>
  <c r="I30" i="21"/>
  <c r="G31" i="21"/>
  <c r="C31" i="21"/>
  <c r="I31" i="21"/>
  <c r="G32" i="21"/>
  <c r="C32" i="21"/>
  <c r="I32" i="21"/>
  <c r="G33" i="21"/>
  <c r="C33" i="21"/>
  <c r="I33" i="21"/>
  <c r="G34" i="21"/>
  <c r="C34" i="21"/>
  <c r="I34" i="21"/>
  <c r="G35" i="21"/>
  <c r="C35" i="21"/>
  <c r="I35" i="21"/>
  <c r="G36" i="21"/>
  <c r="C36" i="21"/>
  <c r="I36" i="21"/>
  <c r="G37" i="21"/>
  <c r="C37" i="21"/>
  <c r="I37" i="21"/>
  <c r="G38" i="21"/>
  <c r="C38" i="21"/>
  <c r="I38" i="21"/>
  <c r="G39" i="21"/>
  <c r="C39" i="21"/>
  <c r="I39" i="21"/>
  <c r="G40" i="21"/>
  <c r="C40" i="21"/>
  <c r="I40" i="21"/>
  <c r="G41" i="21"/>
  <c r="C41" i="21"/>
  <c r="I41" i="21"/>
  <c r="G42" i="21"/>
  <c r="C42" i="21"/>
  <c r="I42" i="21"/>
  <c r="G43" i="21"/>
  <c r="C43" i="21"/>
  <c r="I43" i="21"/>
  <c r="G44" i="21"/>
  <c r="C44" i="21"/>
  <c r="I44" i="21"/>
  <c r="G45" i="21"/>
  <c r="C45" i="21"/>
  <c r="I45" i="21"/>
  <c r="G46" i="21"/>
  <c r="C46" i="21"/>
  <c r="I46" i="21"/>
  <c r="G47" i="21"/>
  <c r="C47" i="21"/>
  <c r="I47" i="21"/>
  <c r="G48" i="21"/>
  <c r="C48" i="21"/>
  <c r="I48" i="21"/>
  <c r="AN71" i="21"/>
  <c r="AN70" i="21"/>
  <c r="AN69" i="21"/>
  <c r="AN68" i="21"/>
  <c r="AN67" i="21"/>
  <c r="AN66" i="21"/>
  <c r="AN65" i="21"/>
  <c r="AN64" i="21"/>
  <c r="AN63" i="21"/>
  <c r="AN62" i="21"/>
  <c r="AN61" i="21"/>
  <c r="AN60" i="21"/>
  <c r="AN59" i="21"/>
  <c r="AN58" i="21"/>
  <c r="AN57" i="21"/>
  <c r="AN56" i="21"/>
  <c r="AN55" i="21"/>
  <c r="AN54" i="21"/>
  <c r="AN53" i="21"/>
  <c r="AN52" i="21"/>
  <c r="AN48" i="21"/>
  <c r="AN47" i="21"/>
  <c r="AN46" i="21"/>
  <c r="AN45" i="21"/>
  <c r="AN44" i="21"/>
  <c r="AN43" i="21"/>
  <c r="AN42" i="21"/>
  <c r="AN41" i="21"/>
  <c r="AN40" i="21"/>
  <c r="AN39" i="21"/>
  <c r="AN38" i="21"/>
  <c r="AN37" i="21"/>
  <c r="AN36" i="21"/>
  <c r="AN35" i="21"/>
  <c r="AN34" i="21"/>
  <c r="AN33" i="21"/>
  <c r="AN32" i="21"/>
  <c r="AN31" i="21"/>
  <c r="AN30" i="21"/>
  <c r="AN29" i="21"/>
  <c r="AN6" i="21"/>
  <c r="AN7" i="21"/>
  <c r="AN8" i="21"/>
  <c r="AN9" i="21"/>
  <c r="AN10" i="21"/>
  <c r="AN11" i="21"/>
  <c r="AN12" i="21"/>
  <c r="AN13" i="21"/>
  <c r="AN14" i="21"/>
  <c r="AN15" i="21"/>
  <c r="AN16" i="21"/>
  <c r="AN17" i="21"/>
  <c r="AN18" i="21"/>
  <c r="AN19" i="21"/>
  <c r="AN20" i="21"/>
  <c r="AN21" i="21"/>
  <c r="AN22" i="21"/>
  <c r="AN23" i="21"/>
  <c r="AN24" i="21"/>
  <c r="AN25" i="21"/>
  <c r="E17" i="26"/>
  <c r="D24" i="3" s="1"/>
  <c r="E6" i="21"/>
  <c r="E29" i="21" s="1"/>
  <c r="E7" i="21"/>
  <c r="E30" i="21" s="1"/>
  <c r="E8" i="21"/>
  <c r="E31" i="21" s="1"/>
  <c r="E9" i="21"/>
  <c r="E32" i="21" s="1"/>
  <c r="E10" i="21"/>
  <c r="E56" i="21" s="1"/>
  <c r="E11" i="21"/>
  <c r="E34" i="21" s="1"/>
  <c r="E12" i="21"/>
  <c r="E35" i="21" s="1"/>
  <c r="E13" i="21"/>
  <c r="E59" i="21" s="1"/>
  <c r="E14" i="21"/>
  <c r="E37" i="21" s="1"/>
  <c r="E15" i="21"/>
  <c r="E38" i="21" s="1"/>
  <c r="E16" i="21"/>
  <c r="E39" i="21" s="1"/>
  <c r="E17" i="21"/>
  <c r="E40" i="21" s="1"/>
  <c r="E18" i="21"/>
  <c r="E64" i="21" s="1"/>
  <c r="E19" i="21"/>
  <c r="E42" i="21" s="1"/>
  <c r="E20" i="21"/>
  <c r="E43" i="21" s="1"/>
  <c r="E21" i="21"/>
  <c r="E67" i="21" s="1"/>
  <c r="E22" i="21"/>
  <c r="E45" i="21" s="1"/>
  <c r="E23" i="21"/>
  <c r="E69" i="21" s="1"/>
  <c r="E24" i="21"/>
  <c r="E47" i="21" s="1"/>
  <c r="E25" i="21"/>
  <c r="E48" i="21" s="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E14" i="26"/>
  <c r="H25" i="21"/>
  <c r="H48" i="21" s="1"/>
  <c r="H24" i="21"/>
  <c r="H47" i="21" s="1"/>
  <c r="H23" i="21"/>
  <c r="H69" i="21" s="1"/>
  <c r="H22" i="21"/>
  <c r="H68" i="21" s="1"/>
  <c r="H21" i="21"/>
  <c r="H44" i="21" s="1"/>
  <c r="H20" i="21"/>
  <c r="H66" i="21" s="1"/>
  <c r="H19" i="21"/>
  <c r="H42" i="21" s="1"/>
  <c r="H18" i="21"/>
  <c r="H64" i="21" s="1"/>
  <c r="H17" i="21"/>
  <c r="H40" i="21" s="1"/>
  <c r="H16" i="21"/>
  <c r="H39" i="21" s="1"/>
  <c r="H15" i="21"/>
  <c r="H61" i="21" s="1"/>
  <c r="H14" i="21"/>
  <c r="H60" i="21" s="1"/>
  <c r="H13" i="21"/>
  <c r="H59" i="21" s="1"/>
  <c r="H12" i="21"/>
  <c r="H58" i="21" s="1"/>
  <c r="H11" i="21"/>
  <c r="H34" i="21" s="1"/>
  <c r="H56" i="21"/>
  <c r="H9" i="21"/>
  <c r="H32" i="21" s="1"/>
  <c r="H8" i="21"/>
  <c r="H31" i="21" s="1"/>
  <c r="H7" i="21"/>
  <c r="H53" i="21" s="1"/>
  <c r="H6" i="21"/>
  <c r="H52" i="21" s="1"/>
  <c r="D13" i="26"/>
  <c r="J39" i="23" s="1"/>
  <c r="P6" i="21"/>
  <c r="Q6" i="21"/>
  <c r="R6" i="21"/>
  <c r="S6" i="21"/>
  <c r="T6" i="21"/>
  <c r="U6" i="21"/>
  <c r="W6" i="21"/>
  <c r="X6" i="21"/>
  <c r="Z6" i="21"/>
  <c r="AA6" i="21"/>
  <c r="AB6" i="21"/>
  <c r="AC6" i="21"/>
  <c r="AD6" i="21"/>
  <c r="AE6" i="21"/>
  <c r="AG6" i="21"/>
  <c r="AH6" i="21"/>
  <c r="AJ6" i="21"/>
  <c r="AK6" i="21"/>
  <c r="AT7" i="21"/>
  <c r="P7" i="21"/>
  <c r="Q7" i="21"/>
  <c r="R7" i="21"/>
  <c r="S7" i="21"/>
  <c r="T7" i="21"/>
  <c r="U7" i="21"/>
  <c r="W7" i="21"/>
  <c r="X7" i="21"/>
  <c r="Z7" i="21"/>
  <c r="AA7" i="21"/>
  <c r="AB7" i="21"/>
  <c r="AC7" i="21"/>
  <c r="AD7" i="21"/>
  <c r="AE7" i="21"/>
  <c r="AG7" i="21"/>
  <c r="AH7" i="21"/>
  <c r="AJ7" i="21"/>
  <c r="AK7" i="21"/>
  <c r="AT8" i="21"/>
  <c r="P8" i="21"/>
  <c r="Q8" i="21"/>
  <c r="R8" i="21"/>
  <c r="S8" i="21"/>
  <c r="T8" i="21"/>
  <c r="U8" i="21"/>
  <c r="W8" i="21"/>
  <c r="X8" i="21"/>
  <c r="Z8" i="21"/>
  <c r="AA8" i="21"/>
  <c r="AB8" i="21"/>
  <c r="AC8" i="21"/>
  <c r="AD8" i="21"/>
  <c r="AE8" i="21"/>
  <c r="AG8" i="21"/>
  <c r="AH8" i="21"/>
  <c r="AJ8" i="21"/>
  <c r="AK8" i="21"/>
  <c r="AT9" i="21"/>
  <c r="P9" i="21"/>
  <c r="Q9" i="21"/>
  <c r="R9" i="21"/>
  <c r="S9" i="21"/>
  <c r="T9" i="21"/>
  <c r="U9" i="21"/>
  <c r="W9" i="21"/>
  <c r="X9" i="21"/>
  <c r="Z9" i="21"/>
  <c r="AA9" i="21"/>
  <c r="AB9" i="21"/>
  <c r="AC9" i="21"/>
  <c r="AD9" i="21"/>
  <c r="AE9" i="21"/>
  <c r="AG9" i="21"/>
  <c r="AH9" i="21"/>
  <c r="AJ9" i="21"/>
  <c r="AK9" i="21"/>
  <c r="AT10" i="21"/>
  <c r="P10" i="21"/>
  <c r="Q10" i="21"/>
  <c r="R10" i="21"/>
  <c r="S10" i="21"/>
  <c r="T10" i="21"/>
  <c r="U10" i="21"/>
  <c r="W10" i="21"/>
  <c r="X10" i="21"/>
  <c r="Z10" i="21"/>
  <c r="AA10" i="21"/>
  <c r="AB10" i="21"/>
  <c r="AC10" i="21"/>
  <c r="AD10" i="21"/>
  <c r="AE10" i="21"/>
  <c r="AG10" i="21"/>
  <c r="AH10" i="21"/>
  <c r="AJ10" i="21"/>
  <c r="AK10" i="21"/>
  <c r="AT11" i="21"/>
  <c r="P11" i="21"/>
  <c r="Q11" i="21"/>
  <c r="R11" i="21"/>
  <c r="S11" i="21"/>
  <c r="T11" i="21"/>
  <c r="U11" i="21"/>
  <c r="W11" i="21"/>
  <c r="X11" i="21"/>
  <c r="Z11" i="21"/>
  <c r="AA11" i="21"/>
  <c r="AB11" i="21"/>
  <c r="AC11" i="21"/>
  <c r="AD11" i="21"/>
  <c r="AE11" i="21"/>
  <c r="AG11" i="21"/>
  <c r="AH11" i="21"/>
  <c r="AJ11" i="21"/>
  <c r="AK11" i="21"/>
  <c r="AT12" i="21"/>
  <c r="P12" i="21"/>
  <c r="Q12" i="21"/>
  <c r="R12" i="21"/>
  <c r="S12" i="21"/>
  <c r="T12" i="21"/>
  <c r="U12" i="21"/>
  <c r="W12" i="21"/>
  <c r="X12" i="21"/>
  <c r="Z12" i="21"/>
  <c r="AA12" i="21"/>
  <c r="AB12" i="21"/>
  <c r="AC12" i="21"/>
  <c r="AD12" i="21"/>
  <c r="AE12" i="21"/>
  <c r="AG12" i="21"/>
  <c r="AH12" i="21"/>
  <c r="AJ12" i="21"/>
  <c r="AK12" i="21"/>
  <c r="AT13" i="21"/>
  <c r="P13" i="21"/>
  <c r="Q13" i="21"/>
  <c r="R13" i="21"/>
  <c r="S13" i="21"/>
  <c r="T13" i="21"/>
  <c r="U13" i="21"/>
  <c r="W13" i="21"/>
  <c r="X13" i="21"/>
  <c r="Z13" i="21"/>
  <c r="AA13" i="21"/>
  <c r="AB13" i="21"/>
  <c r="AC13" i="21"/>
  <c r="AD13" i="21"/>
  <c r="AE13" i="21"/>
  <c r="AG13" i="21"/>
  <c r="AH13" i="21"/>
  <c r="AJ13" i="21"/>
  <c r="AK13" i="21"/>
  <c r="AT14" i="21"/>
  <c r="P14" i="21"/>
  <c r="Q14" i="21"/>
  <c r="R14" i="21"/>
  <c r="S14" i="21"/>
  <c r="T14" i="21"/>
  <c r="U14" i="21"/>
  <c r="W14" i="21"/>
  <c r="X14" i="21"/>
  <c r="Z14" i="21"/>
  <c r="AA14" i="21"/>
  <c r="AB14" i="21"/>
  <c r="AC14" i="21"/>
  <c r="AD14" i="21"/>
  <c r="AE14" i="21"/>
  <c r="AG14" i="21"/>
  <c r="AH14" i="21"/>
  <c r="AJ14" i="21"/>
  <c r="AK14" i="21"/>
  <c r="AT15" i="21"/>
  <c r="P15" i="21"/>
  <c r="Q15" i="21"/>
  <c r="R15" i="21"/>
  <c r="S15" i="21"/>
  <c r="T15" i="21"/>
  <c r="U15" i="21"/>
  <c r="W15" i="21"/>
  <c r="X15" i="21"/>
  <c r="Z15" i="21"/>
  <c r="AA15" i="21"/>
  <c r="AB15" i="21"/>
  <c r="AC15" i="21"/>
  <c r="AD15" i="21"/>
  <c r="AE15" i="21"/>
  <c r="AG15" i="21"/>
  <c r="AH15" i="21"/>
  <c r="AJ15" i="21"/>
  <c r="AK15" i="21"/>
  <c r="AT16" i="21"/>
  <c r="P16" i="21"/>
  <c r="Q16" i="21"/>
  <c r="R16" i="21"/>
  <c r="S16" i="21"/>
  <c r="T16" i="21"/>
  <c r="U16" i="21"/>
  <c r="W16" i="21"/>
  <c r="X16" i="21"/>
  <c r="Z16" i="21"/>
  <c r="AA16" i="21"/>
  <c r="AB16" i="21"/>
  <c r="AC16" i="21"/>
  <c r="AD16" i="21"/>
  <c r="AE16" i="21"/>
  <c r="AG16" i="21"/>
  <c r="AH16" i="21"/>
  <c r="AJ16" i="21"/>
  <c r="AK16" i="21"/>
  <c r="AT17" i="21"/>
  <c r="P17" i="21"/>
  <c r="Q17" i="21"/>
  <c r="R17" i="21"/>
  <c r="S17" i="21"/>
  <c r="T17" i="21"/>
  <c r="U17" i="21"/>
  <c r="W17" i="21"/>
  <c r="X17" i="21"/>
  <c r="Z17" i="21"/>
  <c r="AA17" i="21"/>
  <c r="AB17" i="21"/>
  <c r="AC17" i="21"/>
  <c r="AD17" i="21"/>
  <c r="AE17" i="21"/>
  <c r="AG17" i="21"/>
  <c r="AH17" i="21"/>
  <c r="AJ17" i="21"/>
  <c r="AK17" i="21"/>
  <c r="AT18" i="21"/>
  <c r="P18" i="21"/>
  <c r="Q18" i="21"/>
  <c r="R18" i="21"/>
  <c r="S18" i="21"/>
  <c r="T18" i="21"/>
  <c r="U18" i="21"/>
  <c r="W18" i="21"/>
  <c r="X18" i="21"/>
  <c r="Z18" i="21"/>
  <c r="AA18" i="21"/>
  <c r="AB18" i="21"/>
  <c r="AC18" i="21"/>
  <c r="AD18" i="21"/>
  <c r="AE18" i="21"/>
  <c r="AG18" i="21"/>
  <c r="AH18" i="21"/>
  <c r="AJ18" i="21"/>
  <c r="AK18" i="21"/>
  <c r="AT19" i="21"/>
  <c r="P19" i="21"/>
  <c r="Q19" i="21"/>
  <c r="R19" i="21"/>
  <c r="S19" i="21"/>
  <c r="T19" i="21"/>
  <c r="U19" i="21"/>
  <c r="W19" i="21"/>
  <c r="X19" i="21"/>
  <c r="Z19" i="21"/>
  <c r="AA19" i="21"/>
  <c r="AB19" i="21"/>
  <c r="AC19" i="21"/>
  <c r="AD19" i="21"/>
  <c r="AE19" i="21"/>
  <c r="AG19" i="21"/>
  <c r="AH19" i="21"/>
  <c r="AJ19" i="21"/>
  <c r="AK19" i="21"/>
  <c r="AT20" i="21"/>
  <c r="P20" i="21"/>
  <c r="Q20" i="21"/>
  <c r="R20" i="21"/>
  <c r="S20" i="21"/>
  <c r="T20" i="21"/>
  <c r="U20" i="21"/>
  <c r="W20" i="21"/>
  <c r="X20" i="21"/>
  <c r="Z20" i="21"/>
  <c r="AA20" i="21"/>
  <c r="AB20" i="21"/>
  <c r="AC20" i="21"/>
  <c r="AD20" i="21"/>
  <c r="AE20" i="21"/>
  <c r="AG20" i="21"/>
  <c r="AH20" i="21"/>
  <c r="AJ20" i="21"/>
  <c r="AK20" i="21"/>
  <c r="AT21" i="21"/>
  <c r="P21" i="21"/>
  <c r="Q21" i="21"/>
  <c r="R21" i="21"/>
  <c r="S21" i="21"/>
  <c r="T21" i="21"/>
  <c r="U21" i="21"/>
  <c r="W21" i="21"/>
  <c r="X21" i="21"/>
  <c r="Z21" i="21"/>
  <c r="AA21" i="21"/>
  <c r="AB21" i="21"/>
  <c r="AC21" i="21"/>
  <c r="AD21" i="21"/>
  <c r="AE21" i="21"/>
  <c r="AG21" i="21"/>
  <c r="AH21" i="21"/>
  <c r="AJ21" i="21"/>
  <c r="AK21" i="21"/>
  <c r="AT22" i="21"/>
  <c r="P22" i="21"/>
  <c r="Q22" i="21"/>
  <c r="R22" i="21"/>
  <c r="S22" i="21"/>
  <c r="T22" i="21"/>
  <c r="U22" i="21"/>
  <c r="W22" i="21"/>
  <c r="X22" i="21"/>
  <c r="Z22" i="21"/>
  <c r="AA22" i="21"/>
  <c r="AB22" i="21"/>
  <c r="AC22" i="21"/>
  <c r="AD22" i="21"/>
  <c r="AE22" i="21"/>
  <c r="AG22" i="21"/>
  <c r="AH22" i="21"/>
  <c r="AJ22" i="21"/>
  <c r="AK22" i="21"/>
  <c r="AT23" i="21"/>
  <c r="P23" i="21"/>
  <c r="Q23" i="21"/>
  <c r="R23" i="21"/>
  <c r="S23" i="21"/>
  <c r="T23" i="21"/>
  <c r="U23" i="21"/>
  <c r="W23" i="21"/>
  <c r="X23" i="21"/>
  <c r="Z23" i="21"/>
  <c r="AA23" i="21"/>
  <c r="AB23" i="21"/>
  <c r="AC23" i="21"/>
  <c r="AD23" i="21"/>
  <c r="AE23" i="21"/>
  <c r="AG23" i="21"/>
  <c r="AH23" i="21"/>
  <c r="AJ23" i="21"/>
  <c r="AK23" i="21"/>
  <c r="AT24" i="21"/>
  <c r="P24" i="21"/>
  <c r="Q24" i="21"/>
  <c r="R24" i="21"/>
  <c r="S24" i="21"/>
  <c r="T24" i="21"/>
  <c r="U24" i="21"/>
  <c r="W24" i="21"/>
  <c r="X24" i="21"/>
  <c r="Z24" i="21"/>
  <c r="AA24" i="21"/>
  <c r="AB24" i="21"/>
  <c r="AC24" i="21"/>
  <c r="AD24" i="21"/>
  <c r="AE24" i="21"/>
  <c r="AG24" i="21"/>
  <c r="AH24" i="21"/>
  <c r="AJ24" i="21"/>
  <c r="AK24" i="21"/>
  <c r="AT25" i="21"/>
  <c r="P25" i="21"/>
  <c r="Q25" i="21"/>
  <c r="R25" i="21"/>
  <c r="S25" i="21"/>
  <c r="T25" i="21"/>
  <c r="U25" i="21"/>
  <c r="W25" i="21"/>
  <c r="X25" i="21"/>
  <c r="Z25" i="21"/>
  <c r="AA25" i="21"/>
  <c r="AB25" i="21"/>
  <c r="AC25" i="21"/>
  <c r="AD25" i="21"/>
  <c r="AE25" i="21"/>
  <c r="AG25" i="21"/>
  <c r="AH25" i="21"/>
  <c r="AJ25" i="21"/>
  <c r="AK25" i="21"/>
  <c r="Y29" i="21" l="1"/>
  <c r="D46" i="21"/>
  <c r="D65" i="21"/>
  <c r="D38" i="21"/>
  <c r="D57" i="21"/>
  <c r="D30" i="21"/>
  <c r="D68" i="21"/>
  <c r="D41" i="21"/>
  <c r="D60" i="21"/>
  <c r="D33" i="21"/>
  <c r="D52" i="21"/>
  <c r="D71" i="21"/>
  <c r="D67" i="21"/>
  <c r="D63" i="21"/>
  <c r="D59" i="21"/>
  <c r="D55" i="21"/>
  <c r="D70" i="21"/>
  <c r="D43" i="21"/>
  <c r="D62" i="21"/>
  <c r="D35" i="21"/>
  <c r="D54" i="21"/>
  <c r="F61" i="21"/>
  <c r="F60" i="21"/>
  <c r="F62" i="21"/>
  <c r="J71" i="21"/>
  <c r="J48" i="21"/>
  <c r="J55" i="21"/>
  <c r="J32" i="21"/>
  <c r="J65" i="21"/>
  <c r="J42" i="21"/>
  <c r="J57" i="21"/>
  <c r="J34" i="21"/>
  <c r="J64" i="21"/>
  <c r="J41" i="21"/>
  <c r="J56" i="21"/>
  <c r="J33" i="21"/>
  <c r="J63" i="21"/>
  <c r="J40" i="21"/>
  <c r="J61" i="21"/>
  <c r="J38" i="21"/>
  <c r="J68" i="21"/>
  <c r="J45" i="21"/>
  <c r="J60" i="21"/>
  <c r="J37" i="21"/>
  <c r="J52" i="21"/>
  <c r="J29" i="21"/>
  <c r="J70" i="21"/>
  <c r="J47" i="21"/>
  <c r="J69" i="21"/>
  <c r="J46" i="21"/>
  <c r="J53" i="21"/>
  <c r="J30" i="21"/>
  <c r="J67" i="21"/>
  <c r="J44" i="21"/>
  <c r="J59" i="21"/>
  <c r="J36" i="21"/>
  <c r="J62" i="21"/>
  <c r="J39" i="21"/>
  <c r="J31" i="21"/>
  <c r="J54" i="21"/>
  <c r="J66" i="21"/>
  <c r="J43" i="21"/>
  <c r="J58" i="21"/>
  <c r="J35" i="21"/>
  <c r="D22" i="2"/>
  <c r="D22" i="22"/>
  <c r="D99" i="3"/>
  <c r="D98" i="23"/>
  <c r="D24" i="23"/>
  <c r="F29" i="21"/>
  <c r="F47" i="21"/>
  <c r="F68" i="21"/>
  <c r="F31" i="21"/>
  <c r="F53" i="21"/>
  <c r="F35" i="21"/>
  <c r="F69" i="21"/>
  <c r="F66" i="21"/>
  <c r="F59" i="21"/>
  <c r="F67" i="21"/>
  <c r="F71" i="21"/>
  <c r="F65" i="21"/>
  <c r="F63" i="21"/>
  <c r="F57" i="21"/>
  <c r="F55" i="21"/>
  <c r="F41" i="21"/>
  <c r="F33" i="21"/>
  <c r="AT6" i="21"/>
  <c r="D66" i="21"/>
  <c r="E46" i="21"/>
  <c r="E53" i="21"/>
  <c r="H63" i="21"/>
  <c r="E54" i="21"/>
  <c r="C52" i="21"/>
  <c r="E65" i="21"/>
  <c r="H67" i="21"/>
  <c r="E57" i="21"/>
  <c r="H55" i="21"/>
  <c r="D39" i="21"/>
  <c r="H43" i="21"/>
  <c r="H70" i="21"/>
  <c r="H45" i="21"/>
  <c r="D44" i="21"/>
  <c r="H29" i="21"/>
  <c r="H54" i="21"/>
  <c r="H36" i="21"/>
  <c r="H71" i="21"/>
  <c r="H62" i="21"/>
  <c r="E61" i="21"/>
  <c r="E70" i="21"/>
  <c r="D47" i="21"/>
  <c r="D31" i="21"/>
  <c r="D58" i="21"/>
  <c r="E33" i="21"/>
  <c r="H37" i="21"/>
  <c r="D36" i="21"/>
  <c r="E41" i="21"/>
  <c r="H35" i="21"/>
  <c r="E62" i="21"/>
  <c r="E52" i="21"/>
  <c r="D48" i="21"/>
  <c r="D40" i="21"/>
  <c r="D45" i="21"/>
  <c r="H41" i="21"/>
  <c r="D37" i="21"/>
  <c r="H33" i="21"/>
  <c r="D29" i="21"/>
  <c r="E66" i="21"/>
  <c r="D64" i="21"/>
  <c r="E58" i="21"/>
  <c r="D56" i="21"/>
  <c r="D32" i="21"/>
  <c r="H46" i="21"/>
  <c r="E44" i="21"/>
  <c r="D42" i="21"/>
  <c r="H38" i="21"/>
  <c r="E36" i="21"/>
  <c r="D34" i="21"/>
  <c r="H30" i="21"/>
  <c r="E71" i="21"/>
  <c r="D69" i="21"/>
  <c r="H65" i="21"/>
  <c r="E63" i="21"/>
  <c r="D61" i="21"/>
  <c r="H57" i="21"/>
  <c r="E55" i="21"/>
  <c r="D53" i="21"/>
  <c r="E68" i="21"/>
  <c r="E60" i="21"/>
  <c r="B12" i="21"/>
  <c r="B13" i="21"/>
  <c r="B19" i="21"/>
  <c r="B20" i="21"/>
  <c r="B16" i="21"/>
  <c r="B24" i="21"/>
  <c r="B25" i="21"/>
  <c r="B21" i="21"/>
  <c r="B15" i="21"/>
  <c r="B14" i="21"/>
  <c r="B11" i="21"/>
  <c r="B18" i="21"/>
  <c r="B17" i="21"/>
  <c r="D7" i="2"/>
  <c r="B6" i="21"/>
  <c r="B23" i="21"/>
  <c r="B7" i="21"/>
  <c r="B22" i="21"/>
  <c r="B9" i="21"/>
  <c r="B10" i="21"/>
  <c r="B8" i="21"/>
  <c r="B29" i="21" l="1"/>
  <c r="D8" i="2"/>
  <c r="B68" i="21"/>
  <c r="B45" i="21"/>
  <c r="B60" i="21"/>
  <c r="B37" i="21"/>
  <c r="B52" i="21"/>
  <c r="B47" i="21"/>
  <c r="B70" i="21"/>
  <c r="B39" i="21"/>
  <c r="B62" i="21"/>
  <c r="B63" i="21"/>
  <c r="B40" i="21"/>
  <c r="B33" i="21"/>
  <c r="B56" i="21"/>
  <c r="B55" i="21"/>
  <c r="B32" i="21"/>
  <c r="B71" i="21"/>
  <c r="B48" i="21"/>
  <c r="B34" i="21"/>
  <c r="B57" i="21"/>
  <c r="B42" i="21"/>
  <c r="B65" i="21"/>
  <c r="B58" i="21"/>
  <c r="B35" i="21"/>
  <c r="B66" i="21"/>
  <c r="B43" i="21"/>
  <c r="B36" i="21"/>
  <c r="B59" i="21"/>
  <c r="B69" i="21"/>
  <c r="B46" i="21"/>
  <c r="B41" i="21"/>
  <c r="B64" i="21"/>
  <c r="B53" i="21"/>
  <c r="B30" i="21"/>
  <c r="B61" i="21"/>
  <c r="B38" i="21"/>
  <c r="B31" i="21"/>
  <c r="B54" i="21"/>
  <c r="B44" i="21"/>
  <c r="B67" i="21"/>
  <c r="D8" i="3"/>
  <c r="D9" i="3" l="1"/>
  <c r="H32" i="22"/>
  <c r="I32" i="22"/>
  <c r="J32" i="22"/>
  <c r="H33" i="22"/>
  <c r="I33" i="22"/>
  <c r="J33" i="22"/>
  <c r="H34" i="22"/>
  <c r="I34" i="22"/>
  <c r="J34" i="22"/>
  <c r="H35" i="22"/>
  <c r="I35" i="22"/>
  <c r="J35" i="22"/>
  <c r="H36" i="22"/>
  <c r="I36" i="22"/>
  <c r="J36" i="22"/>
  <c r="H37" i="22"/>
  <c r="I37" i="22"/>
  <c r="J37" i="22"/>
  <c r="H38" i="22"/>
  <c r="I38" i="22"/>
  <c r="J38" i="22"/>
  <c r="H39" i="22"/>
  <c r="I39" i="22"/>
  <c r="J39" i="22"/>
  <c r="H40" i="22"/>
  <c r="I40" i="22"/>
  <c r="J40" i="22"/>
  <c r="H41" i="22"/>
  <c r="I41" i="22"/>
  <c r="J41" i="22"/>
  <c r="H42" i="22"/>
  <c r="I42" i="22"/>
  <c r="J42" i="22"/>
  <c r="H43" i="22"/>
  <c r="I43" i="22"/>
  <c r="J43" i="22"/>
  <c r="H44" i="22"/>
  <c r="I44" i="22"/>
  <c r="J44" i="22"/>
  <c r="H45" i="22"/>
  <c r="I45" i="22"/>
  <c r="J45" i="22"/>
  <c r="H46" i="22"/>
  <c r="I46" i="22"/>
  <c r="J46" i="22"/>
  <c r="H47" i="22"/>
  <c r="I47" i="22"/>
  <c r="J47" i="22"/>
  <c r="H48" i="22"/>
  <c r="I48" i="22"/>
  <c r="J48" i="22"/>
  <c r="H49" i="22"/>
  <c r="I49" i="22"/>
  <c r="J49" i="22"/>
  <c r="H50" i="22"/>
  <c r="I50" i="22"/>
  <c r="J50" i="22"/>
  <c r="H51" i="22"/>
  <c r="I51" i="22"/>
  <c r="J51" i="22"/>
  <c r="H52" i="22"/>
  <c r="I52" i="22"/>
  <c r="J52" i="22"/>
  <c r="H53" i="22"/>
  <c r="I53" i="22"/>
  <c r="J53" i="22"/>
  <c r="H54" i="22"/>
  <c r="I54" i="22"/>
  <c r="J54" i="22"/>
  <c r="H55" i="22"/>
  <c r="I55" i="22"/>
  <c r="J55" i="22"/>
  <c r="H56" i="22"/>
  <c r="I56" i="22"/>
  <c r="J56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O52" i="21" l="1"/>
  <c r="Y52" i="21"/>
  <c r="O29" i="21"/>
  <c r="O6" i="21" s="1"/>
  <c r="Y6" i="21"/>
  <c r="O53" i="21"/>
  <c r="Y53" i="21"/>
  <c r="O30" i="21"/>
  <c r="O7" i="21" s="1"/>
  <c r="Y30" i="21"/>
  <c r="Y7" i="21" s="1"/>
  <c r="O54" i="21"/>
  <c r="Y54" i="21"/>
  <c r="O31" i="21"/>
  <c r="O8" i="21" s="1"/>
  <c r="Y31" i="21"/>
  <c r="Y8" i="21" s="1"/>
  <c r="O55" i="21"/>
  <c r="Y55" i="21"/>
  <c r="O32" i="21"/>
  <c r="O9" i="21" s="1"/>
  <c r="Y32" i="21"/>
  <c r="Y9" i="21" s="1"/>
  <c r="O56" i="21"/>
  <c r="Y56" i="21"/>
  <c r="O33" i="21"/>
  <c r="O10" i="21" s="1"/>
  <c r="Y33" i="21"/>
  <c r="Y10" i="21" s="1"/>
  <c r="O57" i="21"/>
  <c r="Y57" i="21"/>
  <c r="O34" i="21"/>
  <c r="O11" i="21" s="1"/>
  <c r="Y34" i="21"/>
  <c r="Y11" i="21" s="1"/>
  <c r="O58" i="21"/>
  <c r="Y58" i="21"/>
  <c r="O35" i="21"/>
  <c r="O12" i="21" s="1"/>
  <c r="Y35" i="21"/>
  <c r="Y12" i="21" s="1"/>
  <c r="O59" i="21"/>
  <c r="Y59" i="21"/>
  <c r="O36" i="21"/>
  <c r="O13" i="21" s="1"/>
  <c r="Y36" i="21"/>
  <c r="Y13" i="21" s="1"/>
  <c r="O60" i="21"/>
  <c r="Y60" i="21"/>
  <c r="O37" i="21"/>
  <c r="O14" i="21" s="1"/>
  <c r="Y37" i="21"/>
  <c r="Y14" i="21" s="1"/>
  <c r="O61" i="21"/>
  <c r="Y61" i="21"/>
  <c r="O38" i="21"/>
  <c r="O15" i="21" s="1"/>
  <c r="Y38" i="21"/>
  <c r="Y15" i="21" s="1"/>
  <c r="O62" i="21"/>
  <c r="Y62" i="21"/>
  <c r="O39" i="21"/>
  <c r="O16" i="21" s="1"/>
  <c r="Y39" i="21"/>
  <c r="Y16" i="21" s="1"/>
  <c r="O63" i="21"/>
  <c r="Y63" i="21"/>
  <c r="O40" i="21"/>
  <c r="O17" i="21" s="1"/>
  <c r="Y40" i="21"/>
  <c r="Y17" i="21" s="1"/>
  <c r="O64" i="21"/>
  <c r="Y64" i="21"/>
  <c r="O41" i="21"/>
  <c r="O18" i="21" s="1"/>
  <c r="Y41" i="21"/>
  <c r="Y18" i="21" s="1"/>
  <c r="O65" i="21"/>
  <c r="Y65" i="21"/>
  <c r="O42" i="21"/>
  <c r="O19" i="21" s="1"/>
  <c r="Y42" i="21"/>
  <c r="Y19" i="21" s="1"/>
  <c r="O66" i="21"/>
  <c r="Y66" i="21"/>
  <c r="O43" i="21"/>
  <c r="O20" i="21" s="1"/>
  <c r="Y43" i="21"/>
  <c r="Y20" i="21" s="1"/>
  <c r="O67" i="21"/>
  <c r="Y67" i="21"/>
  <c r="O44" i="21"/>
  <c r="O21" i="21" s="1"/>
  <c r="Y44" i="21"/>
  <c r="Y21" i="21" s="1"/>
  <c r="O68" i="21"/>
  <c r="Y68" i="21"/>
  <c r="O45" i="21"/>
  <c r="O22" i="21" s="1"/>
  <c r="Y45" i="21"/>
  <c r="Y22" i="21" s="1"/>
  <c r="O69" i="21"/>
  <c r="Y69" i="21"/>
  <c r="O46" i="21"/>
  <c r="O23" i="21" s="1"/>
  <c r="Y46" i="21"/>
  <c r="Y23" i="21" s="1"/>
  <c r="O70" i="21"/>
  <c r="Y70" i="21"/>
  <c r="O47" i="21"/>
  <c r="O24" i="21" s="1"/>
  <c r="Y47" i="21"/>
  <c r="Y24" i="21" s="1"/>
  <c r="O71" i="21"/>
  <c r="Y71" i="21"/>
  <c r="O48" i="21"/>
  <c r="O25" i="21" s="1"/>
  <c r="Y48" i="21"/>
  <c r="Y25" i="21" s="1"/>
  <c r="M12" i="21" l="1"/>
  <c r="M18" i="21"/>
  <c r="M15" i="21"/>
  <c r="M10" i="21"/>
  <c r="M11" i="21"/>
  <c r="M8" i="21"/>
  <c r="M23" i="21"/>
  <c r="M22" i="21"/>
  <c r="M13" i="21"/>
  <c r="M24" i="21"/>
  <c r="M17" i="21"/>
  <c r="M21" i="21"/>
  <c r="M6" i="21"/>
  <c r="M20" i="21"/>
  <c r="M25" i="21"/>
  <c r="M9" i="21"/>
  <c r="M14" i="21"/>
  <c r="M16" i="21"/>
  <c r="M19" i="21"/>
  <c r="M7" i="21"/>
  <c r="J54" i="23"/>
  <c r="G53" i="22"/>
  <c r="G56" i="22"/>
  <c r="G54" i="22"/>
  <c r="G55" i="22"/>
  <c r="G101" i="23"/>
  <c r="G36" i="22"/>
  <c r="G40" i="22"/>
  <c r="G48" i="22"/>
  <c r="G41" i="22"/>
  <c r="G49" i="22"/>
  <c r="G42" i="22"/>
  <c r="G50" i="22"/>
  <c r="G52" i="22"/>
  <c r="G43" i="22"/>
  <c r="G51" i="22"/>
  <c r="G44" i="22"/>
  <c r="G45" i="22"/>
  <c r="G46" i="22"/>
  <c r="G47" i="22"/>
  <c r="G35" i="22"/>
  <c r="J53" i="23"/>
  <c r="G98" i="23"/>
  <c r="G32" i="22"/>
  <c r="J52" i="23"/>
  <c r="G97" i="23"/>
  <c r="G109" i="23"/>
  <c r="G106" i="23"/>
  <c r="G39" i="22"/>
  <c r="J60" i="23"/>
  <c r="G105" i="23"/>
  <c r="J62" i="23"/>
  <c r="J61" i="23"/>
  <c r="G38" i="22"/>
  <c r="J58" i="23"/>
  <c r="G104" i="23"/>
  <c r="G96" i="23"/>
  <c r="G95" i="23"/>
  <c r="G37" i="22"/>
  <c r="J55" i="23"/>
  <c r="G103" i="23"/>
  <c r="V33" i="21"/>
  <c r="AF33" i="21"/>
  <c r="AF10" i="21" s="1"/>
  <c r="V67" i="21"/>
  <c r="AF67" i="21"/>
  <c r="V47" i="21"/>
  <c r="AF47" i="21"/>
  <c r="AF24" i="21" s="1"/>
  <c r="V53" i="21"/>
  <c r="AF53" i="21"/>
  <c r="V69" i="21"/>
  <c r="AF69" i="21"/>
  <c r="AF46" i="21"/>
  <c r="AF23" i="21" s="1"/>
  <c r="V46" i="21"/>
  <c r="V41" i="21"/>
  <c r="AF41" i="21"/>
  <c r="AF18" i="21" s="1"/>
  <c r="V59" i="21"/>
  <c r="AF59" i="21"/>
  <c r="V61" i="21"/>
  <c r="AF61" i="21"/>
  <c r="V31" i="21"/>
  <c r="AF31" i="21"/>
  <c r="AF8" i="21" s="1"/>
  <c r="V39" i="21"/>
  <c r="AF39" i="21"/>
  <c r="AF16" i="21" s="1"/>
  <c r="V48" i="21"/>
  <c r="AF48" i="21"/>
  <c r="AF25" i="21" s="1"/>
  <c r="V68" i="21"/>
  <c r="AF68" i="21"/>
  <c r="V40" i="21"/>
  <c r="AF40" i="21"/>
  <c r="AF17" i="21" s="1"/>
  <c r="V60" i="21"/>
  <c r="AF60" i="21"/>
  <c r="V32" i="21"/>
  <c r="AF32" i="21"/>
  <c r="AF9" i="21" s="1"/>
  <c r="V52" i="21"/>
  <c r="AF52" i="21"/>
  <c r="V66" i="21"/>
  <c r="AF66" i="21"/>
  <c r="AF38" i="21"/>
  <c r="AF15" i="21" s="1"/>
  <c r="V38" i="21"/>
  <c r="V58" i="21"/>
  <c r="AF58" i="21"/>
  <c r="AF30" i="21"/>
  <c r="AF7" i="21" s="1"/>
  <c r="V30" i="21"/>
  <c r="AF45" i="21"/>
  <c r="AF22" i="21" s="1"/>
  <c r="V45" i="21"/>
  <c r="V65" i="21"/>
  <c r="AF65" i="21"/>
  <c r="AF37" i="21"/>
  <c r="AF14" i="21" s="1"/>
  <c r="V37" i="21"/>
  <c r="V57" i="21"/>
  <c r="AF57" i="21"/>
  <c r="AF29" i="21"/>
  <c r="AF6" i="21" s="1"/>
  <c r="V29" i="21"/>
  <c r="AF44" i="21"/>
  <c r="AF21" i="21" s="1"/>
  <c r="V44" i="21"/>
  <c r="AF71" i="21"/>
  <c r="V71" i="21"/>
  <c r="V43" i="21"/>
  <c r="AF43" i="21"/>
  <c r="AF20" i="21" s="1"/>
  <c r="AF63" i="21"/>
  <c r="V63" i="21"/>
  <c r="V35" i="21"/>
  <c r="AF35" i="21"/>
  <c r="AF12" i="21" s="1"/>
  <c r="AF55" i="21"/>
  <c r="V55" i="21"/>
  <c r="AF64" i="21"/>
  <c r="V64" i="21"/>
  <c r="AF36" i="21"/>
  <c r="AF13" i="21" s="1"/>
  <c r="V36" i="21"/>
  <c r="AF56" i="21"/>
  <c r="V56" i="21"/>
  <c r="AF70" i="21"/>
  <c r="V70" i="21"/>
  <c r="V42" i="21"/>
  <c r="AF42" i="21"/>
  <c r="AF19" i="21" s="1"/>
  <c r="AF62" i="21"/>
  <c r="V62" i="21"/>
  <c r="V34" i="21"/>
  <c r="AF34" i="21"/>
  <c r="AF11" i="21" s="1"/>
  <c r="AF54" i="21"/>
  <c r="V54" i="21"/>
  <c r="J59" i="23"/>
  <c r="G110" i="23"/>
  <c r="G102" i="23"/>
  <c r="G94" i="23"/>
  <c r="G34" i="22"/>
  <c r="J57" i="23"/>
  <c r="G108" i="23"/>
  <c r="G100" i="23"/>
  <c r="G33" i="22"/>
  <c r="J56" i="23"/>
  <c r="G107" i="23"/>
  <c r="G99" i="23"/>
  <c r="D7" i="22"/>
  <c r="V17" i="21" l="1"/>
  <c r="V8" i="21"/>
  <c r="V7" i="21"/>
  <c r="V11" i="21"/>
  <c r="V19" i="21"/>
  <c r="V12" i="21"/>
  <c r="V20" i="21"/>
  <c r="V16" i="21"/>
  <c r="V18" i="21"/>
  <c r="V24" i="21"/>
  <c r="V10" i="21"/>
  <c r="V9" i="21"/>
  <c r="V25" i="21"/>
  <c r="V21" i="21"/>
  <c r="V15" i="21"/>
  <c r="V13" i="21"/>
  <c r="V6" i="21"/>
  <c r="V14" i="21"/>
  <c r="V22" i="21"/>
  <c r="V23" i="21"/>
  <c r="D8" i="22"/>
  <c r="N33" i="21"/>
  <c r="N71" i="21"/>
  <c r="N40" i="21"/>
  <c r="N59" i="21"/>
  <c r="N69" i="21"/>
  <c r="N43" i="21"/>
  <c r="N61" i="21"/>
  <c r="N35" i="21"/>
  <c r="N42" i="21"/>
  <c r="N53" i="21"/>
  <c r="N55" i="21"/>
  <c r="N34" i="21"/>
  <c r="N68" i="21"/>
  <c r="N62" i="21"/>
  <c r="N39" i="21"/>
  <c r="N41" i="21"/>
  <c r="N64" i="21"/>
  <c r="N60" i="21"/>
  <c r="N37" i="21"/>
  <c r="N54" i="21"/>
  <c r="N31" i="21"/>
  <c r="N52" i="21"/>
  <c r="N29" i="21"/>
  <c r="N70" i="21"/>
  <c r="N47" i="21"/>
  <c r="N67" i="21"/>
  <c r="N44" i="21"/>
  <c r="D8" i="23"/>
  <c r="N20" i="21" l="1"/>
  <c r="N24" i="21"/>
  <c r="N8" i="21"/>
  <c r="N19" i="21"/>
  <c r="N10" i="21"/>
  <c r="N18" i="21"/>
  <c r="N11" i="21"/>
  <c r="N12" i="21"/>
  <c r="N21" i="21"/>
  <c r="N6" i="21"/>
  <c r="N14" i="21"/>
  <c r="N16" i="21"/>
  <c r="N17" i="21"/>
  <c r="D9" i="23"/>
  <c r="N38" i="21"/>
  <c r="N32" i="21"/>
  <c r="N36" i="21"/>
  <c r="N63" i="21"/>
  <c r="N56" i="21"/>
  <c r="N66" i="21"/>
  <c r="N48" i="21"/>
  <c r="N57" i="21"/>
  <c r="N30" i="21"/>
  <c r="N46" i="21"/>
  <c r="N45" i="21"/>
  <c r="N65" i="21"/>
  <c r="N58" i="21"/>
  <c r="N25" i="21" l="1"/>
  <c r="N22" i="21"/>
  <c r="N13" i="21"/>
  <c r="N23" i="21"/>
  <c r="N9" i="21"/>
  <c r="N7" i="21"/>
  <c r="N15" i="21"/>
  <c r="L62" i="21"/>
  <c r="AM62" i="21" s="1"/>
  <c r="L29" i="21"/>
  <c r="AM29" i="21" s="1"/>
  <c r="L52" i="21"/>
  <c r="AM52" i="21" s="1"/>
  <c r="AP29" i="21"/>
  <c r="AO29" i="21"/>
  <c r="AQ29" i="21"/>
  <c r="AP52" i="21"/>
  <c r="AO52" i="21"/>
  <c r="AO62" i="21"/>
  <c r="AQ62" i="21"/>
  <c r="AQ52" i="21"/>
  <c r="AP62" i="21"/>
  <c r="AM6" i="21" l="1"/>
  <c r="AR6" i="21"/>
  <c r="AO6" i="21"/>
  <c r="AP6" i="21"/>
  <c r="AQ6" i="21"/>
  <c r="AS6" i="21"/>
  <c r="AV6" i="21" l="1"/>
  <c r="AU6" i="21"/>
  <c r="L37" i="21"/>
  <c r="AM37" i="21" s="1"/>
  <c r="L60" i="21"/>
  <c r="AM60" i="21" s="1"/>
  <c r="AP37" i="21"/>
  <c r="AO37" i="21"/>
  <c r="AQ37" i="21"/>
  <c r="AO60" i="21"/>
  <c r="AQ60" i="21"/>
  <c r="AP60" i="21"/>
  <c r="L39" i="21" l="1"/>
  <c r="AM39" i="21" s="1"/>
  <c r="AP39" i="21"/>
  <c r="AO39" i="21"/>
  <c r="AQ39" i="21"/>
  <c r="AO14" i="21" l="1"/>
  <c r="AM14" i="21"/>
  <c r="AO16" i="21" l="1"/>
  <c r="AR14" i="21"/>
  <c r="AP14" i="21"/>
  <c r="AQ14" i="21"/>
  <c r="AM16" i="21"/>
  <c r="AS14" i="21"/>
  <c r="AP16" i="21" l="1"/>
  <c r="AQ16" i="21"/>
  <c r="AR16" i="21"/>
  <c r="AV14" i="21"/>
  <c r="AU14" i="21"/>
  <c r="L47" i="21"/>
  <c r="AM47" i="21" s="1"/>
  <c r="L70" i="21"/>
  <c r="AM70" i="21" s="1"/>
  <c r="AQ70" i="21"/>
  <c r="AO70" i="21"/>
  <c r="AP70" i="21"/>
  <c r="AP47" i="21"/>
  <c r="AQ47" i="21"/>
  <c r="AO47" i="21"/>
  <c r="AS16" i="21"/>
  <c r="AV16" i="21" l="1"/>
  <c r="AU16" i="21"/>
  <c r="AO24" i="21" l="1"/>
  <c r="AM24" i="21"/>
  <c r="AQ24" i="21" l="1"/>
  <c r="AR24" i="21"/>
  <c r="AP24" i="21"/>
  <c r="L41" i="21"/>
  <c r="AM41" i="21" s="1"/>
  <c r="L64" i="21"/>
  <c r="AM64" i="21" s="1"/>
  <c r="AP41" i="21"/>
  <c r="AO41" i="21"/>
  <c r="AQ41" i="21"/>
  <c r="AO64" i="21"/>
  <c r="AP64" i="21"/>
  <c r="AQ64" i="21"/>
  <c r="AS24" i="21"/>
  <c r="AV24" i="21" l="1"/>
  <c r="AU24" i="21"/>
  <c r="AO18" i="21" l="1"/>
  <c r="AM18" i="21"/>
  <c r="AQ18" i="21" l="1"/>
  <c r="AP18" i="21"/>
  <c r="AR18" i="21"/>
  <c r="L31" i="21"/>
  <c r="AM31" i="21" s="1"/>
  <c r="L54" i="21"/>
  <c r="AM54" i="21" s="1"/>
  <c r="AP31" i="21"/>
  <c r="AQ31" i="21"/>
  <c r="AO31" i="21"/>
  <c r="AO54" i="21"/>
  <c r="AP54" i="21"/>
  <c r="AQ54" i="21"/>
  <c r="AS18" i="21"/>
  <c r="AU18" i="21" l="1"/>
  <c r="AV18" i="21"/>
  <c r="AO8" i="21" l="1"/>
  <c r="AM8" i="21"/>
  <c r="AP8" i="21" l="1"/>
  <c r="AR8" i="21"/>
  <c r="AQ8" i="21"/>
  <c r="L44" i="21"/>
  <c r="AM44" i="21" s="1"/>
  <c r="L67" i="21"/>
  <c r="AM67" i="21" s="1"/>
  <c r="AP44" i="21"/>
  <c r="AQ44" i="21"/>
  <c r="AO44" i="21"/>
  <c r="AO67" i="21"/>
  <c r="AP67" i="21"/>
  <c r="AQ67" i="21"/>
  <c r="AS8" i="21"/>
  <c r="AV8" i="21" l="1"/>
  <c r="AU8" i="21"/>
  <c r="L55" i="21"/>
  <c r="AM55" i="21" s="1"/>
  <c r="AO55" i="21"/>
  <c r="AP55" i="21"/>
  <c r="AQ55" i="21"/>
  <c r="AO21" i="21" l="1"/>
  <c r="AM21" i="21"/>
  <c r="AR21" i="21" l="1"/>
  <c r="AQ21" i="21"/>
  <c r="AP21" i="21"/>
  <c r="L46" i="21"/>
  <c r="AM46" i="21" s="1"/>
  <c r="L69" i="21"/>
  <c r="AM69" i="21" s="1"/>
  <c r="AP46" i="21"/>
  <c r="AO46" i="21"/>
  <c r="AQ46" i="21"/>
  <c r="AQ69" i="21"/>
  <c r="AP69" i="21"/>
  <c r="AO69" i="21"/>
  <c r="AS21" i="21"/>
  <c r="AV21" i="21" l="1"/>
  <c r="AU21" i="21"/>
  <c r="L71" i="21"/>
  <c r="AM71" i="21" s="1"/>
  <c r="AO71" i="21"/>
  <c r="AP71" i="21"/>
  <c r="AQ71" i="21"/>
  <c r="AO23" i="21" l="1"/>
  <c r="AM23" i="21"/>
  <c r="AQ23" i="21" l="1"/>
  <c r="AP23" i="21"/>
  <c r="AR23" i="21"/>
  <c r="L59" i="21"/>
  <c r="AM59" i="21" s="1"/>
  <c r="L68" i="21"/>
  <c r="AM68" i="21" s="1"/>
  <c r="L36" i="21"/>
  <c r="AM36" i="21" s="1"/>
  <c r="AQ59" i="21"/>
  <c r="AP59" i="21"/>
  <c r="AO59" i="21"/>
  <c r="AP68" i="21"/>
  <c r="AO68" i="21"/>
  <c r="AQ68" i="21"/>
  <c r="AP36" i="21"/>
  <c r="AO36" i="21"/>
  <c r="AQ36" i="21"/>
  <c r="AS23" i="21"/>
  <c r="AV23" i="21" l="1"/>
  <c r="AU23" i="21"/>
  <c r="AW24" i="21" l="1"/>
  <c r="AO13" i="21"/>
  <c r="AM13" i="21"/>
  <c r="L65" i="21"/>
  <c r="AM65" i="21" s="1"/>
  <c r="AQ65" i="21"/>
  <c r="AO65" i="21"/>
  <c r="AP65" i="21"/>
  <c r="AP13" i="21" l="1"/>
  <c r="AQ13" i="21"/>
  <c r="AR13" i="21"/>
  <c r="L38" i="21"/>
  <c r="AM38" i="21" s="1"/>
  <c r="L61" i="21"/>
  <c r="AM61" i="21" s="1"/>
  <c r="AP38" i="21"/>
  <c r="AQ38" i="21"/>
  <c r="AO38" i="21"/>
  <c r="AQ61" i="21"/>
  <c r="AO61" i="21"/>
  <c r="AP61" i="21"/>
  <c r="AS13" i="21"/>
  <c r="AV13" i="21" l="1"/>
  <c r="AU13" i="21"/>
  <c r="AW14" i="21" s="1"/>
  <c r="L45" i="21"/>
  <c r="AM45" i="21" s="1"/>
  <c r="AP45" i="21"/>
  <c r="AO45" i="21"/>
  <c r="AQ45" i="21"/>
  <c r="AO15" i="21" l="1"/>
  <c r="AM15" i="21"/>
  <c r="AO22" i="21" l="1"/>
  <c r="AR15" i="21"/>
  <c r="AP15" i="21"/>
  <c r="AQ15" i="21"/>
  <c r="AM22" i="21"/>
  <c r="L32" i="21"/>
  <c r="AM32" i="21" s="1"/>
  <c r="AP32" i="21"/>
  <c r="AO32" i="21"/>
  <c r="AQ32" i="21"/>
  <c r="AS15" i="21"/>
  <c r="AR22" i="21" l="1"/>
  <c r="AP22" i="21"/>
  <c r="AQ22" i="21"/>
  <c r="AV15" i="21"/>
  <c r="AU15" i="21"/>
  <c r="AS22" i="21"/>
  <c r="AM9" i="21" l="1"/>
  <c r="AV22" i="21"/>
  <c r="AU22" i="21"/>
  <c r="AW15" i="21"/>
  <c r="AW16" i="21"/>
  <c r="AO9" i="21"/>
  <c r="L48" i="21"/>
  <c r="AM48" i="21" s="1"/>
  <c r="AP48" i="21"/>
  <c r="AO48" i="21"/>
  <c r="AQ48" i="21"/>
  <c r="AW22" i="21" l="1"/>
  <c r="AW23" i="21"/>
  <c r="AQ9" i="21"/>
  <c r="AR9" i="21"/>
  <c r="AP9" i="21"/>
  <c r="AS9" i="21"/>
  <c r="AO25" i="21" l="1"/>
  <c r="AU9" i="21"/>
  <c r="AW9" i="21" s="1"/>
  <c r="AV9" i="21"/>
  <c r="AM25" i="21"/>
  <c r="L35" i="21"/>
  <c r="AM35" i="21" s="1"/>
  <c r="L58" i="21"/>
  <c r="AM58" i="21" s="1"/>
  <c r="AP35" i="21"/>
  <c r="AQ35" i="21"/>
  <c r="AO35" i="21"/>
  <c r="AP58" i="21"/>
  <c r="AQ58" i="21"/>
  <c r="AO58" i="21"/>
  <c r="AQ25" i="21" l="1"/>
  <c r="AR25" i="21"/>
  <c r="AP25" i="21"/>
  <c r="L43" i="21"/>
  <c r="AM43" i="21" s="1"/>
  <c r="L66" i="21"/>
  <c r="AM66" i="21" s="1"/>
  <c r="AP43" i="21"/>
  <c r="AQ43" i="21"/>
  <c r="AO43" i="21"/>
  <c r="AQ66" i="21"/>
  <c r="AO66" i="21"/>
  <c r="AP66" i="21"/>
  <c r="AS25" i="21"/>
  <c r="AV25" i="21" l="1"/>
  <c r="AU25" i="21"/>
  <c r="AW25" i="21" s="1"/>
  <c r="AO12" i="21"/>
  <c r="AM12" i="21"/>
  <c r="L53" i="21"/>
  <c r="AM53" i="21" s="1"/>
  <c r="AO53" i="21"/>
  <c r="AP53" i="21"/>
  <c r="AQ53" i="21"/>
  <c r="AO20" i="21" l="1"/>
  <c r="AP12" i="21"/>
  <c r="AQ12" i="21"/>
  <c r="AR12" i="21"/>
  <c r="AM20" i="21"/>
  <c r="L57" i="21"/>
  <c r="AM57" i="21" s="1"/>
  <c r="AO57" i="21"/>
  <c r="AQ57" i="21"/>
  <c r="AP57" i="21"/>
  <c r="AS12" i="21"/>
  <c r="AP20" i="21" l="1"/>
  <c r="AQ20" i="21"/>
  <c r="AR20" i="21"/>
  <c r="AV12" i="21"/>
  <c r="AU12" i="21"/>
  <c r="AW13" i="21" s="1"/>
  <c r="L34" i="21"/>
  <c r="AM34" i="21" s="1"/>
  <c r="AP34" i="21"/>
  <c r="AQ34" i="21"/>
  <c r="AO34" i="21"/>
  <c r="AS20" i="21"/>
  <c r="AV20" i="21" l="1"/>
  <c r="AU20" i="21"/>
  <c r="AM11" i="21" l="1"/>
  <c r="AW21" i="21"/>
  <c r="AO11" i="21"/>
  <c r="L42" i="21"/>
  <c r="AM42" i="21" s="1"/>
  <c r="AP42" i="21"/>
  <c r="AO42" i="21"/>
  <c r="AQ42" i="21"/>
  <c r="AQ11" i="21" l="1"/>
  <c r="AR11" i="21"/>
  <c r="AP11" i="21"/>
  <c r="AS11" i="21"/>
  <c r="AO19" i="21" l="1"/>
  <c r="AU11" i="21"/>
  <c r="AW12" i="21" s="1"/>
  <c r="AV11" i="21"/>
  <c r="AM19" i="21"/>
  <c r="L33" i="21"/>
  <c r="AM33" i="21" s="1"/>
  <c r="L56" i="21"/>
  <c r="AM56" i="21" s="1"/>
  <c r="AP33" i="21"/>
  <c r="AQ33" i="21"/>
  <c r="AO33" i="21"/>
  <c r="AO56" i="21"/>
  <c r="AQ56" i="21"/>
  <c r="AP56" i="21"/>
  <c r="AP19" i="21" l="1"/>
  <c r="AQ19" i="21"/>
  <c r="AR19" i="21"/>
  <c r="L40" i="21"/>
  <c r="AM40" i="21" s="1"/>
  <c r="L63" i="21"/>
  <c r="AM63" i="21" s="1"/>
  <c r="AP40" i="21"/>
  <c r="AQ40" i="21"/>
  <c r="AO40" i="21"/>
  <c r="AO63" i="21"/>
  <c r="AP63" i="21"/>
  <c r="AQ63" i="21"/>
  <c r="AS19" i="21"/>
  <c r="AV19" i="21" l="1"/>
  <c r="AU19" i="21"/>
  <c r="AO10" i="21"/>
  <c r="AM10" i="21"/>
  <c r="L30" i="21"/>
  <c r="AM30" i="21" s="1"/>
  <c r="AP30" i="21"/>
  <c r="AO30" i="21"/>
  <c r="AQ30" i="21"/>
  <c r="AO17" i="21" l="1"/>
  <c r="AW19" i="21"/>
  <c r="AW20" i="21"/>
  <c r="AQ10" i="21"/>
  <c r="AP10" i="21"/>
  <c r="AR10" i="21"/>
  <c r="AM17" i="21"/>
  <c r="AS10" i="21"/>
  <c r="AR17" i="21" l="1"/>
  <c r="AP17" i="21"/>
  <c r="AQ17" i="21"/>
  <c r="AO7" i="21"/>
  <c r="AV10" i="21"/>
  <c r="AU10" i="21"/>
  <c r="AW10" i="21" s="1"/>
  <c r="AM7" i="21"/>
  <c r="AS17" i="21"/>
  <c r="AR7" i="21" l="1"/>
  <c r="AW11" i="21"/>
  <c r="AV17" i="21"/>
  <c r="AU17" i="21"/>
  <c r="AP7" i="21"/>
  <c r="AQ7" i="21"/>
  <c r="AS7" i="21"/>
  <c r="AV7" i="21" l="1"/>
  <c r="AW17" i="21"/>
  <c r="AW18" i="21"/>
  <c r="AU7" i="21"/>
  <c r="AW8" i="21" l="1"/>
  <c r="AW7" i="21"/>
</calcChain>
</file>

<file path=xl/comments1.xml><?xml version="1.0" encoding="utf-8"?>
<comments xmlns="http://schemas.openxmlformats.org/spreadsheetml/2006/main">
  <authors>
    <author>Nicholas Burgess</author>
  </authors>
  <commentList>
    <comment ref="D4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4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<sst xmlns="http://schemas.openxmlformats.org/spreadsheetml/2006/main" count="1244" uniqueCount="219">
  <si>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</si>
  <si>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</si>
  <si>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</si>
  <si>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</si>
  <si>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</si>
  <si>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</si>
  <si>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</si>
  <si>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</si>
  <si>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</si>
  <si>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</si>
  <si>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</si>
  <si>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</si>
  <si>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</si>
  <si>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</si>
  <si>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</si>
  <si>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</si>
  <si>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</si>
  <si>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</si>
  <si>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</si>
  <si>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</si>
  <si>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</si>
  <si>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</si>
  <si>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</si>
  <si>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</si>
  <si>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</si>
  <si>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</si>
  <si>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</si>
  <si>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</si>
  <si>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</si>
  <si>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</si>
  <si>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</si>
  <si>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</si>
  <si>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</si>
  <si>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</si>
  <si>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</si>
  <si>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</si>
  <si>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</si>
  <si>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3Y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</si>
  <si>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</si>
  <si>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</si>
  <si>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</si>
  <si>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</si>
  <si>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</si>
  <si>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</si>
  <si>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</si>
  <si>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</si>
  <si>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</si>
  <si>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</si>
  <si>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</si>
  <si>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</si>
  <si>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</si>
  <si>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</si>
  <si>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</si>
  <si>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</si>
  <si>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</si>
  <si>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</si>
  <si>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</si>
  <si>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</si>
  <si>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</si>
  <si>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</si>
  <si>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</si>
  <si>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</si>
  <si>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</si>
  <si>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</si>
  <si>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</si>
  <si>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</si>
  <si>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</si>
  <si>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</si>
  <si>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</si>
  <si>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</si>
  <si>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</si>
  <si>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</si>
  <si>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</si>
  <si>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</si>
  <si>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</si>
  <si>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</si>
  <si>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</si>
  <si>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</si>
  <si>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</si>
  <si>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</si>
  <si>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</si>
  <si>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</si>
  <si>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</si>
  <si>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</si>
  <si>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</si>
  <si>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</si>
  <si>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</si>
  <si>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</si>
  <si>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</si>
  <si>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</si>
  <si>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</si>
  <si>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</si>
  <si>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</si>
  <si>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</si>
  <si>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</si>
  <si>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</si>
  <si>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</si>
  <si>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</si>
  <si>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</si>
  <si>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</si>
  <si>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</si>
  <si>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</si>
  <si>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</si>
  <si>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</si>
  <si>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</si>
  <si>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</si>
  <si>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</si>
  <si>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</si>
  <si>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</si>
  <si>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</si>
  <si>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</si>
  <si>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</si>
  <si>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</si>
  <si>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</si>
  <si>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</si>
  <si>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</si>
  <si>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</si>
  <si>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</si>
  <si>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</si>
  <si>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</si>
  <si>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</si>
  <si>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</si>
  <si>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</si>
  <si>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</si>
  <si>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</si>
  <si>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</si>
  <si>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</si>
  <si>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Libor Market Data</t>
  </si>
  <si>
    <t>FRA Market Data X3</t>
  </si>
  <si>
    <t>FRA Market Data x6</t>
  </si>
  <si>
    <t>Term / Ticker</t>
  </si>
  <si>
    <t>1Y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</si>
  <si>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</si>
  <si>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</si>
  <si>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</si>
  <si>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Notional</t>
  </si>
  <si>
    <t>0D</t>
  </si>
  <si>
    <t>ShortStart</t>
  </si>
  <si>
    <t>Effective Lag</t>
  </si>
  <si>
    <t>Float
Index</t>
  </si>
  <si>
    <t>Float
First Fixing</t>
  </si>
  <si>
    <t>CSA</t>
  </si>
  <si>
    <t>Par Rate</t>
  </si>
  <si>
    <t>Present Value</t>
  </si>
  <si>
    <t>PV01</t>
  </si>
  <si>
    <t>2D</t>
  </si>
  <si>
    <t>6ML</t>
  </si>
  <si>
    <t>NOCSA</t>
  </si>
  <si>
    <t>COB</t>
  </si>
  <si>
    <t>Numerical
DV01</t>
  </si>
  <si>
    <t>+/-</t>
  </si>
  <si>
    <t>Analytical
DV01</t>
  </si>
  <si>
    <t>RECEIVER</t>
  </si>
  <si>
    <t>Fixed Rate</t>
  </si>
  <si>
    <t>BumpOIS</t>
  </si>
  <si>
    <t>BumpSTD</t>
  </si>
  <si>
    <t>EURYC_RISK</t>
  </si>
  <si>
    <t>Base PVs</t>
  </si>
  <si>
    <t>Bumped PVs</t>
  </si>
  <si>
    <t>BumpUnit</t>
  </si>
  <si>
    <t>+/-  (%)</t>
  </si>
  <si>
    <t>BumpSize</t>
  </si>
  <si>
    <t>Instructions</t>
  </si>
  <si>
    <t>Swap Pricing &amp; Risk</t>
  </si>
  <si>
    <t>Numerical Risk Settings</t>
  </si>
  <si>
    <t>Pay / Rec</t>
  </si>
  <si>
    <t>Spread</t>
  </si>
  <si>
    <t>-</t>
  </si>
  <si>
    <t>Tenor</t>
  </si>
  <si>
    <t>Index</t>
  </si>
  <si>
    <t>Pricing &amp; Risk</t>
  </si>
  <si>
    <t>Start Lag</t>
  </si>
  <si>
    <t>Effective</t>
  </si>
  <si>
    <t>or   2. Refresh using the Macro Button</t>
  </si>
  <si>
    <t>or   3. Refresh using F9</t>
  </si>
  <si>
    <t xml:space="preserve">       1. Refresh Worksheets from Left to Right</t>
  </si>
  <si>
    <t>Tenor Interval</t>
  </si>
  <si>
    <t>Convexity
Adj</t>
  </si>
  <si>
    <t>* Don't display values beyond 50Y, which is our maximum calibration instrument</t>
  </si>
  <si>
    <t>EURYC_BUMPED</t>
  </si>
  <si>
    <t>EURYC_BASE</t>
  </si>
  <si>
    <t>Spline</t>
  </si>
  <si>
    <t>meCurveCalibrateOIS</t>
  </si>
  <si>
    <t>meCurveCalibrateOIS(Curve.CollectionName,Curve.MarketDataTable,Curve.OISIndexName,Curve.BuildProperties,OIS.Conventions,OIS.MarketData,OIS.FixingTable)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</si>
  <si>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</si>
  <si>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</t>
  </si>
  <si>
    <t>MaturityDate</t>
  </si>
  <si>
    <t>PayerReceiver</t>
  </si>
  <si>
    <t>FixedRate</t>
  </si>
  <si>
    <t>ForecastCurve</t>
  </si>
  <si>
    <t>FloatSpread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</si>
  <si>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</si>
  <si>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</si>
  <si>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</si>
  <si>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</si>
  <si>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</si>
  <si>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</si>
  <si>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</si>
  <si>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</si>
  <si>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</si>
  <si>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</si>
  <si>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</si>
  <si>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</si>
  <si>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</si>
  <si>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</si>
  <si>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</si>
  <si>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</si>
  <si>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</si>
  <si>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FloatFixingDate</t>
  </si>
  <si>
    <t>FloatFirstFixing</t>
  </si>
  <si>
    <t>FloatLastFixing</t>
  </si>
  <si>
    <t>FloatPaymentLag</t>
  </si>
  <si>
    <t>FloatStubType</t>
  </si>
  <si>
    <t>DiscountCurve</t>
  </si>
  <si>
    <t>EffectiveDate</t>
  </si>
  <si>
    <t>meProductSwapDV01</t>
  </si>
  <si>
    <t>Libor Fixing Table</t>
  </si>
  <si>
    <t>Money Market O/N and T/N Conventions</t>
  </si>
  <si>
    <t>EomDay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</si>
</sst>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0.000%;[Red]\-0.000%"/>
    <numFmt numFmtId="171" formatCode="0.0%;[Red]\-0.0%"/>
    <numFmt numFmtId="173" formatCode="0.0000%"/>
    <numFmt numFmtId="176" formatCode="0.0000%;[Red]\-0.0000%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34998626667073579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34998626667073579"/>
      </right>
      <top/>
      <bottom style="thin">
        <color theme="0" tint="-0.499984740745262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6" fillId="0" borderId="0" applyFont="0" applyFill="0" applyBorder="0" applyAlignment="0" applyProtection="0"/>
  </cellStyleXfs>
  <cellXfs count="29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8" fillId="0" borderId="0" xfId="0" applyFont="1"/>
    <xf numFmtId="3" fontId="0" fillId="0" borderId="0" xfId="0" applyNumberFormat="1"/>
    <xf numFmtId="0" fontId="0" fillId="3" borderId="16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center" wrapText="1"/>
    </xf>
    <xf numFmtId="0" fontId="0" fillId="3" borderId="18" xfId="0" applyNumberFormat="1" applyFill="1" applyBorder="1" applyAlignment="1">
      <alignment horizontal="center" vertical="center" wrapText="1"/>
    </xf>
    <xf numFmtId="167" fontId="9" fillId="3" borderId="19" xfId="0" applyNumberFormat="1" applyFont="1" applyFill="1" applyBorder="1" applyAlignment="1">
      <alignment horizontal="center" vertical="center"/>
    </xf>
    <xf numFmtId="3" fontId="0" fillId="0" borderId="20" xfId="0" applyNumberFormat="1" applyFill="1" applyBorder="1" applyAlignment="1">
      <alignment horizontal="center"/>
    </xf>
    <xf numFmtId="165" fontId="6" fillId="0" borderId="20" xfId="0" applyNumberFormat="1" applyFont="1" applyFill="1" applyBorder="1" applyAlignment="1">
      <alignment horizontal="center" vertical="center"/>
    </xf>
    <xf numFmtId="167" fontId="6" fillId="0" borderId="21" xfId="0" applyNumberFormat="1" applyFont="1" applyFill="1" applyBorder="1" applyAlignment="1">
      <alignment horizontal="center" vertical="center"/>
    </xf>
    <xf numFmtId="169" fontId="9" fillId="2" borderId="22" xfId="0" applyNumberFormat="1" applyFon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0" xfId="0" quotePrefix="1" applyFill="1" applyBorder="1" applyAlignment="1">
      <alignment horizontal="center" vertical="center"/>
    </xf>
    <xf numFmtId="167" fontId="9" fillId="2" borderId="20" xfId="0" applyNumberFormat="1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0" xfId="0" quotePrefix="1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/>
    </xf>
    <xf numFmtId="4" fontId="9" fillId="2" borderId="20" xfId="0" applyNumberFormat="1" applyFont="1" applyFill="1" applyBorder="1" applyAlignment="1">
      <alignment horizontal="center" vertical="center"/>
    </xf>
    <xf numFmtId="165" fontId="9" fillId="2" borderId="20" xfId="0" applyNumberFormat="1" applyFont="1" applyFill="1" applyBorder="1" applyAlignment="1">
      <alignment horizontal="center" vertical="center"/>
    </xf>
    <xf numFmtId="165" fontId="6" fillId="2" borderId="20" xfId="0" applyNumberFormat="1" applyFont="1" applyFill="1" applyBorder="1" applyAlignment="1">
      <alignment horizontal="center" vertical="center"/>
    </xf>
    <xf numFmtId="168" fontId="9" fillId="3" borderId="20" xfId="0" applyNumberFormat="1" applyFont="1" applyFill="1" applyBorder="1" applyAlignment="1">
      <alignment horizontal="center" vertical="center"/>
    </xf>
    <xf numFmtId="167" fontId="9" fillId="3" borderId="23" xfId="0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167" fontId="6" fillId="0" borderId="24" xfId="0" applyNumberFormat="1" applyFont="1" applyFill="1" applyBorder="1" applyAlignment="1">
      <alignment horizontal="center" vertical="center"/>
    </xf>
    <xf numFmtId="169" fontId="9" fillId="2" borderId="25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168" fontId="9" fillId="3" borderId="0" xfId="0" applyNumberFormat="1" applyFont="1" applyFill="1" applyBorder="1" applyAlignment="1">
      <alignment horizontal="center" vertical="center"/>
    </xf>
    <xf numFmtId="169" fontId="9" fillId="2" borderId="25" xfId="0" applyNumberFormat="1" applyFont="1" applyFill="1" applyBorder="1" applyAlignment="1">
      <alignment horizontal="center"/>
    </xf>
    <xf numFmtId="167" fontId="9" fillId="3" borderId="26" xfId="0" applyNumberFormat="1" applyFont="1" applyFill="1" applyBorder="1" applyAlignment="1">
      <alignment horizontal="center" vertical="center"/>
    </xf>
    <xf numFmtId="3" fontId="0" fillId="0" borderId="28" xfId="0" applyNumberFormat="1" applyFill="1" applyBorder="1" applyAlignment="1">
      <alignment horizontal="center" vertical="center"/>
    </xf>
    <xf numFmtId="165" fontId="6" fillId="0" borderId="28" xfId="0" applyNumberFormat="1" applyFont="1" applyFill="1" applyBorder="1" applyAlignment="1">
      <alignment horizontal="center" vertical="center"/>
    </xf>
    <xf numFmtId="167" fontId="6" fillId="0" borderId="29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9" fillId="2" borderId="28" xfId="0" applyFont="1" applyFill="1" applyBorder="1" applyAlignment="1">
      <alignment horizontal="center"/>
    </xf>
    <xf numFmtId="4" fontId="9" fillId="2" borderId="28" xfId="0" applyNumberFormat="1" applyFont="1" applyFill="1" applyBorder="1" applyAlignment="1">
      <alignment horizontal="center"/>
    </xf>
    <xf numFmtId="167" fontId="9" fillId="2" borderId="28" xfId="0" applyNumberFormat="1" applyFont="1" applyFill="1" applyBorder="1" applyAlignment="1">
      <alignment horizontal="center" vertical="center"/>
    </xf>
    <xf numFmtId="165" fontId="9" fillId="2" borderId="28" xfId="0" applyNumberFormat="1" applyFont="1" applyFill="1" applyBorder="1" applyAlignment="1">
      <alignment horizontal="center"/>
    </xf>
    <xf numFmtId="165" fontId="0" fillId="2" borderId="28" xfId="0" applyNumberFormat="1" applyFill="1" applyBorder="1" applyAlignment="1">
      <alignment horizontal="center"/>
    </xf>
    <xf numFmtId="168" fontId="9" fillId="3" borderId="28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21" xfId="0" applyNumberFormat="1" applyFont="1" applyFill="1" applyBorder="1" applyAlignment="1">
      <alignment horizontal="center" vertical="center"/>
    </xf>
    <xf numFmtId="3" fontId="9" fillId="3" borderId="24" xfId="0" applyNumberFormat="1" applyFont="1" applyFill="1" applyBorder="1" applyAlignment="1">
      <alignment horizontal="center" vertical="center"/>
    </xf>
    <xf numFmtId="3" fontId="9" fillId="3" borderId="2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0" borderId="0" xfId="0" applyFont="1"/>
    <xf numFmtId="168" fontId="0" fillId="0" borderId="0" xfId="0" applyNumberFormat="1" applyAlignment="1">
      <alignment horizontal="center"/>
    </xf>
    <xf numFmtId="10" fontId="6" fillId="2" borderId="0" xfId="0" applyNumberFormat="1" applyFont="1" applyFill="1" applyBorder="1" applyAlignment="1">
      <alignment horizontal="center" vertical="center"/>
    </xf>
    <xf numFmtId="10" fontId="6" fillId="2" borderId="0" xfId="0" applyNumberFormat="1" applyFont="1" applyFill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6" fillId="0" borderId="0" xfId="0" applyFont="1"/>
    <xf numFmtId="0" fontId="6" fillId="3" borderId="17" xfId="0" applyNumberFormat="1" applyFont="1" applyFill="1" applyBorder="1" applyAlignment="1">
      <alignment horizontal="center" vertical="top" wrapText="1"/>
    </xf>
    <xf numFmtId="0" fontId="6" fillId="2" borderId="2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6" fillId="2" borderId="28" xfId="0" applyFont="1" applyFill="1" applyBorder="1" applyAlignment="1">
      <alignment horizontal="center"/>
    </xf>
    <xf numFmtId="3" fontId="6" fillId="0" borderId="0" xfId="0" applyNumberFormat="1" applyFont="1" applyAlignment="1">
      <alignment horizontal="center" vertical="center"/>
    </xf>
    <xf numFmtId="10" fontId="0" fillId="0" borderId="0" xfId="0" applyNumberFormat="1"/>
    <xf numFmtId="10" fontId="0" fillId="3" borderId="17" xfId="0" applyNumberFormat="1" applyFill="1" applyBorder="1" applyAlignment="1">
      <alignment horizontal="center" vertical="top" wrapText="1"/>
    </xf>
    <xf numFmtId="10" fontId="0" fillId="0" borderId="0" xfId="0" applyNumberFormat="1" applyAlignment="1">
      <alignment horizontal="center" vertical="center"/>
    </xf>
    <xf numFmtId="164" fontId="0" fillId="0" borderId="0" xfId="0" applyNumberFormat="1"/>
    <xf numFmtId="164" fontId="0" fillId="3" borderId="17" xfId="0" applyNumberFormat="1" applyFill="1" applyBorder="1" applyAlignment="1">
      <alignment horizontal="center" vertical="top" wrapText="1"/>
    </xf>
    <xf numFmtId="164" fontId="9" fillId="2" borderId="20" xfId="0" applyNumberFormat="1" applyFon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/>
    </xf>
    <xf numFmtId="164" fontId="0" fillId="2" borderId="28" xfId="0" applyNumberFormat="1" applyFill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3" fontId="9" fillId="3" borderId="0" xfId="0" applyNumberFormat="1" applyFont="1" applyFill="1" applyBorder="1" applyAlignment="1">
      <alignment horizontal="center" vertical="center"/>
    </xf>
    <xf numFmtId="0" fontId="0" fillId="3" borderId="17" xfId="0" quotePrefix="1" applyNumberFormat="1" applyFill="1" applyBorder="1" applyAlignment="1">
      <alignment horizontal="center" vertical="center" wrapText="1"/>
    </xf>
    <xf numFmtId="170" fontId="0" fillId="0" borderId="0" xfId="0" applyNumberFormat="1"/>
    <xf numFmtId="170" fontId="0" fillId="3" borderId="17" xfId="0" applyNumberFormat="1" applyFill="1" applyBorder="1" applyAlignment="1">
      <alignment horizontal="center" vertical="center" wrapText="1"/>
    </xf>
    <xf numFmtId="170" fontId="9" fillId="3" borderId="31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0" fontId="9" fillId="3" borderId="25" xfId="0" applyNumberFormat="1" applyFont="1" applyFill="1" applyBorder="1" applyAlignment="1">
      <alignment horizontal="center" vertical="center"/>
    </xf>
    <xf numFmtId="10" fontId="9" fillId="0" borderId="20" xfId="0" applyNumberFormat="1" applyFont="1" applyFill="1" applyBorder="1" applyAlignment="1">
      <alignment horizontal="center" vertical="center"/>
    </xf>
    <xf numFmtId="10" fontId="9" fillId="0" borderId="0" xfId="0" applyNumberFormat="1" applyFont="1" applyFill="1" applyBorder="1" applyAlignment="1">
      <alignment horizontal="center" vertical="center"/>
    </xf>
    <xf numFmtId="10" fontId="9" fillId="0" borderId="28" xfId="0" applyNumberFormat="1" applyFont="1" applyFill="1" applyBorder="1" applyAlignment="1">
      <alignment horizontal="center" vertical="center"/>
    </xf>
    <xf numFmtId="171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171" fontId="0" fillId="3" borderId="18" xfId="0" quotePrefix="1" applyNumberFormat="1" applyFill="1" applyBorder="1" applyAlignment="1">
      <alignment horizontal="center" vertical="center" wrapText="1"/>
    </xf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6" xfId="0" applyFill="1" applyBorder="1"/>
    <xf numFmtId="0" fontId="0" fillId="2" borderId="37" xfId="0" applyFill="1" applyBorder="1"/>
    <xf numFmtId="0" fontId="0" fillId="2" borderId="38" xfId="0" applyFill="1" applyBorder="1"/>
    <xf numFmtId="0" fontId="0" fillId="2" borderId="39" xfId="0" applyFill="1" applyBorder="1"/>
    <xf numFmtId="0" fontId="0" fillId="3" borderId="1" xfId="0" applyFill="1" applyBorder="1"/>
    <xf numFmtId="0" fontId="0" fillId="3" borderId="4" xfId="0" quotePrefix="1" applyFill="1" applyBorder="1"/>
    <xf numFmtId="0" fontId="0" fillId="3" borderId="4" xfId="0" applyFill="1" applyBorder="1"/>
    <xf numFmtId="0" fontId="0" fillId="3" borderId="11" xfId="0" applyFill="1" applyBorder="1"/>
    <xf numFmtId="0" fontId="0" fillId="0" borderId="0" xfId="0" applyFont="1"/>
    <xf numFmtId="0" fontId="9" fillId="2" borderId="0" xfId="0" applyFont="1" applyFill="1" applyBorder="1"/>
    <xf numFmtId="0" fontId="11" fillId="2" borderId="0" xfId="0" applyFont="1" applyFill="1" applyBorder="1"/>
    <xf numFmtId="0" fontId="0" fillId="3" borderId="17" xfId="0" applyNumberFormat="1" applyFont="1" applyFill="1" applyBorder="1" applyAlignment="1">
      <alignment horizontal="center" vertical="top" wrapText="1"/>
    </xf>
    <xf numFmtId="3" fontId="0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8" fontId="11" fillId="3" borderId="0" xfId="0" applyNumberFormat="1" applyFont="1" applyFill="1" applyBorder="1" applyAlignment="1">
      <alignment horizontal="center" vertical="center"/>
    </xf>
    <xf numFmtId="3" fontId="2" fillId="0" borderId="0" xfId="0" applyNumberFormat="1" applyFont="1"/>
    <xf numFmtId="0" fontId="0" fillId="2" borderId="0" xfId="0" applyFill="1"/>
    <xf numFmtId="15" fontId="6" fillId="2" borderId="1" xfId="0" applyNumberFormat="1" applyFont="1" applyFill="1" applyBorder="1" applyAlignment="1">
      <alignment horizontal="center" vertical="center"/>
    </xf>
    <xf numFmtId="10" fontId="6" fillId="2" borderId="4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4" xfId="0" applyFont="1" applyBorder="1"/>
    <xf numFmtId="0" fontId="7" fillId="4" borderId="4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/>
    </xf>
    <xf numFmtId="0" fontId="0" fillId="2" borderId="7" xfId="0" quotePrefix="1" applyFont="1" applyFill="1" applyBorder="1" applyAlignment="1">
      <alignment horizontal="center" vertical="center"/>
    </xf>
    <xf numFmtId="0" fontId="6" fillId="4" borderId="7" xfId="0" quotePrefix="1" applyFont="1" applyFill="1" applyBorder="1" applyAlignment="1">
      <alignment horizontal="center" vertical="center"/>
    </xf>
    <xf numFmtId="10" fontId="6" fillId="4" borderId="7" xfId="0" applyNumberFormat="1" applyFont="1" applyFill="1" applyBorder="1" applyAlignment="1">
      <alignment horizontal="center" vertical="center"/>
    </xf>
    <xf numFmtId="3" fontId="9" fillId="0" borderId="20" xfId="0" applyNumberFormat="1" applyFont="1" applyFill="1" applyBorder="1" applyAlignment="1">
      <alignment horizontal="center"/>
    </xf>
    <xf numFmtId="3" fontId="9" fillId="0" borderId="0" xfId="0" applyNumberFormat="1" applyFont="1" applyFill="1" applyBorder="1" applyAlignment="1">
      <alignment horizontal="center" vertical="center"/>
    </xf>
    <xf numFmtId="3" fontId="9" fillId="0" borderId="28" xfId="0" applyNumberFormat="1" applyFont="1" applyFill="1" applyBorder="1" applyAlignment="1">
      <alignment horizontal="center" vertical="center"/>
    </xf>
    <xf numFmtId="0" fontId="9" fillId="0" borderId="2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28" xfId="0" applyFont="1" applyFill="1" applyBorder="1" applyAlignment="1">
      <alignment horizontal="center"/>
    </xf>
    <xf numFmtId="0" fontId="0" fillId="3" borderId="17" xfId="0" applyNumberFormat="1" applyFont="1" applyFill="1" applyBorder="1" applyAlignment="1">
      <alignment horizontal="center" vertical="center" wrapText="1"/>
    </xf>
    <xf numFmtId="3" fontId="0" fillId="0" borderId="0" xfId="0" applyNumberFormat="1" applyFont="1"/>
    <xf numFmtId="0" fontId="11" fillId="4" borderId="11" xfId="0" applyFont="1" applyFill="1" applyBorder="1" applyAlignment="1">
      <alignment horizontal="center" vertical="center"/>
    </xf>
    <xf numFmtId="3" fontId="6" fillId="4" borderId="6" xfId="0" quotePrefix="1" applyNumberFormat="1" applyFont="1" applyFill="1" applyBorder="1" applyAlignment="1">
      <alignment horizontal="center" vertical="center"/>
    </xf>
    <xf numFmtId="3" fontId="6" fillId="4" borderId="7" xfId="0" applyNumberFormat="1" applyFont="1" applyFill="1" applyBorder="1" applyAlignment="1">
      <alignment horizontal="center" vertical="center"/>
    </xf>
    <xf numFmtId="167" fontId="9" fillId="0" borderId="20" xfId="0" quotePrefix="1" applyNumberFormat="1" applyFont="1" applyFill="1" applyBorder="1" applyAlignment="1">
      <alignment horizontal="center" vertical="center"/>
    </xf>
    <xf numFmtId="0" fontId="9" fillId="0" borderId="0" xfId="0" quotePrefix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3" fontId="6" fillId="4" borderId="7" xfId="0" quotePrefix="1" applyNumberFormat="1" applyFont="1" applyFill="1" applyBorder="1" applyAlignment="1">
      <alignment horizontal="center" vertical="center"/>
    </xf>
    <xf numFmtId="3" fontId="0" fillId="2" borderId="8" xfId="0" applyNumberFormat="1" applyFont="1" applyFill="1" applyBorder="1" applyAlignment="1">
      <alignment horizontal="center" vertical="center"/>
    </xf>
    <xf numFmtId="3" fontId="6" fillId="4" borderId="8" xfId="0" applyNumberFormat="1" applyFont="1" applyFill="1" applyBorder="1" applyAlignment="1">
      <alignment horizontal="center" vertical="center"/>
    </xf>
    <xf numFmtId="3" fontId="0" fillId="3" borderId="17" xfId="0" applyNumberFormat="1" applyFill="1" applyBorder="1" applyAlignment="1">
      <alignment horizontal="center" vertical="top" wrapText="1"/>
    </xf>
    <xf numFmtId="3" fontId="9" fillId="0" borderId="20" xfId="0" applyNumberFormat="1" applyFont="1" applyFill="1" applyBorder="1" applyAlignment="1">
      <alignment horizontal="center" vertical="center"/>
    </xf>
    <xf numFmtId="10" fontId="0" fillId="2" borderId="7" xfId="0" quotePrefix="1" applyNumberFormat="1" applyFont="1" applyFill="1" applyBorder="1" applyAlignment="1">
      <alignment horizontal="center" vertical="center"/>
    </xf>
    <xf numFmtId="170" fontId="9" fillId="5" borderId="30" xfId="0" applyNumberFormat="1" applyFont="1" applyFill="1" applyBorder="1" applyAlignment="1">
      <alignment horizontal="center" vertical="center"/>
    </xf>
    <xf numFmtId="168" fontId="9" fillId="5" borderId="20" xfId="0" applyNumberFormat="1" applyFont="1" applyFill="1" applyBorder="1" applyAlignment="1">
      <alignment horizontal="center" vertical="center"/>
    </xf>
    <xf numFmtId="168" fontId="11" fillId="5" borderId="20" xfId="0" applyNumberFormat="1" applyFont="1" applyFill="1" applyBorder="1" applyAlignment="1">
      <alignment horizontal="center" vertical="center"/>
    </xf>
    <xf numFmtId="3" fontId="9" fillId="5" borderId="20" xfId="0" applyNumberFormat="1" applyFont="1" applyFill="1" applyBorder="1" applyAlignment="1">
      <alignment horizontal="center" vertical="center"/>
    </xf>
    <xf numFmtId="3" fontId="9" fillId="5" borderId="21" xfId="0" applyNumberFormat="1" applyFont="1" applyFill="1" applyBorder="1" applyAlignment="1">
      <alignment horizontal="center" vertical="center"/>
    </xf>
    <xf numFmtId="170" fontId="0" fillId="3" borderId="17" xfId="0" applyNumberFormat="1" applyFill="1" applyBorder="1" applyAlignment="1">
      <alignment horizontal="center" vertical="top" wrapText="1"/>
    </xf>
    <xf numFmtId="170" fontId="6" fillId="0" borderId="20" xfId="0" applyNumberFormat="1" applyFont="1" applyFill="1" applyBorder="1" applyAlignment="1">
      <alignment horizontal="center" vertical="center"/>
    </xf>
    <xf numFmtId="170" fontId="6" fillId="0" borderId="0" xfId="0" applyNumberFormat="1" applyFont="1" applyFill="1" applyBorder="1" applyAlignment="1">
      <alignment horizontal="center" vertical="center"/>
    </xf>
    <xf numFmtId="170" fontId="6" fillId="0" borderId="28" xfId="0" applyNumberFormat="1" applyFont="1" applyFill="1" applyBorder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 vertical="center"/>
    </xf>
    <xf numFmtId="167" fontId="9" fillId="0" borderId="28" xfId="0" applyNumberFormat="1" applyFont="1" applyFill="1" applyBorder="1" applyAlignment="1">
      <alignment horizontal="center" vertical="center"/>
    </xf>
    <xf numFmtId="167" fontId="6" fillId="4" borderId="20" xfId="0" applyNumberFormat="1" applyFont="1" applyFill="1" applyBorder="1" applyAlignment="1">
      <alignment horizontal="center" vertical="center"/>
    </xf>
    <xf numFmtId="3" fontId="0" fillId="0" borderId="25" xfId="0" applyNumberFormat="1" applyBorder="1"/>
    <xf numFmtId="167" fontId="9" fillId="0" borderId="20" xfId="0" applyNumberFormat="1" applyFont="1" applyFill="1" applyBorder="1" applyAlignment="1">
      <alignment horizontal="center" vertical="center"/>
    </xf>
    <xf numFmtId="165" fontId="9" fillId="0" borderId="20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0" fontId="0" fillId="3" borderId="18" xfId="0" quotePrefix="1" applyNumberFormat="1" applyFill="1" applyBorder="1" applyAlignment="1">
      <alignment horizontal="center" vertical="center" wrapText="1"/>
    </xf>
    <xf numFmtId="171" fontId="9" fillId="5" borderId="21" xfId="0" applyNumberFormat="1" applyFont="1" applyFill="1" applyBorder="1" applyAlignment="1">
      <alignment horizontal="center" vertical="center"/>
    </xf>
    <xf numFmtId="171" fontId="9" fillId="3" borderId="24" xfId="0" applyNumberFormat="1" applyFont="1" applyFill="1" applyBorder="1" applyAlignment="1">
      <alignment horizontal="center" vertical="center"/>
    </xf>
    <xf numFmtId="170" fontId="9" fillId="3" borderId="22" xfId="0" applyNumberFormat="1" applyFont="1" applyFill="1" applyBorder="1" applyAlignment="1">
      <alignment horizontal="center" vertical="center"/>
    </xf>
    <xf numFmtId="170" fontId="9" fillId="3" borderId="27" xfId="0" applyNumberFormat="1" applyFont="1" applyFill="1" applyBorder="1" applyAlignment="1">
      <alignment horizontal="center" vertical="center"/>
    </xf>
    <xf numFmtId="168" fontId="9" fillId="5" borderId="0" xfId="0" applyNumberFormat="1" applyFont="1" applyFill="1" applyBorder="1" applyAlignment="1">
      <alignment horizontal="center" vertical="center"/>
    </xf>
    <xf numFmtId="170" fontId="9" fillId="3" borderId="40" xfId="0" applyNumberFormat="1" applyFont="1" applyFill="1" applyBorder="1" applyAlignment="1">
      <alignment horizontal="center" vertical="center"/>
    </xf>
    <xf numFmtId="168" fontId="9" fillId="3" borderId="41" xfId="0" applyNumberFormat="1" applyFont="1" applyFill="1" applyBorder="1" applyAlignment="1">
      <alignment horizontal="center" vertical="center"/>
    </xf>
    <xf numFmtId="168" fontId="9" fillId="5" borderId="41" xfId="0" applyNumberFormat="1" applyFont="1" applyFill="1" applyBorder="1" applyAlignment="1">
      <alignment horizontal="center" vertical="center"/>
    </xf>
    <xf numFmtId="168" fontId="11" fillId="3" borderId="41" xfId="0" applyNumberFormat="1" applyFont="1" applyFill="1" applyBorder="1" applyAlignment="1">
      <alignment horizontal="center" vertical="center"/>
    </xf>
    <xf numFmtId="3" fontId="9" fillId="3" borderId="41" xfId="0" applyNumberFormat="1" applyFont="1" applyFill="1" applyBorder="1" applyAlignment="1">
      <alignment horizontal="center" vertical="center"/>
    </xf>
    <xf numFmtId="171" fontId="9" fillId="3" borderId="42" xfId="0" applyNumberFormat="1" applyFont="1" applyFill="1" applyBorder="1" applyAlignment="1">
      <alignment horizontal="center" vertical="center"/>
    </xf>
    <xf numFmtId="170" fontId="4" fillId="0" borderId="0" xfId="0" applyNumberFormat="1" applyFont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173" fontId="0" fillId="0" borderId="0" xfId="0" applyNumberFormat="1"/>
    <xf numFmtId="173" fontId="0" fillId="0" borderId="0" xfId="0" applyNumberFormat="1" applyAlignment="1">
      <alignment horizontal="center" vertical="center"/>
    </xf>
    <xf numFmtId="176" fontId="0" fillId="0" borderId="0" xfId="0" applyNumberFormat="1"/>
    <xf numFmtId="176" fontId="6" fillId="0" borderId="0" xfId="0" applyNumberFormat="1" applyFont="1"/>
    <xf numFmtId="0" fontId="0" fillId="0" borderId="0" xfId="0" quotePrefix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99"/>
      <color rgb="FF00CC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baseline="0"/>
            </a:pPr>
            <a:r>
              <a:rPr lang="en-US" sz="1200" b="0" baseline="0"/>
              <a:t>Convexity Adjustment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Rate of Change</c:v>
          </c:tx>
          <c:marker>
            <c:symbol val="none"/>
          </c:marker>
          <c:cat>
            <c:strRef>
              <c:f>'Swap Pricing &amp; Risk'!$C$6:$C$24</c:f>
              <c:strCache>
                <c:ptCount val="19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11Y</c:v>
                </c:pt>
                <c:pt idx="11">
                  <c:v>12Y</c:v>
                </c:pt>
                <c:pt idx="12">
                  <c:v>13Y</c:v>
                </c:pt>
                <c:pt idx="13">
                  <c:v>14Y</c:v>
                </c:pt>
                <c:pt idx="14">
                  <c:v>15Y</c:v>
                </c:pt>
                <c:pt idx="15">
                  <c:v>16Y</c:v>
                </c:pt>
                <c:pt idx="16">
                  <c:v>17Y</c:v>
                </c:pt>
                <c:pt idx="17">
                  <c:v>18Y</c:v>
                </c:pt>
                <c:pt idx="18">
                  <c:v>19Y</c:v>
                </c:pt>
              </c:strCache>
            </c:strRef>
          </c:cat>
          <c:val>
            <c:numRef>
              <c:f>'Swap Pricing &amp; Risk'!$AW$7:$AW$25</c:f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641536"/>
        <c:axId val="112643072"/>
      </c:lineChart>
      <c:catAx>
        <c:axId val="112641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2643072"/>
        <c:crosses val="autoZero"/>
        <c:auto val="1"/>
        <c:lblAlgn val="ctr"/>
        <c:lblOffset val="100"/>
        <c:tickLblSkip val="2"/>
        <c:noMultiLvlLbl val="0"/>
      </c:catAx>
      <c:valAx>
        <c:axId val="11264307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12641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Risk Curves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66675</xdr:colOff>
      <xdr:row>3</xdr:row>
      <xdr:rowOff>180975</xdr:rowOff>
    </xdr:from>
    <xdr:to>
      <xdr:col>56</xdr:col>
      <xdr:colOff>485775</xdr:colOff>
      <xdr:row>19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</sheetPr>
  <dimension ref="B2:L19"/>
  <sheetViews>
    <sheetView showGridLines="0" workbookViewId="0"/>
  </sheetViews>
  <sheetFormatPr defaultRowHeight="15" x14ac:dyDescent="0.25"/>
  <cols>
    <col min="2" max="2" width="4.7109375" customWidth="1"/>
    <col min="3" max="3" width="15" customWidth="1"/>
    <col min="4" max="4" width="20" customWidth="1"/>
    <col min="5" max="8" width="9.140625" customWidth="1"/>
    <col min="9" max="9" width="12.7109375" customWidth="1"/>
    <col min="10" max="11" width="9.140625" customWidth="1"/>
    <col min="12" max="12" width="4.7109375" customWidth="1"/>
  </cols>
  <sheetData>
    <row r="2" spans="2:12" x14ac:dyDescent="0.25">
      <c r="C2" s="56" t="s">
        <v>163</v>
      </c>
    </row>
    <row r="3" spans="2:12" x14ac:dyDescent="0.25">
      <c r="B3" s="204"/>
      <c r="C3" s="205"/>
      <c r="D3" s="205"/>
      <c r="E3" s="205"/>
      <c r="F3" s="205"/>
      <c r="G3" s="205"/>
      <c r="H3" s="205"/>
      <c r="I3" s="205"/>
      <c r="J3" s="205"/>
      <c r="K3" s="205"/>
      <c r="L3" s="206"/>
    </row>
    <row r="4" spans="2:12" x14ac:dyDescent="0.25">
      <c r="B4" s="207"/>
      <c r="C4" s="225"/>
      <c r="D4" s="225"/>
      <c r="E4" s="225"/>
      <c r="F4" s="225"/>
      <c r="G4" s="225"/>
      <c r="H4" s="225"/>
      <c r="I4" s="225"/>
      <c r="J4" s="7"/>
      <c r="K4" s="7"/>
      <c r="L4" s="208"/>
    </row>
    <row r="5" spans="2:12" x14ac:dyDescent="0.25">
      <c r="B5" s="207"/>
      <c r="C5" s="50" t="s">
        <v>162</v>
      </c>
      <c r="D5" s="225"/>
      <c r="E5" s="225"/>
      <c r="F5" s="225"/>
      <c r="G5" s="225"/>
      <c r="H5" s="225"/>
      <c r="I5" s="225"/>
      <c r="J5" s="7"/>
      <c r="K5" s="7"/>
      <c r="L5" s="208"/>
    </row>
    <row r="6" spans="2:12" x14ac:dyDescent="0.25">
      <c r="B6" s="207"/>
      <c r="C6" s="7" t="s">
        <v>175</v>
      </c>
      <c r="D6" s="225"/>
      <c r="E6" s="225"/>
      <c r="F6" s="225"/>
      <c r="G6" s="225"/>
      <c r="H6" s="225"/>
      <c r="I6" s="225"/>
      <c r="J6" s="7"/>
      <c r="K6" s="7"/>
      <c r="L6" s="208"/>
    </row>
    <row r="7" spans="2:12" x14ac:dyDescent="0.25">
      <c r="B7" s="207"/>
      <c r="C7" s="7" t="s">
        <v>173</v>
      </c>
      <c r="D7" s="225"/>
      <c r="E7" s="225"/>
      <c r="F7" s="225"/>
      <c r="G7" s="225"/>
      <c r="H7" s="225"/>
      <c r="I7" s="225"/>
      <c r="J7" s="225"/>
      <c r="K7" s="218"/>
      <c r="L7" s="208"/>
    </row>
    <row r="8" spans="2:12" x14ac:dyDescent="0.25">
      <c r="B8" s="207"/>
      <c r="C8" s="7" t="s">
        <v>174</v>
      </c>
      <c r="D8" s="225"/>
      <c r="E8" s="225"/>
      <c r="F8" s="225"/>
      <c r="G8" s="225"/>
      <c r="H8" s="225"/>
      <c r="I8" s="225"/>
      <c r="J8" s="7"/>
      <c r="K8" s="7"/>
      <c r="L8" s="208"/>
    </row>
    <row r="9" spans="2:12" x14ac:dyDescent="0.25">
      <c r="B9" s="207"/>
      <c r="C9" s="7"/>
      <c r="D9" s="225"/>
      <c r="E9" s="225"/>
      <c r="F9" s="225"/>
      <c r="G9" s="225"/>
      <c r="H9" s="225"/>
      <c r="I9" s="225"/>
      <c r="J9" s="7"/>
      <c r="K9" s="7"/>
      <c r="L9" s="208"/>
    </row>
    <row r="10" spans="2:12" x14ac:dyDescent="0.25">
      <c r="B10" s="207"/>
      <c r="C10" s="225"/>
      <c r="D10" s="225"/>
      <c r="E10" s="225"/>
      <c r="F10" s="225"/>
      <c r="G10" s="225"/>
      <c r="H10" s="225"/>
      <c r="I10" s="225"/>
      <c r="J10" s="7"/>
      <c r="K10" s="7"/>
      <c r="L10" s="208"/>
    </row>
    <row r="11" spans="2:12" x14ac:dyDescent="0.25">
      <c r="B11" s="207"/>
      <c r="C11" s="49" t="s">
        <v>164</v>
      </c>
      <c r="D11" s="7"/>
      <c r="E11" s="225"/>
      <c r="F11" s="225"/>
      <c r="G11" s="225"/>
      <c r="H11" s="225"/>
      <c r="I11" s="225"/>
      <c r="J11" s="7"/>
      <c r="K11" s="7"/>
      <c r="L11" s="208"/>
    </row>
    <row r="12" spans="2:12" x14ac:dyDescent="0.25">
      <c r="B12" s="207"/>
      <c r="C12" s="212" t="s">
        <v>148</v>
      </c>
      <c r="D12" s="226">
        <v>42419</v>
      </c>
      <c r="E12" s="7"/>
      <c r="F12" s="7"/>
      <c r="G12" s="7"/>
      <c r="H12" s="7"/>
      <c r="I12" s="7"/>
      <c r="J12" s="7"/>
      <c r="K12" s="7"/>
      <c r="L12" s="208"/>
    </row>
    <row r="13" spans="2:12" x14ac:dyDescent="0.25">
      <c r="B13" s="207"/>
      <c r="C13" s="213" t="s">
        <v>159</v>
      </c>
      <c r="D13" s="227">
        <f>(1/10000)*D14</f>
        <v>-1E-4</v>
      </c>
      <c r="E13" s="7"/>
      <c r="F13" s="7"/>
      <c r="G13" s="7"/>
      <c r="H13" s="7"/>
      <c r="I13" s="7"/>
      <c r="J13" s="7"/>
      <c r="K13" s="7"/>
      <c r="L13" s="208"/>
    </row>
    <row r="14" spans="2:12" x14ac:dyDescent="0.25">
      <c r="B14" s="207"/>
      <c r="C14" s="214" t="s">
        <v>161</v>
      </c>
      <c r="D14" s="230">
        <v>-1</v>
      </c>
      <c r="E14" s="217" t="str">
        <f>"Shift Size "&amp;D14&amp;" Basis Point(s)"</f>
        <v>Shift Size -1 Basis Point(s)</v>
      </c>
      <c r="F14" s="7"/>
      <c r="G14" s="7"/>
      <c r="H14" s="7"/>
      <c r="I14" s="7"/>
      <c r="J14" s="7"/>
      <c r="K14" s="7"/>
      <c r="L14" s="208"/>
    </row>
    <row r="15" spans="2:12" x14ac:dyDescent="0.25">
      <c r="B15" s="207"/>
      <c r="C15" s="214" t="s">
        <v>154</v>
      </c>
      <c r="D15" s="228" t="b">
        <v>1</v>
      </c>
      <c r="E15" s="7"/>
      <c r="F15" s="7"/>
      <c r="G15" s="7"/>
      <c r="H15" s="7"/>
      <c r="I15" s="7"/>
      <c r="J15" s="7"/>
      <c r="K15" s="7"/>
      <c r="L15" s="208"/>
    </row>
    <row r="16" spans="2:12" x14ac:dyDescent="0.25">
      <c r="B16" s="207"/>
      <c r="C16" s="214" t="s">
        <v>155</v>
      </c>
      <c r="D16" s="229" t="b">
        <v>1</v>
      </c>
      <c r="E16" s="7"/>
      <c r="F16" s="7"/>
      <c r="G16" s="7"/>
      <c r="H16" s="7"/>
      <c r="I16" s="7"/>
      <c r="J16" s="7"/>
      <c r="K16" s="7"/>
      <c r="L16" s="208"/>
    </row>
    <row r="17" spans="2:12" x14ac:dyDescent="0.25">
      <c r="B17" s="207"/>
      <c r="C17" s="215" t="s">
        <v>122</v>
      </c>
      <c r="D17" s="245" t="s">
        <v>181</v>
      </c>
      <c r="E17" s="217" t="str">
        <f>"fn_"&amp;Interpolation&amp;"Interpolation"</f>
        <v>fn_SplineInterpolation</v>
      </c>
      <c r="F17" s="7"/>
      <c r="G17" s="7"/>
      <c r="H17" s="7"/>
      <c r="I17" s="7"/>
      <c r="J17" s="7"/>
      <c r="K17" s="7"/>
      <c r="L17" s="208"/>
    </row>
    <row r="18" spans="2:12" x14ac:dyDescent="0.25">
      <c r="B18" s="207"/>
      <c r="C18" s="7"/>
      <c r="D18" s="7"/>
      <c r="E18" s="7"/>
      <c r="F18" s="7"/>
      <c r="G18" s="7"/>
      <c r="H18" s="7"/>
      <c r="I18" s="7"/>
      <c r="J18" s="7"/>
      <c r="K18" s="7"/>
      <c r="L18" s="208"/>
    </row>
    <row r="19" spans="2:12" x14ac:dyDescent="0.25">
      <c r="B19" s="209"/>
      <c r="C19" s="210"/>
      <c r="D19" s="210"/>
      <c r="E19" s="210"/>
      <c r="F19" s="210"/>
      <c r="G19" s="210"/>
      <c r="H19" s="210"/>
      <c r="I19" s="210"/>
      <c r="J19" s="210"/>
      <c r="K19" s="210"/>
      <c r="L19" s="211"/>
    </row>
  </sheetData>
  <dataValidations count="2">
    <dataValidation type="list" allowBlank="1" showInputMessage="1" showErrorMessage="1" sqref="D15:D16">
      <formula1>"TRUE,FALSE"</formula1>
    </dataValidation>
    <dataValidation type="list" allowBlank="1" showInputMessage="1" showErrorMessage="1" sqref="D17">
      <formula1>"Linear,Spline,MonotoneConvex"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3" r:id="rId4" name="Button 5">
              <controlPr defaultSize="0" print="0" autoFill="0" autoPict="0" macro="[0]!RefreshCurvesAndPricing">
                <anchor moveWithCells="1" siz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183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182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182</v>
      </c>
      <c r="D7" s="61" t="str">
        <f ca="1">IF(NOW(),_xll.meCurveCalibrateOIS(Curve.CollectionName,Curve.MarketDataTable,Curve.OISIndexName,Curve.BuildProperties,OIS.Conventions,OIS.MarketData,OIS.FixingTable),"Error Building OIS Curve")</f>
        <v>EURYC_BASE OIS Curve has been set (0.01500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1" t="s">
        <v>134</v>
      </c>
      <c r="D8" s="112" t="b">
        <f ca="1">MID(D7,12,3)="OIS"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79</v>
      </c>
      <c r="D11" s="107" t="s">
        <v>180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78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80</v>
      </c>
      <c r="D13" s="109" t="s">
        <v>133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62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62</v>
      </c>
      <c r="D19" s="47"/>
      <c r="E19" s="7"/>
      <c r="F19" s="50" t="s">
        <v>72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73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74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23</v>
      </c>
      <c r="D22" s="110" t="str">
        <f>InterpolationLabelForCurves</f>
        <v>fn_SplineInterpolation</v>
      </c>
      <c r="E22" s="7"/>
      <c r="F22" s="17" t="s">
        <v>75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76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77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71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64</v>
      </c>
      <c r="G30" s="10"/>
      <c r="H30" s="10"/>
      <c r="I30" s="10"/>
      <c r="J30" s="10"/>
      <c r="K30" s="10"/>
      <c r="L30" s="49" t="s">
        <v>66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67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38</v>
      </c>
      <c r="G32" s="19">
        <v>-2.4299999999999999E-3</v>
      </c>
      <c r="H32" s="20" t="s">
        <v>34</v>
      </c>
      <c r="I32" s="20" t="s">
        <v>34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24</v>
      </c>
      <c r="D33" s="35" t="s">
        <v>25</v>
      </c>
      <c r="E33" s="9"/>
      <c r="F33" s="24" t="s">
        <v>40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27</v>
      </c>
      <c r="E34" s="9"/>
      <c r="F34" s="24" t="s">
        <v>41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22</v>
      </c>
      <c r="D35" s="35" t="s">
        <v>21</v>
      </c>
      <c r="E35" s="9"/>
      <c r="F35" s="24" t="s">
        <v>43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28</v>
      </c>
      <c r="D36" s="35" t="b">
        <v>1</v>
      </c>
      <c r="E36" s="9"/>
      <c r="F36" s="24" t="s">
        <v>45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29</v>
      </c>
      <c r="D37" s="36">
        <v>31</v>
      </c>
      <c r="E37" s="9"/>
      <c r="F37" s="24" t="s">
        <v>47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30</v>
      </c>
      <c r="D38" s="35" t="s">
        <v>31</v>
      </c>
      <c r="E38" s="9"/>
      <c r="F38" s="24" t="s">
        <v>49</v>
      </c>
      <c r="G38" s="19">
        <v>-3.6900000000000001E-3</v>
      </c>
      <c r="H38" s="20" t="s">
        <v>34</v>
      </c>
      <c r="I38" s="20" t="s">
        <v>34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32</v>
      </c>
      <c r="D39" s="35" t="s">
        <v>33</v>
      </c>
      <c r="E39" s="9"/>
      <c r="F39" s="24" t="s">
        <v>51</v>
      </c>
      <c r="G39" s="19">
        <v>-3.79E-3</v>
      </c>
      <c r="H39" s="20" t="s">
        <v>34</v>
      </c>
      <c r="I39" s="20" t="s">
        <v>34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35</v>
      </c>
      <c r="D40" s="35" t="s">
        <v>36</v>
      </c>
      <c r="E40" s="9"/>
      <c r="F40" s="24" t="s">
        <v>39</v>
      </c>
      <c r="G40" s="19">
        <v>-3.7699999999999999E-3</v>
      </c>
      <c r="H40" s="20" t="s">
        <v>34</v>
      </c>
      <c r="I40" s="20" t="s">
        <v>34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125</v>
      </c>
      <c r="D41" s="38">
        <v>1E-10</v>
      </c>
      <c r="E41" s="9"/>
      <c r="F41" s="24" t="s">
        <v>37</v>
      </c>
      <c r="G41" s="19">
        <v>-3.4399999999999999E-3</v>
      </c>
      <c r="H41" s="20" t="s">
        <v>34</v>
      </c>
      <c r="I41" s="20" t="s">
        <v>34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126</v>
      </c>
      <c r="D42" s="106">
        <v>1000</v>
      </c>
      <c r="E42" s="9"/>
      <c r="F42" s="24" t="s">
        <v>42</v>
      </c>
      <c r="G42" s="19">
        <v>-2.7200000000000002E-3</v>
      </c>
      <c r="H42" s="20" t="s">
        <v>34</v>
      </c>
      <c r="I42" s="20" t="s">
        <v>34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31"/>
      <c r="D43" s="37"/>
      <c r="E43" s="9"/>
      <c r="F43" s="24" t="s">
        <v>44</v>
      </c>
      <c r="G43" s="19">
        <v>-1.7600000000000001E-3</v>
      </c>
      <c r="H43" s="20" t="s">
        <v>34</v>
      </c>
      <c r="I43" s="20" t="s">
        <v>34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31"/>
      <c r="D44" s="37"/>
      <c r="E44" s="9"/>
      <c r="F44" s="24" t="s">
        <v>46</v>
      </c>
      <c r="G44" s="19">
        <v>-6.2999999999999992E-4</v>
      </c>
      <c r="H44" s="20" t="s">
        <v>34</v>
      </c>
      <c r="I44" s="20" t="s">
        <v>34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48</v>
      </c>
      <c r="G45" s="19">
        <v>6.0000000000000006E-4</v>
      </c>
      <c r="H45" s="20" t="s">
        <v>34</v>
      </c>
      <c r="I45" s="20" t="s">
        <v>34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50</v>
      </c>
      <c r="G46" s="19">
        <v>1.8800000000000002E-3</v>
      </c>
      <c r="H46" s="20" t="s">
        <v>34</v>
      </c>
      <c r="I46" s="20" t="s">
        <v>34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52</v>
      </c>
      <c r="G47" s="19">
        <v>3.13E-3</v>
      </c>
      <c r="H47" s="20" t="s">
        <v>34</v>
      </c>
      <c r="I47" s="20" t="s">
        <v>34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53</v>
      </c>
      <c r="G48" s="19">
        <v>4.2700000000000004E-3</v>
      </c>
      <c r="H48" s="20" t="s">
        <v>34</v>
      </c>
      <c r="I48" s="20" t="s">
        <v>34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54</v>
      </c>
      <c r="G49" s="19">
        <v>5.3000000000000009E-3</v>
      </c>
      <c r="H49" s="20" t="s">
        <v>34</v>
      </c>
      <c r="I49" s="20" t="s">
        <v>34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55</v>
      </c>
      <c r="G50" s="19">
        <v>6.1999999999999998E-3</v>
      </c>
      <c r="H50" s="20" t="s">
        <v>34</v>
      </c>
      <c r="I50" s="20" t="s">
        <v>34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56</v>
      </c>
      <c r="G51" s="19">
        <v>8.2299999999999995E-3</v>
      </c>
      <c r="H51" s="20" t="s">
        <v>34</v>
      </c>
      <c r="I51" s="20" t="s">
        <v>34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57</v>
      </c>
      <c r="G52" s="19">
        <v>9.9099999999999987E-3</v>
      </c>
      <c r="H52" s="20" t="s">
        <v>34</v>
      </c>
      <c r="I52" s="20" t="s">
        <v>34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1.0499999999999999E-2</v>
      </c>
      <c r="H53" s="20" t="s">
        <v>34</v>
      </c>
      <c r="I53" s="20" t="s">
        <v>34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59</v>
      </c>
      <c r="G54" s="19">
        <v>1.0699999999999999E-2</v>
      </c>
      <c r="H54" s="20" t="s">
        <v>34</v>
      </c>
      <c r="I54" s="20" t="s">
        <v>34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60</v>
      </c>
      <c r="G55" s="19">
        <v>1.0779999999999998E-2</v>
      </c>
      <c r="H55" s="20" t="s">
        <v>34</v>
      </c>
      <c r="I55" s="20" t="s">
        <v>34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61</v>
      </c>
      <c r="G56" s="19">
        <v>1.026E-2</v>
      </c>
      <c r="H56" s="20" t="s">
        <v>34</v>
      </c>
      <c r="I56" s="20" t="s">
        <v>34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70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63</v>
      </c>
      <c r="D63" s="10"/>
      <c r="E63" s="10"/>
      <c r="F63" s="49" t="s">
        <v>65</v>
      </c>
      <c r="G63" s="10"/>
      <c r="H63" s="10"/>
      <c r="I63" s="49" t="s">
        <v>68</v>
      </c>
      <c r="J63" s="10"/>
      <c r="K63" s="10"/>
      <c r="L63" s="49" t="s">
        <v>69</v>
      </c>
      <c r="M63" s="10"/>
      <c r="N63" s="55"/>
    </row>
    <row r="64" spans="2:14" x14ac:dyDescent="0.25">
      <c r="B64" s="5"/>
      <c r="C64" s="27"/>
      <c r="D64" s="34"/>
      <c r="E64" s="7"/>
      <c r="F64" s="58" t="s">
        <v>11</v>
      </c>
      <c r="G64" s="58" t="s">
        <v>12</v>
      </c>
      <c r="H64" s="10"/>
      <c r="I64" s="27"/>
      <c r="J64" s="34"/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/>
      <c r="D65" s="35"/>
      <c r="E65" s="9"/>
      <c r="F65" s="24"/>
      <c r="G65" s="51"/>
      <c r="H65" s="10"/>
      <c r="I65" s="28"/>
      <c r="J65" s="35"/>
      <c r="K65" s="10"/>
      <c r="L65" s="24"/>
      <c r="M65" s="51"/>
      <c r="N65" s="55"/>
    </row>
    <row r="66" spans="2:14" x14ac:dyDescent="0.25">
      <c r="B66" s="5"/>
      <c r="C66" s="28"/>
      <c r="D66" s="35"/>
      <c r="E66" s="9"/>
      <c r="F66" s="24"/>
      <c r="G66" s="51"/>
      <c r="H66" s="10"/>
      <c r="I66" s="28"/>
      <c r="J66" s="35"/>
      <c r="K66" s="10"/>
      <c r="L66" s="24"/>
      <c r="M66" s="51"/>
      <c r="N66" s="55"/>
    </row>
    <row r="67" spans="2:14" x14ac:dyDescent="0.25">
      <c r="B67" s="5"/>
      <c r="C67" s="28"/>
      <c r="D67" s="35"/>
      <c r="E67" s="9"/>
      <c r="F67" s="24"/>
      <c r="G67" s="51"/>
      <c r="H67" s="10"/>
      <c r="I67" s="28"/>
      <c r="J67" s="35"/>
      <c r="K67" s="10"/>
      <c r="L67" s="24"/>
      <c r="M67" s="51"/>
      <c r="N67" s="55"/>
    </row>
    <row r="68" spans="2:14" x14ac:dyDescent="0.25">
      <c r="B68" s="5"/>
      <c r="C68" s="28"/>
      <c r="D68" s="35"/>
      <c r="E68" s="9"/>
      <c r="F68" s="24"/>
      <c r="G68" s="51"/>
      <c r="H68" s="10"/>
      <c r="I68" s="28"/>
      <c r="J68" s="35"/>
      <c r="K68" s="10"/>
      <c r="L68" s="24"/>
      <c r="M68" s="51"/>
      <c r="N68" s="55"/>
    </row>
    <row r="69" spans="2:14" x14ac:dyDescent="0.25">
      <c r="B69" s="5"/>
      <c r="C69" s="29"/>
      <c r="D69" s="35"/>
      <c r="E69" s="9"/>
      <c r="F69" s="24"/>
      <c r="G69" s="51"/>
      <c r="H69" s="10"/>
      <c r="I69" s="29"/>
      <c r="J69" s="35"/>
      <c r="K69" s="10"/>
      <c r="L69" s="24"/>
      <c r="M69" s="51"/>
      <c r="N69" s="55"/>
    </row>
    <row r="70" spans="2:14" x14ac:dyDescent="0.25">
      <c r="B70" s="5"/>
      <c r="C70" s="30"/>
      <c r="D70" s="36"/>
      <c r="E70" s="9"/>
      <c r="F70" s="24"/>
      <c r="G70" s="51"/>
      <c r="H70" s="10"/>
      <c r="I70" s="30"/>
      <c r="J70" s="36"/>
      <c r="K70" s="10"/>
      <c r="L70" s="24"/>
      <c r="M70" s="51"/>
      <c r="N70" s="55"/>
    </row>
    <row r="71" spans="2:14" x14ac:dyDescent="0.25">
      <c r="B71" s="5"/>
      <c r="C71" s="28"/>
      <c r="D71" s="35"/>
      <c r="E71" s="9"/>
      <c r="F71" s="24"/>
      <c r="G71" s="51"/>
      <c r="H71" s="10"/>
      <c r="I71" s="28"/>
      <c r="J71" s="35"/>
      <c r="K71" s="10"/>
      <c r="L71" s="24"/>
      <c r="M71" s="51"/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56" t="s">
        <v>185</v>
      </c>
    </row>
    <row r="6" spans="2:12" x14ac:dyDescent="0.25">
      <c r="B6" s="56" t="s">
        <v>184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184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EURYC_BASE STD Curve has been set (0.00000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1" t="s">
        <v>134</v>
      </c>
      <c r="D9" s="112" t="b">
        <f ca="1">MID(D8,12,3)="STD"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79</v>
      </c>
      <c r="D13" s="107" t="s">
        <v>180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78</v>
      </c>
      <c r="D14" s="108" t="s">
        <v>81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80</v>
      </c>
      <c r="D15" s="109" t="s">
        <v>82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62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62</v>
      </c>
      <c r="D21" s="47"/>
      <c r="E21" s="7"/>
      <c r="F21" s="50" t="s">
        <v>72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73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74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23</v>
      </c>
      <c r="D24" s="110" t="str">
        <f>InterpolationLabelForCurves</f>
        <v>fn_SplineInterpolation</v>
      </c>
      <c r="E24" s="7"/>
      <c r="F24" s="17" t="s">
        <v>75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84</v>
      </c>
      <c r="D25" s="108" t="b">
        <v>1</v>
      </c>
      <c r="E25" s="7"/>
      <c r="F25" s="17" t="s">
        <v>76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83</v>
      </c>
      <c r="D26" s="108" t="b">
        <v>0</v>
      </c>
      <c r="E26" s="7"/>
      <c r="F26" s="17" t="s">
        <v>77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26</v>
      </c>
      <c r="D27" s="108" t="s">
        <v>120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85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86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217</v>
      </c>
      <c r="D37" s="10"/>
      <c r="E37" s="10"/>
      <c r="F37" s="49" t="s">
        <v>94</v>
      </c>
      <c r="G37" s="10"/>
      <c r="H37" s="10"/>
      <c r="I37" s="49" t="s">
        <v>216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88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95</v>
      </c>
      <c r="J39" s="75">
        <v>-1.31E-3</v>
      </c>
      <c r="K39" s="78"/>
      <c r="L39" s="55"/>
    </row>
    <row r="40" spans="2:12" x14ac:dyDescent="0.25">
      <c r="B40" s="5"/>
      <c r="C40" s="28" t="s">
        <v>89</v>
      </c>
      <c r="D40" s="35" t="s">
        <v>90</v>
      </c>
      <c r="E40" s="9"/>
      <c r="F40" s="29" t="s">
        <v>26</v>
      </c>
      <c r="G40" s="35" t="s">
        <v>91</v>
      </c>
      <c r="H40" s="10"/>
      <c r="I40" s="72"/>
      <c r="J40" s="76"/>
      <c r="K40" s="78"/>
      <c r="L40" s="55"/>
    </row>
    <row r="41" spans="2:12" x14ac:dyDescent="0.25">
      <c r="B41" s="5"/>
      <c r="C41" s="28"/>
      <c r="D41" s="35"/>
      <c r="E41" s="9"/>
      <c r="F41" s="29" t="s">
        <v>92</v>
      </c>
      <c r="G41" s="69">
        <v>2</v>
      </c>
      <c r="H41" s="10"/>
      <c r="I41" s="72"/>
      <c r="J41" s="76"/>
      <c r="K41" s="78"/>
      <c r="L41" s="55"/>
    </row>
    <row r="42" spans="2:12" x14ac:dyDescent="0.25">
      <c r="B42" s="5"/>
      <c r="C42" s="28"/>
      <c r="D42" s="35"/>
      <c r="E42" s="9"/>
      <c r="F42" s="29" t="s">
        <v>20</v>
      </c>
      <c r="G42" s="69" t="s">
        <v>21</v>
      </c>
      <c r="H42" s="10"/>
      <c r="I42" s="72"/>
      <c r="J42" s="76"/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132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96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97</v>
      </c>
      <c r="D50" s="10"/>
      <c r="E50" s="10"/>
      <c r="F50" s="49" t="s">
        <v>128</v>
      </c>
      <c r="G50" s="10"/>
      <c r="H50" s="10"/>
      <c r="I50" s="49" t="s">
        <v>129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88</v>
      </c>
      <c r="D52" s="35" t="s">
        <v>6</v>
      </c>
      <c r="E52" s="9"/>
      <c r="F52" s="71"/>
      <c r="G52" s="75"/>
      <c r="H52" s="10"/>
      <c r="I52" s="71" t="s">
        <v>101</v>
      </c>
      <c r="J52" s="75">
        <v>-1.2900000000000001E-3</v>
      </c>
      <c r="K52" s="78"/>
      <c r="L52" s="55"/>
    </row>
    <row r="53" spans="2:12" x14ac:dyDescent="0.25">
      <c r="B53" s="5"/>
      <c r="C53" s="28" t="s">
        <v>98</v>
      </c>
      <c r="D53" s="35">
        <v>2</v>
      </c>
      <c r="E53" s="9"/>
      <c r="F53" s="72"/>
      <c r="G53" s="76"/>
      <c r="H53" s="10"/>
      <c r="I53" s="72" t="s">
        <v>102</v>
      </c>
      <c r="J53" s="76">
        <v>-1.2900000000000001E-3</v>
      </c>
      <c r="K53" s="78"/>
      <c r="L53" s="55"/>
    </row>
    <row r="54" spans="2:12" x14ac:dyDescent="0.25">
      <c r="B54" s="5"/>
      <c r="C54" s="28" t="s">
        <v>20</v>
      </c>
      <c r="D54" s="68" t="s">
        <v>21</v>
      </c>
      <c r="E54" s="9"/>
      <c r="F54" s="72"/>
      <c r="G54" s="76"/>
      <c r="H54" s="10"/>
      <c r="I54" s="72" t="s">
        <v>103</v>
      </c>
      <c r="J54" s="76">
        <v>-1.33E-3</v>
      </c>
      <c r="K54" s="78"/>
      <c r="L54" s="55"/>
    </row>
    <row r="55" spans="2:12" x14ac:dyDescent="0.25">
      <c r="B55" s="5"/>
      <c r="C55" s="28" t="s">
        <v>93</v>
      </c>
      <c r="D55" s="35" t="b">
        <v>1</v>
      </c>
      <c r="E55" s="9"/>
      <c r="F55" s="72"/>
      <c r="G55" s="76"/>
      <c r="H55" s="10"/>
      <c r="I55" s="72" t="s">
        <v>104</v>
      </c>
      <c r="J55" s="76">
        <v>-1.3900000000000002E-3</v>
      </c>
      <c r="K55" s="78"/>
      <c r="L55" s="55"/>
    </row>
    <row r="56" spans="2:12" x14ac:dyDescent="0.25">
      <c r="B56" s="5"/>
      <c r="C56" s="28" t="s">
        <v>218</v>
      </c>
      <c r="D56" s="35">
        <v>31</v>
      </c>
      <c r="E56" s="9"/>
      <c r="F56" s="72"/>
      <c r="G56" s="76"/>
      <c r="H56" s="10"/>
      <c r="I56" s="72" t="s">
        <v>105</v>
      </c>
      <c r="J56" s="76">
        <v>-1.4399999999999999E-3</v>
      </c>
      <c r="K56" s="78"/>
      <c r="L56" s="55"/>
    </row>
    <row r="57" spans="2:12" x14ac:dyDescent="0.25">
      <c r="B57" s="5"/>
      <c r="C57" s="28" t="s">
        <v>99</v>
      </c>
      <c r="D57" s="35" t="b">
        <v>1</v>
      </c>
      <c r="E57" s="9"/>
      <c r="F57" s="72"/>
      <c r="G57" s="76"/>
      <c r="H57" s="10"/>
      <c r="I57" s="72" t="s">
        <v>106</v>
      </c>
      <c r="J57" s="76">
        <v>-1.4399999999999999E-3</v>
      </c>
      <c r="K57" s="78"/>
      <c r="L57" s="55"/>
    </row>
    <row r="58" spans="2:12" x14ac:dyDescent="0.25">
      <c r="B58" s="5"/>
      <c r="C58" s="28" t="s">
        <v>100</v>
      </c>
      <c r="D58" s="35">
        <v>2</v>
      </c>
      <c r="E58" s="9"/>
      <c r="F58" s="72"/>
      <c r="G58" s="76"/>
      <c r="H58" s="10"/>
      <c r="I58" s="72" t="s">
        <v>107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108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109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110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111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112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113</v>
      </c>
      <c r="D71" s="10"/>
      <c r="E71" s="10"/>
      <c r="F71" s="49" t="s">
        <v>115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130</v>
      </c>
      <c r="G72" s="97" t="s">
        <v>13</v>
      </c>
      <c r="H72" s="97" t="s">
        <v>14</v>
      </c>
      <c r="I72" s="97" t="s">
        <v>12</v>
      </c>
      <c r="J72" s="97" t="s">
        <v>114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116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117</v>
      </c>
      <c r="D92" s="10"/>
      <c r="E92" s="10"/>
      <c r="F92" s="49" t="s">
        <v>118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88</v>
      </c>
      <c r="D94" s="35" t="s">
        <v>19</v>
      </c>
      <c r="E94" s="9"/>
      <c r="F94" s="101" t="s">
        <v>39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/>
      <c r="D95" s="35"/>
      <c r="E95" s="9"/>
      <c r="F95" s="24" t="s">
        <v>37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119</v>
      </c>
      <c r="D96" s="35" t="s">
        <v>6</v>
      </c>
      <c r="E96" s="9"/>
      <c r="F96" s="24" t="s">
        <v>42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26</v>
      </c>
      <c r="D97" s="35" t="s">
        <v>25</v>
      </c>
      <c r="E97" s="9"/>
      <c r="F97" s="24" t="s">
        <v>44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121</v>
      </c>
      <c r="D98" s="35" t="s">
        <v>120</v>
      </c>
      <c r="E98" s="9"/>
      <c r="F98" s="24" t="s">
        <v>46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122</v>
      </c>
      <c r="D99" s="110" t="str">
        <f>InterpolationLabelForCurves</f>
        <v>fn_SplineInterpolation</v>
      </c>
      <c r="E99" s="9"/>
      <c r="F99" s="24" t="s">
        <v>48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93</v>
      </c>
      <c r="D100" s="35" t="b">
        <v>0</v>
      </c>
      <c r="E100" s="9"/>
      <c r="F100" s="24" t="s">
        <v>50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92</v>
      </c>
      <c r="D101" s="35">
        <v>2</v>
      </c>
      <c r="E101" s="9"/>
      <c r="F101" s="24" t="s">
        <v>52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20</v>
      </c>
      <c r="D102" s="68" t="s">
        <v>21</v>
      </c>
      <c r="E102" s="9"/>
      <c r="F102" s="24" t="s">
        <v>53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123</v>
      </c>
      <c r="D103" s="35" t="b">
        <v>1</v>
      </c>
      <c r="E103" s="9"/>
      <c r="F103" s="24" t="s">
        <v>54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124</v>
      </c>
      <c r="D104" s="35" t="b">
        <v>1</v>
      </c>
      <c r="E104" s="9"/>
      <c r="F104" s="24" t="s">
        <v>55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125</v>
      </c>
      <c r="D105" s="38">
        <v>1.0000000000000001E-9</v>
      </c>
      <c r="E105" s="9"/>
      <c r="F105" s="24" t="s">
        <v>56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126</v>
      </c>
      <c r="D106" s="106">
        <v>1000</v>
      </c>
      <c r="E106" s="9"/>
      <c r="F106" s="24" t="s">
        <v>57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58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59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60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61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99 D2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183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182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182</v>
      </c>
      <c r="D7" s="61" t="str">
        <f ca="1">IF(NOW(),_xll.meCurveCalibrateOIS(D11,D12,D13,C20:D24,C31:D57,F32:J57,L32:M57),"Error Building OIS Curve")</f>
        <v>EURYC_BUMPED OIS Curve has been set (0.00000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1" t="s">
        <v>134</v>
      </c>
      <c r="D8" s="112" t="b">
        <f ca="1">MID(D7,14,3)="OIS"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79</v>
      </c>
      <c r="D11" s="107" t="s">
        <v>179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78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80</v>
      </c>
      <c r="D13" s="109" t="s">
        <v>133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62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62</v>
      </c>
      <c r="D19" s="47"/>
      <c r="E19" s="7"/>
      <c r="F19" s="50" t="s">
        <v>72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73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74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23</v>
      </c>
      <c r="D22" s="110" t="str">
        <f>InterpolationLabelForCurves</f>
        <v>fn_SplineInterpolation</v>
      </c>
      <c r="E22" s="7"/>
      <c r="F22" s="17" t="s">
        <v>75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76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77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8" spans="2:14" x14ac:dyDescent="0.25">
      <c r="B28" s="56" t="s">
        <v>71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64</v>
      </c>
      <c r="G30" s="10"/>
      <c r="H30" s="10"/>
      <c r="I30" s="10"/>
      <c r="J30" s="10"/>
      <c r="K30" s="10"/>
      <c r="L30" s="49" t="s">
        <v>66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67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tr">
        <f>'EUR OIS'!F32</f>
        <v>ON</v>
      </c>
      <c r="G32" s="19">
        <f>'EUR OIS'!G32+IF(BumpOIS,Bump,0)</f>
        <v>-2.5299999999999997E-3</v>
      </c>
      <c r="H32" s="20" t="str">
        <f>'EUR OIS'!H32</f>
        <v/>
      </c>
      <c r="I32" s="20" t="str">
        <f>'EUR OIS'!I32</f>
        <v/>
      </c>
      <c r="J32" s="41" t="b">
        <f>'EUR OIS'!J32</f>
        <v>1</v>
      </c>
      <c r="K32" s="169"/>
      <c r="L32" s="53"/>
      <c r="M32" s="51"/>
      <c r="N32" s="55"/>
    </row>
    <row r="33" spans="2:14" x14ac:dyDescent="0.25">
      <c r="B33" s="5"/>
      <c r="C33" s="28" t="s">
        <v>24</v>
      </c>
      <c r="D33" s="35" t="s">
        <v>25</v>
      </c>
      <c r="E33" s="9"/>
      <c r="F33" s="24" t="str">
        <f>'EUR OIS'!F33</f>
        <v>EUSF1A</v>
      </c>
      <c r="G33" s="19">
        <f>'EUR OIS'!G33+IF(BumpOIS,Bump,0)</f>
        <v>-3.49E-3</v>
      </c>
      <c r="H33" s="20">
        <f>'EUR OIS'!H33</f>
        <v>42481</v>
      </c>
      <c r="I33" s="20">
        <f>'EUR OIS'!I33</f>
        <v>42523</v>
      </c>
      <c r="J33" s="41" t="b">
        <f>'EUR OIS'!J33</f>
        <v>1</v>
      </c>
      <c r="K33" s="170"/>
      <c r="L33" s="53"/>
      <c r="M33" s="51"/>
      <c r="N33" s="55"/>
    </row>
    <row r="34" spans="2:14" x14ac:dyDescent="0.25">
      <c r="B34" s="5"/>
      <c r="C34" s="28" t="s">
        <v>15</v>
      </c>
      <c r="D34" s="35" t="s">
        <v>27</v>
      </c>
      <c r="E34" s="9"/>
      <c r="F34" s="24" t="str">
        <f>'EUR OIS'!F34</f>
        <v>EUSF2A</v>
      </c>
      <c r="G34" s="19">
        <f>'EUR OIS'!G34+IF(BumpOIS,Bump,0)</f>
        <v>-3.6299999999999995E-3</v>
      </c>
      <c r="H34" s="20">
        <f>'EUR OIS'!H34</f>
        <v>42523</v>
      </c>
      <c r="I34" s="20">
        <f>'EUR OIS'!I34</f>
        <v>42572</v>
      </c>
      <c r="J34" s="41" t="b">
        <f>'EUR OIS'!J34</f>
        <v>1</v>
      </c>
      <c r="K34" s="170"/>
      <c r="L34" s="53"/>
      <c r="M34" s="51"/>
      <c r="N34" s="55"/>
    </row>
    <row r="35" spans="2:14" x14ac:dyDescent="0.25">
      <c r="B35" s="5"/>
      <c r="C35" s="28" t="s">
        <v>22</v>
      </c>
      <c r="D35" s="35" t="s">
        <v>21</v>
      </c>
      <c r="E35" s="9"/>
      <c r="F35" s="24" t="str">
        <f>'EUR OIS'!F35</f>
        <v>EUSF3A</v>
      </c>
      <c r="G35" s="19">
        <f>'EUR OIS'!G35+IF(BumpOIS,Bump,0)</f>
        <v>-3.6699999999999997E-3</v>
      </c>
      <c r="H35" s="20">
        <f>'EUR OIS'!H35</f>
        <v>42572</v>
      </c>
      <c r="I35" s="20">
        <f>'EUR OIS'!I35</f>
        <v>42621</v>
      </c>
      <c r="J35" s="41" t="b">
        <f>'EUR OIS'!J35</f>
        <v>1</v>
      </c>
      <c r="K35" s="170"/>
      <c r="L35" s="53"/>
      <c r="M35" s="51"/>
      <c r="N35" s="55"/>
    </row>
    <row r="36" spans="2:14" x14ac:dyDescent="0.25">
      <c r="B36" s="5"/>
      <c r="C36" s="29" t="s">
        <v>28</v>
      </c>
      <c r="D36" s="35" t="b">
        <v>1</v>
      </c>
      <c r="E36" s="9"/>
      <c r="F36" s="24" t="str">
        <f>'EUR OIS'!F36</f>
        <v>EUSF4A</v>
      </c>
      <c r="G36" s="19">
        <f>'EUR OIS'!G36+IF(BumpOIS,Bump,0)</f>
        <v>-3.8799999999999998E-3</v>
      </c>
      <c r="H36" s="20">
        <f>'EUR OIS'!H36</f>
        <v>42621</v>
      </c>
      <c r="I36" s="20">
        <f>'EUR OIS'!I36</f>
        <v>42663</v>
      </c>
      <c r="J36" s="41" t="b">
        <f>'EUR OIS'!J36</f>
        <v>1</v>
      </c>
      <c r="K36" s="170"/>
      <c r="L36" s="53"/>
      <c r="M36" s="51"/>
      <c r="N36" s="55"/>
    </row>
    <row r="37" spans="2:14" x14ac:dyDescent="0.25">
      <c r="B37" s="5"/>
      <c r="C37" s="30" t="s">
        <v>29</v>
      </c>
      <c r="D37" s="36">
        <v>31</v>
      </c>
      <c r="E37" s="9"/>
      <c r="F37" s="24" t="str">
        <f>'EUR OIS'!F37</f>
        <v>EUSF5A</v>
      </c>
      <c r="G37" s="19">
        <f>'EUR OIS'!G37+IF(BumpOIS,Bump,0)</f>
        <v>-3.96E-3</v>
      </c>
      <c r="H37" s="20">
        <f>'EUR OIS'!H37</f>
        <v>42663</v>
      </c>
      <c r="I37" s="20">
        <f>'EUR OIS'!I37</f>
        <v>42712</v>
      </c>
      <c r="J37" s="41" t="b">
        <f>'EUR OIS'!J37</f>
        <v>1</v>
      </c>
      <c r="K37" s="170"/>
      <c r="L37" s="53"/>
      <c r="M37" s="51"/>
      <c r="N37" s="55"/>
    </row>
    <row r="38" spans="2:14" x14ac:dyDescent="0.25">
      <c r="B38" s="5"/>
      <c r="C38" s="28" t="s">
        <v>30</v>
      </c>
      <c r="D38" s="35" t="s">
        <v>31</v>
      </c>
      <c r="E38" s="9"/>
      <c r="F38" s="24" t="str">
        <f>'EUR OIS'!F38</f>
        <v>12M</v>
      </c>
      <c r="G38" s="19">
        <f>'EUR OIS'!G38+IF(BumpOIS,Bump,0)</f>
        <v>-3.79E-3</v>
      </c>
      <c r="H38" s="20" t="str">
        <f>'EUR OIS'!H38</f>
        <v/>
      </c>
      <c r="I38" s="20" t="str">
        <f>'EUR OIS'!I38</f>
        <v/>
      </c>
      <c r="J38" s="41" t="b">
        <f>'EUR OIS'!J38</f>
        <v>1</v>
      </c>
      <c r="K38" s="170"/>
      <c r="L38" s="53"/>
      <c r="M38" s="51"/>
      <c r="N38" s="55"/>
    </row>
    <row r="39" spans="2:14" x14ac:dyDescent="0.25">
      <c r="B39" s="5"/>
      <c r="C39" s="28" t="s">
        <v>32</v>
      </c>
      <c r="D39" s="35" t="s">
        <v>33</v>
      </c>
      <c r="E39" s="9"/>
      <c r="F39" s="24" t="str">
        <f>'EUR OIS'!F39</f>
        <v>18M</v>
      </c>
      <c r="G39" s="19">
        <f>'EUR OIS'!G39+IF(BumpOIS,Bump,0)</f>
        <v>-3.8899999999999998E-3</v>
      </c>
      <c r="H39" s="20" t="str">
        <f>'EUR OIS'!H39</f>
        <v/>
      </c>
      <c r="I39" s="20" t="str">
        <f>'EUR OIS'!I39</f>
        <v/>
      </c>
      <c r="J39" s="41" t="b">
        <f>'EUR OIS'!J39</f>
        <v>1</v>
      </c>
      <c r="K39" s="170"/>
      <c r="L39" s="53"/>
      <c r="M39" s="51"/>
      <c r="N39" s="55"/>
    </row>
    <row r="40" spans="2:14" x14ac:dyDescent="0.25">
      <c r="B40" s="5"/>
      <c r="C40" s="28" t="s">
        <v>35</v>
      </c>
      <c r="D40" s="35" t="s">
        <v>36</v>
      </c>
      <c r="E40" s="9"/>
      <c r="F40" s="24" t="str">
        <f>'EUR OIS'!F40</f>
        <v>2Y</v>
      </c>
      <c r="G40" s="19">
        <f>'EUR OIS'!G40+IF(BumpOIS,Bump,0)</f>
        <v>-3.8699999999999997E-3</v>
      </c>
      <c r="H40" s="20" t="str">
        <f>'EUR OIS'!H40</f>
        <v/>
      </c>
      <c r="I40" s="20" t="str">
        <f>'EUR OIS'!I40</f>
        <v/>
      </c>
      <c r="J40" s="41" t="b">
        <f>'EUR OIS'!J40</f>
        <v>1</v>
      </c>
      <c r="K40" s="170"/>
      <c r="L40" s="53"/>
      <c r="M40" s="51"/>
      <c r="N40" s="55"/>
    </row>
    <row r="41" spans="2:14" x14ac:dyDescent="0.25">
      <c r="B41" s="5"/>
      <c r="C41" s="28" t="s">
        <v>125</v>
      </c>
      <c r="D41" s="38">
        <v>1E-10</v>
      </c>
      <c r="E41" s="9"/>
      <c r="F41" s="24" t="str">
        <f>'EUR OIS'!F41</f>
        <v>3Y</v>
      </c>
      <c r="G41" s="19">
        <f>'EUR OIS'!G41+IF(BumpOIS,Bump,0)</f>
        <v>-3.5399999999999997E-3</v>
      </c>
      <c r="H41" s="20" t="str">
        <f>'EUR OIS'!H41</f>
        <v/>
      </c>
      <c r="I41" s="20" t="str">
        <f>'EUR OIS'!I41</f>
        <v/>
      </c>
      <c r="J41" s="41" t="b">
        <f>'EUR OIS'!J41</f>
        <v>1</v>
      </c>
      <c r="K41" s="170"/>
      <c r="L41" s="53"/>
      <c r="M41" s="51"/>
      <c r="N41" s="55"/>
    </row>
    <row r="42" spans="2:14" x14ac:dyDescent="0.25">
      <c r="B42" s="5"/>
      <c r="C42" s="28" t="s">
        <v>126</v>
      </c>
      <c r="D42" s="106">
        <v>1000</v>
      </c>
      <c r="E42" s="9"/>
      <c r="F42" s="24" t="str">
        <f>'EUR OIS'!F42</f>
        <v>4Y</v>
      </c>
      <c r="G42" s="19">
        <f>'EUR OIS'!G42+IF(BumpOIS,Bump,0)</f>
        <v>-2.82E-3</v>
      </c>
      <c r="H42" s="20" t="str">
        <f>'EUR OIS'!H42</f>
        <v/>
      </c>
      <c r="I42" s="20" t="str">
        <f>'EUR OIS'!I42</f>
        <v/>
      </c>
      <c r="J42" s="41" t="b">
        <f>'EUR OIS'!J42</f>
        <v>1</v>
      </c>
      <c r="K42" s="170"/>
      <c r="L42" s="53"/>
      <c r="M42" s="51"/>
      <c r="N42" s="55"/>
    </row>
    <row r="43" spans="2:14" x14ac:dyDescent="0.25">
      <c r="B43" s="5"/>
      <c r="C43" s="31"/>
      <c r="D43" s="37"/>
      <c r="E43" s="9"/>
      <c r="F43" s="24" t="str">
        <f>'EUR OIS'!F43</f>
        <v>5Y</v>
      </c>
      <c r="G43" s="19">
        <f>'EUR OIS'!G43+IF(BumpOIS,Bump,0)</f>
        <v>-1.8600000000000001E-3</v>
      </c>
      <c r="H43" s="20" t="str">
        <f>'EUR OIS'!H43</f>
        <v/>
      </c>
      <c r="I43" s="20" t="str">
        <f>'EUR OIS'!I43</f>
        <v/>
      </c>
      <c r="J43" s="41" t="b">
        <f>'EUR OIS'!J43</f>
        <v>1</v>
      </c>
      <c r="K43" s="170"/>
      <c r="L43" s="53"/>
      <c r="M43" s="51"/>
      <c r="N43" s="55"/>
    </row>
    <row r="44" spans="2:14" x14ac:dyDescent="0.25">
      <c r="B44" s="5"/>
      <c r="C44" s="31"/>
      <c r="D44" s="37"/>
      <c r="E44" s="9"/>
      <c r="F44" s="24" t="str">
        <f>'EUR OIS'!F44</f>
        <v>6Y</v>
      </c>
      <c r="G44" s="19">
        <f>'EUR OIS'!G44+IF(BumpOIS,Bump,0)</f>
        <v>-7.2999999999999996E-4</v>
      </c>
      <c r="H44" s="20" t="str">
        <f>'EUR OIS'!H44</f>
        <v/>
      </c>
      <c r="I44" s="20" t="str">
        <f>'EUR OIS'!I44</f>
        <v/>
      </c>
      <c r="J44" s="41" t="b">
        <f>'EUR OIS'!J44</f>
        <v>1</v>
      </c>
      <c r="K44" s="170"/>
      <c r="L44" s="53"/>
      <c r="M44" s="51"/>
      <c r="N44" s="55"/>
    </row>
    <row r="45" spans="2:14" x14ac:dyDescent="0.25">
      <c r="B45" s="5"/>
      <c r="C45" s="31"/>
      <c r="D45" s="37"/>
      <c r="E45" s="9"/>
      <c r="F45" s="24" t="str">
        <f>'EUR OIS'!F45</f>
        <v>7Y</v>
      </c>
      <c r="G45" s="19">
        <f>'EUR OIS'!G45+IF(BumpOIS,Bump,0)</f>
        <v>5.0000000000000001E-4</v>
      </c>
      <c r="H45" s="20" t="str">
        <f>'EUR OIS'!H45</f>
        <v/>
      </c>
      <c r="I45" s="20" t="str">
        <f>'EUR OIS'!I45</f>
        <v/>
      </c>
      <c r="J45" s="41" t="b">
        <f>'EUR OIS'!J45</f>
        <v>1</v>
      </c>
      <c r="K45" s="170"/>
      <c r="L45" s="53"/>
      <c r="M45" s="51"/>
      <c r="N45" s="55"/>
    </row>
    <row r="46" spans="2:14" x14ac:dyDescent="0.25">
      <c r="B46" s="5"/>
      <c r="C46" s="31"/>
      <c r="D46" s="37"/>
      <c r="E46" s="9"/>
      <c r="F46" s="24" t="str">
        <f>'EUR OIS'!F46</f>
        <v>8Y</v>
      </c>
      <c r="G46" s="19">
        <f>'EUR OIS'!G46+IF(BumpOIS,Bump,0)</f>
        <v>1.7800000000000001E-3</v>
      </c>
      <c r="H46" s="20" t="str">
        <f>'EUR OIS'!H46</f>
        <v/>
      </c>
      <c r="I46" s="20" t="str">
        <f>'EUR OIS'!I46</f>
        <v/>
      </c>
      <c r="J46" s="41" t="b">
        <f>'EUR OIS'!J46</f>
        <v>1</v>
      </c>
      <c r="K46" s="170"/>
      <c r="L46" s="53"/>
      <c r="M46" s="51"/>
      <c r="N46" s="55"/>
    </row>
    <row r="47" spans="2:14" x14ac:dyDescent="0.25">
      <c r="B47" s="5"/>
      <c r="C47" s="32"/>
      <c r="D47" s="35"/>
      <c r="E47" s="9"/>
      <c r="F47" s="24" t="str">
        <f>'EUR OIS'!F47</f>
        <v>9Y</v>
      </c>
      <c r="G47" s="19">
        <f>'EUR OIS'!G47+IF(BumpOIS,Bump,0)</f>
        <v>3.0300000000000001E-3</v>
      </c>
      <c r="H47" s="20" t="str">
        <f>'EUR OIS'!H47</f>
        <v/>
      </c>
      <c r="I47" s="20" t="str">
        <f>'EUR OIS'!I47</f>
        <v/>
      </c>
      <c r="J47" s="41" t="b">
        <f>'EUR OIS'!J47</f>
        <v>1</v>
      </c>
      <c r="K47" s="170"/>
      <c r="L47" s="53"/>
      <c r="M47" s="51"/>
      <c r="N47" s="55"/>
    </row>
    <row r="48" spans="2:14" x14ac:dyDescent="0.25">
      <c r="B48" s="5"/>
      <c r="C48" s="32"/>
      <c r="D48" s="39"/>
      <c r="E48" s="9"/>
      <c r="F48" s="24" t="str">
        <f>'EUR OIS'!F48</f>
        <v>10Y</v>
      </c>
      <c r="G48" s="19">
        <f>'EUR OIS'!G48+IF(BumpOIS,Bump,0)</f>
        <v>4.1700000000000001E-3</v>
      </c>
      <c r="H48" s="20" t="str">
        <f>'EUR OIS'!H48</f>
        <v/>
      </c>
      <c r="I48" s="20" t="str">
        <f>'EUR OIS'!I48</f>
        <v/>
      </c>
      <c r="J48" s="41" t="b">
        <f>'EUR OIS'!J48</f>
        <v>1</v>
      </c>
      <c r="K48" s="170"/>
      <c r="L48" s="53"/>
      <c r="M48" s="51"/>
      <c r="N48" s="55"/>
    </row>
    <row r="49" spans="2:14" x14ac:dyDescent="0.25">
      <c r="B49" s="5"/>
      <c r="C49" s="32"/>
      <c r="D49" s="39"/>
      <c r="E49" s="9"/>
      <c r="F49" s="24" t="str">
        <f>'EUR OIS'!F49</f>
        <v>11Y</v>
      </c>
      <c r="G49" s="19">
        <f>'EUR OIS'!G49+IF(BumpOIS,Bump,0)</f>
        <v>5.2000000000000006E-3</v>
      </c>
      <c r="H49" s="20" t="str">
        <f>'EUR OIS'!H49</f>
        <v/>
      </c>
      <c r="I49" s="20" t="str">
        <f>'EUR OIS'!I49</f>
        <v/>
      </c>
      <c r="J49" s="41" t="b">
        <f>'EUR OIS'!J49</f>
        <v>1</v>
      </c>
      <c r="K49" s="170"/>
      <c r="L49" s="53"/>
      <c r="M49" s="51"/>
      <c r="N49" s="55"/>
    </row>
    <row r="50" spans="2:14" x14ac:dyDescent="0.25">
      <c r="B50" s="5"/>
      <c r="C50" s="32"/>
      <c r="D50" s="39"/>
      <c r="E50" s="9"/>
      <c r="F50" s="24" t="str">
        <f>'EUR OIS'!F50</f>
        <v>12Y</v>
      </c>
      <c r="G50" s="19">
        <f>'EUR OIS'!G50+IF(BumpOIS,Bump,0)</f>
        <v>6.0999999999999995E-3</v>
      </c>
      <c r="H50" s="20" t="str">
        <f>'EUR OIS'!H50</f>
        <v/>
      </c>
      <c r="I50" s="20" t="str">
        <f>'EUR OIS'!I50</f>
        <v/>
      </c>
      <c r="J50" s="41" t="b">
        <f>'EUR OIS'!J50</f>
        <v>1</v>
      </c>
      <c r="K50" s="170"/>
      <c r="L50" s="53"/>
      <c r="M50" s="51"/>
      <c r="N50" s="55"/>
    </row>
    <row r="51" spans="2:14" x14ac:dyDescent="0.25">
      <c r="B51" s="5"/>
      <c r="C51" s="32"/>
      <c r="D51" s="39"/>
      <c r="E51" s="9"/>
      <c r="F51" s="24" t="str">
        <f>'EUR OIS'!F51</f>
        <v>15Y</v>
      </c>
      <c r="G51" s="19">
        <f>'EUR OIS'!G51+IF(BumpOIS,Bump,0)</f>
        <v>8.1300000000000001E-3</v>
      </c>
      <c r="H51" s="20" t="str">
        <f>'EUR OIS'!H51</f>
        <v/>
      </c>
      <c r="I51" s="20" t="str">
        <f>'EUR OIS'!I51</f>
        <v/>
      </c>
      <c r="J51" s="41" t="b">
        <f>'EUR OIS'!J51</f>
        <v>1</v>
      </c>
      <c r="K51" s="170"/>
      <c r="L51" s="53"/>
      <c r="M51" s="51"/>
      <c r="N51" s="55"/>
    </row>
    <row r="52" spans="2:14" x14ac:dyDescent="0.25">
      <c r="B52" s="5"/>
      <c r="C52" s="32"/>
      <c r="D52" s="39"/>
      <c r="E52" s="9"/>
      <c r="F52" s="24" t="str">
        <f>'EUR OIS'!F52</f>
        <v>20Y</v>
      </c>
      <c r="G52" s="19">
        <f>'EUR OIS'!G52+IF(BumpOIS,Bump,0)</f>
        <v>9.8099999999999993E-3</v>
      </c>
      <c r="H52" s="20" t="str">
        <f>'EUR OIS'!H52</f>
        <v/>
      </c>
      <c r="I52" s="20" t="str">
        <f>'EUR OIS'!I52</f>
        <v/>
      </c>
      <c r="J52" s="41" t="b">
        <f>'EUR OIS'!J52</f>
        <v>1</v>
      </c>
      <c r="K52" s="170"/>
      <c r="L52" s="53"/>
      <c r="M52" s="51"/>
      <c r="N52" s="55"/>
    </row>
    <row r="53" spans="2:14" x14ac:dyDescent="0.25">
      <c r="B53" s="5"/>
      <c r="C53" s="32"/>
      <c r="D53" s="39"/>
      <c r="E53" s="9"/>
      <c r="F53" s="24" t="str">
        <f>'EUR OIS'!F53</f>
        <v>25Y</v>
      </c>
      <c r="G53" s="19">
        <f>'EUR OIS'!G53+IF(BumpOIS,Bump,0)</f>
        <v>1.04E-2</v>
      </c>
      <c r="H53" s="20" t="str">
        <f>'EUR OIS'!H53</f>
        <v/>
      </c>
      <c r="I53" s="20" t="str">
        <f>'EUR OIS'!I53</f>
        <v/>
      </c>
      <c r="J53" s="41" t="b">
        <f>'EUR OIS'!J53</f>
        <v>1</v>
      </c>
      <c r="K53" s="170"/>
      <c r="L53" s="53"/>
      <c r="M53" s="51"/>
      <c r="N53" s="55"/>
    </row>
    <row r="54" spans="2:14" x14ac:dyDescent="0.25">
      <c r="B54" s="5"/>
      <c r="C54" s="32"/>
      <c r="D54" s="39"/>
      <c r="E54" s="9"/>
      <c r="F54" s="24" t="str">
        <f>'EUR OIS'!F54</f>
        <v>30Y</v>
      </c>
      <c r="G54" s="19">
        <f>'EUR OIS'!G54+IF(BumpOIS,Bump,0)</f>
        <v>1.06E-2</v>
      </c>
      <c r="H54" s="20" t="str">
        <f>'EUR OIS'!H54</f>
        <v/>
      </c>
      <c r="I54" s="20" t="str">
        <f>'EUR OIS'!I54</f>
        <v/>
      </c>
      <c r="J54" s="41" t="b">
        <f>'EUR OIS'!J54</f>
        <v>1</v>
      </c>
      <c r="K54" s="170"/>
      <c r="L54" s="53"/>
      <c r="M54" s="51"/>
      <c r="N54" s="55"/>
    </row>
    <row r="55" spans="2:14" x14ac:dyDescent="0.25">
      <c r="B55" s="5"/>
      <c r="C55" s="32"/>
      <c r="D55" s="39"/>
      <c r="E55" s="9"/>
      <c r="F55" s="24" t="str">
        <f>'EUR OIS'!F55</f>
        <v>40Y</v>
      </c>
      <c r="G55" s="19">
        <f>'EUR OIS'!G55+IF(BumpOIS,Bump,0)</f>
        <v>1.0679999999999999E-2</v>
      </c>
      <c r="H55" s="20" t="str">
        <f>'EUR OIS'!H55</f>
        <v/>
      </c>
      <c r="I55" s="20" t="str">
        <f>'EUR OIS'!I55</f>
        <v/>
      </c>
      <c r="J55" s="41" t="b">
        <f>'EUR OIS'!J55</f>
        <v>1</v>
      </c>
      <c r="K55" s="170"/>
      <c r="L55" s="53"/>
      <c r="M55" s="51"/>
      <c r="N55" s="55"/>
    </row>
    <row r="56" spans="2:14" x14ac:dyDescent="0.25">
      <c r="B56" s="5"/>
      <c r="C56" s="32"/>
      <c r="D56" s="39"/>
      <c r="E56" s="9"/>
      <c r="F56" s="24" t="str">
        <f>'EUR OIS'!F56</f>
        <v>50Y</v>
      </c>
      <c r="G56" s="19">
        <f>'EUR OIS'!G56+IF(BumpOIS,Bump,0)</f>
        <v>1.0160000000000001E-2</v>
      </c>
      <c r="H56" s="20" t="str">
        <f>'EUR OIS'!H56</f>
        <v/>
      </c>
      <c r="I56" s="20" t="str">
        <f>'EUR OIS'!I56</f>
        <v/>
      </c>
      <c r="J56" s="41" t="b">
        <f>'EUR OIS'!J56</f>
        <v>1</v>
      </c>
      <c r="K56" s="17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71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70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63</v>
      </c>
      <c r="D63" s="10"/>
      <c r="E63" s="10"/>
      <c r="F63" s="49" t="s">
        <v>65</v>
      </c>
      <c r="G63" s="10"/>
      <c r="H63" s="10"/>
      <c r="I63" s="49" t="s">
        <v>68</v>
      </c>
      <c r="J63" s="10"/>
      <c r="K63" s="10"/>
      <c r="L63" s="49" t="s">
        <v>69</v>
      </c>
      <c r="M63" s="10"/>
      <c r="N63" s="55"/>
    </row>
    <row r="64" spans="2:14" x14ac:dyDescent="0.25">
      <c r="B64" s="5"/>
      <c r="C64" s="27"/>
      <c r="D64" s="34"/>
      <c r="E64" s="7"/>
      <c r="F64" s="58" t="s">
        <v>11</v>
      </c>
      <c r="G64" s="58" t="s">
        <v>12</v>
      </c>
      <c r="H64" s="10"/>
      <c r="I64" s="27"/>
      <c r="J64" s="34"/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/>
      <c r="D65" s="35"/>
      <c r="E65" s="9"/>
      <c r="F65" s="24"/>
      <c r="G65" s="51"/>
      <c r="H65" s="10"/>
      <c r="I65" s="28"/>
      <c r="J65" s="35"/>
      <c r="K65" s="10"/>
      <c r="L65" s="24"/>
      <c r="M65" s="51"/>
      <c r="N65" s="55"/>
    </row>
    <row r="66" spans="2:14" x14ac:dyDescent="0.25">
      <c r="B66" s="5"/>
      <c r="C66" s="28"/>
      <c r="D66" s="35"/>
      <c r="E66" s="9"/>
      <c r="F66" s="24"/>
      <c r="G66" s="51"/>
      <c r="H66" s="10"/>
      <c r="I66" s="28"/>
      <c r="J66" s="35"/>
      <c r="K66" s="10"/>
      <c r="L66" s="24"/>
      <c r="M66" s="51"/>
      <c r="N66" s="55"/>
    </row>
    <row r="67" spans="2:14" x14ac:dyDescent="0.25">
      <c r="B67" s="5"/>
      <c r="C67" s="28"/>
      <c r="D67" s="35"/>
      <c r="E67" s="9"/>
      <c r="F67" s="24"/>
      <c r="G67" s="51"/>
      <c r="H67" s="10"/>
      <c r="I67" s="28"/>
      <c r="J67" s="35"/>
      <c r="K67" s="10"/>
      <c r="L67" s="24"/>
      <c r="M67" s="51"/>
      <c r="N67" s="55"/>
    </row>
    <row r="68" spans="2:14" x14ac:dyDescent="0.25">
      <c r="B68" s="5"/>
      <c r="C68" s="28"/>
      <c r="D68" s="35"/>
      <c r="E68" s="9"/>
      <c r="F68" s="24"/>
      <c r="G68" s="51"/>
      <c r="H68" s="10"/>
      <c r="I68" s="28"/>
      <c r="J68" s="35"/>
      <c r="K68" s="10"/>
      <c r="L68" s="24"/>
      <c r="M68" s="51"/>
      <c r="N68" s="55"/>
    </row>
    <row r="69" spans="2:14" x14ac:dyDescent="0.25">
      <c r="B69" s="5"/>
      <c r="C69" s="29"/>
      <c r="D69" s="35"/>
      <c r="E69" s="9"/>
      <c r="F69" s="24"/>
      <c r="G69" s="51"/>
      <c r="H69" s="10"/>
      <c r="I69" s="29"/>
      <c r="J69" s="35"/>
      <c r="K69" s="10"/>
      <c r="L69" s="24"/>
      <c r="M69" s="51"/>
      <c r="N69" s="55"/>
    </row>
    <row r="70" spans="2:14" x14ac:dyDescent="0.25">
      <c r="B70" s="5"/>
      <c r="C70" s="30"/>
      <c r="D70" s="36"/>
      <c r="E70" s="9"/>
      <c r="F70" s="24"/>
      <c r="G70" s="51"/>
      <c r="H70" s="10"/>
      <c r="I70" s="30"/>
      <c r="J70" s="36"/>
      <c r="K70" s="10"/>
      <c r="L70" s="24"/>
      <c r="M70" s="51"/>
      <c r="N70" s="55"/>
    </row>
    <row r="71" spans="2:14" x14ac:dyDescent="0.25">
      <c r="B71" s="5"/>
      <c r="C71" s="28"/>
      <c r="D71" s="35"/>
      <c r="E71" s="9"/>
      <c r="F71" s="24"/>
      <c r="G71" s="51"/>
      <c r="H71" s="10"/>
      <c r="I71" s="28"/>
      <c r="J71" s="35"/>
      <c r="K71" s="10"/>
      <c r="L71" s="24"/>
      <c r="M71" s="51"/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56" t="s">
        <v>185</v>
      </c>
    </row>
    <row r="6" spans="2:12" x14ac:dyDescent="0.25">
      <c r="B6" s="56" t="s">
        <v>184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184</v>
      </c>
      <c r="D8" s="61" t="str">
        <f ca="1">IF(AND(NOW(),isBumpedEUROISLoaded),_xll.meCurveCalibrateSwap(D13,D14,D15,C22:D31,C38:D43,F38:G43,I39:J43,C93:D111,F94:H111,C51:D64,F52:G64,I52:J64,C72:D85,F73:J85,,),"Error Building Swap Curve")</f>
        <v>EURYC_BUMPED STD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1" t="s">
        <v>134</v>
      </c>
      <c r="D9" s="112" t="b">
        <f ca="1">MID(D8,14,3)="STD"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79</v>
      </c>
      <c r="D13" s="107" t="s">
        <v>179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78</v>
      </c>
      <c r="D14" s="108" t="s">
        <v>81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80</v>
      </c>
      <c r="D15" s="109" t="s">
        <v>82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62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62</v>
      </c>
      <c r="D21" s="47"/>
      <c r="E21" s="7"/>
      <c r="F21" s="50" t="s">
        <v>72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73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74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23</v>
      </c>
      <c r="D24" s="110" t="str">
        <f>InterpolationLabelForCurves</f>
        <v>fn_SplineInterpolation</v>
      </c>
      <c r="E24" s="7"/>
      <c r="F24" s="17" t="s">
        <v>75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84</v>
      </c>
      <c r="D25" s="108" t="b">
        <v>1</v>
      </c>
      <c r="E25" s="7"/>
      <c r="F25" s="17" t="s">
        <v>76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83</v>
      </c>
      <c r="D26" s="108" t="b">
        <v>0</v>
      </c>
      <c r="E26" s="7"/>
      <c r="F26" s="17" t="s">
        <v>77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26</v>
      </c>
      <c r="D27" s="108" t="s">
        <v>120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85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86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87</v>
      </c>
      <c r="D37" s="10"/>
      <c r="E37" s="10"/>
      <c r="F37" s="49" t="s">
        <v>94</v>
      </c>
      <c r="G37" s="10"/>
      <c r="H37" s="10"/>
      <c r="I37" s="49" t="s">
        <v>127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88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95</v>
      </c>
      <c r="J39" s="75">
        <f>FixingFromEUR6MLCurve+IF(BumpSTD,Bump,0)</f>
        <v>-1.41E-3</v>
      </c>
      <c r="K39" s="78"/>
      <c r="L39" s="55"/>
    </row>
    <row r="40" spans="2:12" x14ac:dyDescent="0.25">
      <c r="B40" s="5"/>
      <c r="C40" s="28" t="s">
        <v>89</v>
      </c>
      <c r="D40" s="35" t="s">
        <v>90</v>
      </c>
      <c r="E40" s="9"/>
      <c r="F40" s="29" t="s">
        <v>26</v>
      </c>
      <c r="G40" s="35" t="s">
        <v>91</v>
      </c>
      <c r="H40" s="10"/>
      <c r="I40" s="72"/>
      <c r="J40" s="76"/>
      <c r="K40" s="78"/>
      <c r="L40" s="55"/>
    </row>
    <row r="41" spans="2:12" x14ac:dyDescent="0.25">
      <c r="B41" s="5"/>
      <c r="C41" s="28"/>
      <c r="D41" s="35"/>
      <c r="E41" s="9"/>
      <c r="F41" s="29" t="s">
        <v>92</v>
      </c>
      <c r="G41" s="69">
        <v>2</v>
      </c>
      <c r="H41" s="10"/>
      <c r="I41" s="72"/>
      <c r="J41" s="76"/>
      <c r="K41" s="78"/>
      <c r="L41" s="55"/>
    </row>
    <row r="42" spans="2:12" x14ac:dyDescent="0.25">
      <c r="B42" s="5"/>
      <c r="C42" s="28"/>
      <c r="D42" s="35"/>
      <c r="E42" s="9"/>
      <c r="F42" s="29" t="s">
        <v>20</v>
      </c>
      <c r="G42" s="69" t="s">
        <v>21</v>
      </c>
      <c r="H42" s="10"/>
      <c r="I42" s="72"/>
      <c r="J42" s="76"/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132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96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97</v>
      </c>
      <c r="D50" s="10"/>
      <c r="E50" s="10"/>
      <c r="F50" s="49" t="s">
        <v>128</v>
      </c>
      <c r="G50" s="10"/>
      <c r="H50" s="10"/>
      <c r="I50" s="49" t="s">
        <v>129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88</v>
      </c>
      <c r="D52" s="35" t="s">
        <v>6</v>
      </c>
      <c r="E52" s="9"/>
      <c r="F52" s="71"/>
      <c r="G52" s="75"/>
      <c r="H52" s="10"/>
      <c r="I52" s="71" t="s">
        <v>101</v>
      </c>
      <c r="J52" s="75">
        <f>'EUR SWAP 6ML'!J52+IF(BumpSTD,Bump,0)</f>
        <v>-1.3900000000000002E-3</v>
      </c>
      <c r="K52" s="78"/>
      <c r="L52" s="55"/>
    </row>
    <row r="53" spans="2:12" x14ac:dyDescent="0.25">
      <c r="B53" s="5"/>
      <c r="C53" s="28" t="s">
        <v>98</v>
      </c>
      <c r="D53" s="35">
        <v>2</v>
      </c>
      <c r="E53" s="9"/>
      <c r="F53" s="72"/>
      <c r="G53" s="76"/>
      <c r="H53" s="10"/>
      <c r="I53" s="72" t="s">
        <v>102</v>
      </c>
      <c r="J53" s="76">
        <f>'EUR SWAP 6ML'!J53+IF(BumpSTD,Bump,0)</f>
        <v>-1.3900000000000002E-3</v>
      </c>
      <c r="K53" s="78"/>
      <c r="L53" s="55"/>
    </row>
    <row r="54" spans="2:12" x14ac:dyDescent="0.25">
      <c r="B54" s="5"/>
      <c r="C54" s="28" t="s">
        <v>20</v>
      </c>
      <c r="D54" s="68" t="s">
        <v>21</v>
      </c>
      <c r="E54" s="9"/>
      <c r="F54" s="72"/>
      <c r="G54" s="76"/>
      <c r="H54" s="10"/>
      <c r="I54" s="72" t="s">
        <v>103</v>
      </c>
      <c r="J54" s="76">
        <f>'EUR SWAP 6ML'!J54+IF(BumpSTD,Bump,0)</f>
        <v>-1.4300000000000001E-3</v>
      </c>
      <c r="K54" s="78"/>
      <c r="L54" s="55"/>
    </row>
    <row r="55" spans="2:12" x14ac:dyDescent="0.25">
      <c r="B55" s="5"/>
      <c r="C55" s="28" t="s">
        <v>93</v>
      </c>
      <c r="D55" s="35" t="b">
        <v>1</v>
      </c>
      <c r="E55" s="9"/>
      <c r="F55" s="72"/>
      <c r="G55" s="76"/>
      <c r="H55" s="10"/>
      <c r="I55" s="72" t="s">
        <v>104</v>
      </c>
      <c r="J55" s="76">
        <f>'EUR SWAP 6ML'!J55+IF(BumpSTD,Bump,0)</f>
        <v>-1.4900000000000002E-3</v>
      </c>
      <c r="K55" s="78"/>
      <c r="L55" s="55"/>
    </row>
    <row r="56" spans="2:12" x14ac:dyDescent="0.25">
      <c r="B56" s="5"/>
      <c r="C56" s="28" t="s">
        <v>218</v>
      </c>
      <c r="D56" s="35">
        <v>31</v>
      </c>
      <c r="E56" s="9"/>
      <c r="F56" s="72"/>
      <c r="G56" s="76"/>
      <c r="H56" s="10"/>
      <c r="I56" s="72" t="s">
        <v>105</v>
      </c>
      <c r="J56" s="76">
        <f>'EUR SWAP 6ML'!J56+IF(BumpSTD,Bump,0)</f>
        <v>-1.5399999999999999E-3</v>
      </c>
      <c r="K56" s="78"/>
      <c r="L56" s="55"/>
    </row>
    <row r="57" spans="2:12" x14ac:dyDescent="0.25">
      <c r="B57" s="5"/>
      <c r="C57" s="28" t="s">
        <v>99</v>
      </c>
      <c r="D57" s="35" t="b">
        <v>1</v>
      </c>
      <c r="E57" s="9"/>
      <c r="F57" s="72"/>
      <c r="G57" s="76"/>
      <c r="H57" s="10"/>
      <c r="I57" s="72" t="s">
        <v>106</v>
      </c>
      <c r="J57" s="76">
        <f>'EUR SWAP 6ML'!J57+IF(BumpSTD,Bump,0)</f>
        <v>-1.5399999999999999E-3</v>
      </c>
      <c r="K57" s="78"/>
      <c r="L57" s="55"/>
    </row>
    <row r="58" spans="2:12" x14ac:dyDescent="0.25">
      <c r="B58" s="5"/>
      <c r="C58" s="28" t="s">
        <v>100</v>
      </c>
      <c r="D58" s="35">
        <v>2</v>
      </c>
      <c r="E58" s="9"/>
      <c r="F58" s="72"/>
      <c r="G58" s="76"/>
      <c r="H58" s="10"/>
      <c r="I58" s="72" t="s">
        <v>107</v>
      </c>
      <c r="J58" s="76">
        <f>'EUR SWAP 6ML'!J58+IF(BumpSTD,Bump,0)</f>
        <v>-1.56E-3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108</v>
      </c>
      <c r="J59" s="76">
        <f>'EUR SWAP 6ML'!J59+IF(BumpSTD,Bump,0)</f>
        <v>-1.57E-3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109</v>
      </c>
      <c r="J60" s="76">
        <f>'EUR SWAP 6ML'!J60+IF(BumpSTD,Bump,0)</f>
        <v>-1.56E-3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110</v>
      </c>
      <c r="J61" s="76">
        <f>'EUR SWAP 6ML'!J61+IF(BumpSTD,Bump,0)</f>
        <v>-1.5299999999999999E-3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111</v>
      </c>
      <c r="J62" s="76">
        <f>'EUR SWAP 6ML'!J62+IF(BumpSTD,Bump,0)</f>
        <v>-1.5099999999999998E-3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112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113</v>
      </c>
      <c r="D71" s="10"/>
      <c r="E71" s="10"/>
      <c r="F71" s="49" t="s">
        <v>115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130</v>
      </c>
      <c r="G72" s="97" t="s">
        <v>13</v>
      </c>
      <c r="H72" s="97" t="s">
        <v>14</v>
      </c>
      <c r="I72" s="97" t="s">
        <v>12</v>
      </c>
      <c r="J72" s="97" t="s">
        <v>114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116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117</v>
      </c>
      <c r="D92" s="10"/>
      <c r="E92" s="10"/>
      <c r="F92" s="49" t="s">
        <v>118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88</v>
      </c>
      <c r="D94" s="35" t="s">
        <v>19</v>
      </c>
      <c r="E94" s="9"/>
      <c r="F94" s="101" t="s">
        <v>39</v>
      </c>
      <c r="G94" s="98">
        <f>'EUR SWAP 6ML'!G94+IF(BumpSTD,Bump,0)</f>
        <v>-1.4300000000000001E-3</v>
      </c>
      <c r="H94" s="75" t="b">
        <v>1</v>
      </c>
      <c r="I94" s="169"/>
      <c r="J94" s="10"/>
      <c r="K94" s="10"/>
      <c r="L94" s="55"/>
    </row>
    <row r="95" spans="2:12" x14ac:dyDescent="0.25">
      <c r="B95" s="5"/>
      <c r="C95" s="103" t="s">
        <v>119</v>
      </c>
      <c r="D95" s="35" t="s">
        <v>6</v>
      </c>
      <c r="E95" s="9"/>
      <c r="F95" s="24" t="s">
        <v>37</v>
      </c>
      <c r="G95" s="99">
        <f>'EUR SWAP 6ML'!G95+IF(BumpSTD,Bump,0)</f>
        <v>-9.6999999999999994E-4</v>
      </c>
      <c r="H95" s="76" t="b">
        <v>1</v>
      </c>
      <c r="I95" s="169"/>
      <c r="J95" s="10"/>
      <c r="K95" s="10"/>
      <c r="L95" s="55"/>
    </row>
    <row r="96" spans="2:12" x14ac:dyDescent="0.25">
      <c r="B96" s="5"/>
      <c r="C96" s="103" t="s">
        <v>26</v>
      </c>
      <c r="D96" s="35" t="s">
        <v>25</v>
      </c>
      <c r="E96" s="9"/>
      <c r="F96" s="24" t="s">
        <v>42</v>
      </c>
      <c r="G96" s="99">
        <f>'EUR SWAP 6ML'!G96+IF(BumpSTD,Bump,0)</f>
        <v>-1.8000000000000001E-4</v>
      </c>
      <c r="H96" s="76" t="b">
        <v>1</v>
      </c>
      <c r="I96" s="169"/>
      <c r="J96" s="10"/>
      <c r="K96" s="10"/>
      <c r="L96" s="55"/>
    </row>
    <row r="97" spans="2:12" x14ac:dyDescent="0.25">
      <c r="B97" s="5"/>
      <c r="C97" s="103" t="s">
        <v>121</v>
      </c>
      <c r="D97" s="35" t="s">
        <v>120</v>
      </c>
      <c r="E97" s="9"/>
      <c r="F97" s="24" t="s">
        <v>44</v>
      </c>
      <c r="G97" s="99">
        <f>'EUR SWAP 6ML'!G97+IF(BumpSTD,Bump,0)</f>
        <v>8.299999999999999E-4</v>
      </c>
      <c r="H97" s="76" t="b">
        <v>1</v>
      </c>
      <c r="I97" s="169"/>
      <c r="J97" s="10"/>
      <c r="K97" s="10"/>
      <c r="L97" s="55"/>
    </row>
    <row r="98" spans="2:12" x14ac:dyDescent="0.25">
      <c r="B98" s="5"/>
      <c r="C98" s="103" t="s">
        <v>122</v>
      </c>
      <c r="D98" s="110" t="str">
        <f>InterpolationLabelForCurves</f>
        <v>fn_SplineInterpolation</v>
      </c>
      <c r="E98" s="9"/>
      <c r="F98" s="24" t="s">
        <v>46</v>
      </c>
      <c r="G98" s="99">
        <f>'EUR SWAP 6ML'!G98+IF(BumpSTD,Bump,0)</f>
        <v>1.92E-3</v>
      </c>
      <c r="H98" s="76" t="b">
        <v>1</v>
      </c>
      <c r="I98" s="169"/>
      <c r="J98" s="10"/>
      <c r="K98" s="10"/>
      <c r="L98" s="55"/>
    </row>
    <row r="99" spans="2:12" x14ac:dyDescent="0.25">
      <c r="B99" s="5"/>
      <c r="C99" s="103" t="s">
        <v>93</v>
      </c>
      <c r="D99" s="35" t="b">
        <v>1</v>
      </c>
      <c r="E99" s="9"/>
      <c r="F99" s="24" t="s">
        <v>48</v>
      </c>
      <c r="G99" s="99">
        <f>'EUR SWAP 6ML'!G99+IF(BumpSTD,Bump,0)</f>
        <v>3.1100000000000004E-3</v>
      </c>
      <c r="H99" s="76" t="b">
        <v>1</v>
      </c>
      <c r="I99" s="169"/>
      <c r="J99" s="10"/>
      <c r="K99" s="10"/>
      <c r="L99" s="55"/>
    </row>
    <row r="100" spans="2:12" x14ac:dyDescent="0.25">
      <c r="B100" s="5"/>
      <c r="C100" s="103" t="s">
        <v>218</v>
      </c>
      <c r="D100" s="35">
        <v>31</v>
      </c>
      <c r="E100" s="9"/>
      <c r="F100" s="24" t="s">
        <v>50</v>
      </c>
      <c r="G100" s="99">
        <f>'EUR SWAP 6ML'!G100+IF(BumpSTD,Bump,0)</f>
        <v>4.3400000000000001E-3</v>
      </c>
      <c r="H100" s="76" t="b">
        <v>1</v>
      </c>
      <c r="I100" s="169"/>
      <c r="J100" s="10"/>
      <c r="K100" s="10"/>
      <c r="L100" s="55"/>
    </row>
    <row r="101" spans="2:12" x14ac:dyDescent="0.25">
      <c r="B101" s="5"/>
      <c r="C101" s="103" t="s">
        <v>92</v>
      </c>
      <c r="D101" s="35">
        <v>2</v>
      </c>
      <c r="E101" s="9"/>
      <c r="F101" s="24" t="s">
        <v>52</v>
      </c>
      <c r="G101" s="99">
        <f>'EUR SWAP 6ML'!G101+IF(BumpSTD,Bump,0)</f>
        <v>5.5100000000000001E-3</v>
      </c>
      <c r="H101" s="76" t="b">
        <v>1</v>
      </c>
      <c r="I101" s="169"/>
      <c r="J101" s="10"/>
      <c r="K101" s="10"/>
      <c r="L101" s="55"/>
    </row>
    <row r="102" spans="2:12" x14ac:dyDescent="0.25">
      <c r="B102" s="5"/>
      <c r="C102" s="103" t="s">
        <v>20</v>
      </c>
      <c r="D102" s="68" t="s">
        <v>21</v>
      </c>
      <c r="E102" s="9"/>
      <c r="F102" s="24" t="s">
        <v>53</v>
      </c>
      <c r="G102" s="99">
        <f>'EUR SWAP 6ML'!G102+IF(BumpSTD,Bump,0)</f>
        <v>6.5700000000000003E-3</v>
      </c>
      <c r="H102" s="76" t="b">
        <v>1</v>
      </c>
      <c r="I102" s="169"/>
      <c r="J102" s="10"/>
      <c r="K102" s="10"/>
      <c r="L102" s="55"/>
    </row>
    <row r="103" spans="2:12" x14ac:dyDescent="0.25">
      <c r="B103" s="5"/>
      <c r="C103" s="103" t="s">
        <v>123</v>
      </c>
      <c r="D103" s="35" t="b">
        <v>1</v>
      </c>
      <c r="E103" s="9"/>
      <c r="F103" s="24" t="s">
        <v>54</v>
      </c>
      <c r="G103" s="99">
        <f>'EUR SWAP 6ML'!G103+IF(BumpSTD,Bump,0)</f>
        <v>7.5300000000000002E-3</v>
      </c>
      <c r="H103" s="76" t="b">
        <v>1</v>
      </c>
      <c r="I103" s="169"/>
      <c r="J103" s="10"/>
      <c r="K103" s="10"/>
      <c r="L103" s="55"/>
    </row>
    <row r="104" spans="2:12" x14ac:dyDescent="0.25">
      <c r="B104" s="5"/>
      <c r="C104" s="103" t="s">
        <v>124</v>
      </c>
      <c r="D104" s="35" t="b">
        <v>1</v>
      </c>
      <c r="E104" s="9"/>
      <c r="F104" s="24" t="s">
        <v>55</v>
      </c>
      <c r="G104" s="99">
        <f>'EUR SWAP 6ML'!G104+IF(BumpSTD,Bump,0)</f>
        <v>8.3700000000000007E-3</v>
      </c>
      <c r="H104" s="76" t="b">
        <v>1</v>
      </c>
      <c r="I104" s="169"/>
      <c r="J104" s="10"/>
      <c r="K104" s="10"/>
      <c r="L104" s="55"/>
    </row>
    <row r="105" spans="2:12" x14ac:dyDescent="0.25">
      <c r="B105" s="5"/>
      <c r="C105" s="103" t="s">
        <v>125</v>
      </c>
      <c r="D105" s="38">
        <v>1.0000000000000001E-9</v>
      </c>
      <c r="E105" s="9"/>
      <c r="F105" s="24" t="s">
        <v>56</v>
      </c>
      <c r="G105" s="99">
        <f>'EUR SWAP 6ML'!G105+IF(BumpSTD,Bump,0)</f>
        <v>1.0200000000000001E-2</v>
      </c>
      <c r="H105" s="76" t="b">
        <v>1</v>
      </c>
      <c r="I105" s="169"/>
      <c r="J105" s="10"/>
      <c r="K105" s="10"/>
      <c r="L105" s="55"/>
    </row>
    <row r="106" spans="2:12" x14ac:dyDescent="0.25">
      <c r="B106" s="5"/>
      <c r="C106" s="103" t="s">
        <v>126</v>
      </c>
      <c r="D106" s="106">
        <v>1000</v>
      </c>
      <c r="E106" s="9"/>
      <c r="F106" s="24" t="s">
        <v>57</v>
      </c>
      <c r="G106" s="99">
        <f>'EUR SWAP 6ML'!G106+IF(BumpSTD,Bump,0)</f>
        <v>1.1559999999999999E-2</v>
      </c>
      <c r="H106" s="76" t="b">
        <v>1</v>
      </c>
      <c r="I106" s="169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58</v>
      </c>
      <c r="G107" s="99">
        <f>'EUR SWAP 6ML'!G107+IF(BumpSTD,Bump,0)</f>
        <v>1.191E-2</v>
      </c>
      <c r="H107" s="76" t="b">
        <v>1</v>
      </c>
      <c r="I107" s="169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59</v>
      </c>
      <c r="G108" s="99">
        <f>'EUR SWAP 6ML'!G108+IF(BumpSTD,Bump,0)</f>
        <v>1.1940000000000001E-2</v>
      </c>
      <c r="H108" s="76" t="b">
        <v>1</v>
      </c>
      <c r="I108" s="169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60</v>
      </c>
      <c r="G109" s="99">
        <f>'EUR SWAP 6ML'!G109+IF(BumpSTD,Bump,0)</f>
        <v>1.176E-2</v>
      </c>
      <c r="H109" s="76" t="b">
        <v>1</v>
      </c>
      <c r="I109" s="169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61</v>
      </c>
      <c r="G110" s="99">
        <f>'EUR SWAP 6ML'!G110+IF(BumpSTD,Bump,0)</f>
        <v>1.1100000000000002E-2</v>
      </c>
      <c r="H110" s="76" t="b">
        <v>1</v>
      </c>
      <c r="I110" s="169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2 D75">
      <formula1>"FOLLOWING,MOD_FOLLOWING,PRECEDING,MOD_PRECEEDING,NO_CHANGE"</formula1>
    </dataValidation>
    <dataValidation type="list" allowBlank="1" showInputMessage="1" showErrorMessage="1" sqref="D98 D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:BH104"/>
  <sheetViews>
    <sheetView showGridLines="0" tabSelected="1" zoomScaleNormal="100" workbookViewId="0"/>
  </sheetViews>
  <sheetFormatPr defaultRowHeight="15" outlineLevelCol="1" x14ac:dyDescent="0.25"/>
  <cols>
    <col min="1" max="1" width="3.7109375" style="201" customWidth="1"/>
    <col min="2" max="2" width="16" bestFit="1" customWidth="1"/>
    <col min="3" max="3" width="13.5703125" style="216" bestFit="1" customWidth="1"/>
    <col min="4" max="4" width="13.85546875" customWidth="1"/>
    <col min="5" max="5" width="14.42578125" customWidth="1"/>
    <col min="6" max="6" width="9.42578125" customWidth="1"/>
    <col min="7" max="7" width="13.5703125" bestFit="1" customWidth="1"/>
    <col min="8" max="8" width="15.42578125" style="181" customWidth="1"/>
    <col min="9" max="9" width="11.5703125" customWidth="1"/>
    <col min="10" max="10" width="11.5703125" style="116" customWidth="1"/>
    <col min="11" max="11" width="11.5703125" style="192" customWidth="1"/>
    <col min="12" max="12" width="11.42578125" customWidth="1"/>
    <col min="13" max="13" width="17.5703125" hidden="1" customWidth="1" outlineLevel="1"/>
    <col min="14" max="14" width="12.7109375" hidden="1" customWidth="1" outlineLevel="1"/>
    <col min="15" max="15" width="11.5703125" hidden="1" customWidth="1" outlineLevel="1"/>
    <col min="16" max="16" width="13.42578125" hidden="1" customWidth="1" outlineLevel="1"/>
    <col min="17" max="17" width="9.140625" hidden="1" customWidth="1" outlineLevel="1"/>
    <col min="18" max="18" width="17.42578125" hidden="1" customWidth="1" outlineLevel="1"/>
    <col min="19" max="19" width="8.5703125" hidden="1" customWidth="1" outlineLevel="1"/>
    <col min="20" max="20" width="9.7109375" style="184" hidden="1" customWidth="1" outlineLevel="1"/>
    <col min="21" max="21" width="9.28515625" style="184" hidden="1" customWidth="1" outlineLevel="1"/>
    <col min="22" max="22" width="8.7109375" hidden="1" customWidth="1" outlineLevel="1"/>
    <col min="23" max="23" width="9" hidden="1" customWidth="1" outlineLevel="1"/>
    <col min="24" max="24" width="9.85546875" hidden="1" customWidth="1" outlineLevel="1"/>
    <col min="25" max="25" width="16.5703125" hidden="1" customWidth="1" outlineLevel="1"/>
    <col min="26" max="26" width="14.85546875" style="175" hidden="1" customWidth="1" outlineLevel="1"/>
    <col min="27" max="27" width="10.7109375" hidden="1" customWidth="1" outlineLevel="1"/>
    <col min="28" max="28" width="19.7109375" hidden="1" customWidth="1" outlineLevel="1"/>
    <col min="29" max="29" width="8.140625" hidden="1" customWidth="1" outlineLevel="1"/>
    <col min="30" max="30" width="9.28515625" style="184" hidden="1" customWidth="1" outlineLevel="1"/>
    <col min="31" max="31" width="9.140625" style="184" hidden="1" customWidth="1" outlineLevel="1"/>
    <col min="32" max="32" width="9.140625" hidden="1" customWidth="1" outlineLevel="1"/>
    <col min="33" max="33" width="14.28515625" hidden="1" customWidth="1" outlineLevel="1"/>
    <col min="34" max="34" width="16.5703125" hidden="1" customWidth="1" outlineLevel="1"/>
    <col min="35" max="35" width="15.28515625" hidden="1" customWidth="1" outlineLevel="1"/>
    <col min="36" max="36" width="9.140625" hidden="1" customWidth="1" outlineLevel="1"/>
    <col min="37" max="37" width="14.140625" hidden="1" customWidth="1" outlineLevel="1"/>
    <col min="38" max="38" width="17.7109375" hidden="1" customWidth="1" outlineLevel="1"/>
    <col min="39" max="39" width="16.140625" hidden="1" customWidth="1" outlineLevel="1"/>
    <col min="40" max="40" width="19.42578125" hidden="1" customWidth="1" outlineLevel="1"/>
    <col min="41" max="41" width="10.7109375" style="192" customWidth="1" collapsed="1"/>
    <col min="42" max="42" width="10.7109375" customWidth="1"/>
    <col min="43" max="43" width="9.140625" customWidth="1"/>
    <col min="44" max="45" width="10.7109375" style="216" customWidth="1"/>
    <col min="46" max="46" width="8.7109375" style="167" customWidth="1"/>
    <col min="47" max="47" width="8.7109375" customWidth="1"/>
    <col min="48" max="48" width="8.7109375" style="200" customWidth="1"/>
    <col min="49" max="49" width="10.5703125" hidden="1" customWidth="1"/>
    <col min="50" max="50" width="9.140625" hidden="1" customWidth="1"/>
    <col min="51" max="51" width="10.85546875" hidden="1" customWidth="1"/>
    <col min="52" max="52" width="13.85546875" hidden="1" customWidth="1"/>
    <col min="53" max="53" width="0" hidden="1" customWidth="1"/>
    <col min="54" max="56" width="13.85546875" hidden="1" customWidth="1"/>
    <col min="57" max="57" width="0" hidden="1" customWidth="1"/>
    <col min="60" max="60" width="21.5703125" bestFit="1" customWidth="1"/>
  </cols>
  <sheetData>
    <row r="1" spans="1:53" ht="23.25" x14ac:dyDescent="0.35">
      <c r="A1" s="114"/>
      <c r="B1" s="115" t="s">
        <v>170</v>
      </c>
      <c r="C1"/>
      <c r="G1" s="216"/>
    </row>
    <row r="2" spans="1:53" ht="15" customHeight="1" x14ac:dyDescent="0.25">
      <c r="A2" s="114"/>
      <c r="B2" s="232" t="s">
        <v>172</v>
      </c>
      <c r="C2" s="233" t="s">
        <v>171</v>
      </c>
      <c r="D2" s="233" t="s">
        <v>135</v>
      </c>
      <c r="E2" s="233" t="s">
        <v>16</v>
      </c>
      <c r="F2" s="234" t="s">
        <v>165</v>
      </c>
      <c r="G2" s="233" t="s">
        <v>176</v>
      </c>
      <c r="H2" s="256" t="s">
        <v>153</v>
      </c>
      <c r="I2" s="234" t="s">
        <v>169</v>
      </c>
      <c r="J2" s="252" t="s">
        <v>166</v>
      </c>
      <c r="AP2" t="s">
        <v>178</v>
      </c>
      <c r="AU2" s="167"/>
      <c r="AV2" s="167"/>
    </row>
    <row r="3" spans="1:53" ht="15" customHeight="1" x14ac:dyDescent="0.25">
      <c r="A3" s="114"/>
      <c r="B3" s="246" t="s">
        <v>167</v>
      </c>
      <c r="C3" s="251" t="s">
        <v>145</v>
      </c>
      <c r="D3" s="247">
        <v>1000000</v>
      </c>
      <c r="E3" s="235" t="s">
        <v>167</v>
      </c>
      <c r="F3" s="236" t="s">
        <v>152</v>
      </c>
      <c r="G3" s="235" t="s">
        <v>131</v>
      </c>
      <c r="H3" s="236">
        <v>0.05</v>
      </c>
      <c r="I3" s="235" t="s">
        <v>167</v>
      </c>
      <c r="J3" s="253">
        <v>10</v>
      </c>
      <c r="AQ3" s="192"/>
      <c r="AR3" s="192"/>
      <c r="AS3" s="192"/>
      <c r="AT3" s="192"/>
      <c r="AU3" s="192"/>
      <c r="AV3" s="192"/>
    </row>
    <row r="4" spans="1:53" ht="15" customHeight="1" x14ac:dyDescent="0.25">
      <c r="E4" s="172"/>
      <c r="M4" s="161"/>
      <c r="AP4" s="192"/>
      <c r="AQ4" s="192"/>
      <c r="AR4" s="192"/>
      <c r="AS4" s="285" t="s">
        <v>215</v>
      </c>
      <c r="AT4" s="192"/>
      <c r="AU4" s="192"/>
      <c r="AV4" s="192"/>
    </row>
    <row r="5" spans="1:53" ht="30.75" customHeight="1" x14ac:dyDescent="0.25">
      <c r="B5" s="117" t="s">
        <v>214</v>
      </c>
      <c r="C5" s="219" t="s">
        <v>186</v>
      </c>
      <c r="D5" s="118" t="s">
        <v>135</v>
      </c>
      <c r="E5" s="118" t="s">
        <v>187</v>
      </c>
      <c r="F5" s="118" t="s">
        <v>138</v>
      </c>
      <c r="G5" s="118" t="s">
        <v>16</v>
      </c>
      <c r="H5" s="182" t="s">
        <v>188</v>
      </c>
      <c r="I5" s="118" t="s">
        <v>139</v>
      </c>
      <c r="J5" s="254" t="s">
        <v>190</v>
      </c>
      <c r="K5" s="262" t="s">
        <v>140</v>
      </c>
      <c r="L5" s="118" t="s">
        <v>141</v>
      </c>
      <c r="M5" s="118" t="s">
        <v>208</v>
      </c>
      <c r="N5" s="118" t="s">
        <v>188</v>
      </c>
      <c r="O5" s="118" t="s">
        <v>190</v>
      </c>
      <c r="P5" s="118" t="s">
        <v>191</v>
      </c>
      <c r="Q5" s="118" t="s">
        <v>192</v>
      </c>
      <c r="R5" s="118" t="s">
        <v>193</v>
      </c>
      <c r="S5" s="118" t="s">
        <v>194</v>
      </c>
      <c r="T5" s="185" t="s">
        <v>195</v>
      </c>
      <c r="U5" s="185" t="s">
        <v>196</v>
      </c>
      <c r="V5" s="118" t="s">
        <v>197</v>
      </c>
      <c r="W5" s="118" t="s">
        <v>198</v>
      </c>
      <c r="X5" s="118" t="s">
        <v>199</v>
      </c>
      <c r="Y5" s="118" t="s">
        <v>189</v>
      </c>
      <c r="Z5" s="176" t="s">
        <v>200</v>
      </c>
      <c r="AA5" s="118" t="s">
        <v>201</v>
      </c>
      <c r="AB5" s="118" t="s">
        <v>202</v>
      </c>
      <c r="AC5" s="118" t="s">
        <v>203</v>
      </c>
      <c r="AD5" s="185" t="s">
        <v>204</v>
      </c>
      <c r="AE5" s="185" t="s">
        <v>205</v>
      </c>
      <c r="AF5" s="118" t="s">
        <v>206</v>
      </c>
      <c r="AG5" s="118" t="s">
        <v>207</v>
      </c>
      <c r="AH5" s="118" t="s">
        <v>209</v>
      </c>
      <c r="AI5" s="118" t="s">
        <v>210</v>
      </c>
      <c r="AJ5" s="118" t="s">
        <v>211</v>
      </c>
      <c r="AK5" s="118" t="s">
        <v>212</v>
      </c>
      <c r="AL5" s="118" t="s">
        <v>79</v>
      </c>
      <c r="AM5" s="118" t="s">
        <v>213</v>
      </c>
      <c r="AN5" s="118" t="s">
        <v>122</v>
      </c>
      <c r="AO5" s="193" t="s">
        <v>142</v>
      </c>
      <c r="AP5" s="119" t="s">
        <v>143</v>
      </c>
      <c r="AQ5" s="119" t="s">
        <v>144</v>
      </c>
      <c r="AR5" s="243" t="s">
        <v>149</v>
      </c>
      <c r="AS5" s="243" t="s">
        <v>151</v>
      </c>
      <c r="AT5" s="243" t="s">
        <v>168</v>
      </c>
      <c r="AU5" s="191" t="s">
        <v>150</v>
      </c>
      <c r="AV5" s="273" t="s">
        <v>160</v>
      </c>
      <c r="AW5" s="203" t="s">
        <v>177</v>
      </c>
      <c r="AX5" s="269"/>
      <c r="AY5" s="116"/>
      <c r="AZ5" s="116"/>
      <c r="BA5" s="116"/>
    </row>
    <row r="6" spans="1:53" x14ac:dyDescent="0.25">
      <c r="A6" s="202">
        <v>1</v>
      </c>
      <c r="B6" s="121">
        <f ca="1">IF(OR(D6="",D6=0),"",_xll.meDateFromTenor(COB,F6,$R6,$S6))</f>
        <v>42423</v>
      </c>
      <c r="C6" s="268" t="s">
        <v>131</v>
      </c>
      <c r="D6" s="237">
        <f ca="1">Notional</f>
        <v>1000000</v>
      </c>
      <c r="E6" s="240" t="str">
        <f t="shared" ref="E6:E25" ca="1" si="0">PayRec</f>
        <v>RECEIVER</v>
      </c>
      <c r="F6" s="248" t="str">
        <f t="shared" ref="F6:F25" ca="1" si="1">EffectiveLag</f>
        <v>2D</v>
      </c>
      <c r="G6" s="122" t="s">
        <v>17</v>
      </c>
      <c r="H6" s="197">
        <f t="shared" ref="H6:H25" ca="1" si="2">Rate</f>
        <v>0.05</v>
      </c>
      <c r="I6" s="123" t="s">
        <v>146</v>
      </c>
      <c r="J6" s="255">
        <f t="shared" ref="J6:J25" ca="1" si="3">Spread</f>
        <v>10</v>
      </c>
      <c r="K6" s="263">
        <f t="shared" ref="K6:K25" ca="1" si="4">FixingFromEUR6MLCurve</f>
        <v>-1.31E-3</v>
      </c>
      <c r="L6" s="124" t="s">
        <v>147</v>
      </c>
      <c r="M6" s="128">
        <f t="shared" ref="M6:M25" ca="1" si="5">M29</f>
        <v>42419</v>
      </c>
      <c r="N6" s="125">
        <f t="shared" ref="N6:AK6" ca="1" si="6">N29</f>
        <v>0.05</v>
      </c>
      <c r="O6" s="132">
        <f t="shared" ref="O6:O25" ca="1" si="7">O29</f>
        <v>0</v>
      </c>
      <c r="P6" s="126" t="str">
        <f t="shared" ca="1" si="6"/>
        <v>Annual</v>
      </c>
      <c r="Q6" s="127" t="str">
        <f t="shared" ca="1" si="6"/>
        <v>30/360</v>
      </c>
      <c r="R6" s="126" t="str">
        <f t="shared" ca="1" si="6"/>
        <v>MOD_FOLLOWING</v>
      </c>
      <c r="S6" s="126" t="str">
        <f t="shared" ca="1" si="6"/>
        <v>TGT</v>
      </c>
      <c r="T6" s="186">
        <f t="shared" ca="1" si="6"/>
        <v>0</v>
      </c>
      <c r="U6" s="186">
        <f t="shared" ca="1" si="6"/>
        <v>0</v>
      </c>
      <c r="V6" s="129">
        <f t="shared" ca="1" si="6"/>
        <v>23</v>
      </c>
      <c r="W6" s="130" t="str">
        <f t="shared" ca="1" si="6"/>
        <v>0D</v>
      </c>
      <c r="X6" s="127" t="str">
        <f t="shared" ca="1" si="6"/>
        <v>ShortStart</v>
      </c>
      <c r="Y6" s="131" t="str">
        <f t="shared" ca="1" si="6"/>
        <v>EUR6ML</v>
      </c>
      <c r="Z6" s="177" t="str">
        <f t="shared" ca="1" si="6"/>
        <v>Semi-Annual</v>
      </c>
      <c r="AA6" s="127" t="str">
        <f t="shared" ca="1" si="6"/>
        <v>ACT/360</v>
      </c>
      <c r="AB6" s="126" t="str">
        <f t="shared" ca="1" si="6"/>
        <v>MOD_FOLLOWING</v>
      </c>
      <c r="AC6" s="126" t="str">
        <f t="shared" ca="1" si="6"/>
        <v>TGT</v>
      </c>
      <c r="AD6" s="186">
        <f t="shared" ca="1" si="6"/>
        <v>0</v>
      </c>
      <c r="AE6" s="186">
        <f t="shared" ca="1" si="6"/>
        <v>0</v>
      </c>
      <c r="AF6" s="129">
        <f t="shared" ca="1" si="6"/>
        <v>23</v>
      </c>
      <c r="AG6" s="130" t="str">
        <f t="shared" ca="1" si="6"/>
        <v>0D</v>
      </c>
      <c r="AH6" s="133">
        <f t="shared" ca="1" si="6"/>
        <v>-1.31E-3</v>
      </c>
      <c r="AI6" s="134"/>
      <c r="AJ6" s="130" t="str">
        <f t="shared" ca="1" si="6"/>
        <v>0D</v>
      </c>
      <c r="AK6" s="127" t="str">
        <f t="shared" ca="1" si="6"/>
        <v>ShortStart</v>
      </c>
      <c r="AL6" s="128" t="s">
        <v>156</v>
      </c>
      <c r="AM6" s="131" t="str">
        <f ca="1">AM29</f>
        <v>EURDF_NOCSA</v>
      </c>
      <c r="AN6" s="131" t="str">
        <f t="shared" ref="AN6:AN25" ca="1" si="8">Interpolation</f>
        <v>Spline</v>
      </c>
      <c r="AO6" s="257">
        <f ca="1">AO29</f>
        <v>-1.3969484986246707E-3</v>
      </c>
      <c r="AP6" s="258">
        <f ca="1">AP29</f>
        <v>51592.020773859978</v>
      </c>
      <c r="AQ6" s="258">
        <f t="shared" ref="AQ6" ca="1" si="9">AQ29</f>
        <v>100.3795405776678</v>
      </c>
      <c r="AR6" s="258">
        <f ca="1">AP52-AP29</f>
        <v>56.599030998775561</v>
      </c>
      <c r="AS6" s="258">
        <f ca="1">IF(AND(NOW(),AQ6=AQ6),_xll.meProductSwapDV01(_xll.meUtilityLVBFromMultipleKeysValues($B$28:$E$28, B29:E29,,$N$28:$AN$28,N29:AN29),FALSE),"LOAD")</f>
        <v>105.63986105008291</v>
      </c>
      <c r="AT6" s="259" t="str">
        <f t="shared" ref="AT6:AT25" ca="1" si="10">C6</f>
        <v>1Y</v>
      </c>
      <c r="AU6" s="260">
        <f t="shared" ref="AU6" ca="1" si="11">AR6-AS6</f>
        <v>-49.040830051307353</v>
      </c>
      <c r="AV6" s="274">
        <f ca="1">IF(AS6=0,0,((AS6-AR6)/AS6))</f>
        <v>0.46422656716726968</v>
      </c>
      <c r="AW6" s="261">
        <v>0</v>
      </c>
      <c r="AX6" s="269"/>
      <c r="AY6" s="116"/>
      <c r="AZ6" s="116"/>
      <c r="BA6" s="116"/>
    </row>
    <row r="7" spans="1:53" x14ac:dyDescent="0.25">
      <c r="A7" s="202">
        <v>2</v>
      </c>
      <c r="B7" s="136">
        <f ca="1">IF(OR(D7="",D7=0),"",_xll.meDateFromTenor(COB,F7,$R7,$S7))</f>
        <v>42423</v>
      </c>
      <c r="C7" s="266" t="str">
        <f t="shared" ref="C7:C25" ca="1" si="12">LEFT(C6,LEN(C6)-1)+LEFT(TenorInterval,LEN(TenorInterval)-1)&amp;"Y"</f>
        <v>2Y</v>
      </c>
      <c r="D7" s="238">
        <f t="shared" ref="D7:D25" ca="1" si="13">Notional</f>
        <v>1000000</v>
      </c>
      <c r="E7" s="241" t="str">
        <f t="shared" ca="1" si="0"/>
        <v>RECEIVER</v>
      </c>
      <c r="F7" s="249" t="str">
        <f t="shared" ca="1" si="1"/>
        <v>2D</v>
      </c>
      <c r="G7" s="137" t="s">
        <v>17</v>
      </c>
      <c r="H7" s="198">
        <f t="shared" ca="1" si="2"/>
        <v>0.05</v>
      </c>
      <c r="I7" s="138" t="s">
        <v>146</v>
      </c>
      <c r="J7" s="238">
        <f t="shared" ca="1" si="3"/>
        <v>10</v>
      </c>
      <c r="K7" s="264">
        <f t="shared" ca="1" si="4"/>
        <v>-1.31E-3</v>
      </c>
      <c r="L7" s="139" t="s">
        <v>147</v>
      </c>
      <c r="M7" s="144">
        <f t="shared" ca="1" si="5"/>
        <v>42419</v>
      </c>
      <c r="N7" s="140">
        <f t="shared" ref="N7:AK7" ca="1" si="14">N30</f>
        <v>0.05</v>
      </c>
      <c r="O7" s="143">
        <f t="shared" ca="1" si="7"/>
        <v>0</v>
      </c>
      <c r="P7" s="113" t="str">
        <f t="shared" ca="1" si="14"/>
        <v>Annual</v>
      </c>
      <c r="Q7" s="113" t="str">
        <f t="shared" ca="1" si="14"/>
        <v>30/360</v>
      </c>
      <c r="R7" s="113" t="str">
        <f t="shared" ca="1" si="14"/>
        <v>MOD_FOLLOWING</v>
      </c>
      <c r="S7" s="113" t="str">
        <f t="shared" ca="1" si="14"/>
        <v>TGT</v>
      </c>
      <c r="T7" s="187">
        <f t="shared" ca="1" si="14"/>
        <v>0</v>
      </c>
      <c r="U7" s="187">
        <f t="shared" ca="1" si="14"/>
        <v>0</v>
      </c>
      <c r="V7" s="142">
        <f t="shared" ca="1" si="14"/>
        <v>23</v>
      </c>
      <c r="W7" s="141" t="str">
        <f t="shared" ca="1" si="14"/>
        <v>0D</v>
      </c>
      <c r="X7" s="141" t="str">
        <f t="shared" ca="1" si="14"/>
        <v>ShortStart</v>
      </c>
      <c r="Y7" s="142" t="str">
        <f t="shared" ca="1" si="14"/>
        <v>EUR6ML</v>
      </c>
      <c r="Z7" s="178" t="str">
        <f t="shared" ca="1" si="14"/>
        <v>Semi-Annual</v>
      </c>
      <c r="AA7" s="141" t="str">
        <f t="shared" ca="1" si="14"/>
        <v>ACT/360</v>
      </c>
      <c r="AB7" s="141" t="str">
        <f t="shared" ca="1" si="14"/>
        <v>MOD_FOLLOWING</v>
      </c>
      <c r="AC7" s="141" t="str">
        <f t="shared" ca="1" si="14"/>
        <v>TGT</v>
      </c>
      <c r="AD7" s="187">
        <f t="shared" ca="1" si="14"/>
        <v>0</v>
      </c>
      <c r="AE7" s="187">
        <f t="shared" ca="1" si="14"/>
        <v>0</v>
      </c>
      <c r="AF7" s="142">
        <f t="shared" ca="1" si="14"/>
        <v>23</v>
      </c>
      <c r="AG7" s="141" t="str">
        <f t="shared" ca="1" si="14"/>
        <v>0D</v>
      </c>
      <c r="AH7" s="145">
        <f t="shared" ca="1" si="14"/>
        <v>-1.31E-3</v>
      </c>
      <c r="AI7" s="146"/>
      <c r="AJ7" s="141" t="str">
        <f t="shared" ca="1" si="14"/>
        <v>0D</v>
      </c>
      <c r="AK7" s="141" t="str">
        <f t="shared" ca="1" si="14"/>
        <v>ShortStart</v>
      </c>
      <c r="AL7" s="142" t="s">
        <v>156</v>
      </c>
      <c r="AM7" s="142" t="str">
        <f t="shared" ref="AM7:AM25" ca="1" si="15">AM30</f>
        <v>EURDF_NOCSA</v>
      </c>
      <c r="AN7" s="142" t="str">
        <f t="shared" ca="1" si="8"/>
        <v>Spline</v>
      </c>
      <c r="AO7" s="194">
        <f t="shared" ref="AO7:AO25" ca="1" si="16">IF(VALUE(LEFT(AT7,LEN(AT7)-1))&lt;=50,AO30,NA())</f>
        <v>-1.3299999979429925E-3</v>
      </c>
      <c r="AP7" s="147">
        <f t="shared" ref="AP7:AP25" ca="1" si="17">IF(ISNA($AO7),NA(),AP30)</f>
        <v>103251.54527042959</v>
      </c>
      <c r="AQ7" s="147">
        <f t="shared" ref="AQ7:AQ25" ca="1" si="18">IF(ISNA($AO7),NA(),AQ30)</f>
        <v>201.15243575797254</v>
      </c>
      <c r="AR7" s="147">
        <f t="shared" ref="AR7:AR25" ca="1" si="19">IF(ISNA($AO7),NA(),AP53-AP30)</f>
        <v>166.45355564026977</v>
      </c>
      <c r="AS7" s="278">
        <f ca="1">IF(AND(NOW(),AQ7=AQ7),_xll.meProductSwapDV01(_xll.meUtilityLVBFromMultipleKeysValues($B$28:$E$28, B30:E30,,$N$28:$AN$28,N30:AN30),FALSE),"LOAD")</f>
        <v>216.86838444166324</v>
      </c>
      <c r="AT7" s="223" t="str">
        <f t="shared" ca="1" si="10"/>
        <v>2Y</v>
      </c>
      <c r="AU7" s="190">
        <f t="shared" ref="AU7:AU25" ca="1" si="20">IF(ISNA($AO7),NA(),AR7-AS7)</f>
        <v>-50.414828801393469</v>
      </c>
      <c r="AV7" s="275">
        <f ca="1">IF(ISNA($AO7),NA(),IF(AS7=0,0,((AS7-AR7)/AS7)))</f>
        <v>0.23246739690152884</v>
      </c>
      <c r="AW7" s="163">
        <f ca="1">IF(VALUE(LEFT(AT7,LEN(AT7)-1))&lt;50,ABS(AU7-AU6),NA())</f>
        <v>1.3739987500861162</v>
      </c>
      <c r="AX7" s="269"/>
      <c r="BA7" s="116"/>
    </row>
    <row r="8" spans="1:53" x14ac:dyDescent="0.25">
      <c r="A8" s="202">
        <v>3</v>
      </c>
      <c r="B8" s="136">
        <f ca="1">IF(OR(D8="",D8=0),"",_xll.meDateFromTenor(COB,F8,$R8,$S8))</f>
        <v>42423</v>
      </c>
      <c r="C8" s="266" t="str">
        <f t="shared" ca="1" si="12"/>
        <v>3Y</v>
      </c>
      <c r="D8" s="238">
        <f t="shared" ca="1" si="13"/>
        <v>1000000</v>
      </c>
      <c r="E8" s="241" t="str">
        <f t="shared" ca="1" si="0"/>
        <v>RECEIVER</v>
      </c>
      <c r="F8" s="249" t="str">
        <f t="shared" ca="1" si="1"/>
        <v>2D</v>
      </c>
      <c r="G8" s="137" t="s">
        <v>17</v>
      </c>
      <c r="H8" s="198">
        <f t="shared" ca="1" si="2"/>
        <v>0.05</v>
      </c>
      <c r="I8" s="138" t="s">
        <v>146</v>
      </c>
      <c r="J8" s="238">
        <f t="shared" ca="1" si="3"/>
        <v>10</v>
      </c>
      <c r="K8" s="264">
        <f t="shared" ca="1" si="4"/>
        <v>-1.31E-3</v>
      </c>
      <c r="L8" s="139" t="s">
        <v>147</v>
      </c>
      <c r="M8" s="144">
        <f t="shared" ca="1" si="5"/>
        <v>42419</v>
      </c>
      <c r="N8" s="140">
        <f t="shared" ref="N8:AK8" ca="1" si="21">N31</f>
        <v>0.05</v>
      </c>
      <c r="O8" s="143">
        <f t="shared" ca="1" si="7"/>
        <v>0</v>
      </c>
      <c r="P8" s="113" t="str">
        <f t="shared" ca="1" si="21"/>
        <v>Annual</v>
      </c>
      <c r="Q8" s="113" t="str">
        <f t="shared" ca="1" si="21"/>
        <v>30/360</v>
      </c>
      <c r="R8" s="113" t="str">
        <f t="shared" ca="1" si="21"/>
        <v>MOD_FOLLOWING</v>
      </c>
      <c r="S8" s="113" t="str">
        <f t="shared" ca="1" si="21"/>
        <v>TGT</v>
      </c>
      <c r="T8" s="187">
        <f t="shared" ca="1" si="21"/>
        <v>0</v>
      </c>
      <c r="U8" s="187">
        <f t="shared" ca="1" si="21"/>
        <v>0</v>
      </c>
      <c r="V8" s="142">
        <f t="shared" ca="1" si="21"/>
        <v>23</v>
      </c>
      <c r="W8" s="141" t="str">
        <f t="shared" ca="1" si="21"/>
        <v>0D</v>
      </c>
      <c r="X8" s="141" t="str">
        <f t="shared" ca="1" si="21"/>
        <v>ShortStart</v>
      </c>
      <c r="Y8" s="142" t="str">
        <f t="shared" ca="1" si="21"/>
        <v>EUR6ML</v>
      </c>
      <c r="Z8" s="178" t="str">
        <f t="shared" ca="1" si="21"/>
        <v>Semi-Annual</v>
      </c>
      <c r="AA8" s="141" t="str">
        <f t="shared" ca="1" si="21"/>
        <v>ACT/360</v>
      </c>
      <c r="AB8" s="141" t="str">
        <f t="shared" ca="1" si="21"/>
        <v>MOD_FOLLOWING</v>
      </c>
      <c r="AC8" s="141" t="str">
        <f t="shared" ca="1" si="21"/>
        <v>TGT</v>
      </c>
      <c r="AD8" s="187">
        <f t="shared" ca="1" si="21"/>
        <v>0</v>
      </c>
      <c r="AE8" s="187">
        <f t="shared" ca="1" si="21"/>
        <v>0</v>
      </c>
      <c r="AF8" s="142">
        <f t="shared" ca="1" si="21"/>
        <v>23</v>
      </c>
      <c r="AG8" s="141" t="str">
        <f t="shared" ca="1" si="21"/>
        <v>0D</v>
      </c>
      <c r="AH8" s="145">
        <f t="shared" ca="1" si="21"/>
        <v>-1.31E-3</v>
      </c>
      <c r="AI8" s="146"/>
      <c r="AJ8" s="141" t="str">
        <f t="shared" ca="1" si="21"/>
        <v>0D</v>
      </c>
      <c r="AK8" s="141" t="str">
        <f t="shared" ca="1" si="21"/>
        <v>ShortStart</v>
      </c>
      <c r="AL8" s="142" t="s">
        <v>156</v>
      </c>
      <c r="AM8" s="142" t="str">
        <f t="shared" ca="1" si="15"/>
        <v>EURDF_NOCSA</v>
      </c>
      <c r="AN8" s="142" t="str">
        <f t="shared" ca="1" si="8"/>
        <v>Spline</v>
      </c>
      <c r="AO8" s="194">
        <f t="shared" ca="1" si="16"/>
        <v>-8.7000030134215035E-4</v>
      </c>
      <c r="AP8" s="147">
        <f t="shared" ca="1" si="17"/>
        <v>154021.02608759893</v>
      </c>
      <c r="AQ8" s="147">
        <f t="shared" ca="1" si="18"/>
        <v>302.77378646942424</v>
      </c>
      <c r="AR8" s="147">
        <f t="shared" ca="1" si="19"/>
        <v>283.85053786388016</v>
      </c>
      <c r="AS8" s="278">
        <f ca="1">IF(AND(NOW(),AQ8=AQ8),_xll.meProductSwapDV01(_xll.meUtilityLVBFromMultipleKeysValues($B$28:$E$28, B31:E31,,$N$28:$AN$28,N31:AN31),FALSE),"LOAD")</f>
        <v>334.10505807042085</v>
      </c>
      <c r="AT8" s="223" t="str">
        <f t="shared" ca="1" si="10"/>
        <v>3Y</v>
      </c>
      <c r="AU8" s="190">
        <f t="shared" ca="1" si="20"/>
        <v>-50.25452020654069</v>
      </c>
      <c r="AV8" s="275">
        <f t="shared" ref="AV8:AV25" ca="1" si="22">IF(ISNA($AO8),NA(),IF(AS8=0,0,((AS8-AR8)/AS8)))</f>
        <v>0.15041532294296578</v>
      </c>
      <c r="AW8" s="163">
        <f t="shared" ref="AW8:AW25" ca="1" si="23">IF(VALUE(LEFT(AT8,LEN(AT8)-1))&lt;50,ABS(AU8-AU7),NA())</f>
        <v>0.16030859485277915</v>
      </c>
      <c r="AX8" s="269"/>
    </row>
    <row r="9" spans="1:53" x14ac:dyDescent="0.25">
      <c r="A9" s="202">
        <v>4</v>
      </c>
      <c r="B9" s="136">
        <f ca="1">IF(OR(D9="",D9=0),"",_xll.meDateFromTenor(COB,F9,$R9,$S9))</f>
        <v>42423</v>
      </c>
      <c r="C9" s="266" t="str">
        <f t="shared" ca="1" si="12"/>
        <v>4Y</v>
      </c>
      <c r="D9" s="238">
        <f t="shared" ca="1" si="13"/>
        <v>1000000</v>
      </c>
      <c r="E9" s="241" t="str">
        <f t="shared" ca="1" si="0"/>
        <v>RECEIVER</v>
      </c>
      <c r="F9" s="250" t="str">
        <f t="shared" ca="1" si="1"/>
        <v>2D</v>
      </c>
      <c r="G9" s="137" t="s">
        <v>17</v>
      </c>
      <c r="H9" s="198">
        <f t="shared" ca="1" si="2"/>
        <v>0.05</v>
      </c>
      <c r="I9" s="138" t="s">
        <v>146</v>
      </c>
      <c r="J9" s="238">
        <f t="shared" ca="1" si="3"/>
        <v>10</v>
      </c>
      <c r="K9" s="264">
        <f t="shared" ca="1" si="4"/>
        <v>-1.31E-3</v>
      </c>
      <c r="L9" s="139" t="s">
        <v>147</v>
      </c>
      <c r="M9" s="144">
        <f t="shared" ca="1" si="5"/>
        <v>42419</v>
      </c>
      <c r="N9" s="148">
        <f t="shared" ref="N9:AK9" ca="1" si="24">N32</f>
        <v>0.05</v>
      </c>
      <c r="O9" s="143">
        <f t="shared" ca="1" si="7"/>
        <v>0</v>
      </c>
      <c r="P9" s="141" t="str">
        <f t="shared" ca="1" si="24"/>
        <v>Annual</v>
      </c>
      <c r="Q9" s="141" t="str">
        <f t="shared" ca="1" si="24"/>
        <v>30/360</v>
      </c>
      <c r="R9" s="141" t="str">
        <f t="shared" ca="1" si="24"/>
        <v>MOD_FOLLOWING</v>
      </c>
      <c r="S9" s="141" t="str">
        <f t="shared" ca="1" si="24"/>
        <v>TGT</v>
      </c>
      <c r="T9" s="187">
        <f t="shared" ca="1" si="24"/>
        <v>0</v>
      </c>
      <c r="U9" s="187">
        <f t="shared" ca="1" si="24"/>
        <v>0</v>
      </c>
      <c r="V9" s="142">
        <f t="shared" ca="1" si="24"/>
        <v>23</v>
      </c>
      <c r="W9" s="141" t="str">
        <f t="shared" ca="1" si="24"/>
        <v>0D</v>
      </c>
      <c r="X9" s="141" t="str">
        <f t="shared" ca="1" si="24"/>
        <v>ShortStart</v>
      </c>
      <c r="Y9" s="142" t="str">
        <f t="shared" ca="1" si="24"/>
        <v>EUR6ML</v>
      </c>
      <c r="Z9" s="178" t="str">
        <f t="shared" ca="1" si="24"/>
        <v>Semi-Annual</v>
      </c>
      <c r="AA9" s="141" t="str">
        <f t="shared" ca="1" si="24"/>
        <v>ACT/360</v>
      </c>
      <c r="AB9" s="141" t="str">
        <f t="shared" ca="1" si="24"/>
        <v>MOD_FOLLOWING</v>
      </c>
      <c r="AC9" s="141" t="str">
        <f t="shared" ca="1" si="24"/>
        <v>TGT</v>
      </c>
      <c r="AD9" s="187">
        <f t="shared" ca="1" si="24"/>
        <v>0</v>
      </c>
      <c r="AE9" s="187">
        <f t="shared" ca="1" si="24"/>
        <v>0</v>
      </c>
      <c r="AF9" s="142">
        <f t="shared" ca="1" si="24"/>
        <v>23</v>
      </c>
      <c r="AG9" s="141" t="str">
        <f t="shared" ca="1" si="24"/>
        <v>0D</v>
      </c>
      <c r="AH9" s="145">
        <f t="shared" ca="1" si="24"/>
        <v>-1.31E-3</v>
      </c>
      <c r="AI9" s="146"/>
      <c r="AJ9" s="141" t="str">
        <f t="shared" ca="1" si="24"/>
        <v>0D</v>
      </c>
      <c r="AK9" s="141" t="str">
        <f t="shared" ca="1" si="24"/>
        <v>ShortStart</v>
      </c>
      <c r="AL9" s="142" t="s">
        <v>156</v>
      </c>
      <c r="AM9" s="142" t="str">
        <f t="shared" ca="1" si="15"/>
        <v>EURDF_NOCSA</v>
      </c>
      <c r="AN9" s="142" t="str">
        <f t="shared" ca="1" si="8"/>
        <v>Spline</v>
      </c>
      <c r="AO9" s="194">
        <f t="shared" ca="1" si="16"/>
        <v>-8.0000239431888439E-5</v>
      </c>
      <c r="AP9" s="147">
        <f t="shared" ca="1" si="17"/>
        <v>202127.73217691053</v>
      </c>
      <c r="AQ9" s="147">
        <f t="shared" ca="1" si="18"/>
        <v>403.60968692200521</v>
      </c>
      <c r="AR9" s="147">
        <f t="shared" ca="1" si="19"/>
        <v>404.89035044892807</v>
      </c>
      <c r="AS9" s="278">
        <f ca="1">IF(AND(NOW(),AQ9=AQ9),_xll.meProductSwapDV01(_xll.meUtilityLVBFromMultipleKeysValues($B$28:$E$28, B32:E32,,$N$28:$AN$28,N32:AN32),FALSE),"LOAD")</f>
        <v>455.13443548803781</v>
      </c>
      <c r="AT9" s="223" t="str">
        <f t="shared" ca="1" si="10"/>
        <v>4Y</v>
      </c>
      <c r="AU9" s="190">
        <f t="shared" ca="1" si="20"/>
        <v>-50.244085039109734</v>
      </c>
      <c r="AV9" s="275">
        <f t="shared" ca="1" si="22"/>
        <v>0.11039394324279883</v>
      </c>
      <c r="AW9" s="163">
        <f t="shared" ca="1" si="23"/>
        <v>1.0435167430955516E-2</v>
      </c>
      <c r="AX9" s="269"/>
    </row>
    <row r="10" spans="1:53" x14ac:dyDescent="0.25">
      <c r="A10" s="202">
        <v>5</v>
      </c>
      <c r="B10" s="136">
        <f ca="1">IF(OR(D10="",D10=0),"",_xll.meDateFromTenor(COB,F10,$R10,$S10))</f>
        <v>42423</v>
      </c>
      <c r="C10" s="266" t="str">
        <f t="shared" ca="1" si="12"/>
        <v>5Y</v>
      </c>
      <c r="D10" s="238">
        <f t="shared" ca="1" si="13"/>
        <v>1000000</v>
      </c>
      <c r="E10" s="241" t="str">
        <f t="shared" ca="1" si="0"/>
        <v>RECEIVER</v>
      </c>
      <c r="F10" s="250" t="str">
        <f t="shared" ca="1" si="1"/>
        <v>2D</v>
      </c>
      <c r="G10" s="137" t="s">
        <v>17</v>
      </c>
      <c r="H10" s="198">
        <v>0.05</v>
      </c>
      <c r="I10" s="138" t="s">
        <v>146</v>
      </c>
      <c r="J10" s="238">
        <v>10</v>
      </c>
      <c r="K10" s="264">
        <f t="shared" ca="1" si="4"/>
        <v>-1.31E-3</v>
      </c>
      <c r="L10" s="139" t="s">
        <v>147</v>
      </c>
      <c r="M10" s="144">
        <f t="shared" ca="1" si="5"/>
        <v>42419</v>
      </c>
      <c r="N10" s="148">
        <f t="shared" ref="N10:AK10" ca="1" si="25">N33</f>
        <v>0.05</v>
      </c>
      <c r="O10" s="143">
        <f t="shared" ca="1" si="7"/>
        <v>0</v>
      </c>
      <c r="P10" s="141" t="str">
        <f t="shared" ca="1" si="25"/>
        <v>Annual</v>
      </c>
      <c r="Q10" s="141" t="str">
        <f t="shared" ca="1" si="25"/>
        <v>30/360</v>
      </c>
      <c r="R10" s="141" t="str">
        <f t="shared" ca="1" si="25"/>
        <v>MOD_FOLLOWING</v>
      </c>
      <c r="S10" s="141" t="str">
        <f t="shared" ca="1" si="25"/>
        <v>TGT</v>
      </c>
      <c r="T10" s="187">
        <f t="shared" ca="1" si="25"/>
        <v>0</v>
      </c>
      <c r="U10" s="187">
        <f t="shared" ca="1" si="25"/>
        <v>0</v>
      </c>
      <c r="V10" s="142">
        <f t="shared" ca="1" si="25"/>
        <v>23</v>
      </c>
      <c r="W10" s="141" t="str">
        <f t="shared" ca="1" si="25"/>
        <v>0D</v>
      </c>
      <c r="X10" s="141" t="str">
        <f t="shared" ca="1" si="25"/>
        <v>ShortStart</v>
      </c>
      <c r="Y10" s="142" t="str">
        <f t="shared" ca="1" si="25"/>
        <v>EUR6ML</v>
      </c>
      <c r="Z10" s="178" t="str">
        <f t="shared" ca="1" si="25"/>
        <v>Semi-Annual</v>
      </c>
      <c r="AA10" s="141" t="str">
        <f t="shared" ca="1" si="25"/>
        <v>ACT/360</v>
      </c>
      <c r="AB10" s="141" t="str">
        <f t="shared" ca="1" si="25"/>
        <v>MOD_FOLLOWING</v>
      </c>
      <c r="AC10" s="141" t="str">
        <f t="shared" ca="1" si="25"/>
        <v>TGT</v>
      </c>
      <c r="AD10" s="187">
        <f t="shared" ca="1" si="25"/>
        <v>0</v>
      </c>
      <c r="AE10" s="187">
        <f t="shared" ca="1" si="25"/>
        <v>0</v>
      </c>
      <c r="AF10" s="142">
        <f t="shared" ca="1" si="25"/>
        <v>23</v>
      </c>
      <c r="AG10" s="141" t="str">
        <f t="shared" ca="1" si="25"/>
        <v>0D</v>
      </c>
      <c r="AH10" s="145">
        <f t="shared" ca="1" si="25"/>
        <v>-1.31E-3</v>
      </c>
      <c r="AI10" s="146"/>
      <c r="AJ10" s="141" t="str">
        <f t="shared" ca="1" si="25"/>
        <v>0D</v>
      </c>
      <c r="AK10" s="141" t="str">
        <f t="shared" ca="1" si="25"/>
        <v>ShortStart</v>
      </c>
      <c r="AL10" s="142" t="s">
        <v>156</v>
      </c>
      <c r="AM10" s="142" t="str">
        <f t="shared" ca="1" si="15"/>
        <v>EURDF_NOCSA</v>
      </c>
      <c r="AN10" s="142" t="str">
        <f t="shared" ca="1" si="8"/>
        <v>Spline</v>
      </c>
      <c r="AO10" s="194">
        <f t="shared" ca="1" si="16"/>
        <v>9.3000032286801905E-4</v>
      </c>
      <c r="AP10" s="147">
        <f t="shared" ca="1" si="17"/>
        <v>247427.19325913646</v>
      </c>
      <c r="AQ10" s="147">
        <f t="shared" ca="1" si="18"/>
        <v>504.23312558540761</v>
      </c>
      <c r="AR10" s="147">
        <f t="shared" ca="1" si="19"/>
        <v>529.76499371082173</v>
      </c>
      <c r="AS10" s="278">
        <f ca="1">IF(AND(NOW(),AQ10=AQ10),_xll.meProductSwapDV01(_xll.meUtilityLVBFromMultipleKeysValues($B$28:$E$28, B33:E33,,$N$28:$AN$28,N33:AN33),FALSE),"LOAD")</f>
        <v>580.25013613347085</v>
      </c>
      <c r="AT10" s="223" t="str">
        <f t="shared" ca="1" si="10"/>
        <v>5Y</v>
      </c>
      <c r="AU10" s="190">
        <f t="shared" ca="1" si="20"/>
        <v>-50.485142422649119</v>
      </c>
      <c r="AV10" s="275">
        <f t="shared" ca="1" si="22"/>
        <v>8.7005826071941461E-2</v>
      </c>
      <c r="AW10" s="163">
        <f t="shared" ca="1" si="23"/>
        <v>0.24105738353938477</v>
      </c>
      <c r="AX10" s="269"/>
      <c r="AY10" s="165"/>
    </row>
    <row r="11" spans="1:53" x14ac:dyDescent="0.25">
      <c r="A11" s="202">
        <v>6</v>
      </c>
      <c r="B11" s="136">
        <f ca="1">IF(OR(D11="",D11=0),"",_xll.meDateFromTenor(COB,F11,$R11,$S11))</f>
        <v>42423</v>
      </c>
      <c r="C11" s="266" t="str">
        <f t="shared" ca="1" si="12"/>
        <v>6Y</v>
      </c>
      <c r="D11" s="238">
        <f t="shared" ca="1" si="13"/>
        <v>1000000</v>
      </c>
      <c r="E11" s="241" t="str">
        <f t="shared" ca="1" si="0"/>
        <v>RECEIVER</v>
      </c>
      <c r="F11" s="250" t="str">
        <f t="shared" ca="1" si="1"/>
        <v>2D</v>
      </c>
      <c r="G11" s="137" t="s">
        <v>17</v>
      </c>
      <c r="H11" s="198">
        <f t="shared" ca="1" si="2"/>
        <v>0.05</v>
      </c>
      <c r="I11" s="138" t="s">
        <v>146</v>
      </c>
      <c r="J11" s="238">
        <f t="shared" ca="1" si="3"/>
        <v>10</v>
      </c>
      <c r="K11" s="264">
        <f t="shared" ca="1" si="4"/>
        <v>-1.31E-3</v>
      </c>
      <c r="L11" s="139" t="s">
        <v>147</v>
      </c>
      <c r="M11" s="144">
        <f t="shared" ca="1" si="5"/>
        <v>42419</v>
      </c>
      <c r="N11" s="148">
        <f t="shared" ref="N11:AK11" ca="1" si="26">N34</f>
        <v>0.05</v>
      </c>
      <c r="O11" s="143">
        <f t="shared" ca="1" si="7"/>
        <v>0</v>
      </c>
      <c r="P11" s="141" t="str">
        <f t="shared" ca="1" si="26"/>
        <v>Annual</v>
      </c>
      <c r="Q11" s="141" t="str">
        <f t="shared" ca="1" si="26"/>
        <v>30/360</v>
      </c>
      <c r="R11" s="141" t="str">
        <f t="shared" ca="1" si="26"/>
        <v>MOD_FOLLOWING</v>
      </c>
      <c r="S11" s="141" t="str">
        <f t="shared" ca="1" si="26"/>
        <v>TGT</v>
      </c>
      <c r="T11" s="187">
        <f t="shared" ca="1" si="26"/>
        <v>0</v>
      </c>
      <c r="U11" s="187">
        <f t="shared" ca="1" si="26"/>
        <v>0</v>
      </c>
      <c r="V11" s="142">
        <f t="shared" ca="1" si="26"/>
        <v>23</v>
      </c>
      <c r="W11" s="141" t="str">
        <f t="shared" ca="1" si="26"/>
        <v>0D</v>
      </c>
      <c r="X11" s="141" t="str">
        <f t="shared" ca="1" si="26"/>
        <v>ShortStart</v>
      </c>
      <c r="Y11" s="142" t="str">
        <f t="shared" ca="1" si="26"/>
        <v>EUR6ML</v>
      </c>
      <c r="Z11" s="178" t="str">
        <f t="shared" ca="1" si="26"/>
        <v>Semi-Annual</v>
      </c>
      <c r="AA11" s="141" t="str">
        <f t="shared" ca="1" si="26"/>
        <v>ACT/360</v>
      </c>
      <c r="AB11" s="141" t="str">
        <f t="shared" ca="1" si="26"/>
        <v>MOD_FOLLOWING</v>
      </c>
      <c r="AC11" s="141" t="str">
        <f t="shared" ca="1" si="26"/>
        <v>TGT</v>
      </c>
      <c r="AD11" s="187">
        <f t="shared" ca="1" si="26"/>
        <v>0</v>
      </c>
      <c r="AE11" s="187">
        <f t="shared" ca="1" si="26"/>
        <v>0</v>
      </c>
      <c r="AF11" s="142">
        <f t="shared" ca="1" si="26"/>
        <v>23</v>
      </c>
      <c r="AG11" s="141" t="str">
        <f t="shared" ca="1" si="26"/>
        <v>0D</v>
      </c>
      <c r="AH11" s="145">
        <f t="shared" ca="1" si="26"/>
        <v>-1.31E-3</v>
      </c>
      <c r="AI11" s="146"/>
      <c r="AJ11" s="141" t="str">
        <f t="shared" ca="1" si="26"/>
        <v>0D</v>
      </c>
      <c r="AK11" s="141" t="str">
        <f t="shared" ca="1" si="26"/>
        <v>ShortStart</v>
      </c>
      <c r="AL11" s="142" t="s">
        <v>156</v>
      </c>
      <c r="AM11" s="142" t="str">
        <f t="shared" ca="1" si="15"/>
        <v>EURDF_NOCSA</v>
      </c>
      <c r="AN11" s="142" t="str">
        <f t="shared" ca="1" si="8"/>
        <v>Spline</v>
      </c>
      <c r="AO11" s="194">
        <f t="shared" ca="1" si="16"/>
        <v>2.0199998839534657E-3</v>
      </c>
      <c r="AP11" s="147">
        <f t="shared" ca="1" si="17"/>
        <v>290097.94686855702</v>
      </c>
      <c r="AQ11" s="147">
        <f t="shared" ca="1" si="18"/>
        <v>604.62264728410457</v>
      </c>
      <c r="AR11" s="147">
        <f t="shared" ca="1" si="19"/>
        <v>658.09540317970095</v>
      </c>
      <c r="AS11" s="278">
        <f ca="1">IF(AND(NOW(),AQ11=AQ11),_xll.meProductSwapDV01(_xll.meUtilityLVBFromMultipleKeysValues($B$28:$E$28, B34:E34,,$N$28:$AN$28,N34:AN34),FALSE),"LOAD")</f>
        <v>709.09425706388402</v>
      </c>
      <c r="AT11" s="223" t="str">
        <f t="shared" ca="1" si="10"/>
        <v>6Y</v>
      </c>
      <c r="AU11" s="190">
        <f t="shared" ca="1" si="20"/>
        <v>-50.998853884183063</v>
      </c>
      <c r="AV11" s="275">
        <f t="shared" ca="1" si="22"/>
        <v>7.1921121030301127E-2</v>
      </c>
      <c r="AW11" s="163">
        <f t="shared" ca="1" si="23"/>
        <v>0.5137114615339442</v>
      </c>
      <c r="AX11" s="269"/>
      <c r="AY11" s="166"/>
      <c r="AZ11" s="116"/>
    </row>
    <row r="12" spans="1:53" x14ac:dyDescent="0.25">
      <c r="A12" s="202">
        <v>7</v>
      </c>
      <c r="B12" s="136">
        <f ca="1">IF(OR(D12="",D12=0),"",_xll.meDateFromTenor(COB,F12,$R12,$S12))</f>
        <v>42423</v>
      </c>
      <c r="C12" s="266" t="str">
        <f t="shared" ca="1" si="12"/>
        <v>7Y</v>
      </c>
      <c r="D12" s="238">
        <f t="shared" ca="1" si="13"/>
        <v>1000000</v>
      </c>
      <c r="E12" s="241" t="str">
        <f t="shared" ca="1" si="0"/>
        <v>RECEIVER</v>
      </c>
      <c r="F12" s="250" t="str">
        <f t="shared" ca="1" si="1"/>
        <v>2D</v>
      </c>
      <c r="G12" s="137" t="s">
        <v>17</v>
      </c>
      <c r="H12" s="198">
        <f t="shared" ca="1" si="2"/>
        <v>0.05</v>
      </c>
      <c r="I12" s="138" t="s">
        <v>146</v>
      </c>
      <c r="J12" s="238">
        <f t="shared" ca="1" si="3"/>
        <v>10</v>
      </c>
      <c r="K12" s="264">
        <f t="shared" ca="1" si="4"/>
        <v>-1.31E-3</v>
      </c>
      <c r="L12" s="139" t="s">
        <v>147</v>
      </c>
      <c r="M12" s="144">
        <f t="shared" ca="1" si="5"/>
        <v>42419</v>
      </c>
      <c r="N12" s="148">
        <f t="shared" ref="N12:AK12" ca="1" si="27">N35</f>
        <v>0.05</v>
      </c>
      <c r="O12" s="143">
        <f t="shared" ca="1" si="7"/>
        <v>0</v>
      </c>
      <c r="P12" s="141" t="str">
        <f t="shared" ca="1" si="27"/>
        <v>Annual</v>
      </c>
      <c r="Q12" s="141" t="str">
        <f t="shared" ca="1" si="27"/>
        <v>30/360</v>
      </c>
      <c r="R12" s="141" t="str">
        <f t="shared" ca="1" si="27"/>
        <v>MOD_FOLLOWING</v>
      </c>
      <c r="S12" s="141" t="str">
        <f t="shared" ca="1" si="27"/>
        <v>TGT</v>
      </c>
      <c r="T12" s="187">
        <f t="shared" ca="1" si="27"/>
        <v>0</v>
      </c>
      <c r="U12" s="187">
        <f t="shared" ca="1" si="27"/>
        <v>0</v>
      </c>
      <c r="V12" s="142">
        <f t="shared" ca="1" si="27"/>
        <v>23</v>
      </c>
      <c r="W12" s="141" t="str">
        <f t="shared" ca="1" si="27"/>
        <v>0D</v>
      </c>
      <c r="X12" s="141" t="str">
        <f t="shared" ca="1" si="27"/>
        <v>ShortStart</v>
      </c>
      <c r="Y12" s="142" t="str">
        <f t="shared" ca="1" si="27"/>
        <v>EUR6ML</v>
      </c>
      <c r="Z12" s="178" t="str">
        <f t="shared" ca="1" si="27"/>
        <v>Semi-Annual</v>
      </c>
      <c r="AA12" s="141" t="str">
        <f t="shared" ca="1" si="27"/>
        <v>ACT/360</v>
      </c>
      <c r="AB12" s="141" t="str">
        <f t="shared" ca="1" si="27"/>
        <v>MOD_FOLLOWING</v>
      </c>
      <c r="AC12" s="141" t="str">
        <f t="shared" ca="1" si="27"/>
        <v>TGT</v>
      </c>
      <c r="AD12" s="187">
        <f t="shared" ca="1" si="27"/>
        <v>0</v>
      </c>
      <c r="AE12" s="187">
        <f t="shared" ca="1" si="27"/>
        <v>0</v>
      </c>
      <c r="AF12" s="142">
        <f t="shared" ca="1" si="27"/>
        <v>23</v>
      </c>
      <c r="AG12" s="141" t="str">
        <f t="shared" ca="1" si="27"/>
        <v>0D</v>
      </c>
      <c r="AH12" s="145">
        <f t="shared" ca="1" si="27"/>
        <v>-1.31E-3</v>
      </c>
      <c r="AI12" s="146"/>
      <c r="AJ12" s="141" t="str">
        <f t="shared" ca="1" si="27"/>
        <v>0D</v>
      </c>
      <c r="AK12" s="141" t="str">
        <f t="shared" ca="1" si="27"/>
        <v>ShortStart</v>
      </c>
      <c r="AL12" s="142" t="s">
        <v>156</v>
      </c>
      <c r="AM12" s="142" t="str">
        <f t="shared" ca="1" si="15"/>
        <v>EURDF_NOCSA</v>
      </c>
      <c r="AN12" s="142" t="str">
        <f t="shared" ca="1" si="8"/>
        <v>Spline</v>
      </c>
      <c r="AO12" s="194">
        <f t="shared" ca="1" si="16"/>
        <v>3.2099998477794355E-3</v>
      </c>
      <c r="AP12" s="147">
        <f t="shared" ca="1" si="17"/>
        <v>329493.72627417918</v>
      </c>
      <c r="AQ12" s="147">
        <f t="shared" ca="1" si="18"/>
        <v>704.1968921150584</v>
      </c>
      <c r="AR12" s="147">
        <f t="shared" ca="1" si="19"/>
        <v>788.57936283427989</v>
      </c>
      <c r="AS12" s="278">
        <f ca="1">IF(AND(NOW(),AQ12=AQ12),_xll.meProductSwapDV01(_xll.meUtilityLVBFromMultipleKeysValues($B$28:$E$28, B35:E35,,$N$28:$AN$28,N35:AN35),FALSE),"LOAD")</f>
        <v>840.45282994169406</v>
      </c>
      <c r="AT12" s="223" t="str">
        <f t="shared" ca="1" si="10"/>
        <v>7Y</v>
      </c>
      <c r="AU12" s="190">
        <f t="shared" ca="1" si="20"/>
        <v>-51.873467107414172</v>
      </c>
      <c r="AV12" s="275">
        <f t="shared" ca="1" si="22"/>
        <v>6.1720854828953176E-2</v>
      </c>
      <c r="AW12" s="163">
        <f t="shared" ca="1" si="23"/>
        <v>0.87461322323110835</v>
      </c>
      <c r="AX12" s="269"/>
    </row>
    <row r="13" spans="1:53" x14ac:dyDescent="0.25">
      <c r="A13" s="202">
        <v>8</v>
      </c>
      <c r="B13" s="136">
        <f ca="1">IF(OR(D13="",D13=0),"",_xll.meDateFromTenor(COB,F13,$R13,$S13))</f>
        <v>42423</v>
      </c>
      <c r="C13" s="266" t="str">
        <f t="shared" ca="1" si="12"/>
        <v>8Y</v>
      </c>
      <c r="D13" s="238">
        <f t="shared" ca="1" si="13"/>
        <v>1000000</v>
      </c>
      <c r="E13" s="241" t="str">
        <f t="shared" ca="1" si="0"/>
        <v>RECEIVER</v>
      </c>
      <c r="F13" s="250" t="str">
        <f t="shared" ca="1" si="1"/>
        <v>2D</v>
      </c>
      <c r="G13" s="137" t="s">
        <v>17</v>
      </c>
      <c r="H13" s="198">
        <f t="shared" ca="1" si="2"/>
        <v>0.05</v>
      </c>
      <c r="I13" s="138" t="s">
        <v>146</v>
      </c>
      <c r="J13" s="238">
        <f t="shared" ca="1" si="3"/>
        <v>10</v>
      </c>
      <c r="K13" s="264">
        <f t="shared" ca="1" si="4"/>
        <v>-1.31E-3</v>
      </c>
      <c r="L13" s="139" t="s">
        <v>147</v>
      </c>
      <c r="M13" s="144">
        <f t="shared" ca="1" si="5"/>
        <v>42419</v>
      </c>
      <c r="N13" s="148">
        <f t="shared" ref="N13:AK13" ca="1" si="28">N36</f>
        <v>0.05</v>
      </c>
      <c r="O13" s="143">
        <f t="shared" ca="1" si="7"/>
        <v>0</v>
      </c>
      <c r="P13" s="141" t="str">
        <f t="shared" ca="1" si="28"/>
        <v>Annual</v>
      </c>
      <c r="Q13" s="141" t="str">
        <f t="shared" ca="1" si="28"/>
        <v>30/360</v>
      </c>
      <c r="R13" s="141" t="str">
        <f t="shared" ca="1" si="28"/>
        <v>MOD_FOLLOWING</v>
      </c>
      <c r="S13" s="141" t="str">
        <f t="shared" ca="1" si="28"/>
        <v>TGT</v>
      </c>
      <c r="T13" s="187">
        <f t="shared" ca="1" si="28"/>
        <v>0</v>
      </c>
      <c r="U13" s="187">
        <f t="shared" ca="1" si="28"/>
        <v>0</v>
      </c>
      <c r="V13" s="142">
        <f t="shared" ca="1" si="28"/>
        <v>23</v>
      </c>
      <c r="W13" s="141" t="str">
        <f t="shared" ca="1" si="28"/>
        <v>0D</v>
      </c>
      <c r="X13" s="141" t="str">
        <f t="shared" ca="1" si="28"/>
        <v>ShortStart</v>
      </c>
      <c r="Y13" s="142" t="str">
        <f t="shared" ca="1" si="28"/>
        <v>EUR6ML</v>
      </c>
      <c r="Z13" s="178" t="str">
        <f t="shared" ca="1" si="28"/>
        <v>Semi-Annual</v>
      </c>
      <c r="AA13" s="141" t="str">
        <f t="shared" ca="1" si="28"/>
        <v>ACT/360</v>
      </c>
      <c r="AB13" s="141" t="str">
        <f t="shared" ca="1" si="28"/>
        <v>MOD_FOLLOWING</v>
      </c>
      <c r="AC13" s="141" t="str">
        <f t="shared" ca="1" si="28"/>
        <v>TGT</v>
      </c>
      <c r="AD13" s="187">
        <f t="shared" ca="1" si="28"/>
        <v>0</v>
      </c>
      <c r="AE13" s="187">
        <f t="shared" ca="1" si="28"/>
        <v>0</v>
      </c>
      <c r="AF13" s="142">
        <f t="shared" ca="1" si="28"/>
        <v>23</v>
      </c>
      <c r="AG13" s="141" t="str">
        <f t="shared" ca="1" si="28"/>
        <v>0D</v>
      </c>
      <c r="AH13" s="145">
        <f t="shared" ca="1" si="28"/>
        <v>-1.31E-3</v>
      </c>
      <c r="AI13" s="146"/>
      <c r="AJ13" s="141" t="str">
        <f t="shared" ca="1" si="28"/>
        <v>0D</v>
      </c>
      <c r="AK13" s="141" t="str">
        <f t="shared" ca="1" si="28"/>
        <v>ShortStart</v>
      </c>
      <c r="AL13" s="142" t="s">
        <v>156</v>
      </c>
      <c r="AM13" s="142" t="str">
        <f t="shared" ca="1" si="15"/>
        <v>EURDF_NOCSA</v>
      </c>
      <c r="AN13" s="142" t="str">
        <f t="shared" ca="1" si="8"/>
        <v>Spline</v>
      </c>
      <c r="AO13" s="194">
        <f t="shared" ca="1" si="16"/>
        <v>4.4400000352777299E-3</v>
      </c>
      <c r="AP13" s="147">
        <f t="shared" ca="1" si="17"/>
        <v>365695.91945448774</v>
      </c>
      <c r="AQ13" s="147">
        <f t="shared" ca="1" si="18"/>
        <v>802.66883173321128</v>
      </c>
      <c r="AR13" s="147">
        <f t="shared" ca="1" si="19"/>
        <v>920.44244898698526</v>
      </c>
      <c r="AS13" s="278">
        <f ca="1">IF(AND(NOW(),AQ13=AQ13),_xll.meProductSwapDV01(_xll.meUtilityLVBFromMultipleKeysValues($B$28:$E$28, B36:E36,,$N$28:$AN$28,N36:AN36),FALSE),"LOAD")</f>
        <v>973.48939571610265</v>
      </c>
      <c r="AT13" s="223" t="str">
        <f t="shared" ca="1" si="10"/>
        <v>8Y</v>
      </c>
      <c r="AU13" s="190">
        <f t="shared" ca="1" si="20"/>
        <v>-53.046946729117394</v>
      </c>
      <c r="AV13" s="275">
        <f t="shared" ca="1" si="22"/>
        <v>5.449155066562985E-2</v>
      </c>
      <c r="AW13" s="163">
        <f t="shared" ca="1" si="23"/>
        <v>1.1734796217032226</v>
      </c>
      <c r="AX13" s="269"/>
    </row>
    <row r="14" spans="1:53" x14ac:dyDescent="0.25">
      <c r="A14" s="202">
        <v>9</v>
      </c>
      <c r="B14" s="136">
        <f ca="1">IF(OR(D14="",D14=0),"",_xll.meDateFromTenor(COB,F14,$R14,$S14))</f>
        <v>42423</v>
      </c>
      <c r="C14" s="266" t="str">
        <f t="shared" ca="1" si="12"/>
        <v>9Y</v>
      </c>
      <c r="D14" s="238">
        <f t="shared" ca="1" si="13"/>
        <v>1000000</v>
      </c>
      <c r="E14" s="241" t="str">
        <f t="shared" ca="1" si="0"/>
        <v>RECEIVER</v>
      </c>
      <c r="F14" s="250" t="str">
        <f t="shared" ca="1" si="1"/>
        <v>2D</v>
      </c>
      <c r="G14" s="137" t="s">
        <v>17</v>
      </c>
      <c r="H14" s="198">
        <f t="shared" ca="1" si="2"/>
        <v>0.05</v>
      </c>
      <c r="I14" s="138" t="s">
        <v>146</v>
      </c>
      <c r="J14" s="238">
        <f t="shared" ca="1" si="3"/>
        <v>10</v>
      </c>
      <c r="K14" s="264">
        <f t="shared" ca="1" si="4"/>
        <v>-1.31E-3</v>
      </c>
      <c r="L14" s="139" t="s">
        <v>147</v>
      </c>
      <c r="M14" s="144">
        <f t="shared" ca="1" si="5"/>
        <v>42419</v>
      </c>
      <c r="N14" s="148">
        <f t="shared" ref="N14:AK14" ca="1" si="29">N37</f>
        <v>0.05</v>
      </c>
      <c r="O14" s="143">
        <f t="shared" ca="1" si="7"/>
        <v>0</v>
      </c>
      <c r="P14" s="141" t="str">
        <f t="shared" ca="1" si="29"/>
        <v>Annual</v>
      </c>
      <c r="Q14" s="141" t="str">
        <f t="shared" ca="1" si="29"/>
        <v>30/360</v>
      </c>
      <c r="R14" s="141" t="str">
        <f t="shared" ca="1" si="29"/>
        <v>MOD_FOLLOWING</v>
      </c>
      <c r="S14" s="141" t="str">
        <f t="shared" ca="1" si="29"/>
        <v>TGT</v>
      </c>
      <c r="T14" s="187">
        <f t="shared" ca="1" si="29"/>
        <v>0</v>
      </c>
      <c r="U14" s="187">
        <f t="shared" ca="1" si="29"/>
        <v>0</v>
      </c>
      <c r="V14" s="142">
        <f t="shared" ca="1" si="29"/>
        <v>23</v>
      </c>
      <c r="W14" s="141" t="str">
        <f t="shared" ca="1" si="29"/>
        <v>0D</v>
      </c>
      <c r="X14" s="141" t="str">
        <f t="shared" ca="1" si="29"/>
        <v>ShortStart</v>
      </c>
      <c r="Y14" s="142" t="str">
        <f t="shared" ca="1" si="29"/>
        <v>EUR6ML</v>
      </c>
      <c r="Z14" s="178" t="str">
        <f t="shared" ca="1" si="29"/>
        <v>Semi-Annual</v>
      </c>
      <c r="AA14" s="141" t="str">
        <f t="shared" ca="1" si="29"/>
        <v>ACT/360</v>
      </c>
      <c r="AB14" s="141" t="str">
        <f t="shared" ca="1" si="29"/>
        <v>MOD_FOLLOWING</v>
      </c>
      <c r="AC14" s="141" t="str">
        <f t="shared" ca="1" si="29"/>
        <v>TGT</v>
      </c>
      <c r="AD14" s="187">
        <f t="shared" ca="1" si="29"/>
        <v>0</v>
      </c>
      <c r="AE14" s="187">
        <f t="shared" ca="1" si="29"/>
        <v>0</v>
      </c>
      <c r="AF14" s="142">
        <f t="shared" ca="1" si="29"/>
        <v>23</v>
      </c>
      <c r="AG14" s="141" t="str">
        <f t="shared" ca="1" si="29"/>
        <v>0D</v>
      </c>
      <c r="AH14" s="145">
        <f t="shared" ca="1" si="29"/>
        <v>-1.31E-3</v>
      </c>
      <c r="AI14" s="146"/>
      <c r="AJ14" s="141" t="str">
        <f t="shared" ca="1" si="29"/>
        <v>0D</v>
      </c>
      <c r="AK14" s="141" t="str">
        <f t="shared" ca="1" si="29"/>
        <v>ShortStart</v>
      </c>
      <c r="AL14" s="142" t="s">
        <v>156</v>
      </c>
      <c r="AM14" s="142" t="str">
        <f t="shared" ca="1" si="15"/>
        <v>EURDF_NOCSA</v>
      </c>
      <c r="AN14" s="142" t="str">
        <f t="shared" ca="1" si="8"/>
        <v>Spline</v>
      </c>
      <c r="AO14" s="194">
        <f t="shared" ca="1" si="16"/>
        <v>5.6100006178046767E-3</v>
      </c>
      <c r="AP14" s="147">
        <f t="shared" ca="1" si="17"/>
        <v>399546.69281864812</v>
      </c>
      <c r="AQ14" s="147">
        <f t="shared" ca="1" si="18"/>
        <v>900.08267262762092</v>
      </c>
      <c r="AR14" s="147">
        <f t="shared" ca="1" si="19"/>
        <v>1053.7185297507094</v>
      </c>
      <c r="AS14" s="278">
        <f ca="1">IF(AND(NOW(),AQ14=AQ14),_xll.meProductSwapDV01(_xll.meUtilityLVBFromMultipleKeysValues($B$28:$E$28, B37:E37,,$N$28:$AN$28,N37:AN37),FALSE),"LOAD")</f>
        <v>1108.0173490028303</v>
      </c>
      <c r="AT14" s="223" t="str">
        <f t="shared" ca="1" si="10"/>
        <v>9Y</v>
      </c>
      <c r="AU14" s="190">
        <f t="shared" ca="1" si="20"/>
        <v>-54.298819252120893</v>
      </c>
      <c r="AV14" s="275">
        <f t="shared" ca="1" si="22"/>
        <v>4.9005387236028007E-2</v>
      </c>
      <c r="AW14" s="163">
        <f t="shared" ca="1" si="23"/>
        <v>1.2518725230034988</v>
      </c>
      <c r="AX14" s="269"/>
    </row>
    <row r="15" spans="1:53" x14ac:dyDescent="0.25">
      <c r="A15" s="202">
        <v>10</v>
      </c>
      <c r="B15" s="136">
        <f ca="1">IF(OR(D15="",D15=0),"",_xll.meDateFromTenor(COB,F15,$R15,$S15))</f>
        <v>42423</v>
      </c>
      <c r="C15" s="266" t="str">
        <f t="shared" ca="1" si="12"/>
        <v>10Y</v>
      </c>
      <c r="D15" s="238">
        <f t="shared" ca="1" si="13"/>
        <v>1000000</v>
      </c>
      <c r="E15" s="241" t="str">
        <f t="shared" ca="1" si="0"/>
        <v>RECEIVER</v>
      </c>
      <c r="F15" s="250" t="str">
        <f t="shared" ca="1" si="1"/>
        <v>2D</v>
      </c>
      <c r="G15" s="137" t="s">
        <v>17</v>
      </c>
      <c r="H15" s="198">
        <f t="shared" ca="1" si="2"/>
        <v>0.05</v>
      </c>
      <c r="I15" s="138" t="s">
        <v>146</v>
      </c>
      <c r="J15" s="238">
        <f t="shared" ca="1" si="3"/>
        <v>10</v>
      </c>
      <c r="K15" s="264">
        <f t="shared" ca="1" si="4"/>
        <v>-1.31E-3</v>
      </c>
      <c r="L15" s="139" t="s">
        <v>147</v>
      </c>
      <c r="M15" s="144">
        <f t="shared" ca="1" si="5"/>
        <v>42419</v>
      </c>
      <c r="N15" s="148">
        <f t="shared" ref="N15:AK15" ca="1" si="30">N38</f>
        <v>0.05</v>
      </c>
      <c r="O15" s="143">
        <f t="shared" ca="1" si="7"/>
        <v>0</v>
      </c>
      <c r="P15" s="141" t="str">
        <f t="shared" ca="1" si="30"/>
        <v>Annual</v>
      </c>
      <c r="Q15" s="141" t="str">
        <f t="shared" ca="1" si="30"/>
        <v>30/360</v>
      </c>
      <c r="R15" s="141" t="str">
        <f t="shared" ca="1" si="30"/>
        <v>MOD_FOLLOWING</v>
      </c>
      <c r="S15" s="141" t="str">
        <f t="shared" ca="1" si="30"/>
        <v>TGT</v>
      </c>
      <c r="T15" s="187">
        <f t="shared" ca="1" si="30"/>
        <v>0</v>
      </c>
      <c r="U15" s="187">
        <f t="shared" ca="1" si="30"/>
        <v>0</v>
      </c>
      <c r="V15" s="142">
        <f t="shared" ca="1" si="30"/>
        <v>23</v>
      </c>
      <c r="W15" s="141" t="str">
        <f t="shared" ca="1" si="30"/>
        <v>0D</v>
      </c>
      <c r="X15" s="141" t="str">
        <f t="shared" ca="1" si="30"/>
        <v>ShortStart</v>
      </c>
      <c r="Y15" s="142" t="str">
        <f t="shared" ca="1" si="30"/>
        <v>EUR6ML</v>
      </c>
      <c r="Z15" s="178" t="str">
        <f t="shared" ca="1" si="30"/>
        <v>Semi-Annual</v>
      </c>
      <c r="AA15" s="141" t="str">
        <f t="shared" ca="1" si="30"/>
        <v>ACT/360</v>
      </c>
      <c r="AB15" s="141" t="str">
        <f t="shared" ca="1" si="30"/>
        <v>MOD_FOLLOWING</v>
      </c>
      <c r="AC15" s="141" t="str">
        <f t="shared" ca="1" si="30"/>
        <v>TGT</v>
      </c>
      <c r="AD15" s="187">
        <f t="shared" ca="1" si="30"/>
        <v>0</v>
      </c>
      <c r="AE15" s="187">
        <f t="shared" ca="1" si="30"/>
        <v>0</v>
      </c>
      <c r="AF15" s="142">
        <f t="shared" ca="1" si="30"/>
        <v>23</v>
      </c>
      <c r="AG15" s="141" t="str">
        <f t="shared" ca="1" si="30"/>
        <v>0D</v>
      </c>
      <c r="AH15" s="145">
        <f t="shared" ca="1" si="30"/>
        <v>-1.31E-3</v>
      </c>
      <c r="AI15" s="146"/>
      <c r="AJ15" s="141" t="str">
        <f t="shared" ca="1" si="30"/>
        <v>0D</v>
      </c>
      <c r="AK15" s="141" t="str">
        <f t="shared" ca="1" si="30"/>
        <v>ShortStart</v>
      </c>
      <c r="AL15" s="142" t="s">
        <v>156</v>
      </c>
      <c r="AM15" s="142" t="str">
        <f t="shared" ca="1" si="15"/>
        <v>EURDF_NOCSA</v>
      </c>
      <c r="AN15" s="142" t="str">
        <f t="shared" ca="1" si="8"/>
        <v>Spline</v>
      </c>
      <c r="AO15" s="194">
        <f t="shared" ca="1" si="16"/>
        <v>6.670001105140282E-3</v>
      </c>
      <c r="AP15" s="147">
        <f t="shared" ca="1" si="17"/>
        <v>431352.93151973764</v>
      </c>
      <c r="AQ15" s="147">
        <f t="shared" ca="1" si="18"/>
        <v>995.50644398477687</v>
      </c>
      <c r="AR15" s="147">
        <f t="shared" ca="1" si="19"/>
        <v>1187.054290569271</v>
      </c>
      <c r="AS15" s="278">
        <f ca="1">IF(AND(NOW(),AQ15=AQ15),_xll.meProductSwapDV01(_xll.meUtilityLVBFromMultipleKeysValues($B$28:$E$28, B38:E38,,$N$28:$AN$28,N38:AN38),FALSE),"LOAD")</f>
        <v>1242.5474990973091</v>
      </c>
      <c r="AT15" s="223" t="str">
        <f t="shared" ca="1" si="10"/>
        <v>10Y</v>
      </c>
      <c r="AU15" s="190">
        <f t="shared" ca="1" si="20"/>
        <v>-55.493208528038167</v>
      </c>
      <c r="AV15" s="275">
        <f t="shared" ca="1" si="22"/>
        <v>4.4660834751470743E-2</v>
      </c>
      <c r="AW15" s="163">
        <f t="shared" ca="1" si="23"/>
        <v>1.1943892759172741</v>
      </c>
      <c r="AX15" s="269"/>
      <c r="AY15" s="165"/>
    </row>
    <row r="16" spans="1:53" x14ac:dyDescent="0.25">
      <c r="A16" s="202">
        <v>11</v>
      </c>
      <c r="B16" s="136">
        <f ca="1">IF(OR(D16="",D16=0),"",_xll.meDateFromTenor(COB,F16,$R16,$S16))</f>
        <v>42423</v>
      </c>
      <c r="C16" s="266" t="str">
        <f t="shared" ca="1" si="12"/>
        <v>11Y</v>
      </c>
      <c r="D16" s="238">
        <f t="shared" ca="1" si="13"/>
        <v>1000000</v>
      </c>
      <c r="E16" s="241" t="str">
        <f t="shared" ca="1" si="0"/>
        <v>RECEIVER</v>
      </c>
      <c r="F16" s="250" t="str">
        <f t="shared" ca="1" si="1"/>
        <v>2D</v>
      </c>
      <c r="G16" s="137" t="s">
        <v>17</v>
      </c>
      <c r="H16" s="198">
        <f t="shared" ca="1" si="2"/>
        <v>0.05</v>
      </c>
      <c r="I16" s="138" t="s">
        <v>146</v>
      </c>
      <c r="J16" s="238">
        <f t="shared" ca="1" si="3"/>
        <v>10</v>
      </c>
      <c r="K16" s="264">
        <f t="shared" ca="1" si="4"/>
        <v>-1.31E-3</v>
      </c>
      <c r="L16" s="139" t="s">
        <v>147</v>
      </c>
      <c r="M16" s="144">
        <f t="shared" ca="1" si="5"/>
        <v>42419</v>
      </c>
      <c r="N16" s="148">
        <f t="shared" ref="N16:AK16" ca="1" si="31">N39</f>
        <v>0.05</v>
      </c>
      <c r="O16" s="143">
        <f t="shared" ca="1" si="7"/>
        <v>0</v>
      </c>
      <c r="P16" s="141" t="str">
        <f t="shared" ca="1" si="31"/>
        <v>Annual</v>
      </c>
      <c r="Q16" s="141" t="str">
        <f t="shared" ca="1" si="31"/>
        <v>30/360</v>
      </c>
      <c r="R16" s="141" t="str">
        <f t="shared" ca="1" si="31"/>
        <v>MOD_FOLLOWING</v>
      </c>
      <c r="S16" s="141" t="str">
        <f t="shared" ca="1" si="31"/>
        <v>TGT</v>
      </c>
      <c r="T16" s="187">
        <f t="shared" ca="1" si="31"/>
        <v>0</v>
      </c>
      <c r="U16" s="187">
        <f t="shared" ca="1" si="31"/>
        <v>0</v>
      </c>
      <c r="V16" s="142">
        <f t="shared" ca="1" si="31"/>
        <v>23</v>
      </c>
      <c r="W16" s="141" t="str">
        <f t="shared" ca="1" si="31"/>
        <v>0D</v>
      </c>
      <c r="X16" s="141" t="str">
        <f t="shared" ca="1" si="31"/>
        <v>ShortStart</v>
      </c>
      <c r="Y16" s="142" t="str">
        <f t="shared" ca="1" si="31"/>
        <v>EUR6ML</v>
      </c>
      <c r="Z16" s="178" t="str">
        <f t="shared" ca="1" si="31"/>
        <v>Semi-Annual</v>
      </c>
      <c r="AA16" s="141" t="str">
        <f t="shared" ca="1" si="31"/>
        <v>ACT/360</v>
      </c>
      <c r="AB16" s="141" t="str">
        <f t="shared" ca="1" si="31"/>
        <v>MOD_FOLLOWING</v>
      </c>
      <c r="AC16" s="141" t="str">
        <f t="shared" ca="1" si="31"/>
        <v>TGT</v>
      </c>
      <c r="AD16" s="187">
        <f t="shared" ca="1" si="31"/>
        <v>0</v>
      </c>
      <c r="AE16" s="187">
        <f t="shared" ca="1" si="31"/>
        <v>0</v>
      </c>
      <c r="AF16" s="142">
        <f t="shared" ca="1" si="31"/>
        <v>23</v>
      </c>
      <c r="AG16" s="141" t="str">
        <f t="shared" ca="1" si="31"/>
        <v>0D</v>
      </c>
      <c r="AH16" s="145">
        <f t="shared" ca="1" si="31"/>
        <v>-1.31E-3</v>
      </c>
      <c r="AI16" s="146"/>
      <c r="AJ16" s="141" t="str">
        <f t="shared" ca="1" si="31"/>
        <v>0D</v>
      </c>
      <c r="AK16" s="141" t="str">
        <f t="shared" ca="1" si="31"/>
        <v>ShortStart</v>
      </c>
      <c r="AL16" s="142" t="s">
        <v>156</v>
      </c>
      <c r="AM16" s="142" t="str">
        <f t="shared" ca="1" si="15"/>
        <v>EURDF_NOCSA</v>
      </c>
      <c r="AN16" s="142" t="str">
        <f t="shared" ca="1" si="8"/>
        <v>Spline</v>
      </c>
      <c r="AO16" s="194">
        <f t="shared" ca="1" si="16"/>
        <v>7.6300011012094366E-3</v>
      </c>
      <c r="AP16" s="147">
        <f t="shared" ca="1" si="17"/>
        <v>461684.55063089373</v>
      </c>
      <c r="AQ16" s="147">
        <f t="shared" ca="1" si="18"/>
        <v>1089.649663984467</v>
      </c>
      <c r="AR16" s="147">
        <f t="shared" ca="1" si="19"/>
        <v>1321.3584586234647</v>
      </c>
      <c r="AS16" s="278">
        <f ca="1">IF(AND(NOW(),AQ16=AQ16),_xll.meProductSwapDV01(_xll.meUtilityLVBFromMultipleKeysValues($B$28:$E$28, B39:E39,,$N$28:$AN$28,N39:AN39),FALSE),"LOAD")</f>
        <v>1377.9323840949612</v>
      </c>
      <c r="AT16" s="223" t="str">
        <f t="shared" ca="1" si="10"/>
        <v>11Y</v>
      </c>
      <c r="AU16" s="190">
        <f t="shared" ca="1" si="20"/>
        <v>-56.573925471496523</v>
      </c>
      <c r="AV16" s="275">
        <f t="shared" ca="1" si="22"/>
        <v>4.105711290663569E-2</v>
      </c>
      <c r="AW16" s="163">
        <f t="shared" ca="1" si="23"/>
        <v>1.0807169434583557</v>
      </c>
      <c r="AX16" s="269"/>
      <c r="AY16" s="166"/>
      <c r="AZ16" s="116"/>
    </row>
    <row r="17" spans="1:60" x14ac:dyDescent="0.25">
      <c r="A17" s="202">
        <v>12</v>
      </c>
      <c r="B17" s="136">
        <f ca="1">IF(OR(D17="",D17=0),"",_xll.meDateFromTenor(COB,F17,$R17,$S17))</f>
        <v>42423</v>
      </c>
      <c r="C17" s="266" t="str">
        <f t="shared" ca="1" si="12"/>
        <v>12Y</v>
      </c>
      <c r="D17" s="238">
        <f t="shared" ca="1" si="13"/>
        <v>1000000</v>
      </c>
      <c r="E17" s="241" t="str">
        <f t="shared" ca="1" si="0"/>
        <v>RECEIVER</v>
      </c>
      <c r="F17" s="250" t="str">
        <f t="shared" ca="1" si="1"/>
        <v>2D</v>
      </c>
      <c r="G17" s="137" t="s">
        <v>17</v>
      </c>
      <c r="H17" s="198">
        <f t="shared" ca="1" si="2"/>
        <v>0.05</v>
      </c>
      <c r="I17" s="138" t="s">
        <v>146</v>
      </c>
      <c r="J17" s="238">
        <f t="shared" ca="1" si="3"/>
        <v>10</v>
      </c>
      <c r="K17" s="264">
        <f t="shared" ca="1" si="4"/>
        <v>-1.31E-3</v>
      </c>
      <c r="L17" s="139" t="s">
        <v>147</v>
      </c>
      <c r="M17" s="144">
        <f t="shared" ca="1" si="5"/>
        <v>42419</v>
      </c>
      <c r="N17" s="148">
        <f t="shared" ref="N17:AK17" ca="1" si="32">N40</f>
        <v>0.05</v>
      </c>
      <c r="O17" s="143">
        <f t="shared" ca="1" si="7"/>
        <v>0</v>
      </c>
      <c r="P17" s="141" t="str">
        <f t="shared" ca="1" si="32"/>
        <v>Annual</v>
      </c>
      <c r="Q17" s="141" t="str">
        <f t="shared" ca="1" si="32"/>
        <v>30/360</v>
      </c>
      <c r="R17" s="141" t="str">
        <f t="shared" ca="1" si="32"/>
        <v>MOD_FOLLOWING</v>
      </c>
      <c r="S17" s="141" t="str">
        <f t="shared" ca="1" si="32"/>
        <v>TGT</v>
      </c>
      <c r="T17" s="187">
        <f t="shared" ca="1" si="32"/>
        <v>0</v>
      </c>
      <c r="U17" s="187">
        <f t="shared" ca="1" si="32"/>
        <v>0</v>
      </c>
      <c r="V17" s="142">
        <f t="shared" ca="1" si="32"/>
        <v>23</v>
      </c>
      <c r="W17" s="141" t="str">
        <f t="shared" ca="1" si="32"/>
        <v>0D</v>
      </c>
      <c r="X17" s="141" t="str">
        <f t="shared" ca="1" si="32"/>
        <v>ShortStart</v>
      </c>
      <c r="Y17" s="142" t="str">
        <f t="shared" ca="1" si="32"/>
        <v>EUR6ML</v>
      </c>
      <c r="Z17" s="178" t="str">
        <f t="shared" ca="1" si="32"/>
        <v>Semi-Annual</v>
      </c>
      <c r="AA17" s="141" t="str">
        <f t="shared" ca="1" si="32"/>
        <v>ACT/360</v>
      </c>
      <c r="AB17" s="141" t="str">
        <f t="shared" ca="1" si="32"/>
        <v>MOD_FOLLOWING</v>
      </c>
      <c r="AC17" s="141" t="str">
        <f t="shared" ca="1" si="32"/>
        <v>TGT</v>
      </c>
      <c r="AD17" s="187">
        <f t="shared" ca="1" si="32"/>
        <v>0</v>
      </c>
      <c r="AE17" s="187">
        <f t="shared" ca="1" si="32"/>
        <v>0</v>
      </c>
      <c r="AF17" s="142">
        <f t="shared" ca="1" si="32"/>
        <v>23</v>
      </c>
      <c r="AG17" s="141" t="str">
        <f t="shared" ca="1" si="32"/>
        <v>0D</v>
      </c>
      <c r="AH17" s="145">
        <f t="shared" ca="1" si="32"/>
        <v>-1.31E-3</v>
      </c>
      <c r="AI17" s="146"/>
      <c r="AJ17" s="141" t="str">
        <f t="shared" ca="1" si="32"/>
        <v>0D</v>
      </c>
      <c r="AK17" s="141" t="str">
        <f t="shared" ca="1" si="32"/>
        <v>ShortStart</v>
      </c>
      <c r="AL17" s="142" t="s">
        <v>156</v>
      </c>
      <c r="AM17" s="142" t="str">
        <f t="shared" ca="1" si="15"/>
        <v>EURDF_NOCSA</v>
      </c>
      <c r="AN17" s="142" t="str">
        <f t="shared" ca="1" si="8"/>
        <v>Spline</v>
      </c>
      <c r="AO17" s="194">
        <f t="shared" ca="1" si="16"/>
        <v>8.4700002279511112E-3</v>
      </c>
      <c r="AP17" s="147">
        <f t="shared" ca="1" si="17"/>
        <v>490974.28162646381</v>
      </c>
      <c r="AQ17" s="147">
        <f t="shared" ca="1" si="18"/>
        <v>1182.2159506894732</v>
      </c>
      <c r="AR17" s="147">
        <f t="shared" ca="1" si="19"/>
        <v>1456.31520339282</v>
      </c>
      <c r="AS17" s="278">
        <f ca="1">IF(AND(NOW(),AQ17=AQ17),_xll.meProductSwapDV01(_xll.meUtilityLVBFromMultipleKeysValues($B$28:$E$28, B40:E40,,$N$28:$AN$28,N40:AN40),FALSE),"LOAD")</f>
        <v>1513.7215045630924</v>
      </c>
      <c r="AT17" s="223" t="str">
        <f t="shared" ca="1" si="10"/>
        <v>12Y</v>
      </c>
      <c r="AU17" s="190">
        <f t="shared" ca="1" si="20"/>
        <v>-57.4063011702724</v>
      </c>
      <c r="AV17" s="275">
        <f t="shared" ca="1" si="22"/>
        <v>3.7923951662985497E-2</v>
      </c>
      <c r="AW17" s="163">
        <f t="shared" ca="1" si="23"/>
        <v>0.83237569877587703</v>
      </c>
      <c r="AX17" s="269"/>
    </row>
    <row r="18" spans="1:60" x14ac:dyDescent="0.25">
      <c r="A18" s="202">
        <v>13</v>
      </c>
      <c r="B18" s="136">
        <f ca="1">IF(OR(D18="",D18=0),"",_xll.meDateFromTenor(COB,F18,$R18,$S18))</f>
        <v>42423</v>
      </c>
      <c r="C18" s="266" t="str">
        <f t="shared" ca="1" si="12"/>
        <v>13Y</v>
      </c>
      <c r="D18" s="238">
        <f t="shared" ca="1" si="13"/>
        <v>1000000</v>
      </c>
      <c r="E18" s="241" t="str">
        <f t="shared" ca="1" si="0"/>
        <v>RECEIVER</v>
      </c>
      <c r="F18" s="250" t="str">
        <f t="shared" ca="1" si="1"/>
        <v>2D</v>
      </c>
      <c r="G18" s="137" t="s">
        <v>17</v>
      </c>
      <c r="H18" s="198">
        <f t="shared" ca="1" si="2"/>
        <v>0.05</v>
      </c>
      <c r="I18" s="138" t="s">
        <v>146</v>
      </c>
      <c r="J18" s="238">
        <f t="shared" ca="1" si="3"/>
        <v>10</v>
      </c>
      <c r="K18" s="264">
        <f t="shared" ca="1" si="4"/>
        <v>-1.31E-3</v>
      </c>
      <c r="L18" s="139" t="s">
        <v>147</v>
      </c>
      <c r="M18" s="144">
        <f t="shared" ca="1" si="5"/>
        <v>42419</v>
      </c>
      <c r="N18" s="148">
        <f t="shared" ref="N18:AK18" ca="1" si="33">N41</f>
        <v>0.05</v>
      </c>
      <c r="O18" s="143">
        <f t="shared" ca="1" si="7"/>
        <v>0</v>
      </c>
      <c r="P18" s="141" t="str">
        <f t="shared" ca="1" si="33"/>
        <v>Annual</v>
      </c>
      <c r="Q18" s="141" t="str">
        <f t="shared" ca="1" si="33"/>
        <v>30/360</v>
      </c>
      <c r="R18" s="141" t="str">
        <f t="shared" ca="1" si="33"/>
        <v>MOD_FOLLOWING</v>
      </c>
      <c r="S18" s="141" t="str">
        <f t="shared" ca="1" si="33"/>
        <v>TGT</v>
      </c>
      <c r="T18" s="187">
        <f t="shared" ca="1" si="33"/>
        <v>0</v>
      </c>
      <c r="U18" s="187">
        <f t="shared" ca="1" si="33"/>
        <v>0</v>
      </c>
      <c r="V18" s="142">
        <f t="shared" ca="1" si="33"/>
        <v>23</v>
      </c>
      <c r="W18" s="141" t="str">
        <f t="shared" ca="1" si="33"/>
        <v>0D</v>
      </c>
      <c r="X18" s="141" t="str">
        <f t="shared" ca="1" si="33"/>
        <v>ShortStart</v>
      </c>
      <c r="Y18" s="142" t="str">
        <f t="shared" ca="1" si="33"/>
        <v>EUR6ML</v>
      </c>
      <c r="Z18" s="178" t="str">
        <f t="shared" ca="1" si="33"/>
        <v>Semi-Annual</v>
      </c>
      <c r="AA18" s="141" t="str">
        <f t="shared" ca="1" si="33"/>
        <v>ACT/360</v>
      </c>
      <c r="AB18" s="141" t="str">
        <f t="shared" ca="1" si="33"/>
        <v>MOD_FOLLOWING</v>
      </c>
      <c r="AC18" s="141" t="str">
        <f t="shared" ca="1" si="33"/>
        <v>TGT</v>
      </c>
      <c r="AD18" s="187">
        <f t="shared" ca="1" si="33"/>
        <v>0</v>
      </c>
      <c r="AE18" s="187">
        <f t="shared" ca="1" si="33"/>
        <v>0</v>
      </c>
      <c r="AF18" s="142">
        <f t="shared" ca="1" si="33"/>
        <v>23</v>
      </c>
      <c r="AG18" s="141" t="str">
        <f t="shared" ca="1" si="33"/>
        <v>0D</v>
      </c>
      <c r="AH18" s="145">
        <f t="shared" ca="1" si="33"/>
        <v>-1.31E-3</v>
      </c>
      <c r="AI18" s="146"/>
      <c r="AJ18" s="141" t="str">
        <f t="shared" ca="1" si="33"/>
        <v>0D</v>
      </c>
      <c r="AK18" s="141" t="str">
        <f t="shared" ca="1" si="33"/>
        <v>ShortStart</v>
      </c>
      <c r="AL18" s="142" t="s">
        <v>156</v>
      </c>
      <c r="AM18" s="142" t="str">
        <f t="shared" ca="1" si="15"/>
        <v>EURDF_NOCSA</v>
      </c>
      <c r="AN18" s="142" t="str">
        <f t="shared" ca="1" si="8"/>
        <v>Spline</v>
      </c>
      <c r="AO18" s="194">
        <f t="shared" ca="1" si="16"/>
        <v>9.1897757278818701E-3</v>
      </c>
      <c r="AP18" s="147">
        <f t="shared" ca="1" si="17"/>
        <v>519606.3792749861</v>
      </c>
      <c r="AQ18" s="147">
        <f t="shared" ca="1" si="18"/>
        <v>1273.225983298468</v>
      </c>
      <c r="AR18" s="147">
        <f t="shared" ca="1" si="19"/>
        <v>1592.0865657000686</v>
      </c>
      <c r="AS18" s="278">
        <f ca="1">IF(AND(NOW(),AQ18=AQ18),_xll.meProductSwapDV01(_xll.meUtilityLVBFromMultipleKeysValues($B$28:$E$28, B41:E41,,$N$28:$AN$28,N41:AN41),FALSE),"LOAD")</f>
        <v>1649.9557850526687</v>
      </c>
      <c r="AT18" s="223" t="str">
        <f t="shared" ca="1" si="10"/>
        <v>13Y</v>
      </c>
      <c r="AU18" s="190">
        <f t="shared" ca="1" si="20"/>
        <v>-57.869219352600112</v>
      </c>
      <c r="AV18" s="275">
        <f t="shared" ca="1" si="22"/>
        <v>3.5073194007288415E-2</v>
      </c>
      <c r="AW18" s="163">
        <f t="shared" ca="1" si="23"/>
        <v>0.4629181823277122</v>
      </c>
      <c r="AX18" s="269"/>
    </row>
    <row r="19" spans="1:60" x14ac:dyDescent="0.25">
      <c r="A19" s="202">
        <v>14</v>
      </c>
      <c r="B19" s="136">
        <f ca="1">IF(OR(D19="",D19=0),"",_xll.meDateFromTenor(COB,F19,$R19,$S19))</f>
        <v>42423</v>
      </c>
      <c r="C19" s="266" t="str">
        <f t="shared" ca="1" si="12"/>
        <v>14Y</v>
      </c>
      <c r="D19" s="238">
        <f t="shared" ca="1" si="13"/>
        <v>1000000</v>
      </c>
      <c r="E19" s="241" t="str">
        <f t="shared" ca="1" si="0"/>
        <v>RECEIVER</v>
      </c>
      <c r="F19" s="250" t="str">
        <f t="shared" ca="1" si="1"/>
        <v>2D</v>
      </c>
      <c r="G19" s="137" t="s">
        <v>17</v>
      </c>
      <c r="H19" s="198">
        <f t="shared" ca="1" si="2"/>
        <v>0.05</v>
      </c>
      <c r="I19" s="138" t="s">
        <v>146</v>
      </c>
      <c r="J19" s="238">
        <f t="shared" ca="1" si="3"/>
        <v>10</v>
      </c>
      <c r="K19" s="264">
        <f t="shared" ca="1" si="4"/>
        <v>-1.31E-3</v>
      </c>
      <c r="L19" s="139" t="s">
        <v>147</v>
      </c>
      <c r="M19" s="144">
        <f t="shared" ca="1" si="5"/>
        <v>42419</v>
      </c>
      <c r="N19" s="148">
        <f t="shared" ref="N19:AK19" ca="1" si="34">N42</f>
        <v>0.05</v>
      </c>
      <c r="O19" s="143">
        <f t="shared" ca="1" si="7"/>
        <v>0</v>
      </c>
      <c r="P19" s="141" t="str">
        <f t="shared" ca="1" si="34"/>
        <v>Annual</v>
      </c>
      <c r="Q19" s="141" t="str">
        <f t="shared" ca="1" si="34"/>
        <v>30/360</v>
      </c>
      <c r="R19" s="141" t="str">
        <f t="shared" ca="1" si="34"/>
        <v>MOD_FOLLOWING</v>
      </c>
      <c r="S19" s="141" t="str">
        <f t="shared" ca="1" si="34"/>
        <v>TGT</v>
      </c>
      <c r="T19" s="187">
        <f t="shared" ca="1" si="34"/>
        <v>0</v>
      </c>
      <c r="U19" s="187">
        <f t="shared" ca="1" si="34"/>
        <v>0</v>
      </c>
      <c r="V19" s="142">
        <f t="shared" ca="1" si="34"/>
        <v>23</v>
      </c>
      <c r="W19" s="141" t="str">
        <f t="shared" ca="1" si="34"/>
        <v>0D</v>
      </c>
      <c r="X19" s="141" t="str">
        <f t="shared" ca="1" si="34"/>
        <v>ShortStart</v>
      </c>
      <c r="Y19" s="142" t="str">
        <f t="shared" ca="1" si="34"/>
        <v>EUR6ML</v>
      </c>
      <c r="Z19" s="178" t="str">
        <f t="shared" ca="1" si="34"/>
        <v>Semi-Annual</v>
      </c>
      <c r="AA19" s="141" t="str">
        <f t="shared" ca="1" si="34"/>
        <v>ACT/360</v>
      </c>
      <c r="AB19" s="141" t="str">
        <f t="shared" ca="1" si="34"/>
        <v>MOD_FOLLOWING</v>
      </c>
      <c r="AC19" s="141" t="str">
        <f t="shared" ca="1" si="34"/>
        <v>TGT</v>
      </c>
      <c r="AD19" s="187">
        <f t="shared" ca="1" si="34"/>
        <v>0</v>
      </c>
      <c r="AE19" s="187">
        <f t="shared" ca="1" si="34"/>
        <v>0</v>
      </c>
      <c r="AF19" s="142">
        <f t="shared" ca="1" si="34"/>
        <v>23</v>
      </c>
      <c r="AG19" s="141" t="str">
        <f t="shared" ca="1" si="34"/>
        <v>0D</v>
      </c>
      <c r="AH19" s="145">
        <f t="shared" ca="1" si="34"/>
        <v>-1.31E-3</v>
      </c>
      <c r="AI19" s="146"/>
      <c r="AJ19" s="141" t="str">
        <f t="shared" ca="1" si="34"/>
        <v>0D</v>
      </c>
      <c r="AK19" s="141" t="str">
        <f t="shared" ca="1" si="34"/>
        <v>ShortStart</v>
      </c>
      <c r="AL19" s="142" t="s">
        <v>156</v>
      </c>
      <c r="AM19" s="142" t="str">
        <f t="shared" ca="1" si="15"/>
        <v>EURDF_NOCSA</v>
      </c>
      <c r="AN19" s="142" t="str">
        <f t="shared" ca="1" si="8"/>
        <v>Spline</v>
      </c>
      <c r="AO19" s="194">
        <f t="shared" ca="1" si="16"/>
        <v>9.799485060586078E-3</v>
      </c>
      <c r="AP19" s="147">
        <f t="shared" ca="1" si="17"/>
        <v>548005.49377926486</v>
      </c>
      <c r="AQ19" s="147">
        <f t="shared" ca="1" si="18"/>
        <v>1363.1802841460174</v>
      </c>
      <c r="AR19" s="147">
        <f t="shared" ca="1" si="19"/>
        <v>1729.4174453372834</v>
      </c>
      <c r="AS19" s="278">
        <f ca="1">IF(AND(NOW(),AQ19=AQ19),_xll.meProductSwapDV01(_xll.meUtilityLVBFromMultipleKeysValues($B$28:$E$28, B42:E42,,$N$28:$AN$28,N42:AN42),FALSE),"LOAD")</f>
        <v>1787.4365533962036</v>
      </c>
      <c r="AT19" s="223" t="str">
        <f t="shared" ca="1" si="10"/>
        <v>14Y</v>
      </c>
      <c r="AU19" s="190">
        <f t="shared" ca="1" si="20"/>
        <v>-58.01910805892021</v>
      </c>
      <c r="AV19" s="275">
        <f t="shared" ca="1" si="22"/>
        <v>3.2459394404059545E-2</v>
      </c>
      <c r="AW19" s="163">
        <f t="shared" ca="1" si="23"/>
        <v>0.14988870632009821</v>
      </c>
      <c r="AX19" s="269"/>
    </row>
    <row r="20" spans="1:60" x14ac:dyDescent="0.25">
      <c r="A20" s="202">
        <v>15</v>
      </c>
      <c r="B20" s="136">
        <f ca="1">IF(OR(D20="",D20=0),"",_xll.meDateFromTenor(COB,F20,$R20,$S20))</f>
        <v>42423</v>
      </c>
      <c r="C20" s="266" t="str">
        <f t="shared" ca="1" si="12"/>
        <v>15Y</v>
      </c>
      <c r="D20" s="238">
        <f t="shared" ca="1" si="13"/>
        <v>1000000</v>
      </c>
      <c r="E20" s="241" t="str">
        <f t="shared" ca="1" si="0"/>
        <v>RECEIVER</v>
      </c>
      <c r="F20" s="250" t="str">
        <f t="shared" ca="1" si="1"/>
        <v>2D</v>
      </c>
      <c r="G20" s="137" t="s">
        <v>17</v>
      </c>
      <c r="H20" s="198">
        <f t="shared" ca="1" si="2"/>
        <v>0.05</v>
      </c>
      <c r="I20" s="138" t="s">
        <v>146</v>
      </c>
      <c r="J20" s="238">
        <f t="shared" ca="1" si="3"/>
        <v>10</v>
      </c>
      <c r="K20" s="264">
        <f t="shared" ca="1" si="4"/>
        <v>-1.31E-3</v>
      </c>
      <c r="L20" s="139" t="s">
        <v>147</v>
      </c>
      <c r="M20" s="144">
        <f t="shared" ca="1" si="5"/>
        <v>42419</v>
      </c>
      <c r="N20" s="148">
        <f t="shared" ref="N20:AK20" ca="1" si="35">N43</f>
        <v>0.05</v>
      </c>
      <c r="O20" s="143">
        <f t="shared" ca="1" si="7"/>
        <v>0</v>
      </c>
      <c r="P20" s="141" t="str">
        <f t="shared" ca="1" si="35"/>
        <v>Annual</v>
      </c>
      <c r="Q20" s="141" t="str">
        <f t="shared" ca="1" si="35"/>
        <v>30/360</v>
      </c>
      <c r="R20" s="141" t="str">
        <f t="shared" ca="1" si="35"/>
        <v>MOD_FOLLOWING</v>
      </c>
      <c r="S20" s="141" t="str">
        <f t="shared" ca="1" si="35"/>
        <v>TGT</v>
      </c>
      <c r="T20" s="187">
        <f t="shared" ca="1" si="35"/>
        <v>0</v>
      </c>
      <c r="U20" s="187">
        <f t="shared" ca="1" si="35"/>
        <v>0</v>
      </c>
      <c r="V20" s="142">
        <f t="shared" ca="1" si="35"/>
        <v>23</v>
      </c>
      <c r="W20" s="141" t="str">
        <f t="shared" ca="1" si="35"/>
        <v>0D</v>
      </c>
      <c r="X20" s="141" t="str">
        <f t="shared" ca="1" si="35"/>
        <v>ShortStart</v>
      </c>
      <c r="Y20" s="142" t="str">
        <f t="shared" ca="1" si="35"/>
        <v>EUR6ML</v>
      </c>
      <c r="Z20" s="178" t="str">
        <f t="shared" ca="1" si="35"/>
        <v>Semi-Annual</v>
      </c>
      <c r="AA20" s="141" t="str">
        <f t="shared" ca="1" si="35"/>
        <v>ACT/360</v>
      </c>
      <c r="AB20" s="141" t="str">
        <f t="shared" ca="1" si="35"/>
        <v>MOD_FOLLOWING</v>
      </c>
      <c r="AC20" s="141" t="str">
        <f t="shared" ca="1" si="35"/>
        <v>TGT</v>
      </c>
      <c r="AD20" s="187">
        <f t="shared" ca="1" si="35"/>
        <v>0</v>
      </c>
      <c r="AE20" s="187">
        <f t="shared" ca="1" si="35"/>
        <v>0</v>
      </c>
      <c r="AF20" s="142">
        <f t="shared" ca="1" si="35"/>
        <v>23</v>
      </c>
      <c r="AG20" s="141" t="str">
        <f t="shared" ca="1" si="35"/>
        <v>0D</v>
      </c>
      <c r="AH20" s="145">
        <f t="shared" ca="1" si="35"/>
        <v>-1.31E-3</v>
      </c>
      <c r="AI20" s="146"/>
      <c r="AJ20" s="141" t="str">
        <f t="shared" ca="1" si="35"/>
        <v>0D</v>
      </c>
      <c r="AK20" s="141" t="str">
        <f t="shared" ca="1" si="35"/>
        <v>ShortStart</v>
      </c>
      <c r="AL20" s="142" t="s">
        <v>156</v>
      </c>
      <c r="AM20" s="142" t="str">
        <f t="shared" ca="1" si="15"/>
        <v>EURDF_NOCSA</v>
      </c>
      <c r="AN20" s="142" t="str">
        <f t="shared" ca="1" si="8"/>
        <v>Spline</v>
      </c>
      <c r="AO20" s="194">
        <f t="shared" ca="1" si="16"/>
        <v>1.0300000984888135E-2</v>
      </c>
      <c r="AP20" s="147">
        <f t="shared" ca="1" si="17"/>
        <v>575977.1630456514</v>
      </c>
      <c r="AQ20" s="147">
        <f t="shared" ca="1" si="18"/>
        <v>1450.8241242686299</v>
      </c>
      <c r="AR20" s="147">
        <f t="shared" ca="1" si="19"/>
        <v>1866.496226303163</v>
      </c>
      <c r="AS20" s="278">
        <f ca="1">IF(AND(NOW(),AQ20=AQ20),_xll.meProductSwapDV01(_xll.meUtilityLVBFromMultipleKeysValues($B$28:$E$28, B43:E43,,$N$28:$AN$28,N43:AN43),FALSE),"LOAD")</f>
        <v>1924.2383003418865</v>
      </c>
      <c r="AT20" s="223" t="str">
        <f t="shared" ca="1" si="10"/>
        <v>15Y</v>
      </c>
      <c r="AU20" s="190">
        <f t="shared" ca="1" si="20"/>
        <v>-57.742074038723558</v>
      </c>
      <c r="AV20" s="275">
        <f t="shared" ca="1" si="22"/>
        <v>3.0007756330629274E-2</v>
      </c>
      <c r="AW20" s="163">
        <f t="shared" ca="1" si="23"/>
        <v>0.27703402019665191</v>
      </c>
      <c r="AX20" s="269"/>
    </row>
    <row r="21" spans="1:60" x14ac:dyDescent="0.25">
      <c r="A21" s="202">
        <v>16</v>
      </c>
      <c r="B21" s="136">
        <f ca="1">IF(OR(D21="",D21=0),"",_xll.meDateFromTenor(COB,F21,$R21,$S21))</f>
        <v>42423</v>
      </c>
      <c r="C21" s="266" t="str">
        <f t="shared" ca="1" si="12"/>
        <v>16Y</v>
      </c>
      <c r="D21" s="238">
        <f t="shared" ca="1" si="13"/>
        <v>1000000</v>
      </c>
      <c r="E21" s="241" t="str">
        <f t="shared" ca="1" si="0"/>
        <v>RECEIVER</v>
      </c>
      <c r="F21" s="250" t="str">
        <f t="shared" ca="1" si="1"/>
        <v>2D</v>
      </c>
      <c r="G21" s="137" t="s">
        <v>17</v>
      </c>
      <c r="H21" s="198">
        <f t="shared" ca="1" si="2"/>
        <v>0.05</v>
      </c>
      <c r="I21" s="138" t="s">
        <v>146</v>
      </c>
      <c r="J21" s="238">
        <f t="shared" ca="1" si="3"/>
        <v>10</v>
      </c>
      <c r="K21" s="264">
        <f t="shared" ca="1" si="4"/>
        <v>-1.31E-3</v>
      </c>
      <c r="L21" s="139" t="s">
        <v>147</v>
      </c>
      <c r="M21" s="144">
        <f t="shared" ca="1" si="5"/>
        <v>42419</v>
      </c>
      <c r="N21" s="148">
        <f t="shared" ref="N21:AK21" ca="1" si="36">N44</f>
        <v>0.05</v>
      </c>
      <c r="O21" s="143">
        <f t="shared" ca="1" si="7"/>
        <v>0</v>
      </c>
      <c r="P21" s="141" t="str">
        <f t="shared" ca="1" si="36"/>
        <v>Annual</v>
      </c>
      <c r="Q21" s="141" t="str">
        <f t="shared" ca="1" si="36"/>
        <v>30/360</v>
      </c>
      <c r="R21" s="141" t="str">
        <f t="shared" ca="1" si="36"/>
        <v>MOD_FOLLOWING</v>
      </c>
      <c r="S21" s="141" t="str">
        <f t="shared" ca="1" si="36"/>
        <v>TGT</v>
      </c>
      <c r="T21" s="187">
        <f t="shared" ca="1" si="36"/>
        <v>0</v>
      </c>
      <c r="U21" s="187">
        <f t="shared" ca="1" si="36"/>
        <v>0</v>
      </c>
      <c r="V21" s="142">
        <f t="shared" ca="1" si="36"/>
        <v>23</v>
      </c>
      <c r="W21" s="141" t="str">
        <f t="shared" ca="1" si="36"/>
        <v>0D</v>
      </c>
      <c r="X21" s="141" t="str">
        <f t="shared" ca="1" si="36"/>
        <v>ShortStart</v>
      </c>
      <c r="Y21" s="142" t="str">
        <f t="shared" ca="1" si="36"/>
        <v>EUR6ML</v>
      </c>
      <c r="Z21" s="178" t="str">
        <f t="shared" ca="1" si="36"/>
        <v>Semi-Annual</v>
      </c>
      <c r="AA21" s="141" t="str">
        <f t="shared" ca="1" si="36"/>
        <v>ACT/360</v>
      </c>
      <c r="AB21" s="141" t="str">
        <f t="shared" ca="1" si="36"/>
        <v>MOD_FOLLOWING</v>
      </c>
      <c r="AC21" s="141" t="str">
        <f t="shared" ca="1" si="36"/>
        <v>TGT</v>
      </c>
      <c r="AD21" s="187">
        <f t="shared" ca="1" si="36"/>
        <v>0</v>
      </c>
      <c r="AE21" s="187">
        <f t="shared" ca="1" si="36"/>
        <v>0</v>
      </c>
      <c r="AF21" s="142">
        <f t="shared" ca="1" si="36"/>
        <v>23</v>
      </c>
      <c r="AG21" s="141" t="str">
        <f t="shared" ca="1" si="36"/>
        <v>0D</v>
      </c>
      <c r="AH21" s="145">
        <f t="shared" ca="1" si="36"/>
        <v>-1.31E-3</v>
      </c>
      <c r="AI21" s="146"/>
      <c r="AJ21" s="141" t="str">
        <f t="shared" ca="1" si="36"/>
        <v>0D</v>
      </c>
      <c r="AK21" s="141" t="str">
        <f t="shared" ca="1" si="36"/>
        <v>ShortStart</v>
      </c>
      <c r="AL21" s="142" t="s">
        <v>156</v>
      </c>
      <c r="AM21" s="142" t="str">
        <f t="shared" ca="1" si="15"/>
        <v>EURDF_NOCSA</v>
      </c>
      <c r="AN21" s="142" t="str">
        <f t="shared" ca="1" si="8"/>
        <v>Spline</v>
      </c>
      <c r="AO21" s="194">
        <f t="shared" ca="1" si="16"/>
        <v>1.0705031864264048E-2</v>
      </c>
      <c r="AP21" s="147">
        <f t="shared" ca="1" si="17"/>
        <v>603956.30530547351</v>
      </c>
      <c r="AQ21" s="147">
        <f t="shared" ca="1" si="18"/>
        <v>1536.9812827414376</v>
      </c>
      <c r="AR21" s="147">
        <f t="shared" ca="1" si="19"/>
        <v>2004.6399030302418</v>
      </c>
      <c r="AS21" s="278">
        <f ca="1">IF(AND(NOW(),AQ21=AQ21),_xll.meProductSwapDV01(_xll.meUtilityLVBFromMultipleKeysValues($B$28:$E$28, B44:E44,,$N$28:$AN$28,N44:AN44),FALSE),"LOAD")</f>
        <v>2061.665800139097</v>
      </c>
      <c r="AT21" s="223" t="str">
        <f t="shared" ca="1" si="10"/>
        <v>16Y</v>
      </c>
      <c r="AU21" s="190">
        <f t="shared" ca="1" si="20"/>
        <v>-57.025897108855133</v>
      </c>
      <c r="AV21" s="275">
        <f t="shared" ca="1" si="22"/>
        <v>2.7660107232223428E-2</v>
      </c>
      <c r="AW21" s="163">
        <f t="shared" ca="1" si="23"/>
        <v>0.71617692986842485</v>
      </c>
      <c r="AX21" s="269"/>
    </row>
    <row r="22" spans="1:60" x14ac:dyDescent="0.25">
      <c r="A22" s="202">
        <v>17</v>
      </c>
      <c r="B22" s="136">
        <f ca="1">IF(OR(D22="",D22=0),"",_xll.meDateFromTenor(COB,F22,$R22,$S22))</f>
        <v>42423</v>
      </c>
      <c r="C22" s="266" t="str">
        <f t="shared" ca="1" si="12"/>
        <v>17Y</v>
      </c>
      <c r="D22" s="238">
        <f t="shared" ca="1" si="13"/>
        <v>1000000</v>
      </c>
      <c r="E22" s="241" t="str">
        <f t="shared" ca="1" si="0"/>
        <v>RECEIVER</v>
      </c>
      <c r="F22" s="250" t="str">
        <f t="shared" ca="1" si="1"/>
        <v>2D</v>
      </c>
      <c r="G22" s="137" t="s">
        <v>17</v>
      </c>
      <c r="H22" s="198">
        <f t="shared" ca="1" si="2"/>
        <v>0.05</v>
      </c>
      <c r="I22" s="138" t="s">
        <v>146</v>
      </c>
      <c r="J22" s="238">
        <f t="shared" ca="1" si="3"/>
        <v>10</v>
      </c>
      <c r="K22" s="264">
        <f t="shared" ca="1" si="4"/>
        <v>-1.31E-3</v>
      </c>
      <c r="L22" s="139" t="s">
        <v>147</v>
      </c>
      <c r="M22" s="144">
        <f t="shared" ca="1" si="5"/>
        <v>42419</v>
      </c>
      <c r="N22" s="148">
        <f t="shared" ref="N22:AK22" ca="1" si="37">N45</f>
        <v>0.05</v>
      </c>
      <c r="O22" s="143">
        <f t="shared" ca="1" si="7"/>
        <v>0</v>
      </c>
      <c r="P22" s="141" t="str">
        <f t="shared" ca="1" si="37"/>
        <v>Annual</v>
      </c>
      <c r="Q22" s="141" t="str">
        <f t="shared" ca="1" si="37"/>
        <v>30/360</v>
      </c>
      <c r="R22" s="141" t="str">
        <f t="shared" ca="1" si="37"/>
        <v>MOD_FOLLOWING</v>
      </c>
      <c r="S22" s="141" t="str">
        <f t="shared" ca="1" si="37"/>
        <v>TGT</v>
      </c>
      <c r="T22" s="187">
        <f t="shared" ca="1" si="37"/>
        <v>0</v>
      </c>
      <c r="U22" s="187">
        <f t="shared" ca="1" si="37"/>
        <v>0</v>
      </c>
      <c r="V22" s="142">
        <f t="shared" ca="1" si="37"/>
        <v>23</v>
      </c>
      <c r="W22" s="141" t="str">
        <f t="shared" ca="1" si="37"/>
        <v>0D</v>
      </c>
      <c r="X22" s="141" t="str">
        <f t="shared" ca="1" si="37"/>
        <v>ShortStart</v>
      </c>
      <c r="Y22" s="142" t="str">
        <f t="shared" ca="1" si="37"/>
        <v>EUR6ML</v>
      </c>
      <c r="Z22" s="178" t="str">
        <f t="shared" ca="1" si="37"/>
        <v>Semi-Annual</v>
      </c>
      <c r="AA22" s="141" t="str">
        <f t="shared" ca="1" si="37"/>
        <v>ACT/360</v>
      </c>
      <c r="AB22" s="141" t="str">
        <f t="shared" ca="1" si="37"/>
        <v>MOD_FOLLOWING</v>
      </c>
      <c r="AC22" s="141" t="str">
        <f t="shared" ca="1" si="37"/>
        <v>TGT</v>
      </c>
      <c r="AD22" s="187">
        <f t="shared" ca="1" si="37"/>
        <v>0</v>
      </c>
      <c r="AE22" s="187">
        <f t="shared" ca="1" si="37"/>
        <v>0</v>
      </c>
      <c r="AF22" s="142">
        <f t="shared" ca="1" si="37"/>
        <v>23</v>
      </c>
      <c r="AG22" s="141" t="str">
        <f t="shared" ca="1" si="37"/>
        <v>0D</v>
      </c>
      <c r="AH22" s="145">
        <f t="shared" ca="1" si="37"/>
        <v>-1.31E-3</v>
      </c>
      <c r="AI22" s="146"/>
      <c r="AJ22" s="141" t="str">
        <f t="shared" ca="1" si="37"/>
        <v>0D</v>
      </c>
      <c r="AK22" s="141" t="str">
        <f t="shared" ca="1" si="37"/>
        <v>ShortStart</v>
      </c>
      <c r="AL22" s="142" t="s">
        <v>156</v>
      </c>
      <c r="AM22" s="142" t="str">
        <f t="shared" ca="1" si="15"/>
        <v>EURDF_NOCSA</v>
      </c>
      <c r="AN22" s="142" t="str">
        <f t="shared" ca="1" si="8"/>
        <v>Spline</v>
      </c>
      <c r="AO22" s="194">
        <f t="shared" ca="1" si="16"/>
        <v>1.10321895476518E-2</v>
      </c>
      <c r="AP22" s="147">
        <f t="shared" ca="1" si="17"/>
        <v>632051.87078416301</v>
      </c>
      <c r="AQ22" s="147">
        <f t="shared" ca="1" si="18"/>
        <v>1621.9845648168193</v>
      </c>
      <c r="AR22" s="147">
        <f t="shared" ca="1" si="19"/>
        <v>2144.4580363926943</v>
      </c>
      <c r="AS22" s="278">
        <f ca="1">IF(AND(NOW(),AQ22=AQ22),_xll.meProductSwapDV01(_xll.meUtilityLVBFromMultipleKeysValues($B$28:$E$28, B45:E45,,$N$28:$AN$28,N45:AN45),FALSE),"LOAD")</f>
        <v>2200.2489546129609</v>
      </c>
      <c r="AT22" s="223" t="str">
        <f t="shared" ca="1" si="10"/>
        <v>17Y</v>
      </c>
      <c r="AU22" s="190">
        <f ca="1">IF(ISNA($AO22),NA(),AR22-AS22)</f>
        <v>-55.790918220266576</v>
      </c>
      <c r="AV22" s="275">
        <f ca="1">IF(ISNA($AO22),NA(),IF(AS22=0,0,((AS22-AR22)/AS22)))</f>
        <v>2.5356638894565724E-2</v>
      </c>
      <c r="AW22" s="163">
        <f t="shared" ca="1" si="23"/>
        <v>1.2349788885885573</v>
      </c>
      <c r="AX22" s="269"/>
      <c r="AY22" s="166"/>
      <c r="AZ22" s="166"/>
    </row>
    <row r="23" spans="1:60" x14ac:dyDescent="0.25">
      <c r="A23" s="202">
        <v>18</v>
      </c>
      <c r="B23" s="136">
        <f ca="1">IF(OR(D23="",D23=0),"",_xll.meDateFromTenor(COB,F23,$R23,$S23))</f>
        <v>42423</v>
      </c>
      <c r="C23" s="266" t="str">
        <f t="shared" ca="1" si="12"/>
        <v>18Y</v>
      </c>
      <c r="D23" s="238">
        <f t="shared" ca="1" si="13"/>
        <v>1000000</v>
      </c>
      <c r="E23" s="241" t="str">
        <f t="shared" ca="1" si="0"/>
        <v>RECEIVER</v>
      </c>
      <c r="F23" s="250" t="str">
        <f t="shared" ca="1" si="1"/>
        <v>2D</v>
      </c>
      <c r="G23" s="137" t="s">
        <v>17</v>
      </c>
      <c r="H23" s="198">
        <f t="shared" ca="1" si="2"/>
        <v>0.05</v>
      </c>
      <c r="I23" s="138" t="s">
        <v>146</v>
      </c>
      <c r="J23" s="238">
        <f t="shared" ca="1" si="3"/>
        <v>10</v>
      </c>
      <c r="K23" s="264">
        <f t="shared" ca="1" si="4"/>
        <v>-1.31E-3</v>
      </c>
      <c r="L23" s="139" t="s">
        <v>147</v>
      </c>
      <c r="M23" s="144">
        <f t="shared" ca="1" si="5"/>
        <v>42419</v>
      </c>
      <c r="N23" s="148">
        <f t="shared" ref="N23:AK23" ca="1" si="38">N46</f>
        <v>0.05</v>
      </c>
      <c r="O23" s="143">
        <f t="shared" ca="1" si="7"/>
        <v>0</v>
      </c>
      <c r="P23" s="141" t="str">
        <f t="shared" ca="1" si="38"/>
        <v>Annual</v>
      </c>
      <c r="Q23" s="141" t="str">
        <f t="shared" ca="1" si="38"/>
        <v>30/360</v>
      </c>
      <c r="R23" s="141" t="str">
        <f t="shared" ca="1" si="38"/>
        <v>MOD_FOLLOWING</v>
      </c>
      <c r="S23" s="141" t="str">
        <f t="shared" ca="1" si="38"/>
        <v>TGT</v>
      </c>
      <c r="T23" s="187">
        <f t="shared" ca="1" si="38"/>
        <v>0</v>
      </c>
      <c r="U23" s="187">
        <f t="shared" ca="1" si="38"/>
        <v>0</v>
      </c>
      <c r="V23" s="142">
        <f t="shared" ca="1" si="38"/>
        <v>23</v>
      </c>
      <c r="W23" s="141" t="str">
        <f t="shared" ca="1" si="38"/>
        <v>0D</v>
      </c>
      <c r="X23" s="141" t="str">
        <f t="shared" ca="1" si="38"/>
        <v>ShortStart</v>
      </c>
      <c r="Y23" s="142" t="str">
        <f t="shared" ca="1" si="38"/>
        <v>EUR6ML</v>
      </c>
      <c r="Z23" s="178" t="str">
        <f t="shared" ca="1" si="38"/>
        <v>Semi-Annual</v>
      </c>
      <c r="AA23" s="141" t="str">
        <f t="shared" ca="1" si="38"/>
        <v>ACT/360</v>
      </c>
      <c r="AB23" s="141" t="str">
        <f t="shared" ca="1" si="38"/>
        <v>MOD_FOLLOWING</v>
      </c>
      <c r="AC23" s="141" t="str">
        <f t="shared" ca="1" si="38"/>
        <v>TGT</v>
      </c>
      <c r="AD23" s="187">
        <f t="shared" ca="1" si="38"/>
        <v>0</v>
      </c>
      <c r="AE23" s="187">
        <f t="shared" ca="1" si="38"/>
        <v>0</v>
      </c>
      <c r="AF23" s="142">
        <f t="shared" ca="1" si="38"/>
        <v>23</v>
      </c>
      <c r="AG23" s="141" t="str">
        <f t="shared" ca="1" si="38"/>
        <v>0D</v>
      </c>
      <c r="AH23" s="145">
        <f t="shared" ca="1" si="38"/>
        <v>-1.31E-3</v>
      </c>
      <c r="AI23" s="146"/>
      <c r="AJ23" s="141" t="str">
        <f t="shared" ca="1" si="38"/>
        <v>0D</v>
      </c>
      <c r="AK23" s="141" t="str">
        <f t="shared" ca="1" si="38"/>
        <v>ShortStart</v>
      </c>
      <c r="AL23" s="142" t="s">
        <v>156</v>
      </c>
      <c r="AM23" s="142" t="str">
        <f t="shared" ca="1" si="15"/>
        <v>EURDF_NOCSA</v>
      </c>
      <c r="AN23" s="142" t="str">
        <f t="shared" ca="1" si="8"/>
        <v>Spline</v>
      </c>
      <c r="AO23" s="194">
        <f t="shared" ca="1" si="16"/>
        <v>1.129319855987672E-2</v>
      </c>
      <c r="AP23" s="147">
        <f t="shared" ca="1" si="17"/>
        <v>660213.49130157405</v>
      </c>
      <c r="AQ23" s="147">
        <f t="shared" ca="1" si="18"/>
        <v>1705.6782444885769</v>
      </c>
      <c r="AR23" s="147">
        <f t="shared" ca="1" si="19"/>
        <v>2285.5653748407494</v>
      </c>
      <c r="AS23" s="278">
        <f ca="1">IF(AND(NOW(),AQ23=AQ23),_xll.meProductSwapDV01(_xll.meUtilityLVBFromMultipleKeysValues($B$28:$E$28, B46:E46,,$N$28:$AN$28,N46:AN46),FALSE),"LOAD")</f>
        <v>2339.7173377906365</v>
      </c>
      <c r="AT23" s="223" t="str">
        <f t="shared" ca="1" si="10"/>
        <v>18Y</v>
      </c>
      <c r="AU23" s="190">
        <f t="shared" ca="1" si="20"/>
        <v>-54.151962949887093</v>
      </c>
      <c r="AV23" s="275">
        <f t="shared" ca="1" si="22"/>
        <v>2.3144660286623365E-2</v>
      </c>
      <c r="AW23" s="163">
        <f t="shared" ca="1" si="23"/>
        <v>1.6389552703794834</v>
      </c>
      <c r="AX23" s="269"/>
      <c r="AY23" s="166"/>
      <c r="AZ23" s="166"/>
    </row>
    <row r="24" spans="1:60" x14ac:dyDescent="0.25">
      <c r="A24" s="202">
        <v>19</v>
      </c>
      <c r="B24" s="136">
        <f ca="1">IF(OR(D24="",D24=0),"",_xll.meDateFromTenor(COB,F24,$R24,$S24))</f>
        <v>42423</v>
      </c>
      <c r="C24" s="266" t="str">
        <f t="shared" ca="1" si="12"/>
        <v>19Y</v>
      </c>
      <c r="D24" s="238">
        <f t="shared" ca="1" si="13"/>
        <v>1000000</v>
      </c>
      <c r="E24" s="241" t="str">
        <f t="shared" ca="1" si="0"/>
        <v>RECEIVER</v>
      </c>
      <c r="F24" s="250" t="str">
        <f t="shared" ca="1" si="1"/>
        <v>2D</v>
      </c>
      <c r="G24" s="137" t="s">
        <v>17</v>
      </c>
      <c r="H24" s="198">
        <f t="shared" ca="1" si="2"/>
        <v>0.05</v>
      </c>
      <c r="I24" s="138" t="s">
        <v>146</v>
      </c>
      <c r="J24" s="238">
        <f t="shared" ca="1" si="3"/>
        <v>10</v>
      </c>
      <c r="K24" s="264">
        <f t="shared" ca="1" si="4"/>
        <v>-1.31E-3</v>
      </c>
      <c r="L24" s="139" t="s">
        <v>147</v>
      </c>
      <c r="M24" s="144">
        <f t="shared" ca="1" si="5"/>
        <v>42419</v>
      </c>
      <c r="N24" s="148">
        <f t="shared" ref="N24:AK24" ca="1" si="39">N47</f>
        <v>0.05</v>
      </c>
      <c r="O24" s="143">
        <f t="shared" ca="1" si="7"/>
        <v>0</v>
      </c>
      <c r="P24" s="141" t="str">
        <f t="shared" ca="1" si="39"/>
        <v>Annual</v>
      </c>
      <c r="Q24" s="141" t="str">
        <f t="shared" ca="1" si="39"/>
        <v>30/360</v>
      </c>
      <c r="R24" s="141" t="str">
        <f t="shared" ca="1" si="39"/>
        <v>MOD_FOLLOWING</v>
      </c>
      <c r="S24" s="141" t="str">
        <f t="shared" ca="1" si="39"/>
        <v>TGT</v>
      </c>
      <c r="T24" s="187">
        <f t="shared" ca="1" si="39"/>
        <v>0</v>
      </c>
      <c r="U24" s="187">
        <f t="shared" ca="1" si="39"/>
        <v>0</v>
      </c>
      <c r="V24" s="142">
        <f t="shared" ca="1" si="39"/>
        <v>23</v>
      </c>
      <c r="W24" s="141" t="str">
        <f t="shared" ca="1" si="39"/>
        <v>0D</v>
      </c>
      <c r="X24" s="141" t="str">
        <f t="shared" ca="1" si="39"/>
        <v>ShortStart</v>
      </c>
      <c r="Y24" s="142" t="str">
        <f t="shared" ca="1" si="39"/>
        <v>EUR6ML</v>
      </c>
      <c r="Z24" s="178" t="str">
        <f t="shared" ca="1" si="39"/>
        <v>Semi-Annual</v>
      </c>
      <c r="AA24" s="141" t="str">
        <f t="shared" ca="1" si="39"/>
        <v>ACT/360</v>
      </c>
      <c r="AB24" s="141" t="str">
        <f t="shared" ca="1" si="39"/>
        <v>MOD_FOLLOWING</v>
      </c>
      <c r="AC24" s="141" t="str">
        <f t="shared" ca="1" si="39"/>
        <v>TGT</v>
      </c>
      <c r="AD24" s="187">
        <f t="shared" ca="1" si="39"/>
        <v>0</v>
      </c>
      <c r="AE24" s="187">
        <f t="shared" ca="1" si="39"/>
        <v>0</v>
      </c>
      <c r="AF24" s="142">
        <f t="shared" ca="1" si="39"/>
        <v>23</v>
      </c>
      <c r="AG24" s="141" t="str">
        <f t="shared" ca="1" si="39"/>
        <v>0D</v>
      </c>
      <c r="AH24" s="145">
        <f t="shared" ca="1" si="39"/>
        <v>-1.31E-3</v>
      </c>
      <c r="AI24" s="146"/>
      <c r="AJ24" s="141" t="str">
        <f t="shared" ca="1" si="39"/>
        <v>0D</v>
      </c>
      <c r="AK24" s="141" t="str">
        <f t="shared" ca="1" si="39"/>
        <v>ShortStart</v>
      </c>
      <c r="AL24" s="142" t="s">
        <v>156</v>
      </c>
      <c r="AM24" s="142" t="str">
        <f t="shared" ca="1" si="15"/>
        <v>EURDF_NOCSA</v>
      </c>
      <c r="AN24" s="142" t="str">
        <f t="shared" ca="1" si="8"/>
        <v>Spline</v>
      </c>
      <c r="AO24" s="194">
        <f t="shared" ca="1" si="16"/>
        <v>1.1499433431183611E-2</v>
      </c>
      <c r="AP24" s="147">
        <f t="shared" ca="1" si="17"/>
        <v>688435.92301137105</v>
      </c>
      <c r="AQ24" s="147">
        <f t="shared" ca="1" si="18"/>
        <v>1788.118932214752</v>
      </c>
      <c r="AR24" s="147">
        <f t="shared" ca="1" si="19"/>
        <v>2428.0316540750209</v>
      </c>
      <c r="AS24" s="278">
        <f ca="1">IF(AND(NOW(),AQ24=AQ24),_xll.meProductSwapDV01(_xll.meUtilityLVBFromMultipleKeysValues($B$28:$E$28, B47:E47,,$N$28:$AN$28,N47:AN47),FALSE),"LOAD")</f>
        <v>2480.1282792922775</v>
      </c>
      <c r="AT24" s="223" t="str">
        <f t="shared" ca="1" si="10"/>
        <v>19Y</v>
      </c>
      <c r="AU24" s="190">
        <f t="shared" ca="1" si="20"/>
        <v>-52.096625217256587</v>
      </c>
      <c r="AV24" s="275">
        <f t="shared" ca="1" si="22"/>
        <v>2.1005617190140963E-2</v>
      </c>
      <c r="AW24" s="163">
        <f t="shared" ca="1" si="23"/>
        <v>2.0553377326305053</v>
      </c>
      <c r="AX24" s="269"/>
      <c r="AY24" s="166"/>
      <c r="AZ24" s="166"/>
    </row>
    <row r="25" spans="1:60" x14ac:dyDescent="0.25">
      <c r="A25" s="202">
        <v>20</v>
      </c>
      <c r="B25" s="149">
        <f ca="1">IF(OR(D25="",D25=0),"",_xll.meDateFromTenor(COB,F25,$R25,$S25))</f>
        <v>42423</v>
      </c>
      <c r="C25" s="267" t="str">
        <f t="shared" ca="1" si="12"/>
        <v>20Y</v>
      </c>
      <c r="D25" s="239">
        <f t="shared" ca="1" si="13"/>
        <v>1000000</v>
      </c>
      <c r="E25" s="242" t="str">
        <f t="shared" ca="1" si="0"/>
        <v>RECEIVER</v>
      </c>
      <c r="F25" s="286" t="str">
        <f t="shared" ca="1" si="1"/>
        <v>2D</v>
      </c>
      <c r="G25" s="150" t="s">
        <v>17</v>
      </c>
      <c r="H25" s="199">
        <f t="shared" ca="1" si="2"/>
        <v>0.05</v>
      </c>
      <c r="I25" s="151" t="s">
        <v>146</v>
      </c>
      <c r="J25" s="239">
        <f t="shared" ca="1" si="3"/>
        <v>10</v>
      </c>
      <c r="K25" s="265">
        <f t="shared" ca="1" si="4"/>
        <v>-1.31E-3</v>
      </c>
      <c r="L25" s="152" t="s">
        <v>147</v>
      </c>
      <c r="M25" s="157">
        <f t="shared" ca="1" si="5"/>
        <v>42419</v>
      </c>
      <c r="N25" s="153">
        <f t="shared" ref="N25:AK25" ca="1" si="40">N48</f>
        <v>0.05</v>
      </c>
      <c r="O25" s="156">
        <f t="shared" ca="1" si="7"/>
        <v>0</v>
      </c>
      <c r="P25" s="154" t="str">
        <f t="shared" ca="1" si="40"/>
        <v>Annual</v>
      </c>
      <c r="Q25" s="154" t="str">
        <f t="shared" ca="1" si="40"/>
        <v>30/360</v>
      </c>
      <c r="R25" s="154" t="str">
        <f t="shared" ca="1" si="40"/>
        <v>MOD_FOLLOWING</v>
      </c>
      <c r="S25" s="154" t="str">
        <f t="shared" ca="1" si="40"/>
        <v>TGT</v>
      </c>
      <c r="T25" s="188">
        <f t="shared" ca="1" si="40"/>
        <v>0</v>
      </c>
      <c r="U25" s="188">
        <f t="shared" ca="1" si="40"/>
        <v>0</v>
      </c>
      <c r="V25" s="155">
        <f t="shared" ca="1" si="40"/>
        <v>23</v>
      </c>
      <c r="W25" s="154" t="str">
        <f t="shared" ca="1" si="40"/>
        <v>0D</v>
      </c>
      <c r="X25" s="154" t="str">
        <f t="shared" ca="1" si="40"/>
        <v>ShortStart</v>
      </c>
      <c r="Y25" s="155" t="str">
        <f t="shared" ca="1" si="40"/>
        <v>EUR6ML</v>
      </c>
      <c r="Z25" s="179" t="str">
        <f t="shared" ca="1" si="40"/>
        <v>Semi-Annual</v>
      </c>
      <c r="AA25" s="154" t="str">
        <f t="shared" ca="1" si="40"/>
        <v>ACT/360</v>
      </c>
      <c r="AB25" s="154" t="str">
        <f t="shared" ca="1" si="40"/>
        <v>MOD_FOLLOWING</v>
      </c>
      <c r="AC25" s="154" t="str">
        <f t="shared" ca="1" si="40"/>
        <v>TGT</v>
      </c>
      <c r="AD25" s="188">
        <f t="shared" ca="1" si="40"/>
        <v>0</v>
      </c>
      <c r="AE25" s="188">
        <f t="shared" ca="1" si="40"/>
        <v>0</v>
      </c>
      <c r="AF25" s="155">
        <f t="shared" ca="1" si="40"/>
        <v>23</v>
      </c>
      <c r="AG25" s="154" t="str">
        <f t="shared" ca="1" si="40"/>
        <v>0D</v>
      </c>
      <c r="AH25" s="158">
        <f t="shared" ca="1" si="40"/>
        <v>-1.31E-3</v>
      </c>
      <c r="AI25" s="159"/>
      <c r="AJ25" s="154" t="str">
        <f t="shared" ca="1" si="40"/>
        <v>0D</v>
      </c>
      <c r="AK25" s="154" t="str">
        <f t="shared" ca="1" si="40"/>
        <v>ShortStart</v>
      </c>
      <c r="AL25" s="155" t="s">
        <v>156</v>
      </c>
      <c r="AM25" s="155" t="str">
        <f t="shared" ca="1" si="15"/>
        <v>EURDF_NOCSA</v>
      </c>
      <c r="AN25" s="155" t="str">
        <f t="shared" ca="1" si="8"/>
        <v>Spline</v>
      </c>
      <c r="AO25" s="279">
        <f t="shared" ca="1" si="16"/>
        <v>1.1660000443325323E-2</v>
      </c>
      <c r="AP25" s="280">
        <f t="shared" ca="1" si="17"/>
        <v>716871.04648708738</v>
      </c>
      <c r="AQ25" s="280">
        <f t="shared" ca="1" si="18"/>
        <v>1869.7732258118556</v>
      </c>
      <c r="AR25" s="280">
        <f t="shared" ca="1" si="19"/>
        <v>2572.6352522980887</v>
      </c>
      <c r="AS25" s="281">
        <f ca="1">IF(AND(NOW(),AQ25=AQ25),_xll.meProductSwapDV01(_xll.meUtilityLVBFromMultipleKeysValues($B$28:$E$28, B48:E48,,$N$28:$AN$28,N48:AN48),FALSE),"LOAD")</f>
        <v>2622.272831406437</v>
      </c>
      <c r="AT25" s="282" t="str">
        <f t="shared" ca="1" si="10"/>
        <v>20Y</v>
      </c>
      <c r="AU25" s="283">
        <f t="shared" ca="1" si="20"/>
        <v>-49.637579108348291</v>
      </c>
      <c r="AV25" s="284">
        <f t="shared" ca="1" si="22"/>
        <v>1.892921991710738E-2</v>
      </c>
      <c r="AW25" s="164">
        <f t="shared" ca="1" si="23"/>
        <v>2.4590461089082964</v>
      </c>
      <c r="AX25" s="269"/>
    </row>
    <row r="26" spans="1:60" x14ac:dyDescent="0.25">
      <c r="AO26" s="195"/>
      <c r="AP26" s="174"/>
      <c r="AQ26" s="173"/>
      <c r="AR26" s="231"/>
      <c r="AS26" s="231"/>
      <c r="AT26" s="222"/>
      <c r="AU26" s="173"/>
      <c r="AX26" s="116"/>
    </row>
    <row r="27" spans="1:60" ht="23.25" x14ac:dyDescent="0.35">
      <c r="B27" s="115" t="s">
        <v>157</v>
      </c>
      <c r="AQ27" s="116"/>
      <c r="AR27" s="244"/>
      <c r="AS27" s="244"/>
      <c r="AT27" s="224"/>
      <c r="AU27" s="116"/>
      <c r="AX27" s="116"/>
    </row>
    <row r="28" spans="1:60" ht="33" customHeight="1" x14ac:dyDescent="0.25">
      <c r="B28" s="117" t="s">
        <v>214</v>
      </c>
      <c r="C28" s="219" t="s">
        <v>186</v>
      </c>
      <c r="D28" s="118" t="s">
        <v>135</v>
      </c>
      <c r="E28" s="118" t="s">
        <v>187</v>
      </c>
      <c r="F28" s="118" t="s">
        <v>138</v>
      </c>
      <c r="G28" s="118" t="s">
        <v>16</v>
      </c>
      <c r="H28" s="182" t="s">
        <v>188</v>
      </c>
      <c r="I28" s="118" t="s">
        <v>139</v>
      </c>
      <c r="J28" s="254" t="s">
        <v>190</v>
      </c>
      <c r="K28" s="262" t="s">
        <v>140</v>
      </c>
      <c r="L28" s="118" t="s">
        <v>141</v>
      </c>
      <c r="M28" s="118" t="s">
        <v>208</v>
      </c>
      <c r="N28" s="118" t="s">
        <v>188</v>
      </c>
      <c r="O28" s="118" t="s">
        <v>190</v>
      </c>
      <c r="P28" s="118" t="s">
        <v>191</v>
      </c>
      <c r="Q28" s="118" t="s">
        <v>192</v>
      </c>
      <c r="R28" s="118" t="s">
        <v>193</v>
      </c>
      <c r="S28" s="118" t="s">
        <v>194</v>
      </c>
      <c r="T28" s="185" t="s">
        <v>195</v>
      </c>
      <c r="U28" s="185" t="s">
        <v>196</v>
      </c>
      <c r="V28" s="118" t="s">
        <v>197</v>
      </c>
      <c r="W28" s="118" t="s">
        <v>198</v>
      </c>
      <c r="X28" s="118" t="s">
        <v>199</v>
      </c>
      <c r="Y28" s="118" t="s">
        <v>189</v>
      </c>
      <c r="Z28" s="176" t="s">
        <v>200</v>
      </c>
      <c r="AA28" s="118" t="s">
        <v>201</v>
      </c>
      <c r="AB28" s="118" t="s">
        <v>202</v>
      </c>
      <c r="AC28" s="118" t="s">
        <v>203</v>
      </c>
      <c r="AD28" s="185" t="s">
        <v>204</v>
      </c>
      <c r="AE28" s="185" t="s">
        <v>205</v>
      </c>
      <c r="AF28" s="118" t="s">
        <v>206</v>
      </c>
      <c r="AG28" s="118" t="s">
        <v>207</v>
      </c>
      <c r="AH28" s="118" t="s">
        <v>209</v>
      </c>
      <c r="AI28" s="118" t="s">
        <v>210</v>
      </c>
      <c r="AJ28" s="118" t="s">
        <v>211</v>
      </c>
      <c r="AK28" s="118" t="s">
        <v>212</v>
      </c>
      <c r="AL28" s="118" t="s">
        <v>79</v>
      </c>
      <c r="AM28" s="118" t="s">
        <v>213</v>
      </c>
      <c r="AN28" s="118" t="s">
        <v>122</v>
      </c>
      <c r="AO28" s="193" t="s">
        <v>142</v>
      </c>
      <c r="AP28" s="119" t="s">
        <v>143</v>
      </c>
      <c r="AQ28" s="120" t="s">
        <v>144</v>
      </c>
      <c r="AR28" s="244"/>
      <c r="AS28" s="244"/>
      <c r="AT28" s="224"/>
      <c r="AU28" s="116"/>
      <c r="BH28" s="291"/>
    </row>
    <row r="29" spans="1:60" x14ac:dyDescent="0.25">
      <c r="A29" s="202">
        <v>1</v>
      </c>
      <c r="B29" s="121">
        <f ca="1">B6</f>
        <v>42423</v>
      </c>
      <c r="C29" s="270" t="str">
        <f ca="1">C6</f>
        <v>1Y</v>
      </c>
      <c r="D29" s="237">
        <f ca="1">D6</f>
        <v>1000000</v>
      </c>
      <c r="E29" s="240" t="str">
        <f ca="1">E6</f>
        <v>RECEIVER</v>
      </c>
      <c r="F29" s="248" t="str">
        <f t="shared" ref="F29:L29" ca="1" si="41">F6</f>
        <v>2D</v>
      </c>
      <c r="G29" s="237" t="str">
        <f t="shared" ca="1" si="41"/>
        <v>EUR</v>
      </c>
      <c r="H29" s="197">
        <f t="shared" ca="1" si="41"/>
        <v>0.05</v>
      </c>
      <c r="I29" s="271" t="str">
        <f t="shared" ca="1" si="41"/>
        <v>6ML</v>
      </c>
      <c r="J29" s="255">
        <f t="shared" ref="J29:K48" ca="1" si="42">J6</f>
        <v>0</v>
      </c>
      <c r="K29" s="263">
        <f ca="1">K6</f>
        <v>-1.31E-3</v>
      </c>
      <c r="L29" s="124" t="str">
        <f t="shared" ca="1" si="41"/>
        <v>NOCSA</v>
      </c>
      <c r="M29" s="128">
        <f ca="1">_xll.meDateFromTenor(COB,"-"&amp;AG29,$AB29,$AC29)</f>
        <v>42419</v>
      </c>
      <c r="N29" s="125">
        <f ca="1">H29</f>
        <v>0.05</v>
      </c>
      <c r="O29" s="132">
        <f t="shared" ref="O29:O48" ca="1" si="43">J29</f>
        <v>0</v>
      </c>
      <c r="P29" s="126" t="s">
        <v>25</v>
      </c>
      <c r="Q29" s="127" t="s">
        <v>19</v>
      </c>
      <c r="R29" s="126" t="s">
        <v>21</v>
      </c>
      <c r="S29" s="126" t="s">
        <v>2</v>
      </c>
      <c r="T29" s="186"/>
      <c r="U29" s="186"/>
      <c r="V29" s="129">
        <f ca="1">IF($B29="","",DAY($B29))</f>
        <v>23</v>
      </c>
      <c r="W29" s="130" t="s">
        <v>136</v>
      </c>
      <c r="X29" s="127" t="s">
        <v>137</v>
      </c>
      <c r="Y29" s="131" t="str">
        <f t="shared" ref="Y29:Y48" ca="1" si="44">$G29&amp;$I29</f>
        <v>EUR6ML</v>
      </c>
      <c r="Z29" s="177" t="s">
        <v>120</v>
      </c>
      <c r="AA29" s="127" t="s">
        <v>6</v>
      </c>
      <c r="AB29" s="126" t="s">
        <v>21</v>
      </c>
      <c r="AC29" s="126" t="s">
        <v>2</v>
      </c>
      <c r="AD29" s="186"/>
      <c r="AE29" s="186"/>
      <c r="AF29" s="129">
        <f ca="1">IF($B29="","",DAY($B29))</f>
        <v>23</v>
      </c>
      <c r="AG29" s="130" t="s">
        <v>136</v>
      </c>
      <c r="AH29" s="133">
        <f t="shared" ref="AH29:AH48" ca="1" si="45">K29</f>
        <v>-1.31E-3</v>
      </c>
      <c r="AI29" s="134"/>
      <c r="AJ29" s="130" t="s">
        <v>136</v>
      </c>
      <c r="AK29" s="127" t="s">
        <v>137</v>
      </c>
      <c r="AL29" s="128" t="str">
        <f t="shared" ref="AL29:AL48" ca="1" si="46">CurveCollectionBase</f>
        <v>EURYC_BASE</v>
      </c>
      <c r="AM29" s="131" t="str">
        <f ca="1">LEFT(AL29,3)&amp;"DF_"&amp;L29</f>
        <v>EURDF_NOCSA</v>
      </c>
      <c r="AN29" s="131" t="str">
        <f t="shared" ref="AN29:AN48" ca="1" si="47">Interpolation</f>
        <v>Spline</v>
      </c>
      <c r="AO29" s="276">
        <f ca="1">IF(AND(NOW(),isEUR6MLLoaded),_xll.meProductSwapParRate(_xll.meUtilityLVBFromMultipleKeysValues($B$28:$C$28, B29:C29,,$O$28:$AN$28,O29:AN29),FALSE),"LOAD CURVE")</f>
        <v>-1.3969484986246707E-3</v>
      </c>
      <c r="AP29" s="135">
        <f ca="1">IF(AND(NOW(),isEUR6MLLoaded),_xll.meProductSwapPV(_xll.meUtilityLVBFromMultipleKeysValues($B$28:$E$28, B29:E29,,$N$28:$AN$28,N29:AN29),FALSE),"LOAD CURVE")</f>
        <v>51592.020773859978</v>
      </c>
      <c r="AQ29" s="162">
        <f ca="1">IF(AND(NOW(),isEUR6MLLoaded),_xll.meProductSwapPV01(_xll.meUtilityLVBFromMultipleKeysValues($B$28:$E$28, B29:E29,,$P$28:$AN$28,P29:AN29),FALSE),"LOAD CURVE")</f>
        <v>100.3795405776678</v>
      </c>
      <c r="AR29" s="244"/>
      <c r="AS29" s="244"/>
      <c r="AT29" s="224"/>
      <c r="AU29" s="287"/>
      <c r="BG29" s="290"/>
      <c r="BH29" s="288"/>
    </row>
    <row r="30" spans="1:60" x14ac:dyDescent="0.25">
      <c r="A30" s="202">
        <v>2</v>
      </c>
      <c r="B30" s="136">
        <f t="shared" ref="B30:L30" ca="1" si="48">B7</f>
        <v>42423</v>
      </c>
      <c r="C30" s="266" t="str">
        <f t="shared" ref="C30:E48" ca="1" si="49">C7</f>
        <v>2Y</v>
      </c>
      <c r="D30" s="238">
        <f t="shared" ca="1" si="49"/>
        <v>1000000</v>
      </c>
      <c r="E30" s="241" t="str">
        <f t="shared" ca="1" si="49"/>
        <v>RECEIVER</v>
      </c>
      <c r="F30" s="249" t="str">
        <f t="shared" ca="1" si="48"/>
        <v>2D</v>
      </c>
      <c r="G30" s="238" t="str">
        <f t="shared" ca="1" si="48"/>
        <v>EUR</v>
      </c>
      <c r="H30" s="198">
        <f t="shared" ca="1" si="48"/>
        <v>0.05</v>
      </c>
      <c r="I30" s="99" t="str">
        <f t="shared" ca="1" si="48"/>
        <v>6ML</v>
      </c>
      <c r="J30" s="238">
        <f t="shared" ca="1" si="42"/>
        <v>0</v>
      </c>
      <c r="K30" s="264">
        <f t="shared" ca="1" si="42"/>
        <v>-1.31E-3</v>
      </c>
      <c r="L30" s="139" t="str">
        <f t="shared" ca="1" si="48"/>
        <v>NOCSA</v>
      </c>
      <c r="M30" s="144">
        <f ca="1">_xll.meDateFromTenor(COB,"-"&amp;AG30,$AB30,$AC30)</f>
        <v>42419</v>
      </c>
      <c r="N30" s="140">
        <f t="shared" ref="N30:N48" ca="1" si="50">H30</f>
        <v>0.05</v>
      </c>
      <c r="O30" s="143">
        <f t="shared" ca="1" si="43"/>
        <v>0</v>
      </c>
      <c r="P30" s="113" t="s">
        <v>25</v>
      </c>
      <c r="Q30" s="113" t="s">
        <v>19</v>
      </c>
      <c r="R30" s="113" t="s">
        <v>21</v>
      </c>
      <c r="S30" s="113" t="s">
        <v>2</v>
      </c>
      <c r="T30" s="187"/>
      <c r="U30" s="187"/>
      <c r="V30" s="142">
        <f t="shared" ref="V30:V48" ca="1" si="51">IF($B30="","",DAY($B30))</f>
        <v>23</v>
      </c>
      <c r="W30" s="141" t="s">
        <v>136</v>
      </c>
      <c r="X30" s="141" t="s">
        <v>137</v>
      </c>
      <c r="Y30" s="142" t="str">
        <f t="shared" ca="1" si="44"/>
        <v>EUR6ML</v>
      </c>
      <c r="Z30" s="178" t="s">
        <v>120</v>
      </c>
      <c r="AA30" s="141" t="s">
        <v>6</v>
      </c>
      <c r="AB30" s="141" t="s">
        <v>21</v>
      </c>
      <c r="AC30" s="141" t="s">
        <v>2</v>
      </c>
      <c r="AD30" s="187"/>
      <c r="AE30" s="187"/>
      <c r="AF30" s="142">
        <f t="shared" ref="AF30:AF48" ca="1" si="52">IF($B30="","",DAY($B30))</f>
        <v>23</v>
      </c>
      <c r="AG30" s="141" t="s">
        <v>136</v>
      </c>
      <c r="AH30" s="145">
        <f t="shared" ca="1" si="45"/>
        <v>-1.31E-3</v>
      </c>
      <c r="AI30" s="146"/>
      <c r="AJ30" s="141" t="s">
        <v>136</v>
      </c>
      <c r="AK30" s="141" t="s">
        <v>137</v>
      </c>
      <c r="AL30" s="142" t="str">
        <f t="shared" ca="1" si="46"/>
        <v>EURYC_BASE</v>
      </c>
      <c r="AM30" s="142" t="str">
        <f t="shared" ref="AM30:AM48" ca="1" si="53">LEFT(AL30,3)&amp;"DF_"&amp;L30</f>
        <v>EURDF_NOCSA</v>
      </c>
      <c r="AN30" s="142" t="str">
        <f t="shared" ca="1" si="47"/>
        <v>Spline</v>
      </c>
      <c r="AO30" s="196">
        <f ca="1">IF(AND(NOW(),isEUR6MLLoaded),_xll.meProductSwapParRate(_xll.meUtilityLVBFromMultipleKeysValues($B$28:$C$28, B30:C30,,$O$28:$AN$28,O30:AN30),FALSE),"LOAD CURVE")</f>
        <v>-1.3299999979429925E-3</v>
      </c>
      <c r="AP30" s="147">
        <f ca="1">IF(AND(NOW(),isEUR6MLLoaded),_xll.meProductSwapPV(_xll.meUtilityLVBFromMultipleKeysValues($B$28:$E$28, B30:E30,,$N$28:$AN$28,N30:AN30),FALSE),"LOAD CURVE")</f>
        <v>103251.54527042959</v>
      </c>
      <c r="AQ30" s="163">
        <f ca="1">IF(AND(NOW(),isEUR6MLLoaded),_xll.meProductSwapPV01(_xll.meUtilityLVBFromMultipleKeysValues($B$28:$E$28, B30:E30,,$P$28:$AN$28,P30:AN30),FALSE),"LOAD CURVE")</f>
        <v>201.15243575797254</v>
      </c>
      <c r="AR30" s="244"/>
      <c r="AS30" s="244"/>
      <c r="AT30" s="224"/>
      <c r="AU30" s="287"/>
      <c r="BG30" s="289"/>
      <c r="BH30" s="288"/>
    </row>
    <row r="31" spans="1:60" x14ac:dyDescent="0.25">
      <c r="A31" s="202">
        <v>3</v>
      </c>
      <c r="B31" s="136">
        <f t="shared" ref="B31:L31" ca="1" si="54">B8</f>
        <v>42423</v>
      </c>
      <c r="C31" s="266" t="str">
        <f t="shared" ca="1" si="49"/>
        <v>3Y</v>
      </c>
      <c r="D31" s="238">
        <f t="shared" ca="1" si="49"/>
        <v>1000000</v>
      </c>
      <c r="E31" s="241" t="str">
        <f t="shared" ca="1" si="49"/>
        <v>RECEIVER</v>
      </c>
      <c r="F31" s="249" t="str">
        <f t="shared" ca="1" si="54"/>
        <v>2D</v>
      </c>
      <c r="G31" s="238" t="str">
        <f t="shared" ca="1" si="54"/>
        <v>EUR</v>
      </c>
      <c r="H31" s="198">
        <f t="shared" ca="1" si="54"/>
        <v>0.05</v>
      </c>
      <c r="I31" s="99" t="str">
        <f t="shared" ca="1" si="54"/>
        <v>6ML</v>
      </c>
      <c r="J31" s="238">
        <f t="shared" ca="1" si="42"/>
        <v>0</v>
      </c>
      <c r="K31" s="264">
        <f t="shared" ca="1" si="42"/>
        <v>-1.31E-3</v>
      </c>
      <c r="L31" s="139" t="str">
        <f t="shared" ca="1" si="54"/>
        <v>NOCSA</v>
      </c>
      <c r="M31" s="144">
        <f ca="1">_xll.meDateFromTenor(COB,"-"&amp;AG31,$AB31,$AC31)</f>
        <v>42419</v>
      </c>
      <c r="N31" s="140">
        <f t="shared" ca="1" si="50"/>
        <v>0.05</v>
      </c>
      <c r="O31" s="143">
        <f t="shared" ca="1" si="43"/>
        <v>0</v>
      </c>
      <c r="P31" s="113" t="s">
        <v>25</v>
      </c>
      <c r="Q31" s="113" t="s">
        <v>19</v>
      </c>
      <c r="R31" s="113" t="s">
        <v>21</v>
      </c>
      <c r="S31" s="113" t="s">
        <v>2</v>
      </c>
      <c r="T31" s="187"/>
      <c r="U31" s="187"/>
      <c r="V31" s="142">
        <f t="shared" ca="1" si="51"/>
        <v>23</v>
      </c>
      <c r="W31" s="141" t="s">
        <v>136</v>
      </c>
      <c r="X31" s="141" t="s">
        <v>137</v>
      </c>
      <c r="Y31" s="142" t="str">
        <f t="shared" ca="1" si="44"/>
        <v>EUR6ML</v>
      </c>
      <c r="Z31" s="178" t="s">
        <v>120</v>
      </c>
      <c r="AA31" s="141" t="s">
        <v>6</v>
      </c>
      <c r="AB31" s="141" t="s">
        <v>21</v>
      </c>
      <c r="AC31" s="141" t="s">
        <v>2</v>
      </c>
      <c r="AD31" s="187"/>
      <c r="AE31" s="187"/>
      <c r="AF31" s="142">
        <f t="shared" ca="1" si="52"/>
        <v>23</v>
      </c>
      <c r="AG31" s="141" t="s">
        <v>136</v>
      </c>
      <c r="AH31" s="145">
        <f t="shared" ca="1" si="45"/>
        <v>-1.31E-3</v>
      </c>
      <c r="AI31" s="146"/>
      <c r="AJ31" s="141" t="s">
        <v>136</v>
      </c>
      <c r="AK31" s="141" t="s">
        <v>137</v>
      </c>
      <c r="AL31" s="142" t="str">
        <f t="shared" ca="1" si="46"/>
        <v>EURYC_BASE</v>
      </c>
      <c r="AM31" s="142" t="str">
        <f t="shared" ca="1" si="53"/>
        <v>EURDF_NOCSA</v>
      </c>
      <c r="AN31" s="142" t="str">
        <f t="shared" ca="1" si="47"/>
        <v>Spline</v>
      </c>
      <c r="AO31" s="196">
        <f ca="1">IF(AND(NOW(),isEUR6MLLoaded),_xll.meProductSwapParRate(_xll.meUtilityLVBFromMultipleKeysValues($B$28:$C$28, B31:C31,,$O$28:$AN$28,O31:AN31),FALSE),"LOAD CURVE")</f>
        <v>-8.7000030134215035E-4</v>
      </c>
      <c r="AP31" s="147">
        <f ca="1">IF(AND(NOW(),isEUR6MLLoaded),_xll.meProductSwapPV(_xll.meUtilityLVBFromMultipleKeysValues($B$28:$E$28, B31:E31,,$N$28:$AN$28,N31:AN31),FALSE),"LOAD CURVE")</f>
        <v>154021.02608759893</v>
      </c>
      <c r="AQ31" s="163">
        <f ca="1">IF(AND(NOW(),isEUR6MLLoaded),_xll.meProductSwapPV01(_xll.meUtilityLVBFromMultipleKeysValues($B$28:$E$28, B31:E31,,$P$28:$AN$28,P31:AN31),FALSE),"LOAD CURVE")</f>
        <v>302.77378646942424</v>
      </c>
      <c r="AR31" s="244"/>
      <c r="AS31" s="244"/>
      <c r="AT31" s="224"/>
      <c r="AU31" s="287"/>
      <c r="BG31" s="289"/>
      <c r="BH31" s="288"/>
    </row>
    <row r="32" spans="1:60" x14ac:dyDescent="0.25">
      <c r="A32" s="202">
        <v>4</v>
      </c>
      <c r="B32" s="136">
        <f t="shared" ref="B32:L32" ca="1" si="55">B9</f>
        <v>42423</v>
      </c>
      <c r="C32" s="266" t="str">
        <f t="shared" ca="1" si="49"/>
        <v>4Y</v>
      </c>
      <c r="D32" s="238">
        <f t="shared" ca="1" si="49"/>
        <v>1000000</v>
      </c>
      <c r="E32" s="241" t="str">
        <f t="shared" ca="1" si="49"/>
        <v>RECEIVER</v>
      </c>
      <c r="F32" s="250" t="str">
        <f t="shared" ca="1" si="55"/>
        <v>2D</v>
      </c>
      <c r="G32" s="238" t="str">
        <f t="shared" ca="1" si="55"/>
        <v>EUR</v>
      </c>
      <c r="H32" s="198">
        <f t="shared" ca="1" si="55"/>
        <v>0.05</v>
      </c>
      <c r="I32" s="99" t="str">
        <f t="shared" ca="1" si="55"/>
        <v>6ML</v>
      </c>
      <c r="J32" s="238">
        <f t="shared" ca="1" si="42"/>
        <v>0</v>
      </c>
      <c r="K32" s="264">
        <f t="shared" ca="1" si="42"/>
        <v>-1.31E-3</v>
      </c>
      <c r="L32" s="139" t="str">
        <f t="shared" ca="1" si="55"/>
        <v>NOCSA</v>
      </c>
      <c r="M32" s="144">
        <f ca="1">_xll.meDateFromTenor(COB,"-"&amp;AG32,$AB32,$AC32)</f>
        <v>42419</v>
      </c>
      <c r="N32" s="148">
        <f t="shared" ca="1" si="50"/>
        <v>0.05</v>
      </c>
      <c r="O32" s="143">
        <f t="shared" ca="1" si="43"/>
        <v>0</v>
      </c>
      <c r="P32" s="141" t="s">
        <v>25</v>
      </c>
      <c r="Q32" s="141" t="s">
        <v>19</v>
      </c>
      <c r="R32" s="141" t="s">
        <v>21</v>
      </c>
      <c r="S32" s="141" t="s">
        <v>2</v>
      </c>
      <c r="T32" s="187"/>
      <c r="U32" s="187"/>
      <c r="V32" s="142">
        <f t="shared" ca="1" si="51"/>
        <v>23</v>
      </c>
      <c r="W32" s="141" t="s">
        <v>136</v>
      </c>
      <c r="X32" s="141" t="s">
        <v>137</v>
      </c>
      <c r="Y32" s="142" t="str">
        <f t="shared" ca="1" si="44"/>
        <v>EUR6ML</v>
      </c>
      <c r="Z32" s="178" t="s">
        <v>120</v>
      </c>
      <c r="AA32" s="141" t="s">
        <v>6</v>
      </c>
      <c r="AB32" s="141" t="s">
        <v>21</v>
      </c>
      <c r="AC32" s="141" t="s">
        <v>2</v>
      </c>
      <c r="AD32" s="187"/>
      <c r="AE32" s="187"/>
      <c r="AF32" s="142">
        <f t="shared" ca="1" si="52"/>
        <v>23</v>
      </c>
      <c r="AG32" s="141" t="s">
        <v>136</v>
      </c>
      <c r="AH32" s="145">
        <f t="shared" ca="1" si="45"/>
        <v>-1.31E-3</v>
      </c>
      <c r="AI32" s="146"/>
      <c r="AJ32" s="141" t="s">
        <v>136</v>
      </c>
      <c r="AK32" s="141" t="s">
        <v>137</v>
      </c>
      <c r="AL32" s="142" t="str">
        <f t="shared" ca="1" si="46"/>
        <v>EURYC_BASE</v>
      </c>
      <c r="AM32" s="142" t="str">
        <f t="shared" ca="1" si="53"/>
        <v>EURDF_NOCSA</v>
      </c>
      <c r="AN32" s="142" t="str">
        <f t="shared" ca="1" si="47"/>
        <v>Spline</v>
      </c>
      <c r="AO32" s="196">
        <f ca="1">IF(AND(NOW(),isEUR6MLLoaded),_xll.meProductSwapParRate(_xll.meUtilityLVBFromMultipleKeysValues($B$28:$C$28, B32:C32,,$O$28:$AN$28,O32:AN32),FALSE),"LOAD CURVE")</f>
        <v>-8.0000239431888439E-5</v>
      </c>
      <c r="AP32" s="147">
        <f ca="1">IF(AND(NOW(),isEUR6MLLoaded),_xll.meProductSwapPV(_xll.meUtilityLVBFromMultipleKeysValues($B$28:$E$28, B32:E32,,$N$28:$AN$28,N32:AN32),FALSE),"LOAD CURVE")</f>
        <v>202127.73217691053</v>
      </c>
      <c r="AQ32" s="163">
        <f ca="1">IF(AND(NOW(),isEUR6MLLoaded),_xll.meProductSwapPV01(_xll.meUtilityLVBFromMultipleKeysValues($B$28:$E$28, B32:E32,,$P$28:$AN$28,P32:AN32),FALSE),"LOAD CURVE")</f>
        <v>403.60968692200521</v>
      </c>
      <c r="AR32" s="244"/>
      <c r="AS32" s="244"/>
      <c r="AT32" s="224"/>
      <c r="AU32" s="287"/>
      <c r="BG32" s="289"/>
      <c r="BH32" s="288"/>
    </row>
    <row r="33" spans="1:60" x14ac:dyDescent="0.25">
      <c r="A33" s="202">
        <v>5</v>
      </c>
      <c r="B33" s="136">
        <f t="shared" ref="B33:L33" ca="1" si="56">B10</f>
        <v>42423</v>
      </c>
      <c r="C33" s="266" t="str">
        <f t="shared" ca="1" si="49"/>
        <v>5Y</v>
      </c>
      <c r="D33" s="238">
        <f t="shared" ca="1" si="49"/>
        <v>1000000</v>
      </c>
      <c r="E33" s="241" t="str">
        <f t="shared" ca="1" si="49"/>
        <v>RECEIVER</v>
      </c>
      <c r="F33" s="250" t="str">
        <f t="shared" ca="1" si="56"/>
        <v>2D</v>
      </c>
      <c r="G33" s="238" t="str">
        <f t="shared" ca="1" si="56"/>
        <v>EUR</v>
      </c>
      <c r="H33" s="198">
        <f t="shared" ca="1" si="56"/>
        <v>0.05</v>
      </c>
      <c r="I33" s="99" t="str">
        <f t="shared" ca="1" si="56"/>
        <v>6ML</v>
      </c>
      <c r="J33" s="238">
        <f t="shared" ca="1" si="42"/>
        <v>0</v>
      </c>
      <c r="K33" s="264">
        <f t="shared" ca="1" si="42"/>
        <v>-1.31E-3</v>
      </c>
      <c r="L33" s="139" t="str">
        <f t="shared" ca="1" si="56"/>
        <v>NOCSA</v>
      </c>
      <c r="M33" s="144">
        <f ca="1">_xll.meDateFromTenor(COB,"-"&amp;AG33,$AB33,$AC33)</f>
        <v>42419</v>
      </c>
      <c r="N33" s="148">
        <f t="shared" ca="1" si="50"/>
        <v>0.05</v>
      </c>
      <c r="O33" s="143">
        <f t="shared" ca="1" si="43"/>
        <v>0</v>
      </c>
      <c r="P33" s="141" t="s">
        <v>25</v>
      </c>
      <c r="Q33" s="141" t="s">
        <v>19</v>
      </c>
      <c r="R33" s="141" t="s">
        <v>21</v>
      </c>
      <c r="S33" s="141" t="s">
        <v>2</v>
      </c>
      <c r="T33" s="187"/>
      <c r="U33" s="187"/>
      <c r="V33" s="142">
        <f t="shared" ca="1" si="51"/>
        <v>23</v>
      </c>
      <c r="W33" s="141" t="s">
        <v>136</v>
      </c>
      <c r="X33" s="141" t="s">
        <v>137</v>
      </c>
      <c r="Y33" s="142" t="str">
        <f t="shared" ca="1" si="44"/>
        <v>EUR6ML</v>
      </c>
      <c r="Z33" s="178" t="s">
        <v>120</v>
      </c>
      <c r="AA33" s="141" t="s">
        <v>6</v>
      </c>
      <c r="AB33" s="141" t="s">
        <v>21</v>
      </c>
      <c r="AC33" s="141" t="s">
        <v>2</v>
      </c>
      <c r="AD33" s="187"/>
      <c r="AE33" s="187"/>
      <c r="AF33" s="142">
        <f t="shared" ca="1" si="52"/>
        <v>23</v>
      </c>
      <c r="AG33" s="141" t="s">
        <v>136</v>
      </c>
      <c r="AH33" s="145">
        <f t="shared" ca="1" si="45"/>
        <v>-1.31E-3</v>
      </c>
      <c r="AI33" s="146"/>
      <c r="AJ33" s="141" t="s">
        <v>136</v>
      </c>
      <c r="AK33" s="141" t="s">
        <v>137</v>
      </c>
      <c r="AL33" s="142" t="str">
        <f t="shared" ca="1" si="46"/>
        <v>EURYC_BASE</v>
      </c>
      <c r="AM33" s="142" t="str">
        <f t="shared" ca="1" si="53"/>
        <v>EURDF_NOCSA</v>
      </c>
      <c r="AN33" s="142" t="str">
        <f t="shared" ca="1" si="47"/>
        <v>Spline</v>
      </c>
      <c r="AO33" s="196">
        <f ca="1">IF(AND(NOW(),isEUR6MLLoaded),_xll.meProductSwapParRate(_xll.meUtilityLVBFromMultipleKeysValues($B$28:$C$28, B33:C33,,$O$28:$AN$28,O33:AN33),FALSE),"LOAD CURVE")</f>
        <v>9.3000032286801905E-4</v>
      </c>
      <c r="AP33" s="147">
        <f ca="1">IF(AND(NOW(),isEUR6MLLoaded),_xll.meProductSwapPV(_xll.meUtilityLVBFromMultipleKeysValues($B$28:$E$28, B33:E33,,$N$28:$AN$28,N33:AN33),FALSE),"LOAD CURVE")</f>
        <v>247427.19325913646</v>
      </c>
      <c r="AQ33" s="163">
        <f ca="1">IF(AND(NOW(),isEUR6MLLoaded),_xll.meProductSwapPV01(_xll.meUtilityLVBFromMultipleKeysValues($B$28:$E$28, B33:E33,,$P$28:$AN$28,P33:AN33),FALSE),"LOAD CURVE")</f>
        <v>504.23312558540761</v>
      </c>
      <c r="AR33" s="244"/>
      <c r="AS33" s="244"/>
      <c r="AT33" s="224"/>
      <c r="AU33" s="287"/>
      <c r="BG33" s="289"/>
      <c r="BH33" s="288"/>
    </row>
    <row r="34" spans="1:60" x14ac:dyDescent="0.25">
      <c r="A34" s="202">
        <v>6</v>
      </c>
      <c r="B34" s="136">
        <f t="shared" ref="B34:L34" ca="1" si="57">B11</f>
        <v>42423</v>
      </c>
      <c r="C34" s="266" t="str">
        <f t="shared" ca="1" si="49"/>
        <v>6Y</v>
      </c>
      <c r="D34" s="238">
        <f t="shared" ca="1" si="49"/>
        <v>1000000</v>
      </c>
      <c r="E34" s="241" t="str">
        <f t="shared" ca="1" si="49"/>
        <v>RECEIVER</v>
      </c>
      <c r="F34" s="250" t="str">
        <f t="shared" ca="1" si="57"/>
        <v>2D</v>
      </c>
      <c r="G34" s="238" t="str">
        <f t="shared" ca="1" si="57"/>
        <v>EUR</v>
      </c>
      <c r="H34" s="198">
        <f t="shared" ca="1" si="57"/>
        <v>0.05</v>
      </c>
      <c r="I34" s="99" t="str">
        <f t="shared" ca="1" si="57"/>
        <v>6ML</v>
      </c>
      <c r="J34" s="238">
        <f t="shared" ca="1" si="42"/>
        <v>0</v>
      </c>
      <c r="K34" s="264">
        <f t="shared" ca="1" si="42"/>
        <v>-1.31E-3</v>
      </c>
      <c r="L34" s="139" t="str">
        <f t="shared" ca="1" si="57"/>
        <v>NOCSA</v>
      </c>
      <c r="M34" s="144">
        <f ca="1">_xll.meDateFromTenor(COB,"-"&amp;AG34,$AB34,$AC34)</f>
        <v>42419</v>
      </c>
      <c r="N34" s="148">
        <f t="shared" ca="1" si="50"/>
        <v>0.05</v>
      </c>
      <c r="O34" s="143">
        <f t="shared" ca="1" si="43"/>
        <v>0</v>
      </c>
      <c r="P34" s="141" t="s">
        <v>25</v>
      </c>
      <c r="Q34" s="141" t="s">
        <v>19</v>
      </c>
      <c r="R34" s="141" t="s">
        <v>21</v>
      </c>
      <c r="S34" s="141" t="s">
        <v>2</v>
      </c>
      <c r="T34" s="187"/>
      <c r="U34" s="187"/>
      <c r="V34" s="142">
        <f t="shared" ca="1" si="51"/>
        <v>23</v>
      </c>
      <c r="W34" s="141" t="s">
        <v>136</v>
      </c>
      <c r="X34" s="141" t="s">
        <v>137</v>
      </c>
      <c r="Y34" s="142" t="str">
        <f t="shared" ca="1" si="44"/>
        <v>EUR6ML</v>
      </c>
      <c r="Z34" s="178" t="s">
        <v>120</v>
      </c>
      <c r="AA34" s="141" t="s">
        <v>6</v>
      </c>
      <c r="AB34" s="141" t="s">
        <v>21</v>
      </c>
      <c r="AC34" s="141" t="s">
        <v>2</v>
      </c>
      <c r="AD34" s="187"/>
      <c r="AE34" s="187"/>
      <c r="AF34" s="142">
        <f t="shared" ca="1" si="52"/>
        <v>23</v>
      </c>
      <c r="AG34" s="141" t="s">
        <v>136</v>
      </c>
      <c r="AH34" s="145">
        <f t="shared" ca="1" si="45"/>
        <v>-1.31E-3</v>
      </c>
      <c r="AI34" s="146"/>
      <c r="AJ34" s="141" t="s">
        <v>136</v>
      </c>
      <c r="AK34" s="141" t="s">
        <v>137</v>
      </c>
      <c r="AL34" s="142" t="str">
        <f t="shared" ca="1" si="46"/>
        <v>EURYC_BASE</v>
      </c>
      <c r="AM34" s="142" t="str">
        <f t="shared" ca="1" si="53"/>
        <v>EURDF_NOCSA</v>
      </c>
      <c r="AN34" s="142" t="str">
        <f t="shared" ca="1" si="47"/>
        <v>Spline</v>
      </c>
      <c r="AO34" s="196">
        <f ca="1">IF(AND(NOW(),isEUR6MLLoaded),_xll.meProductSwapParRate(_xll.meUtilityLVBFromMultipleKeysValues($B$28:$C$28, B34:C34,,$O$28:$AN$28,O34:AN34),FALSE),"LOAD CURVE")</f>
        <v>2.0199998839534657E-3</v>
      </c>
      <c r="AP34" s="147">
        <f ca="1">IF(AND(NOW(),isEUR6MLLoaded),_xll.meProductSwapPV(_xll.meUtilityLVBFromMultipleKeysValues($B$28:$E$28, B34:E34,,$N$28:$AN$28,N34:AN34),FALSE),"LOAD CURVE")</f>
        <v>290097.94686855702</v>
      </c>
      <c r="AQ34" s="163">
        <f ca="1">IF(AND(NOW(),isEUR6MLLoaded),_xll.meProductSwapPV01(_xll.meUtilityLVBFromMultipleKeysValues($B$28:$E$28, B34:E34,,$P$28:$AN$28,P34:AN34),FALSE),"LOAD CURVE")</f>
        <v>604.62264728410457</v>
      </c>
      <c r="AR34" s="244"/>
      <c r="AS34" s="244"/>
      <c r="AT34" s="224"/>
      <c r="AU34" s="287"/>
      <c r="BG34" s="289"/>
      <c r="BH34" s="288"/>
    </row>
    <row r="35" spans="1:60" x14ac:dyDescent="0.25">
      <c r="A35" s="202">
        <v>7</v>
      </c>
      <c r="B35" s="136">
        <f t="shared" ref="B35:L35" ca="1" si="58">B12</f>
        <v>42423</v>
      </c>
      <c r="C35" s="266" t="str">
        <f t="shared" ca="1" si="49"/>
        <v>7Y</v>
      </c>
      <c r="D35" s="238">
        <f t="shared" ca="1" si="49"/>
        <v>1000000</v>
      </c>
      <c r="E35" s="241" t="str">
        <f t="shared" ca="1" si="49"/>
        <v>RECEIVER</v>
      </c>
      <c r="F35" s="250" t="str">
        <f t="shared" ca="1" si="58"/>
        <v>2D</v>
      </c>
      <c r="G35" s="238" t="str">
        <f t="shared" ca="1" si="58"/>
        <v>EUR</v>
      </c>
      <c r="H35" s="198">
        <f t="shared" ca="1" si="58"/>
        <v>0.05</v>
      </c>
      <c r="I35" s="99" t="str">
        <f t="shared" ca="1" si="58"/>
        <v>6ML</v>
      </c>
      <c r="J35" s="238">
        <f t="shared" ca="1" si="42"/>
        <v>0</v>
      </c>
      <c r="K35" s="264">
        <f t="shared" ca="1" si="42"/>
        <v>-1.31E-3</v>
      </c>
      <c r="L35" s="139" t="str">
        <f t="shared" ca="1" si="58"/>
        <v>NOCSA</v>
      </c>
      <c r="M35" s="144">
        <f ca="1">_xll.meDateFromTenor(COB,"-"&amp;AG35,$AB35,$AC35)</f>
        <v>42419</v>
      </c>
      <c r="N35" s="148">
        <f t="shared" ca="1" si="50"/>
        <v>0.05</v>
      </c>
      <c r="O35" s="143">
        <f t="shared" ca="1" si="43"/>
        <v>0</v>
      </c>
      <c r="P35" s="141" t="s">
        <v>25</v>
      </c>
      <c r="Q35" s="141" t="s">
        <v>19</v>
      </c>
      <c r="R35" s="141" t="s">
        <v>21</v>
      </c>
      <c r="S35" s="141" t="s">
        <v>2</v>
      </c>
      <c r="T35" s="187"/>
      <c r="U35" s="187"/>
      <c r="V35" s="142">
        <f t="shared" ca="1" si="51"/>
        <v>23</v>
      </c>
      <c r="W35" s="141" t="s">
        <v>136</v>
      </c>
      <c r="X35" s="141" t="s">
        <v>137</v>
      </c>
      <c r="Y35" s="142" t="str">
        <f t="shared" ca="1" si="44"/>
        <v>EUR6ML</v>
      </c>
      <c r="Z35" s="178" t="s">
        <v>120</v>
      </c>
      <c r="AA35" s="141" t="s">
        <v>6</v>
      </c>
      <c r="AB35" s="141" t="s">
        <v>21</v>
      </c>
      <c r="AC35" s="141" t="s">
        <v>2</v>
      </c>
      <c r="AD35" s="187"/>
      <c r="AE35" s="187"/>
      <c r="AF35" s="142">
        <f t="shared" ca="1" si="52"/>
        <v>23</v>
      </c>
      <c r="AG35" s="141" t="s">
        <v>136</v>
      </c>
      <c r="AH35" s="145">
        <f t="shared" ca="1" si="45"/>
        <v>-1.31E-3</v>
      </c>
      <c r="AI35" s="146"/>
      <c r="AJ35" s="141" t="s">
        <v>136</v>
      </c>
      <c r="AK35" s="141" t="s">
        <v>137</v>
      </c>
      <c r="AL35" s="142" t="str">
        <f t="shared" ca="1" si="46"/>
        <v>EURYC_BASE</v>
      </c>
      <c r="AM35" s="142" t="str">
        <f t="shared" ca="1" si="53"/>
        <v>EURDF_NOCSA</v>
      </c>
      <c r="AN35" s="142" t="str">
        <f t="shared" ca="1" si="47"/>
        <v>Spline</v>
      </c>
      <c r="AO35" s="196">
        <f ca="1">IF(AND(NOW(),isEUR6MLLoaded),_xll.meProductSwapParRate(_xll.meUtilityLVBFromMultipleKeysValues($B$28:$C$28, B35:C35,,$O$28:$AN$28,O35:AN35),FALSE),"LOAD CURVE")</f>
        <v>3.2099998477794355E-3</v>
      </c>
      <c r="AP35" s="147">
        <f ca="1">IF(AND(NOW(),isEUR6MLLoaded),_xll.meProductSwapPV(_xll.meUtilityLVBFromMultipleKeysValues($B$28:$E$28, B35:E35,,$N$28:$AN$28,N35:AN35),FALSE),"LOAD CURVE")</f>
        <v>329493.72627417918</v>
      </c>
      <c r="AQ35" s="163">
        <f ca="1">IF(AND(NOW(),isEUR6MLLoaded),_xll.meProductSwapPV01(_xll.meUtilityLVBFromMultipleKeysValues($B$28:$E$28, B35:E35,,$P$28:$AN$28,P35:AN35),FALSE),"LOAD CURVE")</f>
        <v>704.1968921150584</v>
      </c>
      <c r="AR35" s="244"/>
      <c r="AS35" s="244"/>
      <c r="AT35" s="224"/>
      <c r="AU35" s="287"/>
      <c r="BG35" s="289"/>
      <c r="BH35" s="288"/>
    </row>
    <row r="36" spans="1:60" x14ac:dyDescent="0.25">
      <c r="A36" s="202">
        <v>8</v>
      </c>
      <c r="B36" s="136">
        <f t="shared" ref="B36:L36" ca="1" si="59">B13</f>
        <v>42423</v>
      </c>
      <c r="C36" s="266" t="str">
        <f t="shared" ca="1" si="49"/>
        <v>8Y</v>
      </c>
      <c r="D36" s="238">
        <f t="shared" ca="1" si="49"/>
        <v>1000000</v>
      </c>
      <c r="E36" s="241" t="str">
        <f t="shared" ca="1" si="49"/>
        <v>RECEIVER</v>
      </c>
      <c r="F36" s="250" t="str">
        <f t="shared" ca="1" si="59"/>
        <v>2D</v>
      </c>
      <c r="G36" s="238" t="str">
        <f t="shared" ca="1" si="59"/>
        <v>EUR</v>
      </c>
      <c r="H36" s="198">
        <f t="shared" ca="1" si="59"/>
        <v>0.05</v>
      </c>
      <c r="I36" s="99" t="str">
        <f t="shared" ca="1" si="59"/>
        <v>6ML</v>
      </c>
      <c r="J36" s="238">
        <f t="shared" ca="1" si="42"/>
        <v>0</v>
      </c>
      <c r="K36" s="264">
        <f t="shared" ca="1" si="42"/>
        <v>-1.31E-3</v>
      </c>
      <c r="L36" s="139" t="str">
        <f t="shared" ca="1" si="59"/>
        <v>NOCSA</v>
      </c>
      <c r="M36" s="144">
        <f ca="1">_xll.meDateFromTenor(COB,"-"&amp;AG36,$AB36,$AC36)</f>
        <v>42419</v>
      </c>
      <c r="N36" s="148">
        <f t="shared" ca="1" si="50"/>
        <v>0.05</v>
      </c>
      <c r="O36" s="143">
        <f t="shared" ca="1" si="43"/>
        <v>0</v>
      </c>
      <c r="P36" s="141" t="s">
        <v>25</v>
      </c>
      <c r="Q36" s="141" t="s">
        <v>19</v>
      </c>
      <c r="R36" s="141" t="s">
        <v>21</v>
      </c>
      <c r="S36" s="141" t="s">
        <v>2</v>
      </c>
      <c r="T36" s="187"/>
      <c r="U36" s="187"/>
      <c r="V36" s="142">
        <f t="shared" ca="1" si="51"/>
        <v>23</v>
      </c>
      <c r="W36" s="141" t="s">
        <v>136</v>
      </c>
      <c r="X36" s="141" t="s">
        <v>137</v>
      </c>
      <c r="Y36" s="142" t="str">
        <f t="shared" ca="1" si="44"/>
        <v>EUR6ML</v>
      </c>
      <c r="Z36" s="178" t="s">
        <v>120</v>
      </c>
      <c r="AA36" s="141" t="s">
        <v>6</v>
      </c>
      <c r="AB36" s="141" t="s">
        <v>21</v>
      </c>
      <c r="AC36" s="141" t="s">
        <v>2</v>
      </c>
      <c r="AD36" s="187"/>
      <c r="AE36" s="187"/>
      <c r="AF36" s="142">
        <f t="shared" ca="1" si="52"/>
        <v>23</v>
      </c>
      <c r="AG36" s="141" t="s">
        <v>136</v>
      </c>
      <c r="AH36" s="145">
        <f t="shared" ca="1" si="45"/>
        <v>-1.31E-3</v>
      </c>
      <c r="AI36" s="146"/>
      <c r="AJ36" s="141" t="s">
        <v>136</v>
      </c>
      <c r="AK36" s="141" t="s">
        <v>137</v>
      </c>
      <c r="AL36" s="142" t="str">
        <f t="shared" ca="1" si="46"/>
        <v>EURYC_BASE</v>
      </c>
      <c r="AM36" s="142" t="str">
        <f t="shared" ca="1" si="53"/>
        <v>EURDF_NOCSA</v>
      </c>
      <c r="AN36" s="142" t="str">
        <f t="shared" ca="1" si="47"/>
        <v>Spline</v>
      </c>
      <c r="AO36" s="196">
        <f ca="1">IF(AND(NOW(),isEUR6MLLoaded),_xll.meProductSwapParRate(_xll.meUtilityLVBFromMultipleKeysValues($B$28:$C$28, B36:C36,,$O$28:$AN$28,O36:AN36),FALSE),"LOAD CURVE")</f>
        <v>4.4400000352777299E-3</v>
      </c>
      <c r="AP36" s="147">
        <f ca="1">IF(AND(NOW(),isEUR6MLLoaded),_xll.meProductSwapPV(_xll.meUtilityLVBFromMultipleKeysValues($B$28:$E$28, B36:E36,,$N$28:$AN$28,N36:AN36),FALSE),"LOAD CURVE")</f>
        <v>365695.91945448774</v>
      </c>
      <c r="AQ36" s="163">
        <f ca="1">IF(AND(NOW(),isEUR6MLLoaded),_xll.meProductSwapPV01(_xll.meUtilityLVBFromMultipleKeysValues($B$28:$E$28, B36:E36,,$P$28:$AN$28,P36:AN36),FALSE),"LOAD CURVE")</f>
        <v>802.66883173321128</v>
      </c>
      <c r="AR36" s="244"/>
      <c r="AS36" s="244"/>
      <c r="AT36" s="224"/>
      <c r="AU36" s="287"/>
      <c r="BG36" s="289"/>
      <c r="BH36" s="288"/>
    </row>
    <row r="37" spans="1:60" x14ac:dyDescent="0.25">
      <c r="A37" s="202">
        <v>9</v>
      </c>
      <c r="B37" s="136">
        <f t="shared" ref="B37:L37" ca="1" si="60">B14</f>
        <v>42423</v>
      </c>
      <c r="C37" s="266" t="str">
        <f t="shared" ca="1" si="49"/>
        <v>9Y</v>
      </c>
      <c r="D37" s="238">
        <f t="shared" ca="1" si="49"/>
        <v>1000000</v>
      </c>
      <c r="E37" s="241" t="str">
        <f t="shared" ca="1" si="49"/>
        <v>RECEIVER</v>
      </c>
      <c r="F37" s="250" t="str">
        <f t="shared" ca="1" si="60"/>
        <v>2D</v>
      </c>
      <c r="G37" s="238" t="str">
        <f t="shared" ca="1" si="60"/>
        <v>EUR</v>
      </c>
      <c r="H37" s="198">
        <f t="shared" ca="1" si="60"/>
        <v>0.05</v>
      </c>
      <c r="I37" s="99" t="str">
        <f t="shared" ca="1" si="60"/>
        <v>6ML</v>
      </c>
      <c r="J37" s="238">
        <f t="shared" ca="1" si="42"/>
        <v>0</v>
      </c>
      <c r="K37" s="264">
        <f t="shared" ca="1" si="42"/>
        <v>-1.31E-3</v>
      </c>
      <c r="L37" s="139" t="str">
        <f t="shared" ca="1" si="60"/>
        <v>NOCSA</v>
      </c>
      <c r="M37" s="144">
        <f ca="1">_xll.meDateFromTenor(COB,"-"&amp;AG37,$AB37,$AC37)</f>
        <v>42419</v>
      </c>
      <c r="N37" s="148">
        <f t="shared" ca="1" si="50"/>
        <v>0.05</v>
      </c>
      <c r="O37" s="143">
        <f t="shared" ca="1" si="43"/>
        <v>0</v>
      </c>
      <c r="P37" s="141" t="s">
        <v>25</v>
      </c>
      <c r="Q37" s="141" t="s">
        <v>19</v>
      </c>
      <c r="R37" s="141" t="s">
        <v>21</v>
      </c>
      <c r="S37" s="141" t="s">
        <v>2</v>
      </c>
      <c r="T37" s="187"/>
      <c r="U37" s="187"/>
      <c r="V37" s="142">
        <f t="shared" ca="1" si="51"/>
        <v>23</v>
      </c>
      <c r="W37" s="141" t="s">
        <v>136</v>
      </c>
      <c r="X37" s="141" t="s">
        <v>137</v>
      </c>
      <c r="Y37" s="142" t="str">
        <f t="shared" ca="1" si="44"/>
        <v>EUR6ML</v>
      </c>
      <c r="Z37" s="178" t="s">
        <v>120</v>
      </c>
      <c r="AA37" s="141" t="s">
        <v>6</v>
      </c>
      <c r="AB37" s="141" t="s">
        <v>21</v>
      </c>
      <c r="AC37" s="141" t="s">
        <v>2</v>
      </c>
      <c r="AD37" s="187"/>
      <c r="AE37" s="187"/>
      <c r="AF37" s="142">
        <f t="shared" ca="1" si="52"/>
        <v>23</v>
      </c>
      <c r="AG37" s="141" t="s">
        <v>136</v>
      </c>
      <c r="AH37" s="145">
        <f t="shared" ca="1" si="45"/>
        <v>-1.31E-3</v>
      </c>
      <c r="AI37" s="146"/>
      <c r="AJ37" s="141" t="s">
        <v>136</v>
      </c>
      <c r="AK37" s="141" t="s">
        <v>137</v>
      </c>
      <c r="AL37" s="142" t="str">
        <f t="shared" ca="1" si="46"/>
        <v>EURYC_BASE</v>
      </c>
      <c r="AM37" s="142" t="str">
        <f t="shared" ca="1" si="53"/>
        <v>EURDF_NOCSA</v>
      </c>
      <c r="AN37" s="142" t="str">
        <f t="shared" ca="1" si="47"/>
        <v>Spline</v>
      </c>
      <c r="AO37" s="196">
        <f ca="1">IF(AND(NOW(),isEUR6MLLoaded),_xll.meProductSwapParRate(_xll.meUtilityLVBFromMultipleKeysValues($B$28:$C$28, B37:C37,,$O$28:$AN$28,O37:AN37),FALSE),"LOAD CURVE")</f>
        <v>5.6100006178046767E-3</v>
      </c>
      <c r="AP37" s="147">
        <f ca="1">IF(AND(NOW(),isEUR6MLLoaded),_xll.meProductSwapPV(_xll.meUtilityLVBFromMultipleKeysValues($B$28:$E$28, B37:E37,,$N$28:$AN$28,N37:AN37),FALSE),"LOAD CURVE")</f>
        <v>399546.69281864812</v>
      </c>
      <c r="AQ37" s="163">
        <f ca="1">IF(AND(NOW(),isEUR6MLLoaded),_xll.meProductSwapPV01(_xll.meUtilityLVBFromMultipleKeysValues($B$28:$E$28, B37:E37,,$P$28:$AN$28,P37:AN37),FALSE),"LOAD CURVE")</f>
        <v>900.08267262762092</v>
      </c>
      <c r="AR37" s="244"/>
      <c r="AS37" s="244"/>
      <c r="AT37" s="224"/>
      <c r="AU37" s="287"/>
      <c r="BG37" s="289"/>
      <c r="BH37" s="288"/>
    </row>
    <row r="38" spans="1:60" x14ac:dyDescent="0.25">
      <c r="A38" s="202">
        <v>10</v>
      </c>
      <c r="B38" s="136">
        <f t="shared" ref="B38:L38" ca="1" si="61">B15</f>
        <v>42423</v>
      </c>
      <c r="C38" s="266" t="str">
        <f t="shared" ca="1" si="49"/>
        <v>10Y</v>
      </c>
      <c r="D38" s="238">
        <f t="shared" ca="1" si="49"/>
        <v>1000000</v>
      </c>
      <c r="E38" s="241" t="str">
        <f t="shared" ca="1" si="49"/>
        <v>RECEIVER</v>
      </c>
      <c r="F38" s="250" t="str">
        <f t="shared" ca="1" si="61"/>
        <v>2D</v>
      </c>
      <c r="G38" s="238" t="str">
        <f t="shared" ca="1" si="61"/>
        <v>EUR</v>
      </c>
      <c r="H38" s="198">
        <f t="shared" ca="1" si="61"/>
        <v>0.05</v>
      </c>
      <c r="I38" s="99" t="str">
        <f t="shared" ca="1" si="61"/>
        <v>6ML</v>
      </c>
      <c r="J38" s="238">
        <f t="shared" ca="1" si="42"/>
        <v>0</v>
      </c>
      <c r="K38" s="264">
        <f t="shared" ca="1" si="42"/>
        <v>-1.31E-3</v>
      </c>
      <c r="L38" s="139" t="str">
        <f t="shared" ca="1" si="61"/>
        <v>NOCSA</v>
      </c>
      <c r="M38" s="144">
        <f ca="1">_xll.meDateFromTenor(COB,"-"&amp;AG38,$AB38,$AC38)</f>
        <v>42419</v>
      </c>
      <c r="N38" s="148">
        <f t="shared" ca="1" si="50"/>
        <v>0.05</v>
      </c>
      <c r="O38" s="143">
        <f t="shared" ca="1" si="43"/>
        <v>0</v>
      </c>
      <c r="P38" s="141" t="s">
        <v>25</v>
      </c>
      <c r="Q38" s="141" t="s">
        <v>19</v>
      </c>
      <c r="R38" s="141" t="s">
        <v>21</v>
      </c>
      <c r="S38" s="141" t="s">
        <v>2</v>
      </c>
      <c r="T38" s="187"/>
      <c r="U38" s="187"/>
      <c r="V38" s="142">
        <f t="shared" ca="1" si="51"/>
        <v>23</v>
      </c>
      <c r="W38" s="141" t="s">
        <v>136</v>
      </c>
      <c r="X38" s="141" t="s">
        <v>137</v>
      </c>
      <c r="Y38" s="142" t="str">
        <f t="shared" ca="1" si="44"/>
        <v>EUR6ML</v>
      </c>
      <c r="Z38" s="178" t="s">
        <v>120</v>
      </c>
      <c r="AA38" s="141" t="s">
        <v>6</v>
      </c>
      <c r="AB38" s="141" t="s">
        <v>21</v>
      </c>
      <c r="AC38" s="141" t="s">
        <v>2</v>
      </c>
      <c r="AD38" s="187"/>
      <c r="AE38" s="187"/>
      <c r="AF38" s="142">
        <f t="shared" ca="1" si="52"/>
        <v>23</v>
      </c>
      <c r="AG38" s="141" t="s">
        <v>136</v>
      </c>
      <c r="AH38" s="145">
        <f t="shared" ca="1" si="45"/>
        <v>-1.31E-3</v>
      </c>
      <c r="AI38" s="146"/>
      <c r="AJ38" s="141" t="s">
        <v>136</v>
      </c>
      <c r="AK38" s="141" t="s">
        <v>137</v>
      </c>
      <c r="AL38" s="142" t="str">
        <f t="shared" ca="1" si="46"/>
        <v>EURYC_BASE</v>
      </c>
      <c r="AM38" s="142" t="str">
        <f t="shared" ca="1" si="53"/>
        <v>EURDF_NOCSA</v>
      </c>
      <c r="AN38" s="142" t="str">
        <f t="shared" ca="1" si="47"/>
        <v>Spline</v>
      </c>
      <c r="AO38" s="196">
        <f ca="1">IF(AND(NOW(),isEUR6MLLoaded),_xll.meProductSwapParRate(_xll.meUtilityLVBFromMultipleKeysValues($B$28:$C$28, B38:C38,,$O$28:$AN$28,O38:AN38),FALSE),"LOAD CURVE")</f>
        <v>6.670001105140282E-3</v>
      </c>
      <c r="AP38" s="147">
        <f ca="1">IF(AND(NOW(),isEUR6MLLoaded),_xll.meProductSwapPV(_xll.meUtilityLVBFromMultipleKeysValues($B$28:$E$28, B38:E38,,$N$28:$AN$28,N38:AN38),FALSE),"LOAD CURVE")</f>
        <v>431352.93151973764</v>
      </c>
      <c r="AQ38" s="163">
        <f ca="1">IF(AND(NOW(),isEUR6MLLoaded),_xll.meProductSwapPV01(_xll.meUtilityLVBFromMultipleKeysValues($B$28:$E$28, B38:E38,,$P$28:$AN$28,P38:AN38),FALSE),"LOAD CURVE")</f>
        <v>995.50644398477687</v>
      </c>
      <c r="AR38" s="244"/>
      <c r="AS38" s="244"/>
      <c r="AT38" s="224"/>
      <c r="AU38" s="287"/>
      <c r="BG38" s="289"/>
      <c r="BH38" s="288"/>
    </row>
    <row r="39" spans="1:60" x14ac:dyDescent="0.25">
      <c r="A39" s="202">
        <v>11</v>
      </c>
      <c r="B39" s="136">
        <f t="shared" ref="B39:L39" ca="1" si="62">B16</f>
        <v>42423</v>
      </c>
      <c r="C39" s="266" t="str">
        <f t="shared" ca="1" si="49"/>
        <v>11Y</v>
      </c>
      <c r="D39" s="238">
        <f t="shared" ca="1" si="49"/>
        <v>1000000</v>
      </c>
      <c r="E39" s="241" t="str">
        <f t="shared" ca="1" si="49"/>
        <v>RECEIVER</v>
      </c>
      <c r="F39" s="250" t="str">
        <f t="shared" ca="1" si="62"/>
        <v>2D</v>
      </c>
      <c r="G39" s="238" t="str">
        <f t="shared" ca="1" si="62"/>
        <v>EUR</v>
      </c>
      <c r="H39" s="198">
        <f t="shared" ca="1" si="62"/>
        <v>0.05</v>
      </c>
      <c r="I39" s="99" t="str">
        <f t="shared" ca="1" si="62"/>
        <v>6ML</v>
      </c>
      <c r="J39" s="238">
        <f t="shared" ca="1" si="42"/>
        <v>0</v>
      </c>
      <c r="K39" s="264">
        <f t="shared" ca="1" si="42"/>
        <v>-1.31E-3</v>
      </c>
      <c r="L39" s="139" t="str">
        <f t="shared" ca="1" si="62"/>
        <v>NOCSA</v>
      </c>
      <c r="M39" s="144">
        <f ca="1">_xll.meDateFromTenor(COB,"-"&amp;AG39,$AB39,$AC39)</f>
        <v>42419</v>
      </c>
      <c r="N39" s="148">
        <f t="shared" ca="1" si="50"/>
        <v>0.05</v>
      </c>
      <c r="O39" s="143">
        <f t="shared" ca="1" si="43"/>
        <v>0</v>
      </c>
      <c r="P39" s="141" t="s">
        <v>25</v>
      </c>
      <c r="Q39" s="141" t="s">
        <v>19</v>
      </c>
      <c r="R39" s="141" t="s">
        <v>21</v>
      </c>
      <c r="S39" s="141" t="s">
        <v>2</v>
      </c>
      <c r="T39" s="187"/>
      <c r="U39" s="187"/>
      <c r="V39" s="142">
        <f t="shared" ca="1" si="51"/>
        <v>23</v>
      </c>
      <c r="W39" s="141" t="s">
        <v>136</v>
      </c>
      <c r="X39" s="141" t="s">
        <v>137</v>
      </c>
      <c r="Y39" s="142" t="str">
        <f t="shared" ca="1" si="44"/>
        <v>EUR6ML</v>
      </c>
      <c r="Z39" s="178" t="s">
        <v>120</v>
      </c>
      <c r="AA39" s="141" t="s">
        <v>6</v>
      </c>
      <c r="AB39" s="141" t="s">
        <v>21</v>
      </c>
      <c r="AC39" s="141" t="s">
        <v>2</v>
      </c>
      <c r="AD39" s="187"/>
      <c r="AE39" s="187"/>
      <c r="AF39" s="142">
        <f t="shared" ca="1" si="52"/>
        <v>23</v>
      </c>
      <c r="AG39" s="141" t="s">
        <v>136</v>
      </c>
      <c r="AH39" s="145">
        <f t="shared" ca="1" si="45"/>
        <v>-1.31E-3</v>
      </c>
      <c r="AI39" s="146"/>
      <c r="AJ39" s="141" t="s">
        <v>136</v>
      </c>
      <c r="AK39" s="141" t="s">
        <v>137</v>
      </c>
      <c r="AL39" s="142" t="str">
        <f t="shared" ca="1" si="46"/>
        <v>EURYC_BASE</v>
      </c>
      <c r="AM39" s="142" t="str">
        <f t="shared" ca="1" si="53"/>
        <v>EURDF_NOCSA</v>
      </c>
      <c r="AN39" s="142" t="str">
        <f t="shared" ca="1" si="47"/>
        <v>Spline</v>
      </c>
      <c r="AO39" s="196">
        <f ca="1">IF(AND(NOW(),isEUR6MLLoaded),_xll.meProductSwapParRate(_xll.meUtilityLVBFromMultipleKeysValues($B$28:$C$28, B39:C39,,$O$28:$AN$28,O39:AN39),FALSE),"LOAD CURVE")</f>
        <v>7.6300011012094366E-3</v>
      </c>
      <c r="AP39" s="147">
        <f ca="1">IF(AND(NOW(),isEUR6MLLoaded),_xll.meProductSwapPV(_xll.meUtilityLVBFromMultipleKeysValues($B$28:$E$28, B39:E39,,$N$28:$AN$28,N39:AN39),FALSE),"LOAD CURVE")</f>
        <v>461684.55063089373</v>
      </c>
      <c r="AQ39" s="163">
        <f ca="1">IF(AND(NOW(),isEUR6MLLoaded),_xll.meProductSwapPV01(_xll.meUtilityLVBFromMultipleKeysValues($B$28:$E$28, B39:E39,,$P$28:$AN$28,P39:AN39),FALSE),"LOAD CURVE")</f>
        <v>1089.649663984467</v>
      </c>
      <c r="AR39" s="244"/>
      <c r="AS39" s="244"/>
      <c r="AT39" s="224"/>
      <c r="AU39" s="287"/>
      <c r="BG39" s="289"/>
      <c r="BH39" s="288"/>
    </row>
    <row r="40" spans="1:60" x14ac:dyDescent="0.25">
      <c r="A40" s="202">
        <v>12</v>
      </c>
      <c r="B40" s="136">
        <f t="shared" ref="B40:L40" ca="1" si="63">B17</f>
        <v>42423</v>
      </c>
      <c r="C40" s="266" t="str">
        <f t="shared" ca="1" si="49"/>
        <v>12Y</v>
      </c>
      <c r="D40" s="238">
        <f t="shared" ca="1" si="49"/>
        <v>1000000</v>
      </c>
      <c r="E40" s="241" t="str">
        <f t="shared" ca="1" si="49"/>
        <v>RECEIVER</v>
      </c>
      <c r="F40" s="250" t="str">
        <f t="shared" ca="1" si="63"/>
        <v>2D</v>
      </c>
      <c r="G40" s="238" t="str">
        <f t="shared" ca="1" si="63"/>
        <v>EUR</v>
      </c>
      <c r="H40" s="198">
        <f t="shared" ca="1" si="63"/>
        <v>0.05</v>
      </c>
      <c r="I40" s="99" t="str">
        <f t="shared" ca="1" si="63"/>
        <v>6ML</v>
      </c>
      <c r="J40" s="238">
        <f t="shared" ca="1" si="42"/>
        <v>0</v>
      </c>
      <c r="K40" s="264">
        <f t="shared" ca="1" si="42"/>
        <v>-1.31E-3</v>
      </c>
      <c r="L40" s="139" t="str">
        <f t="shared" ca="1" si="63"/>
        <v>NOCSA</v>
      </c>
      <c r="M40" s="144">
        <f ca="1">_xll.meDateFromTenor(COB,"-"&amp;AG40,$AB40,$AC40)</f>
        <v>42419</v>
      </c>
      <c r="N40" s="148">
        <f t="shared" ca="1" si="50"/>
        <v>0.05</v>
      </c>
      <c r="O40" s="143">
        <f t="shared" ca="1" si="43"/>
        <v>0</v>
      </c>
      <c r="P40" s="141" t="s">
        <v>25</v>
      </c>
      <c r="Q40" s="141" t="s">
        <v>19</v>
      </c>
      <c r="R40" s="141" t="s">
        <v>21</v>
      </c>
      <c r="S40" s="141" t="s">
        <v>2</v>
      </c>
      <c r="T40" s="187"/>
      <c r="U40" s="187"/>
      <c r="V40" s="142">
        <f t="shared" ca="1" si="51"/>
        <v>23</v>
      </c>
      <c r="W40" s="141" t="s">
        <v>136</v>
      </c>
      <c r="X40" s="141" t="s">
        <v>137</v>
      </c>
      <c r="Y40" s="142" t="str">
        <f t="shared" ca="1" si="44"/>
        <v>EUR6ML</v>
      </c>
      <c r="Z40" s="178" t="s">
        <v>120</v>
      </c>
      <c r="AA40" s="141" t="s">
        <v>6</v>
      </c>
      <c r="AB40" s="141" t="s">
        <v>21</v>
      </c>
      <c r="AC40" s="141" t="s">
        <v>2</v>
      </c>
      <c r="AD40" s="187"/>
      <c r="AE40" s="187"/>
      <c r="AF40" s="142">
        <f t="shared" ca="1" si="52"/>
        <v>23</v>
      </c>
      <c r="AG40" s="141" t="s">
        <v>136</v>
      </c>
      <c r="AH40" s="145">
        <f t="shared" ca="1" si="45"/>
        <v>-1.31E-3</v>
      </c>
      <c r="AI40" s="146"/>
      <c r="AJ40" s="141" t="s">
        <v>136</v>
      </c>
      <c r="AK40" s="141" t="s">
        <v>137</v>
      </c>
      <c r="AL40" s="142" t="str">
        <f t="shared" ca="1" si="46"/>
        <v>EURYC_BASE</v>
      </c>
      <c r="AM40" s="142" t="str">
        <f t="shared" ca="1" si="53"/>
        <v>EURDF_NOCSA</v>
      </c>
      <c r="AN40" s="142" t="str">
        <f t="shared" ca="1" si="47"/>
        <v>Spline</v>
      </c>
      <c r="AO40" s="196">
        <f ca="1">IF(AND(NOW(),isEUR6MLLoaded),_xll.meProductSwapParRate(_xll.meUtilityLVBFromMultipleKeysValues($B$28:$C$28, B40:C40,,$O$28:$AN$28,O40:AN40),FALSE),"LOAD CURVE")</f>
        <v>8.4700002279511112E-3</v>
      </c>
      <c r="AP40" s="147">
        <f ca="1">IF(AND(NOW(),isEUR6MLLoaded),_xll.meProductSwapPV(_xll.meUtilityLVBFromMultipleKeysValues($B$28:$E$28, B40:E40,,$N$28:$AN$28,N40:AN40),FALSE),"LOAD CURVE")</f>
        <v>490974.28162646381</v>
      </c>
      <c r="AQ40" s="163">
        <f ca="1">IF(AND(NOW(),isEUR6MLLoaded),_xll.meProductSwapPV01(_xll.meUtilityLVBFromMultipleKeysValues($B$28:$E$28, B40:E40,,$P$28:$AN$28,P40:AN40),FALSE),"LOAD CURVE")</f>
        <v>1182.2159506894732</v>
      </c>
      <c r="AR40" s="244"/>
      <c r="AS40" s="244"/>
      <c r="AT40" s="224"/>
      <c r="AU40" s="287"/>
      <c r="BG40" s="200"/>
      <c r="BH40" s="288"/>
    </row>
    <row r="41" spans="1:60" x14ac:dyDescent="0.25">
      <c r="A41" s="202">
        <v>13</v>
      </c>
      <c r="B41" s="136">
        <f t="shared" ref="B41:L41" ca="1" si="64">B18</f>
        <v>42423</v>
      </c>
      <c r="C41" s="266" t="str">
        <f t="shared" ca="1" si="49"/>
        <v>13Y</v>
      </c>
      <c r="D41" s="238">
        <f t="shared" ca="1" si="49"/>
        <v>1000000</v>
      </c>
      <c r="E41" s="241" t="str">
        <f t="shared" ca="1" si="49"/>
        <v>RECEIVER</v>
      </c>
      <c r="F41" s="250" t="str">
        <f t="shared" ca="1" si="64"/>
        <v>2D</v>
      </c>
      <c r="G41" s="238" t="str">
        <f t="shared" ca="1" si="64"/>
        <v>EUR</v>
      </c>
      <c r="H41" s="198">
        <f t="shared" ca="1" si="64"/>
        <v>0.05</v>
      </c>
      <c r="I41" s="99" t="str">
        <f t="shared" ca="1" si="64"/>
        <v>6ML</v>
      </c>
      <c r="J41" s="238">
        <f t="shared" ca="1" si="42"/>
        <v>0</v>
      </c>
      <c r="K41" s="264">
        <f t="shared" ca="1" si="42"/>
        <v>-1.31E-3</v>
      </c>
      <c r="L41" s="139" t="str">
        <f t="shared" ca="1" si="64"/>
        <v>NOCSA</v>
      </c>
      <c r="M41" s="144">
        <f ca="1">_xll.meDateFromTenor(COB,"-"&amp;AG41,$AB41,$AC41)</f>
        <v>42419</v>
      </c>
      <c r="N41" s="148">
        <f t="shared" ca="1" si="50"/>
        <v>0.05</v>
      </c>
      <c r="O41" s="143">
        <f t="shared" ca="1" si="43"/>
        <v>0</v>
      </c>
      <c r="P41" s="141" t="s">
        <v>25</v>
      </c>
      <c r="Q41" s="141" t="s">
        <v>19</v>
      </c>
      <c r="R41" s="141" t="s">
        <v>21</v>
      </c>
      <c r="S41" s="141" t="s">
        <v>2</v>
      </c>
      <c r="T41" s="187"/>
      <c r="U41" s="187"/>
      <c r="V41" s="142">
        <f t="shared" ca="1" si="51"/>
        <v>23</v>
      </c>
      <c r="W41" s="141" t="s">
        <v>136</v>
      </c>
      <c r="X41" s="141" t="s">
        <v>137</v>
      </c>
      <c r="Y41" s="142" t="str">
        <f t="shared" ca="1" si="44"/>
        <v>EUR6ML</v>
      </c>
      <c r="Z41" s="178" t="s">
        <v>120</v>
      </c>
      <c r="AA41" s="141" t="s">
        <v>6</v>
      </c>
      <c r="AB41" s="141" t="s">
        <v>21</v>
      </c>
      <c r="AC41" s="141" t="s">
        <v>2</v>
      </c>
      <c r="AD41" s="187"/>
      <c r="AE41" s="187"/>
      <c r="AF41" s="142">
        <f t="shared" ca="1" si="52"/>
        <v>23</v>
      </c>
      <c r="AG41" s="141" t="s">
        <v>136</v>
      </c>
      <c r="AH41" s="145">
        <f t="shared" ca="1" si="45"/>
        <v>-1.31E-3</v>
      </c>
      <c r="AI41" s="146"/>
      <c r="AJ41" s="141" t="s">
        <v>136</v>
      </c>
      <c r="AK41" s="141" t="s">
        <v>137</v>
      </c>
      <c r="AL41" s="142" t="str">
        <f t="shared" ca="1" si="46"/>
        <v>EURYC_BASE</v>
      </c>
      <c r="AM41" s="142" t="str">
        <f t="shared" ca="1" si="53"/>
        <v>EURDF_NOCSA</v>
      </c>
      <c r="AN41" s="142" t="str">
        <f t="shared" ca="1" si="47"/>
        <v>Spline</v>
      </c>
      <c r="AO41" s="196">
        <f ca="1">IF(AND(NOW(),isEUR6MLLoaded),_xll.meProductSwapParRate(_xll.meUtilityLVBFromMultipleKeysValues($B$28:$C$28, B41:C41,,$O$28:$AN$28,O41:AN41),FALSE),"LOAD CURVE")</f>
        <v>9.1897757278818701E-3</v>
      </c>
      <c r="AP41" s="147">
        <f ca="1">IF(AND(NOW(),isEUR6MLLoaded),_xll.meProductSwapPV(_xll.meUtilityLVBFromMultipleKeysValues($B$28:$E$28, B41:E41,,$N$28:$AN$28,N41:AN41),FALSE),"LOAD CURVE")</f>
        <v>519606.3792749861</v>
      </c>
      <c r="AQ41" s="163">
        <f ca="1">IF(AND(NOW(),isEUR6MLLoaded),_xll.meProductSwapPV01(_xll.meUtilityLVBFromMultipleKeysValues($B$28:$E$28, B41:E41,,$P$28:$AN$28,P41:AN41),FALSE),"LOAD CURVE")</f>
        <v>1273.225983298468</v>
      </c>
      <c r="AR41" s="244"/>
      <c r="AS41" s="244"/>
      <c r="AT41" s="224"/>
      <c r="AU41" s="287"/>
      <c r="BG41" s="200"/>
      <c r="BH41" s="288"/>
    </row>
    <row r="42" spans="1:60" x14ac:dyDescent="0.25">
      <c r="A42" s="202">
        <v>14</v>
      </c>
      <c r="B42" s="136">
        <f t="shared" ref="B42:L42" ca="1" si="65">B19</f>
        <v>42423</v>
      </c>
      <c r="C42" s="266" t="str">
        <f t="shared" ca="1" si="49"/>
        <v>14Y</v>
      </c>
      <c r="D42" s="238">
        <f t="shared" ca="1" si="49"/>
        <v>1000000</v>
      </c>
      <c r="E42" s="241" t="str">
        <f t="shared" ca="1" si="49"/>
        <v>RECEIVER</v>
      </c>
      <c r="F42" s="250" t="str">
        <f t="shared" ca="1" si="65"/>
        <v>2D</v>
      </c>
      <c r="G42" s="238" t="str">
        <f t="shared" ca="1" si="65"/>
        <v>EUR</v>
      </c>
      <c r="H42" s="198">
        <f t="shared" ca="1" si="65"/>
        <v>0.05</v>
      </c>
      <c r="I42" s="99" t="str">
        <f t="shared" ca="1" si="65"/>
        <v>6ML</v>
      </c>
      <c r="J42" s="238">
        <f t="shared" ca="1" si="42"/>
        <v>0</v>
      </c>
      <c r="K42" s="264">
        <f t="shared" ca="1" si="42"/>
        <v>-1.31E-3</v>
      </c>
      <c r="L42" s="139" t="str">
        <f t="shared" ca="1" si="65"/>
        <v>NOCSA</v>
      </c>
      <c r="M42" s="144">
        <f ca="1">_xll.meDateFromTenor(COB,"-"&amp;AG42,$AB42,$AC42)</f>
        <v>42419</v>
      </c>
      <c r="N42" s="148">
        <f t="shared" ca="1" si="50"/>
        <v>0.05</v>
      </c>
      <c r="O42" s="143">
        <f t="shared" ca="1" si="43"/>
        <v>0</v>
      </c>
      <c r="P42" s="141" t="s">
        <v>25</v>
      </c>
      <c r="Q42" s="141" t="s">
        <v>19</v>
      </c>
      <c r="R42" s="141" t="s">
        <v>21</v>
      </c>
      <c r="S42" s="141" t="s">
        <v>2</v>
      </c>
      <c r="T42" s="187"/>
      <c r="U42" s="187"/>
      <c r="V42" s="142">
        <f t="shared" ca="1" si="51"/>
        <v>23</v>
      </c>
      <c r="W42" s="141" t="s">
        <v>136</v>
      </c>
      <c r="X42" s="141" t="s">
        <v>137</v>
      </c>
      <c r="Y42" s="142" t="str">
        <f t="shared" ca="1" si="44"/>
        <v>EUR6ML</v>
      </c>
      <c r="Z42" s="178" t="s">
        <v>120</v>
      </c>
      <c r="AA42" s="141" t="s">
        <v>6</v>
      </c>
      <c r="AB42" s="141" t="s">
        <v>21</v>
      </c>
      <c r="AC42" s="141" t="s">
        <v>2</v>
      </c>
      <c r="AD42" s="187"/>
      <c r="AE42" s="187"/>
      <c r="AF42" s="142">
        <f t="shared" ca="1" si="52"/>
        <v>23</v>
      </c>
      <c r="AG42" s="141" t="s">
        <v>136</v>
      </c>
      <c r="AH42" s="145">
        <f t="shared" ca="1" si="45"/>
        <v>-1.31E-3</v>
      </c>
      <c r="AI42" s="146"/>
      <c r="AJ42" s="141" t="s">
        <v>136</v>
      </c>
      <c r="AK42" s="141" t="s">
        <v>137</v>
      </c>
      <c r="AL42" s="142" t="str">
        <f t="shared" ca="1" si="46"/>
        <v>EURYC_BASE</v>
      </c>
      <c r="AM42" s="142" t="str">
        <f t="shared" ca="1" si="53"/>
        <v>EURDF_NOCSA</v>
      </c>
      <c r="AN42" s="142" t="str">
        <f t="shared" ca="1" si="47"/>
        <v>Spline</v>
      </c>
      <c r="AO42" s="196">
        <f ca="1">IF(AND(NOW(),isEUR6MLLoaded),_xll.meProductSwapParRate(_xll.meUtilityLVBFromMultipleKeysValues($B$28:$C$28, B42:C42,,$O$28:$AN$28,O42:AN42),FALSE),"LOAD CURVE")</f>
        <v>9.799485060586078E-3</v>
      </c>
      <c r="AP42" s="147">
        <f ca="1">IF(AND(NOW(),isEUR6MLLoaded),_xll.meProductSwapPV(_xll.meUtilityLVBFromMultipleKeysValues($B$28:$E$28, B42:E42,,$N$28:$AN$28,N42:AN42),FALSE),"LOAD CURVE")</f>
        <v>548005.49377926486</v>
      </c>
      <c r="AQ42" s="163">
        <f ca="1">IF(AND(NOW(),isEUR6MLLoaded),_xll.meProductSwapPV01(_xll.meUtilityLVBFromMultipleKeysValues($B$28:$E$28, B42:E42,,$P$28:$AN$28,P42:AN42),FALSE),"LOAD CURVE")</f>
        <v>1363.1802841460174</v>
      </c>
      <c r="AR42" s="244"/>
      <c r="AS42" s="244"/>
      <c r="AT42" s="224"/>
      <c r="AU42" s="287"/>
      <c r="BG42" s="200"/>
      <c r="BH42" s="288"/>
    </row>
    <row r="43" spans="1:60" x14ac:dyDescent="0.25">
      <c r="A43" s="202">
        <v>15</v>
      </c>
      <c r="B43" s="136">
        <f t="shared" ref="B43:L43" ca="1" si="66">B20</f>
        <v>42423</v>
      </c>
      <c r="C43" s="266" t="str">
        <f t="shared" ca="1" si="49"/>
        <v>15Y</v>
      </c>
      <c r="D43" s="238">
        <f t="shared" ca="1" si="49"/>
        <v>1000000</v>
      </c>
      <c r="E43" s="241" t="str">
        <f t="shared" ca="1" si="49"/>
        <v>RECEIVER</v>
      </c>
      <c r="F43" s="250" t="str">
        <f t="shared" ca="1" si="66"/>
        <v>2D</v>
      </c>
      <c r="G43" s="238" t="str">
        <f t="shared" ca="1" si="66"/>
        <v>EUR</v>
      </c>
      <c r="H43" s="198">
        <f t="shared" ca="1" si="66"/>
        <v>0.05</v>
      </c>
      <c r="I43" s="99" t="str">
        <f t="shared" ca="1" si="66"/>
        <v>6ML</v>
      </c>
      <c r="J43" s="238">
        <f t="shared" ca="1" si="42"/>
        <v>0</v>
      </c>
      <c r="K43" s="264">
        <f t="shared" ca="1" si="42"/>
        <v>-1.31E-3</v>
      </c>
      <c r="L43" s="139" t="str">
        <f t="shared" ca="1" si="66"/>
        <v>NOCSA</v>
      </c>
      <c r="M43" s="144">
        <f ca="1">_xll.meDateFromTenor(COB,"-"&amp;AG43,$AB43,$AC43)</f>
        <v>42419</v>
      </c>
      <c r="N43" s="148">
        <f t="shared" ca="1" si="50"/>
        <v>0.05</v>
      </c>
      <c r="O43" s="143">
        <f t="shared" ca="1" si="43"/>
        <v>0</v>
      </c>
      <c r="P43" s="141" t="s">
        <v>25</v>
      </c>
      <c r="Q43" s="141" t="s">
        <v>19</v>
      </c>
      <c r="R43" s="141" t="s">
        <v>21</v>
      </c>
      <c r="S43" s="141" t="s">
        <v>2</v>
      </c>
      <c r="T43" s="187"/>
      <c r="U43" s="187"/>
      <c r="V43" s="142">
        <f t="shared" ca="1" si="51"/>
        <v>23</v>
      </c>
      <c r="W43" s="141" t="s">
        <v>136</v>
      </c>
      <c r="X43" s="141" t="s">
        <v>137</v>
      </c>
      <c r="Y43" s="142" t="str">
        <f t="shared" ca="1" si="44"/>
        <v>EUR6ML</v>
      </c>
      <c r="Z43" s="178" t="s">
        <v>120</v>
      </c>
      <c r="AA43" s="141" t="s">
        <v>6</v>
      </c>
      <c r="AB43" s="141" t="s">
        <v>21</v>
      </c>
      <c r="AC43" s="141" t="s">
        <v>2</v>
      </c>
      <c r="AD43" s="187"/>
      <c r="AE43" s="187"/>
      <c r="AF43" s="142">
        <f t="shared" ca="1" si="52"/>
        <v>23</v>
      </c>
      <c r="AG43" s="141" t="s">
        <v>136</v>
      </c>
      <c r="AH43" s="145">
        <f t="shared" ca="1" si="45"/>
        <v>-1.31E-3</v>
      </c>
      <c r="AI43" s="146"/>
      <c r="AJ43" s="141" t="s">
        <v>136</v>
      </c>
      <c r="AK43" s="141" t="s">
        <v>137</v>
      </c>
      <c r="AL43" s="142" t="str">
        <f t="shared" ca="1" si="46"/>
        <v>EURYC_BASE</v>
      </c>
      <c r="AM43" s="142" t="str">
        <f t="shared" ca="1" si="53"/>
        <v>EURDF_NOCSA</v>
      </c>
      <c r="AN43" s="142" t="str">
        <f t="shared" ca="1" si="47"/>
        <v>Spline</v>
      </c>
      <c r="AO43" s="196">
        <f ca="1">IF(AND(NOW(),isEUR6MLLoaded),_xll.meProductSwapParRate(_xll.meUtilityLVBFromMultipleKeysValues($B$28:$C$28, B43:C43,,$O$28:$AN$28,O43:AN43),FALSE),"LOAD CURVE")</f>
        <v>1.0300000984888135E-2</v>
      </c>
      <c r="AP43" s="147">
        <f ca="1">IF(AND(NOW(),isEUR6MLLoaded),_xll.meProductSwapPV(_xll.meUtilityLVBFromMultipleKeysValues($B$28:$E$28, B43:E43,,$N$28:$AN$28,N43:AN43),FALSE),"LOAD CURVE")</f>
        <v>575977.1630456514</v>
      </c>
      <c r="AQ43" s="163">
        <f ca="1">IF(AND(NOW(),isEUR6MLLoaded),_xll.meProductSwapPV01(_xll.meUtilityLVBFromMultipleKeysValues($B$28:$E$28, B43:E43,,$P$28:$AN$28,P43:AN43),FALSE),"LOAD CURVE")</f>
        <v>1450.8241242686299</v>
      </c>
      <c r="AR43" s="244"/>
      <c r="AS43" s="244"/>
      <c r="AT43" s="224"/>
      <c r="AU43" s="287"/>
      <c r="BG43" s="200"/>
      <c r="BH43" s="288"/>
    </row>
    <row r="44" spans="1:60" x14ac:dyDescent="0.25">
      <c r="A44" s="202">
        <v>16</v>
      </c>
      <c r="B44" s="136">
        <f t="shared" ref="B44:L44" ca="1" si="67">B21</f>
        <v>42423</v>
      </c>
      <c r="C44" s="266" t="str">
        <f t="shared" ca="1" si="49"/>
        <v>16Y</v>
      </c>
      <c r="D44" s="238">
        <f t="shared" ca="1" si="49"/>
        <v>1000000</v>
      </c>
      <c r="E44" s="241" t="str">
        <f t="shared" ca="1" si="49"/>
        <v>RECEIVER</v>
      </c>
      <c r="F44" s="250" t="str">
        <f t="shared" ca="1" si="67"/>
        <v>2D</v>
      </c>
      <c r="G44" s="238" t="str">
        <f t="shared" ca="1" si="67"/>
        <v>EUR</v>
      </c>
      <c r="H44" s="198">
        <f t="shared" ca="1" si="67"/>
        <v>0.05</v>
      </c>
      <c r="I44" s="99" t="str">
        <f t="shared" ca="1" si="67"/>
        <v>6ML</v>
      </c>
      <c r="J44" s="238">
        <f t="shared" ca="1" si="42"/>
        <v>0</v>
      </c>
      <c r="K44" s="264">
        <f t="shared" ca="1" si="42"/>
        <v>-1.31E-3</v>
      </c>
      <c r="L44" s="139" t="str">
        <f t="shared" ca="1" si="67"/>
        <v>NOCSA</v>
      </c>
      <c r="M44" s="144">
        <f ca="1">_xll.meDateFromTenor(COB,"-"&amp;AG44,$AB44,$AC44)</f>
        <v>42419</v>
      </c>
      <c r="N44" s="148">
        <f t="shared" ca="1" si="50"/>
        <v>0.05</v>
      </c>
      <c r="O44" s="143">
        <f t="shared" ca="1" si="43"/>
        <v>0</v>
      </c>
      <c r="P44" s="141" t="s">
        <v>25</v>
      </c>
      <c r="Q44" s="141" t="s">
        <v>19</v>
      </c>
      <c r="R44" s="141" t="s">
        <v>21</v>
      </c>
      <c r="S44" s="141" t="s">
        <v>2</v>
      </c>
      <c r="T44" s="187"/>
      <c r="U44" s="187"/>
      <c r="V44" s="142">
        <f t="shared" ca="1" si="51"/>
        <v>23</v>
      </c>
      <c r="W44" s="141" t="s">
        <v>136</v>
      </c>
      <c r="X44" s="141" t="s">
        <v>137</v>
      </c>
      <c r="Y44" s="142" t="str">
        <f t="shared" ca="1" si="44"/>
        <v>EUR6ML</v>
      </c>
      <c r="Z44" s="178" t="s">
        <v>120</v>
      </c>
      <c r="AA44" s="141" t="s">
        <v>6</v>
      </c>
      <c r="AB44" s="141" t="s">
        <v>21</v>
      </c>
      <c r="AC44" s="141" t="s">
        <v>2</v>
      </c>
      <c r="AD44" s="187"/>
      <c r="AE44" s="187"/>
      <c r="AF44" s="142">
        <f t="shared" ca="1" si="52"/>
        <v>23</v>
      </c>
      <c r="AG44" s="141" t="s">
        <v>136</v>
      </c>
      <c r="AH44" s="145">
        <f t="shared" ca="1" si="45"/>
        <v>-1.31E-3</v>
      </c>
      <c r="AI44" s="146"/>
      <c r="AJ44" s="141" t="s">
        <v>136</v>
      </c>
      <c r="AK44" s="141" t="s">
        <v>137</v>
      </c>
      <c r="AL44" s="142" t="str">
        <f t="shared" ca="1" si="46"/>
        <v>EURYC_BASE</v>
      </c>
      <c r="AM44" s="142" t="str">
        <f t="shared" ca="1" si="53"/>
        <v>EURDF_NOCSA</v>
      </c>
      <c r="AN44" s="142" t="str">
        <f t="shared" ca="1" si="47"/>
        <v>Spline</v>
      </c>
      <c r="AO44" s="196">
        <f ca="1">IF(AND(NOW(),isEUR6MLLoaded),_xll.meProductSwapParRate(_xll.meUtilityLVBFromMultipleKeysValues($B$28:$C$28, B44:C44,,$O$28:$AN$28,O44:AN44),FALSE),"LOAD CURVE")</f>
        <v>1.0705031864264048E-2</v>
      </c>
      <c r="AP44" s="147">
        <f ca="1">IF(AND(NOW(),isEUR6MLLoaded),_xll.meProductSwapPV(_xll.meUtilityLVBFromMultipleKeysValues($B$28:$E$28, B44:E44,,$N$28:$AN$28,N44:AN44),FALSE),"LOAD CURVE")</f>
        <v>603956.30530547351</v>
      </c>
      <c r="AQ44" s="163">
        <f ca="1">IF(AND(NOW(),isEUR6MLLoaded),_xll.meProductSwapPV01(_xll.meUtilityLVBFromMultipleKeysValues($B$28:$E$28, B44:E44,,$P$28:$AN$28,P44:AN44),FALSE),"LOAD CURVE")</f>
        <v>1536.9812827414376</v>
      </c>
      <c r="AR44" s="244"/>
      <c r="AS44" s="244"/>
      <c r="AT44" s="224"/>
      <c r="AU44" s="116"/>
    </row>
    <row r="45" spans="1:60" x14ac:dyDescent="0.25">
      <c r="A45" s="202">
        <v>17</v>
      </c>
      <c r="B45" s="136">
        <f t="shared" ref="B45:L45" ca="1" si="68">B22</f>
        <v>42423</v>
      </c>
      <c r="C45" s="266" t="str">
        <f t="shared" ca="1" si="49"/>
        <v>17Y</v>
      </c>
      <c r="D45" s="238">
        <f t="shared" ca="1" si="49"/>
        <v>1000000</v>
      </c>
      <c r="E45" s="241" t="str">
        <f t="shared" ca="1" si="49"/>
        <v>RECEIVER</v>
      </c>
      <c r="F45" s="250" t="str">
        <f t="shared" ca="1" si="68"/>
        <v>2D</v>
      </c>
      <c r="G45" s="238" t="str">
        <f t="shared" ca="1" si="68"/>
        <v>EUR</v>
      </c>
      <c r="H45" s="198">
        <f t="shared" ca="1" si="68"/>
        <v>0.05</v>
      </c>
      <c r="I45" s="99" t="str">
        <f t="shared" ca="1" si="68"/>
        <v>6ML</v>
      </c>
      <c r="J45" s="238">
        <f t="shared" ca="1" si="42"/>
        <v>0</v>
      </c>
      <c r="K45" s="264">
        <f t="shared" ca="1" si="42"/>
        <v>-1.31E-3</v>
      </c>
      <c r="L45" s="139" t="str">
        <f t="shared" ca="1" si="68"/>
        <v>NOCSA</v>
      </c>
      <c r="M45" s="144">
        <f ca="1">_xll.meDateFromTenor(COB,"-"&amp;AG45,$AB45,$AC45)</f>
        <v>42419</v>
      </c>
      <c r="N45" s="148">
        <f t="shared" ca="1" si="50"/>
        <v>0.05</v>
      </c>
      <c r="O45" s="143">
        <f t="shared" ca="1" si="43"/>
        <v>0</v>
      </c>
      <c r="P45" s="141" t="s">
        <v>25</v>
      </c>
      <c r="Q45" s="141" t="s">
        <v>19</v>
      </c>
      <c r="R45" s="141" t="s">
        <v>21</v>
      </c>
      <c r="S45" s="141" t="s">
        <v>2</v>
      </c>
      <c r="T45" s="187"/>
      <c r="U45" s="187"/>
      <c r="V45" s="142">
        <f t="shared" ca="1" si="51"/>
        <v>23</v>
      </c>
      <c r="W45" s="141" t="s">
        <v>136</v>
      </c>
      <c r="X45" s="141" t="s">
        <v>137</v>
      </c>
      <c r="Y45" s="142" t="str">
        <f t="shared" ca="1" si="44"/>
        <v>EUR6ML</v>
      </c>
      <c r="Z45" s="178" t="s">
        <v>120</v>
      </c>
      <c r="AA45" s="141" t="s">
        <v>6</v>
      </c>
      <c r="AB45" s="141" t="s">
        <v>21</v>
      </c>
      <c r="AC45" s="141" t="s">
        <v>2</v>
      </c>
      <c r="AD45" s="187"/>
      <c r="AE45" s="187"/>
      <c r="AF45" s="142">
        <f t="shared" ca="1" si="52"/>
        <v>23</v>
      </c>
      <c r="AG45" s="141" t="s">
        <v>136</v>
      </c>
      <c r="AH45" s="145">
        <f t="shared" ca="1" si="45"/>
        <v>-1.31E-3</v>
      </c>
      <c r="AI45" s="146"/>
      <c r="AJ45" s="141" t="s">
        <v>136</v>
      </c>
      <c r="AK45" s="141" t="s">
        <v>137</v>
      </c>
      <c r="AL45" s="142" t="str">
        <f t="shared" ca="1" si="46"/>
        <v>EURYC_BASE</v>
      </c>
      <c r="AM45" s="142" t="str">
        <f t="shared" ca="1" si="53"/>
        <v>EURDF_NOCSA</v>
      </c>
      <c r="AN45" s="142" t="str">
        <f t="shared" ca="1" si="47"/>
        <v>Spline</v>
      </c>
      <c r="AO45" s="196">
        <f ca="1">IF(AND(NOW(),isEUR6MLLoaded),_xll.meProductSwapParRate(_xll.meUtilityLVBFromMultipleKeysValues($B$28:$C$28, B45:C45,,$O$28:$AN$28,O45:AN45),FALSE),"LOAD CURVE")</f>
        <v>1.10321895476518E-2</v>
      </c>
      <c r="AP45" s="147">
        <f ca="1">IF(AND(NOW(),isEUR6MLLoaded),_xll.meProductSwapPV(_xll.meUtilityLVBFromMultipleKeysValues($B$28:$E$28, B45:E45,,$N$28:$AN$28,N45:AN45),FALSE),"LOAD CURVE")</f>
        <v>632051.87078416301</v>
      </c>
      <c r="AQ45" s="163">
        <f ca="1">IF(AND(NOW(),isEUR6MLLoaded),_xll.meProductSwapPV01(_xll.meUtilityLVBFromMultipleKeysValues($B$28:$E$28, B45:E45,,$P$28:$AN$28,P45:AN45),FALSE),"LOAD CURVE")</f>
        <v>1621.9845648168193</v>
      </c>
      <c r="AR45" s="244"/>
      <c r="AS45" s="244"/>
      <c r="AT45" s="224"/>
      <c r="AU45" s="116"/>
    </row>
    <row r="46" spans="1:60" x14ac:dyDescent="0.25">
      <c r="A46" s="202">
        <v>18</v>
      </c>
      <c r="B46" s="136">
        <f t="shared" ref="B46:L46" ca="1" si="69">B23</f>
        <v>42423</v>
      </c>
      <c r="C46" s="266" t="str">
        <f t="shared" ca="1" si="49"/>
        <v>18Y</v>
      </c>
      <c r="D46" s="238">
        <f t="shared" ca="1" si="49"/>
        <v>1000000</v>
      </c>
      <c r="E46" s="241" t="str">
        <f t="shared" ca="1" si="49"/>
        <v>RECEIVER</v>
      </c>
      <c r="F46" s="250" t="str">
        <f t="shared" ca="1" si="69"/>
        <v>2D</v>
      </c>
      <c r="G46" s="238" t="str">
        <f t="shared" ca="1" si="69"/>
        <v>EUR</v>
      </c>
      <c r="H46" s="198">
        <f t="shared" ca="1" si="69"/>
        <v>0.05</v>
      </c>
      <c r="I46" s="99" t="str">
        <f t="shared" ca="1" si="69"/>
        <v>6ML</v>
      </c>
      <c r="J46" s="238">
        <f t="shared" ca="1" si="42"/>
        <v>0</v>
      </c>
      <c r="K46" s="264">
        <f t="shared" ca="1" si="42"/>
        <v>-1.31E-3</v>
      </c>
      <c r="L46" s="139" t="str">
        <f t="shared" ca="1" si="69"/>
        <v>NOCSA</v>
      </c>
      <c r="M46" s="144">
        <f ca="1">_xll.meDateFromTenor(COB,"-"&amp;AG46,$AB46,$AC46)</f>
        <v>42419</v>
      </c>
      <c r="N46" s="148">
        <f t="shared" ca="1" si="50"/>
        <v>0.05</v>
      </c>
      <c r="O46" s="143">
        <f t="shared" ca="1" si="43"/>
        <v>0</v>
      </c>
      <c r="P46" s="141" t="s">
        <v>25</v>
      </c>
      <c r="Q46" s="141" t="s">
        <v>19</v>
      </c>
      <c r="R46" s="141" t="s">
        <v>21</v>
      </c>
      <c r="S46" s="141" t="s">
        <v>2</v>
      </c>
      <c r="T46" s="187"/>
      <c r="U46" s="187"/>
      <c r="V46" s="142">
        <f t="shared" ca="1" si="51"/>
        <v>23</v>
      </c>
      <c r="W46" s="141" t="s">
        <v>136</v>
      </c>
      <c r="X46" s="141" t="s">
        <v>137</v>
      </c>
      <c r="Y46" s="142" t="str">
        <f t="shared" ca="1" si="44"/>
        <v>EUR6ML</v>
      </c>
      <c r="Z46" s="178" t="s">
        <v>120</v>
      </c>
      <c r="AA46" s="141" t="s">
        <v>6</v>
      </c>
      <c r="AB46" s="141" t="s">
        <v>21</v>
      </c>
      <c r="AC46" s="141" t="s">
        <v>2</v>
      </c>
      <c r="AD46" s="187"/>
      <c r="AE46" s="187"/>
      <c r="AF46" s="142">
        <f t="shared" ca="1" si="52"/>
        <v>23</v>
      </c>
      <c r="AG46" s="141" t="s">
        <v>136</v>
      </c>
      <c r="AH46" s="145">
        <f t="shared" ca="1" si="45"/>
        <v>-1.31E-3</v>
      </c>
      <c r="AI46" s="146"/>
      <c r="AJ46" s="141" t="s">
        <v>136</v>
      </c>
      <c r="AK46" s="141" t="s">
        <v>137</v>
      </c>
      <c r="AL46" s="142" t="str">
        <f t="shared" ca="1" si="46"/>
        <v>EURYC_BASE</v>
      </c>
      <c r="AM46" s="142" t="str">
        <f t="shared" ca="1" si="53"/>
        <v>EURDF_NOCSA</v>
      </c>
      <c r="AN46" s="142" t="str">
        <f t="shared" ca="1" si="47"/>
        <v>Spline</v>
      </c>
      <c r="AO46" s="196">
        <f ca="1">IF(AND(NOW(),isEUR6MLLoaded),_xll.meProductSwapParRate(_xll.meUtilityLVBFromMultipleKeysValues($B$28:$C$28, B46:C46,,$O$28:$AN$28,O46:AN46),FALSE),"LOAD CURVE")</f>
        <v>1.129319855987672E-2</v>
      </c>
      <c r="AP46" s="147">
        <f ca="1">IF(AND(NOW(),isEUR6MLLoaded),_xll.meProductSwapPV(_xll.meUtilityLVBFromMultipleKeysValues($B$28:$E$28, B46:E46,,$N$28:$AN$28,N46:AN46),FALSE),"LOAD CURVE")</f>
        <v>660213.49130157405</v>
      </c>
      <c r="AQ46" s="163">
        <f ca="1">IF(AND(NOW(),isEUR6MLLoaded),_xll.meProductSwapPV01(_xll.meUtilityLVBFromMultipleKeysValues($B$28:$E$28, B46:E46,,$P$28:$AN$28,P46:AN46),FALSE),"LOAD CURVE")</f>
        <v>1705.6782444885769</v>
      </c>
      <c r="AR46" s="244"/>
      <c r="AS46" s="244"/>
      <c r="AT46" s="224"/>
      <c r="AU46" s="116"/>
    </row>
    <row r="47" spans="1:60" x14ac:dyDescent="0.25">
      <c r="A47" s="202">
        <v>19</v>
      </c>
      <c r="B47" s="136">
        <f t="shared" ref="B47:L47" ca="1" si="70">B24</f>
        <v>42423</v>
      </c>
      <c r="C47" s="266" t="str">
        <f t="shared" ca="1" si="49"/>
        <v>19Y</v>
      </c>
      <c r="D47" s="238">
        <f t="shared" ca="1" si="49"/>
        <v>1000000</v>
      </c>
      <c r="E47" s="241" t="str">
        <f t="shared" ca="1" si="49"/>
        <v>RECEIVER</v>
      </c>
      <c r="F47" s="250" t="str">
        <f t="shared" ca="1" si="70"/>
        <v>2D</v>
      </c>
      <c r="G47" s="238" t="str">
        <f t="shared" ca="1" si="70"/>
        <v>EUR</v>
      </c>
      <c r="H47" s="198">
        <f t="shared" ca="1" si="70"/>
        <v>0.05</v>
      </c>
      <c r="I47" s="99" t="str">
        <f t="shared" ca="1" si="70"/>
        <v>6ML</v>
      </c>
      <c r="J47" s="238">
        <f t="shared" ca="1" si="42"/>
        <v>0</v>
      </c>
      <c r="K47" s="264">
        <f t="shared" ca="1" si="42"/>
        <v>-1.31E-3</v>
      </c>
      <c r="L47" s="139" t="str">
        <f t="shared" ca="1" si="70"/>
        <v>NOCSA</v>
      </c>
      <c r="M47" s="144">
        <f ca="1">_xll.meDateFromTenor(COB,"-"&amp;AG47,$AB47,$AC47)</f>
        <v>42419</v>
      </c>
      <c r="N47" s="148">
        <f t="shared" ca="1" si="50"/>
        <v>0.05</v>
      </c>
      <c r="O47" s="143">
        <f t="shared" ca="1" si="43"/>
        <v>0</v>
      </c>
      <c r="P47" s="141" t="s">
        <v>25</v>
      </c>
      <c r="Q47" s="141" t="s">
        <v>19</v>
      </c>
      <c r="R47" s="141" t="s">
        <v>21</v>
      </c>
      <c r="S47" s="141" t="s">
        <v>2</v>
      </c>
      <c r="T47" s="187"/>
      <c r="U47" s="187"/>
      <c r="V47" s="142">
        <f t="shared" ca="1" si="51"/>
        <v>23</v>
      </c>
      <c r="W47" s="141" t="s">
        <v>136</v>
      </c>
      <c r="X47" s="141" t="s">
        <v>137</v>
      </c>
      <c r="Y47" s="142" t="str">
        <f t="shared" ca="1" si="44"/>
        <v>EUR6ML</v>
      </c>
      <c r="Z47" s="178" t="s">
        <v>120</v>
      </c>
      <c r="AA47" s="141" t="s">
        <v>6</v>
      </c>
      <c r="AB47" s="141" t="s">
        <v>21</v>
      </c>
      <c r="AC47" s="141" t="s">
        <v>2</v>
      </c>
      <c r="AD47" s="187"/>
      <c r="AE47" s="187"/>
      <c r="AF47" s="142">
        <f t="shared" ca="1" si="52"/>
        <v>23</v>
      </c>
      <c r="AG47" s="141" t="s">
        <v>136</v>
      </c>
      <c r="AH47" s="145">
        <f t="shared" ca="1" si="45"/>
        <v>-1.31E-3</v>
      </c>
      <c r="AI47" s="146"/>
      <c r="AJ47" s="141" t="s">
        <v>136</v>
      </c>
      <c r="AK47" s="141" t="s">
        <v>137</v>
      </c>
      <c r="AL47" s="142" t="str">
        <f t="shared" ca="1" si="46"/>
        <v>EURYC_BASE</v>
      </c>
      <c r="AM47" s="142" t="str">
        <f t="shared" ca="1" si="53"/>
        <v>EURDF_NOCSA</v>
      </c>
      <c r="AN47" s="142" t="str">
        <f t="shared" ca="1" si="47"/>
        <v>Spline</v>
      </c>
      <c r="AO47" s="196">
        <f ca="1">IF(AND(NOW(),isEUR6MLLoaded),_xll.meProductSwapParRate(_xll.meUtilityLVBFromMultipleKeysValues($B$28:$C$28, B47:C47,,$O$28:$AN$28,O47:AN47),FALSE),"LOAD CURVE")</f>
        <v>1.1499433431183611E-2</v>
      </c>
      <c r="AP47" s="147">
        <f ca="1">IF(AND(NOW(),isEUR6MLLoaded),_xll.meProductSwapPV(_xll.meUtilityLVBFromMultipleKeysValues($B$28:$E$28, B47:E47,,$N$28:$AN$28,N47:AN47),FALSE),"LOAD CURVE")</f>
        <v>688435.92301137105</v>
      </c>
      <c r="AQ47" s="163">
        <f ca="1">IF(AND(NOW(),isEUR6MLLoaded),_xll.meProductSwapPV01(_xll.meUtilityLVBFromMultipleKeysValues($B$28:$E$28, B47:E47,,$P$28:$AN$28,P47:AN47),FALSE),"LOAD CURVE")</f>
        <v>1788.118932214752</v>
      </c>
      <c r="AR47" s="244"/>
      <c r="AS47" s="244"/>
      <c r="AT47" s="224"/>
      <c r="AU47" s="116"/>
    </row>
    <row r="48" spans="1:60" x14ac:dyDescent="0.25">
      <c r="A48" s="202">
        <v>20</v>
      </c>
      <c r="B48" s="149">
        <f t="shared" ref="B48:L48" ca="1" si="71">B25</f>
        <v>42423</v>
      </c>
      <c r="C48" s="267" t="str">
        <f t="shared" ca="1" si="49"/>
        <v>20Y</v>
      </c>
      <c r="D48" s="239">
        <f t="shared" ca="1" si="49"/>
        <v>1000000</v>
      </c>
      <c r="E48" s="242" t="str">
        <f t="shared" ca="1" si="49"/>
        <v>RECEIVER</v>
      </c>
      <c r="F48" s="286" t="str">
        <f t="shared" ca="1" si="71"/>
        <v>2D</v>
      </c>
      <c r="G48" s="239" t="str">
        <f t="shared" ca="1" si="71"/>
        <v>EUR</v>
      </c>
      <c r="H48" s="199">
        <f t="shared" ca="1" si="71"/>
        <v>0.05</v>
      </c>
      <c r="I48" s="272" t="str">
        <f t="shared" ca="1" si="71"/>
        <v>6ML</v>
      </c>
      <c r="J48" s="239">
        <f t="shared" ca="1" si="42"/>
        <v>0</v>
      </c>
      <c r="K48" s="265">
        <f t="shared" ca="1" si="42"/>
        <v>-1.31E-3</v>
      </c>
      <c r="L48" s="152" t="str">
        <f t="shared" ca="1" si="71"/>
        <v>NOCSA</v>
      </c>
      <c r="M48" s="157">
        <f ca="1">_xll.meDateFromTenor(COB,"-"&amp;AG48,$AB48,$AC48)</f>
        <v>42419</v>
      </c>
      <c r="N48" s="153">
        <f t="shared" ca="1" si="50"/>
        <v>0.05</v>
      </c>
      <c r="O48" s="156">
        <f t="shared" ca="1" si="43"/>
        <v>0</v>
      </c>
      <c r="P48" s="154" t="s">
        <v>25</v>
      </c>
      <c r="Q48" s="154" t="s">
        <v>19</v>
      </c>
      <c r="R48" s="154" t="s">
        <v>21</v>
      </c>
      <c r="S48" s="154" t="s">
        <v>2</v>
      </c>
      <c r="T48" s="188"/>
      <c r="U48" s="188"/>
      <c r="V48" s="155">
        <f t="shared" ca="1" si="51"/>
        <v>23</v>
      </c>
      <c r="W48" s="154" t="s">
        <v>136</v>
      </c>
      <c r="X48" s="154" t="s">
        <v>137</v>
      </c>
      <c r="Y48" s="155" t="str">
        <f t="shared" ca="1" si="44"/>
        <v>EUR6ML</v>
      </c>
      <c r="Z48" s="179" t="s">
        <v>120</v>
      </c>
      <c r="AA48" s="154" t="s">
        <v>6</v>
      </c>
      <c r="AB48" s="154" t="s">
        <v>21</v>
      </c>
      <c r="AC48" s="154" t="s">
        <v>2</v>
      </c>
      <c r="AD48" s="188"/>
      <c r="AE48" s="188"/>
      <c r="AF48" s="155">
        <f t="shared" ca="1" si="52"/>
        <v>23</v>
      </c>
      <c r="AG48" s="154" t="s">
        <v>136</v>
      </c>
      <c r="AH48" s="158">
        <f t="shared" ca="1" si="45"/>
        <v>-1.31E-3</v>
      </c>
      <c r="AI48" s="159"/>
      <c r="AJ48" s="154" t="s">
        <v>136</v>
      </c>
      <c r="AK48" s="154" t="s">
        <v>137</v>
      </c>
      <c r="AL48" s="155" t="str">
        <f t="shared" ca="1" si="46"/>
        <v>EURYC_BASE</v>
      </c>
      <c r="AM48" s="155" t="str">
        <f t="shared" ca="1" si="53"/>
        <v>EURDF_NOCSA</v>
      </c>
      <c r="AN48" s="155" t="str">
        <f t="shared" ca="1" si="47"/>
        <v>Spline</v>
      </c>
      <c r="AO48" s="277">
        <f ca="1">IF(AND(NOW(),isEUR6MLLoaded),_xll.meProductSwapParRate(_xll.meUtilityLVBFromMultipleKeysValues($B$28:$C$28, B48:C48,,$O$28:$AN$28,O48:AN48),FALSE),"LOAD CURVE")</f>
        <v>1.1660000443325323E-2</v>
      </c>
      <c r="AP48" s="160">
        <f ca="1">IF(AND(NOW(),isEUR6MLLoaded),_xll.meProductSwapPV(_xll.meUtilityLVBFromMultipleKeysValues($B$28:$E$28, B48:E48,,$N$28:$AN$28,N48:AN48),FALSE),"LOAD CURVE")</f>
        <v>716871.04648708738</v>
      </c>
      <c r="AQ48" s="164">
        <f ca="1">IF(AND(NOW(),isEUR6MLLoaded),_xll.meProductSwapPV01(_xll.meUtilityLVBFromMultipleKeysValues($B$28:$E$28, B48:E48,,$P$28:$AN$28,P48:AN48),FALSE),"LOAD CURVE")</f>
        <v>1869.7732258118556</v>
      </c>
      <c r="AR48" s="244"/>
      <c r="AS48" s="244"/>
      <c r="AT48" s="224"/>
      <c r="AU48" s="116"/>
    </row>
    <row r="49" spans="1:47" x14ac:dyDescent="0.25">
      <c r="AR49" s="244"/>
      <c r="AS49" s="244"/>
      <c r="AT49" s="224"/>
      <c r="AU49" s="116"/>
    </row>
    <row r="50" spans="1:47" ht="23.25" x14ac:dyDescent="0.35">
      <c r="B50" s="115" t="s">
        <v>158</v>
      </c>
      <c r="AR50" s="244"/>
      <c r="AS50" s="244"/>
      <c r="AT50" s="224"/>
      <c r="AU50" s="116"/>
    </row>
    <row r="51" spans="1:47" ht="45" x14ac:dyDescent="0.25">
      <c r="B51" s="117" t="s">
        <v>214</v>
      </c>
      <c r="C51" s="219" t="s">
        <v>186</v>
      </c>
      <c r="D51" s="118" t="s">
        <v>135</v>
      </c>
      <c r="E51" s="118" t="s">
        <v>187</v>
      </c>
      <c r="F51" s="118" t="s">
        <v>138</v>
      </c>
      <c r="G51" s="118" t="s">
        <v>16</v>
      </c>
      <c r="H51" s="182" t="s">
        <v>188</v>
      </c>
      <c r="I51" s="118" t="s">
        <v>139</v>
      </c>
      <c r="J51" s="254" t="s">
        <v>190</v>
      </c>
      <c r="K51" s="262" t="s">
        <v>140</v>
      </c>
      <c r="L51" s="118" t="s">
        <v>141</v>
      </c>
      <c r="M51" s="118" t="s">
        <v>208</v>
      </c>
      <c r="N51" s="118" t="s">
        <v>188</v>
      </c>
      <c r="O51" s="118" t="s">
        <v>190</v>
      </c>
      <c r="P51" s="118" t="s">
        <v>191</v>
      </c>
      <c r="Q51" s="118" t="s">
        <v>192</v>
      </c>
      <c r="R51" s="118" t="s">
        <v>193</v>
      </c>
      <c r="S51" s="118" t="s">
        <v>194</v>
      </c>
      <c r="T51" s="185" t="s">
        <v>195</v>
      </c>
      <c r="U51" s="185" t="s">
        <v>196</v>
      </c>
      <c r="V51" s="118" t="s">
        <v>197</v>
      </c>
      <c r="W51" s="118" t="s">
        <v>198</v>
      </c>
      <c r="X51" s="118" t="s">
        <v>199</v>
      </c>
      <c r="Y51" s="118" t="s">
        <v>189</v>
      </c>
      <c r="Z51" s="176" t="s">
        <v>200</v>
      </c>
      <c r="AA51" s="118" t="s">
        <v>201</v>
      </c>
      <c r="AB51" s="118" t="s">
        <v>202</v>
      </c>
      <c r="AC51" s="118" t="s">
        <v>203</v>
      </c>
      <c r="AD51" s="185" t="s">
        <v>204</v>
      </c>
      <c r="AE51" s="185" t="s">
        <v>205</v>
      </c>
      <c r="AF51" s="118" t="s">
        <v>206</v>
      </c>
      <c r="AG51" s="118" t="s">
        <v>207</v>
      </c>
      <c r="AH51" s="118" t="s">
        <v>209</v>
      </c>
      <c r="AI51" s="118" t="s">
        <v>210</v>
      </c>
      <c r="AJ51" s="118" t="s">
        <v>211</v>
      </c>
      <c r="AK51" s="118" t="s">
        <v>212</v>
      </c>
      <c r="AL51" s="118" t="s">
        <v>79</v>
      </c>
      <c r="AM51" s="118" t="s">
        <v>213</v>
      </c>
      <c r="AN51" s="118" t="s">
        <v>122</v>
      </c>
      <c r="AO51" s="193" t="s">
        <v>142</v>
      </c>
      <c r="AP51" s="119" t="s">
        <v>143</v>
      </c>
      <c r="AQ51" s="120" t="s">
        <v>144</v>
      </c>
      <c r="AR51" s="244"/>
      <c r="AS51" s="244"/>
      <c r="AT51" s="224"/>
      <c r="AU51" s="116"/>
    </row>
    <row r="52" spans="1:47" x14ac:dyDescent="0.25">
      <c r="A52" s="202">
        <v>1</v>
      </c>
      <c r="B52" s="121">
        <f ca="1">B6</f>
        <v>42423</v>
      </c>
      <c r="C52" s="270" t="str">
        <f ca="1">C6</f>
        <v>1Y</v>
      </c>
      <c r="D52" s="237">
        <f ca="1">D6</f>
        <v>1000000</v>
      </c>
      <c r="E52" s="240" t="str">
        <f ca="1">E6</f>
        <v>RECEIVER</v>
      </c>
      <c r="F52" s="248" t="str">
        <f t="shared" ref="F52:L52" ca="1" si="72">F6</f>
        <v>2D</v>
      </c>
      <c r="G52" s="237" t="str">
        <f t="shared" ca="1" si="72"/>
        <v>EUR</v>
      </c>
      <c r="H52" s="197">
        <f t="shared" ca="1" si="72"/>
        <v>0.05</v>
      </c>
      <c r="I52" s="271" t="str">
        <f t="shared" ca="1" si="72"/>
        <v>6ML</v>
      </c>
      <c r="J52" s="255">
        <f t="shared" ref="J52:K71" ca="1" si="73">J6</f>
        <v>0</v>
      </c>
      <c r="K52" s="263">
        <f t="shared" ca="1" si="73"/>
        <v>-1.31E-3</v>
      </c>
      <c r="L52" s="124" t="str">
        <f t="shared" ca="1" si="72"/>
        <v>NOCSA</v>
      </c>
      <c r="M52" s="128">
        <f ca="1">_xll.meDateFromTenor(COB,"-"&amp;AG52,$AB52,$AC52)</f>
        <v>42419</v>
      </c>
      <c r="N52" s="125">
        <f ca="1">H52</f>
        <v>0.05</v>
      </c>
      <c r="O52" s="132">
        <f t="shared" ref="O52:O71" ca="1" si="74">J52</f>
        <v>0</v>
      </c>
      <c r="P52" s="126" t="s">
        <v>25</v>
      </c>
      <c r="Q52" s="127" t="s">
        <v>19</v>
      </c>
      <c r="R52" s="126" t="s">
        <v>21</v>
      </c>
      <c r="S52" s="126" t="s">
        <v>2</v>
      </c>
      <c r="T52" s="186"/>
      <c r="U52" s="186"/>
      <c r="V52" s="129">
        <f ca="1">IF($B52="","",DAY($B52))</f>
        <v>23</v>
      </c>
      <c r="W52" s="130" t="s">
        <v>136</v>
      </c>
      <c r="X52" s="127" t="s">
        <v>137</v>
      </c>
      <c r="Y52" s="131" t="str">
        <f t="shared" ref="Y52:Y71" ca="1" si="75">$G52&amp;$I52</f>
        <v>EUR6ML</v>
      </c>
      <c r="Z52" s="177" t="s">
        <v>120</v>
      </c>
      <c r="AA52" s="127" t="s">
        <v>6</v>
      </c>
      <c r="AB52" s="126" t="s">
        <v>21</v>
      </c>
      <c r="AC52" s="126" t="s">
        <v>2</v>
      </c>
      <c r="AD52" s="186"/>
      <c r="AE52" s="186"/>
      <c r="AF52" s="129">
        <f ca="1">IF($B52="","",DAY($B52))</f>
        <v>23</v>
      </c>
      <c r="AG52" s="130" t="s">
        <v>136</v>
      </c>
      <c r="AH52" s="133">
        <f t="shared" ref="AH52:AH71" ca="1" si="76">K52</f>
        <v>-1.31E-3</v>
      </c>
      <c r="AI52" s="134"/>
      <c r="AJ52" s="130" t="s">
        <v>136</v>
      </c>
      <c r="AK52" s="127" t="s">
        <v>137</v>
      </c>
      <c r="AL52" s="128" t="str">
        <f t="shared" ref="AL52:AL71" ca="1" si="77">CurveCollectionBumped</f>
        <v>EURYC_BUMPED</v>
      </c>
      <c r="AM52" s="131" t="str">
        <f ca="1">LEFT(AL52,3)&amp;"DF_"&amp;L52</f>
        <v>EURDF_NOCSA</v>
      </c>
      <c r="AN52" s="131" t="str">
        <f t="shared" ref="AN52:AN71" ca="1" si="78">Interpolation</f>
        <v>Spline</v>
      </c>
      <c r="AO52" s="276">
        <f ca="1">IF(AND(NOW(),isBumpedEUR6MLLoaded),_xll.meProductSwapParRate(_xll.meUtilityLVBFromMultipleKeysValues($B$28:$C$28, B29:C29,,$O$51:$AN$51,O52:AN52),FALSE),"LOAD CURVE")</f>
        <v>-1.4480255729532898E-3</v>
      </c>
      <c r="AP52" s="135">
        <f ca="1">IF(AND(NOW(),isBumpedEUR6MLLoaded),_xll.meProductSwapPV(_xll.meUtilityLVBFromMultipleKeysValues($B$28:$E$28, B29:E29,,$N$51:$AN$51,N52:AN52),FALSE),"LOAD CURVE")</f>
        <v>51648.619804858754</v>
      </c>
      <c r="AQ52" s="162">
        <f ca="1">IF(AND(NOW(),isBumpedEUR6MLLoaded),_xll.meProductSwapPV01(_xll.meUtilityLVBFromMultipleKeysValues($B$28:$E$28, B29:E29,,$P$51:$AN$51,P52:AN52),FALSE),"LOAD CURVE")</f>
        <v>100.3898968515731</v>
      </c>
      <c r="AR52" s="244"/>
      <c r="AS52" s="244"/>
      <c r="AT52" s="224"/>
      <c r="AU52" s="116"/>
    </row>
    <row r="53" spans="1:47" x14ac:dyDescent="0.25">
      <c r="A53" s="202">
        <v>2</v>
      </c>
      <c r="B53" s="136">
        <f t="shared" ref="B53:L53" ca="1" si="79">B7</f>
        <v>42423</v>
      </c>
      <c r="C53" s="266" t="str">
        <f t="shared" ref="C53:E71" ca="1" si="80">C7</f>
        <v>2Y</v>
      </c>
      <c r="D53" s="238">
        <f t="shared" ca="1" si="80"/>
        <v>1000000</v>
      </c>
      <c r="E53" s="241" t="str">
        <f t="shared" ca="1" si="80"/>
        <v>RECEIVER</v>
      </c>
      <c r="F53" s="249" t="str">
        <f t="shared" ca="1" si="79"/>
        <v>2D</v>
      </c>
      <c r="G53" s="238" t="str">
        <f t="shared" ca="1" si="79"/>
        <v>EUR</v>
      </c>
      <c r="H53" s="198">
        <f t="shared" ca="1" si="79"/>
        <v>0.05</v>
      </c>
      <c r="I53" s="99" t="str">
        <f t="shared" ca="1" si="79"/>
        <v>6ML</v>
      </c>
      <c r="J53" s="238">
        <f t="shared" ca="1" si="73"/>
        <v>0</v>
      </c>
      <c r="K53" s="264">
        <f t="shared" ca="1" si="73"/>
        <v>-1.31E-3</v>
      </c>
      <c r="L53" s="139" t="str">
        <f t="shared" ca="1" si="79"/>
        <v>NOCSA</v>
      </c>
      <c r="M53" s="144">
        <f ca="1">_xll.meDateFromTenor(COB,"-"&amp;AG53,$AB53,$AC53)</f>
        <v>42419</v>
      </c>
      <c r="N53" s="140">
        <f t="shared" ref="N53:N71" ca="1" si="81">H53</f>
        <v>0.05</v>
      </c>
      <c r="O53" s="143">
        <f t="shared" ca="1" si="74"/>
        <v>0</v>
      </c>
      <c r="P53" s="113" t="s">
        <v>25</v>
      </c>
      <c r="Q53" s="113" t="s">
        <v>19</v>
      </c>
      <c r="R53" s="113" t="s">
        <v>21</v>
      </c>
      <c r="S53" s="113" t="s">
        <v>2</v>
      </c>
      <c r="T53" s="187"/>
      <c r="U53" s="187"/>
      <c r="V53" s="142">
        <f t="shared" ref="V53:V71" ca="1" si="82">IF($B53="","",DAY($B53))</f>
        <v>23</v>
      </c>
      <c r="W53" s="141" t="s">
        <v>136</v>
      </c>
      <c r="X53" s="141" t="s">
        <v>137</v>
      </c>
      <c r="Y53" s="142" t="str">
        <f t="shared" ca="1" si="75"/>
        <v>EUR6ML</v>
      </c>
      <c r="Z53" s="178" t="s">
        <v>120</v>
      </c>
      <c r="AA53" s="141" t="s">
        <v>6</v>
      </c>
      <c r="AB53" s="141" t="s">
        <v>21</v>
      </c>
      <c r="AC53" s="141" t="s">
        <v>2</v>
      </c>
      <c r="AD53" s="187"/>
      <c r="AE53" s="187"/>
      <c r="AF53" s="142">
        <f t="shared" ref="AF53:AF71" ca="1" si="83">IF($B53="","",DAY($B53))</f>
        <v>23</v>
      </c>
      <c r="AG53" s="141" t="s">
        <v>136</v>
      </c>
      <c r="AH53" s="145">
        <f t="shared" ca="1" si="76"/>
        <v>-1.31E-3</v>
      </c>
      <c r="AI53" s="146"/>
      <c r="AJ53" s="141" t="s">
        <v>136</v>
      </c>
      <c r="AK53" s="141" t="s">
        <v>137</v>
      </c>
      <c r="AL53" s="142" t="str">
        <f t="shared" ca="1" si="77"/>
        <v>EURYC_BUMPED</v>
      </c>
      <c r="AM53" s="142" t="str">
        <f t="shared" ref="AM53:AM71" ca="1" si="84">LEFT(AL53,3)&amp;"DF_"&amp;L53</f>
        <v>EURDF_NOCSA</v>
      </c>
      <c r="AN53" s="142" t="str">
        <f t="shared" ca="1" si="78"/>
        <v>Spline</v>
      </c>
      <c r="AO53" s="196">
        <f ca="1">IF(AND(NOW(),isBumpedEUR6MLLoaded),_xll.meProductSwapParRate(_xll.meUtilityLVBFromMultipleKeysValues($B$28:$C$28, B30:C30,,$O$51:$AN$51,O53:AN53),FALSE),"LOAD CURVE")</f>
        <v>-1.404824869274553E-3</v>
      </c>
      <c r="AP53" s="147">
        <f ca="1">IF(AND(NOW(),isBumpedEUR6MLLoaded),_xll.meProductSwapPV(_xll.meUtilityLVBFromMultipleKeysValues($B$28:$E$28, B30:E30,,$N$51:$AN$51,N53:AN53),FALSE),"LOAD CURVE")</f>
        <v>103417.99882606986</v>
      </c>
      <c r="AQ53" s="163">
        <f ca="1">IF(AND(NOW(),isBumpedEUR6MLLoaded),_xll.meProductSwapPV01(_xll.meUtilityLVBFromMultipleKeysValues($B$28:$E$28, B30:E30,,$P$51:$AN$51,P53:AN53),FALSE),"LOAD CURVE")</f>
        <v>201.18344744694264</v>
      </c>
      <c r="AR53" s="244"/>
      <c r="AS53" s="244"/>
      <c r="AT53" s="224"/>
      <c r="AU53" s="116"/>
    </row>
    <row r="54" spans="1:47" x14ac:dyDescent="0.25">
      <c r="A54" s="202">
        <v>3</v>
      </c>
      <c r="B54" s="136">
        <f t="shared" ref="B54:L54" ca="1" si="85">B8</f>
        <v>42423</v>
      </c>
      <c r="C54" s="266" t="str">
        <f t="shared" ca="1" si="80"/>
        <v>3Y</v>
      </c>
      <c r="D54" s="238">
        <f t="shared" ca="1" si="80"/>
        <v>1000000</v>
      </c>
      <c r="E54" s="241" t="str">
        <f t="shared" ca="1" si="80"/>
        <v>RECEIVER</v>
      </c>
      <c r="F54" s="249" t="str">
        <f t="shared" ca="1" si="85"/>
        <v>2D</v>
      </c>
      <c r="G54" s="238" t="str">
        <f t="shared" ca="1" si="85"/>
        <v>EUR</v>
      </c>
      <c r="H54" s="198">
        <f t="shared" ca="1" si="85"/>
        <v>0.05</v>
      </c>
      <c r="I54" s="99" t="str">
        <f t="shared" ca="1" si="85"/>
        <v>6ML</v>
      </c>
      <c r="J54" s="238">
        <f t="shared" ca="1" si="73"/>
        <v>0</v>
      </c>
      <c r="K54" s="264">
        <f t="shared" ca="1" si="73"/>
        <v>-1.31E-3</v>
      </c>
      <c r="L54" s="139" t="str">
        <f t="shared" ca="1" si="85"/>
        <v>NOCSA</v>
      </c>
      <c r="M54" s="144">
        <f ca="1">_xll.meDateFromTenor(COB,"-"&amp;AG54,$AB54,$AC54)</f>
        <v>42419</v>
      </c>
      <c r="N54" s="140">
        <f t="shared" ca="1" si="81"/>
        <v>0.05</v>
      </c>
      <c r="O54" s="143">
        <f t="shared" ca="1" si="74"/>
        <v>0</v>
      </c>
      <c r="P54" s="113" t="s">
        <v>25</v>
      </c>
      <c r="Q54" s="113" t="s">
        <v>19</v>
      </c>
      <c r="R54" s="113" t="s">
        <v>21</v>
      </c>
      <c r="S54" s="113" t="s">
        <v>2</v>
      </c>
      <c r="T54" s="187"/>
      <c r="U54" s="187"/>
      <c r="V54" s="142">
        <f t="shared" ca="1" si="82"/>
        <v>23</v>
      </c>
      <c r="W54" s="141" t="s">
        <v>136</v>
      </c>
      <c r="X54" s="141" t="s">
        <v>137</v>
      </c>
      <c r="Y54" s="142" t="str">
        <f t="shared" ca="1" si="75"/>
        <v>EUR6ML</v>
      </c>
      <c r="Z54" s="178" t="s">
        <v>120</v>
      </c>
      <c r="AA54" s="141" t="s">
        <v>6</v>
      </c>
      <c r="AB54" s="141" t="s">
        <v>21</v>
      </c>
      <c r="AC54" s="141" t="s">
        <v>2</v>
      </c>
      <c r="AD54" s="187"/>
      <c r="AE54" s="187"/>
      <c r="AF54" s="142">
        <f t="shared" ca="1" si="83"/>
        <v>23</v>
      </c>
      <c r="AG54" s="141" t="s">
        <v>136</v>
      </c>
      <c r="AH54" s="145">
        <f t="shared" ca="1" si="76"/>
        <v>-1.31E-3</v>
      </c>
      <c r="AI54" s="146"/>
      <c r="AJ54" s="141" t="s">
        <v>136</v>
      </c>
      <c r="AK54" s="141" t="s">
        <v>137</v>
      </c>
      <c r="AL54" s="142" t="str">
        <f t="shared" ca="1" si="77"/>
        <v>EURYC_BUMPED</v>
      </c>
      <c r="AM54" s="142" t="str">
        <f t="shared" ca="1" si="84"/>
        <v>EURDF_NOCSA</v>
      </c>
      <c r="AN54" s="142" t="str">
        <f t="shared" ca="1" si="78"/>
        <v>Spline</v>
      </c>
      <c r="AO54" s="196">
        <f ca="1">IF(AND(NOW(),isBumpedEUR6MLLoaded),_xll.meProductSwapParRate(_xll.meUtilityLVBFromMultipleKeysValues($B$28:$C$28, B31:C31,,$O$51:$AN$51,O54:AN54),FALSE),"LOAD CURVE")</f>
        <v>-9.5327542726527162E-4</v>
      </c>
      <c r="AP54" s="147">
        <f ca="1">IF(AND(NOW(),isBumpedEUR6MLLoaded),_xll.meProductSwapPV(_xll.meUtilityLVBFromMultipleKeysValues($B$28:$E$28, B31:E31,,$N$51:$AN$51,N54:AN54),FALSE),"LOAD CURVE")</f>
        <v>154304.87662546281</v>
      </c>
      <c r="AQ54" s="163">
        <f ca="1">IF(AND(NOW(),isBumpedEUR6MLLoaded),_xll.meProductSwapPV01(_xll.meUtilityLVBFromMultipleKeysValues($B$28:$E$28, B31:E31,,$P$51:$AN$51,P54:AN54),FALSE),"LOAD CURVE")</f>
        <v>302.83603032690172</v>
      </c>
      <c r="AR54" s="244"/>
      <c r="AS54" s="244"/>
      <c r="AT54" s="224"/>
      <c r="AU54" s="116"/>
    </row>
    <row r="55" spans="1:47" x14ac:dyDescent="0.25">
      <c r="A55" s="202">
        <v>4</v>
      </c>
      <c r="B55" s="136">
        <f t="shared" ref="B55:L55" ca="1" si="86">B9</f>
        <v>42423</v>
      </c>
      <c r="C55" s="266" t="str">
        <f t="shared" ca="1" si="80"/>
        <v>4Y</v>
      </c>
      <c r="D55" s="238">
        <f t="shared" ca="1" si="80"/>
        <v>1000000</v>
      </c>
      <c r="E55" s="241" t="str">
        <f t="shared" ca="1" si="80"/>
        <v>RECEIVER</v>
      </c>
      <c r="F55" s="250" t="str">
        <f t="shared" ca="1" si="86"/>
        <v>2D</v>
      </c>
      <c r="G55" s="238" t="str">
        <f t="shared" ca="1" si="86"/>
        <v>EUR</v>
      </c>
      <c r="H55" s="198">
        <f t="shared" ca="1" si="86"/>
        <v>0.05</v>
      </c>
      <c r="I55" s="99" t="str">
        <f t="shared" ca="1" si="86"/>
        <v>6ML</v>
      </c>
      <c r="J55" s="238">
        <f t="shared" ca="1" si="73"/>
        <v>0</v>
      </c>
      <c r="K55" s="264">
        <f t="shared" ca="1" si="73"/>
        <v>-1.31E-3</v>
      </c>
      <c r="L55" s="139" t="str">
        <f t="shared" ca="1" si="86"/>
        <v>NOCSA</v>
      </c>
      <c r="M55" s="144">
        <f ca="1">_xll.meDateFromTenor(COB,"-"&amp;AG55,$AB55,$AC55)</f>
        <v>42419</v>
      </c>
      <c r="N55" s="148">
        <f t="shared" ca="1" si="81"/>
        <v>0.05</v>
      </c>
      <c r="O55" s="143">
        <f t="shared" ca="1" si="74"/>
        <v>0</v>
      </c>
      <c r="P55" s="141" t="s">
        <v>25</v>
      </c>
      <c r="Q55" s="141" t="s">
        <v>19</v>
      </c>
      <c r="R55" s="141" t="s">
        <v>21</v>
      </c>
      <c r="S55" s="141" t="s">
        <v>2</v>
      </c>
      <c r="T55" s="187"/>
      <c r="U55" s="187"/>
      <c r="V55" s="142">
        <f t="shared" ca="1" si="82"/>
        <v>23</v>
      </c>
      <c r="W55" s="141" t="s">
        <v>136</v>
      </c>
      <c r="X55" s="141" t="s">
        <v>137</v>
      </c>
      <c r="Y55" s="142" t="str">
        <f t="shared" ca="1" si="75"/>
        <v>EUR6ML</v>
      </c>
      <c r="Z55" s="178" t="s">
        <v>120</v>
      </c>
      <c r="AA55" s="141" t="s">
        <v>6</v>
      </c>
      <c r="AB55" s="141" t="s">
        <v>21</v>
      </c>
      <c r="AC55" s="141" t="s">
        <v>2</v>
      </c>
      <c r="AD55" s="187"/>
      <c r="AE55" s="187"/>
      <c r="AF55" s="142">
        <f t="shared" ca="1" si="83"/>
        <v>23</v>
      </c>
      <c r="AG55" s="141" t="s">
        <v>136</v>
      </c>
      <c r="AH55" s="145">
        <f t="shared" ca="1" si="76"/>
        <v>-1.31E-3</v>
      </c>
      <c r="AI55" s="146"/>
      <c r="AJ55" s="141" t="s">
        <v>136</v>
      </c>
      <c r="AK55" s="141" t="s">
        <v>137</v>
      </c>
      <c r="AL55" s="142" t="str">
        <f t="shared" ca="1" si="77"/>
        <v>EURYC_BUMPED</v>
      </c>
      <c r="AM55" s="142" t="str">
        <f t="shared" ca="1" si="84"/>
        <v>EURDF_NOCSA</v>
      </c>
      <c r="AN55" s="142" t="str">
        <f t="shared" ca="1" si="78"/>
        <v>Spline</v>
      </c>
      <c r="AO55" s="196">
        <f ca="1">IF(AND(NOW(),isBumpedEUR6MLLoaded),_xll.meProductSwapParRate(_xll.meUtilityLVBFromMultipleKeysValues($B$28:$C$28, B32:C32,,$O$51:$AN$51,O55:AN55),FALSE),"LOAD CURVE")</f>
        <v>-1.6745466068233928E-4</v>
      </c>
      <c r="AP55" s="147">
        <f ca="1">IF(AND(NOW(),isBumpedEUR6MLLoaded),_xll.meProductSwapPV(_xll.meUtilityLVBFromMultipleKeysValues($B$28:$E$28, B32:E32,,$N$51:$AN$51,N55:AN55),FALSE),"LOAD CURVE")</f>
        <v>202532.62252735946</v>
      </c>
      <c r="AQ55" s="163">
        <f ca="1">IF(AND(NOW(),isBumpedEUR6MLLoaded),_xll.meProductSwapPV01(_xll.meUtilityLVBFromMultipleKeysValues($B$28:$E$28, B32:E32,,$P$51:$AN$51,P55:AN55),FALSE),"LOAD CURVE")</f>
        <v>403.71317201008009</v>
      </c>
      <c r="AR55" s="244"/>
      <c r="AS55" s="244"/>
      <c r="AT55" s="224"/>
      <c r="AU55" s="116"/>
    </row>
    <row r="56" spans="1:47" x14ac:dyDescent="0.25">
      <c r="A56" s="202">
        <v>5</v>
      </c>
      <c r="B56" s="136">
        <f t="shared" ref="B56:L56" ca="1" si="87">B10</f>
        <v>42423</v>
      </c>
      <c r="C56" s="266" t="str">
        <f t="shared" ca="1" si="80"/>
        <v>5Y</v>
      </c>
      <c r="D56" s="238">
        <f t="shared" ca="1" si="80"/>
        <v>1000000</v>
      </c>
      <c r="E56" s="241" t="str">
        <f t="shared" ca="1" si="80"/>
        <v>RECEIVER</v>
      </c>
      <c r="F56" s="250" t="str">
        <f t="shared" ca="1" si="87"/>
        <v>2D</v>
      </c>
      <c r="G56" s="238" t="str">
        <f t="shared" ca="1" si="87"/>
        <v>EUR</v>
      </c>
      <c r="H56" s="198">
        <f t="shared" ca="1" si="87"/>
        <v>0.05</v>
      </c>
      <c r="I56" s="99" t="str">
        <f t="shared" ca="1" si="87"/>
        <v>6ML</v>
      </c>
      <c r="J56" s="238">
        <f t="shared" ca="1" si="73"/>
        <v>0</v>
      </c>
      <c r="K56" s="264">
        <f t="shared" ca="1" si="73"/>
        <v>-1.31E-3</v>
      </c>
      <c r="L56" s="139" t="str">
        <f t="shared" ca="1" si="87"/>
        <v>NOCSA</v>
      </c>
      <c r="M56" s="144">
        <f ca="1">_xll.meDateFromTenor(COB,"-"&amp;AG56,$AB56,$AC56)</f>
        <v>42419</v>
      </c>
      <c r="N56" s="148">
        <f t="shared" ca="1" si="81"/>
        <v>0.05</v>
      </c>
      <c r="O56" s="143">
        <f t="shared" ca="1" si="74"/>
        <v>0</v>
      </c>
      <c r="P56" s="141" t="s">
        <v>25</v>
      </c>
      <c r="Q56" s="141" t="s">
        <v>19</v>
      </c>
      <c r="R56" s="141" t="s">
        <v>21</v>
      </c>
      <c r="S56" s="141" t="s">
        <v>2</v>
      </c>
      <c r="T56" s="187"/>
      <c r="U56" s="187"/>
      <c r="V56" s="142">
        <f t="shared" ca="1" si="82"/>
        <v>23</v>
      </c>
      <c r="W56" s="141" t="s">
        <v>136</v>
      </c>
      <c r="X56" s="141" t="s">
        <v>137</v>
      </c>
      <c r="Y56" s="142" t="str">
        <f t="shared" ca="1" si="75"/>
        <v>EUR6ML</v>
      </c>
      <c r="Z56" s="178" t="s">
        <v>120</v>
      </c>
      <c r="AA56" s="141" t="s">
        <v>6</v>
      </c>
      <c r="AB56" s="141" t="s">
        <v>21</v>
      </c>
      <c r="AC56" s="141" t="s">
        <v>2</v>
      </c>
      <c r="AD56" s="187"/>
      <c r="AE56" s="187"/>
      <c r="AF56" s="142">
        <f t="shared" ca="1" si="83"/>
        <v>23</v>
      </c>
      <c r="AG56" s="141" t="s">
        <v>136</v>
      </c>
      <c r="AH56" s="145">
        <f t="shared" ca="1" si="76"/>
        <v>-1.31E-3</v>
      </c>
      <c r="AI56" s="146"/>
      <c r="AJ56" s="141" t="s">
        <v>136</v>
      </c>
      <c r="AK56" s="141" t="s">
        <v>137</v>
      </c>
      <c r="AL56" s="142" t="str">
        <f t="shared" ca="1" si="77"/>
        <v>EURYC_BUMPED</v>
      </c>
      <c r="AM56" s="142" t="str">
        <f t="shared" ca="1" si="84"/>
        <v>EURDF_NOCSA</v>
      </c>
      <c r="AN56" s="142" t="str">
        <f t="shared" ca="1" si="78"/>
        <v>Spline</v>
      </c>
      <c r="AO56" s="196">
        <f ca="1">IF(AND(NOW(),isBumpedEUR6MLLoaded),_xll.meProductSwapParRate(_xll.meUtilityLVBFromMultipleKeysValues($B$28:$C$28, B33:C33,,$O$51:$AN$51,O56:AN56),FALSE),"LOAD CURVE")</f>
        <v>8.4004111745726996E-4</v>
      </c>
      <c r="AP56" s="147">
        <f ca="1">IF(AND(NOW(),isBumpedEUR6MLLoaded),_xll.meProductSwapPV(_xll.meUtilityLVBFromMultipleKeysValues($B$28:$E$28, B33:E33,,$N$51:$AN$51,N56:AN56),FALSE),"LOAD CURVE")</f>
        <v>247956.95825284728</v>
      </c>
      <c r="AQ56" s="163">
        <f ca="1">IF(AND(NOW(),isBumpedEUR6MLLoaded),_xll.meProductSwapPV01(_xll.meUtilityLVBFromMultipleKeysValues($B$28:$E$28, B33:E33,,$P$51:$AN$51,P56:AN56),FALSE),"LOAD CURVE")</f>
        <v>504.38805053781215</v>
      </c>
      <c r="AR56" s="244"/>
      <c r="AS56" s="244"/>
      <c r="AT56" s="224"/>
      <c r="AU56" s="116"/>
    </row>
    <row r="57" spans="1:47" x14ac:dyDescent="0.25">
      <c r="A57" s="202">
        <v>6</v>
      </c>
      <c r="B57" s="136">
        <f t="shared" ref="B57:L57" ca="1" si="88">B11</f>
        <v>42423</v>
      </c>
      <c r="C57" s="266" t="str">
        <f t="shared" ca="1" si="80"/>
        <v>6Y</v>
      </c>
      <c r="D57" s="238">
        <f t="shared" ca="1" si="80"/>
        <v>1000000</v>
      </c>
      <c r="E57" s="241" t="str">
        <f t="shared" ca="1" si="80"/>
        <v>RECEIVER</v>
      </c>
      <c r="F57" s="250" t="str">
        <f t="shared" ca="1" si="88"/>
        <v>2D</v>
      </c>
      <c r="G57" s="238" t="str">
        <f t="shared" ca="1" si="88"/>
        <v>EUR</v>
      </c>
      <c r="H57" s="198">
        <f t="shared" ca="1" si="88"/>
        <v>0.05</v>
      </c>
      <c r="I57" s="99" t="str">
        <f t="shared" ca="1" si="88"/>
        <v>6ML</v>
      </c>
      <c r="J57" s="238">
        <f t="shared" ca="1" si="73"/>
        <v>0</v>
      </c>
      <c r="K57" s="264">
        <f t="shared" ca="1" si="73"/>
        <v>-1.31E-3</v>
      </c>
      <c r="L57" s="139" t="str">
        <f t="shared" ca="1" si="88"/>
        <v>NOCSA</v>
      </c>
      <c r="M57" s="144">
        <f ca="1">_xll.meDateFromTenor(COB,"-"&amp;AG57,$AB57,$AC57)</f>
        <v>42419</v>
      </c>
      <c r="N57" s="148">
        <f t="shared" ca="1" si="81"/>
        <v>0.05</v>
      </c>
      <c r="O57" s="143">
        <f t="shared" ca="1" si="74"/>
        <v>0</v>
      </c>
      <c r="P57" s="141" t="s">
        <v>25</v>
      </c>
      <c r="Q57" s="141" t="s">
        <v>19</v>
      </c>
      <c r="R57" s="141" t="s">
        <v>21</v>
      </c>
      <c r="S57" s="141" t="s">
        <v>2</v>
      </c>
      <c r="T57" s="187"/>
      <c r="U57" s="187"/>
      <c r="V57" s="142">
        <f t="shared" ca="1" si="82"/>
        <v>23</v>
      </c>
      <c r="W57" s="141" t="s">
        <v>136</v>
      </c>
      <c r="X57" s="141" t="s">
        <v>137</v>
      </c>
      <c r="Y57" s="142" t="str">
        <f t="shared" ca="1" si="75"/>
        <v>EUR6ML</v>
      </c>
      <c r="Z57" s="178" t="s">
        <v>120</v>
      </c>
      <c r="AA57" s="141" t="s">
        <v>6</v>
      </c>
      <c r="AB57" s="141" t="s">
        <v>21</v>
      </c>
      <c r="AC57" s="141" t="s">
        <v>2</v>
      </c>
      <c r="AD57" s="187"/>
      <c r="AE57" s="187"/>
      <c r="AF57" s="142">
        <f t="shared" ca="1" si="83"/>
        <v>23</v>
      </c>
      <c r="AG57" s="141" t="s">
        <v>136</v>
      </c>
      <c r="AH57" s="145">
        <f t="shared" ca="1" si="76"/>
        <v>-1.31E-3</v>
      </c>
      <c r="AI57" s="146"/>
      <c r="AJ57" s="141" t="s">
        <v>136</v>
      </c>
      <c r="AK57" s="141" t="s">
        <v>137</v>
      </c>
      <c r="AL57" s="142" t="str">
        <f t="shared" ca="1" si="77"/>
        <v>EURYC_BUMPED</v>
      </c>
      <c r="AM57" s="142" t="str">
        <f t="shared" ca="1" si="84"/>
        <v>EURDF_NOCSA</v>
      </c>
      <c r="AN57" s="142" t="str">
        <f t="shared" ca="1" si="78"/>
        <v>Spline</v>
      </c>
      <c r="AO57" s="196">
        <f ca="1">IF(AND(NOW(),isBumpedEUR6MLLoaded),_xll.meProductSwapParRate(_xll.meUtilityLVBFromMultipleKeysValues($B$28:$C$28, B34:C34,,$O$51:$AN$51,O57:AN57),FALSE),"LOAD CURVE")</f>
        <v>1.9283734488783756E-3</v>
      </c>
      <c r="AP57" s="147">
        <f ca="1">IF(AND(NOW(),isBumpedEUR6MLLoaded),_xll.meProductSwapPV(_xll.meUtilityLVBFromMultipleKeysValues($B$28:$E$28, B34:E34,,$N$51:$AN$51,N57:AN57),FALSE),"LOAD CURVE")</f>
        <v>290756.04227173672</v>
      </c>
      <c r="AQ57" s="163">
        <f ca="1">IF(AND(NOW(),isBumpedEUR6MLLoaded),_xll.meProductSwapPV01(_xll.meUtilityLVBFromMultipleKeysValues($B$28:$E$28, B34:E34,,$P$51:$AN$51,P57:AN57),FALSE),"LOAD CURVE")</f>
        <v>604.83920169111218</v>
      </c>
      <c r="AR57" s="244"/>
      <c r="AS57" s="244"/>
      <c r="AT57" s="224"/>
      <c r="AU57" s="116"/>
    </row>
    <row r="58" spans="1:47" x14ac:dyDescent="0.25">
      <c r="A58" s="202">
        <v>7</v>
      </c>
      <c r="B58" s="136">
        <f t="shared" ref="B58:L58" ca="1" si="89">B12</f>
        <v>42423</v>
      </c>
      <c r="C58" s="266" t="str">
        <f t="shared" ca="1" si="80"/>
        <v>7Y</v>
      </c>
      <c r="D58" s="238">
        <f t="shared" ca="1" si="80"/>
        <v>1000000</v>
      </c>
      <c r="E58" s="241" t="str">
        <f t="shared" ca="1" si="80"/>
        <v>RECEIVER</v>
      </c>
      <c r="F58" s="250" t="str">
        <f t="shared" ca="1" si="89"/>
        <v>2D</v>
      </c>
      <c r="G58" s="238" t="str">
        <f t="shared" ca="1" si="89"/>
        <v>EUR</v>
      </c>
      <c r="H58" s="198">
        <f t="shared" ca="1" si="89"/>
        <v>0.05</v>
      </c>
      <c r="I58" s="99" t="str">
        <f t="shared" ca="1" si="89"/>
        <v>6ML</v>
      </c>
      <c r="J58" s="238">
        <f t="shared" ca="1" si="73"/>
        <v>0</v>
      </c>
      <c r="K58" s="264">
        <f t="shared" ca="1" si="73"/>
        <v>-1.31E-3</v>
      </c>
      <c r="L58" s="139" t="str">
        <f t="shared" ca="1" si="89"/>
        <v>NOCSA</v>
      </c>
      <c r="M58" s="144">
        <f ca="1">_xll.meDateFromTenor(COB,"-"&amp;AG58,$AB58,$AC58)</f>
        <v>42419</v>
      </c>
      <c r="N58" s="148">
        <f t="shared" ca="1" si="81"/>
        <v>0.05</v>
      </c>
      <c r="O58" s="143">
        <f t="shared" ca="1" si="74"/>
        <v>0</v>
      </c>
      <c r="P58" s="141" t="s">
        <v>25</v>
      </c>
      <c r="Q58" s="141" t="s">
        <v>19</v>
      </c>
      <c r="R58" s="141" t="s">
        <v>21</v>
      </c>
      <c r="S58" s="141" t="s">
        <v>2</v>
      </c>
      <c r="T58" s="187"/>
      <c r="U58" s="187"/>
      <c r="V58" s="142">
        <f t="shared" ca="1" si="82"/>
        <v>23</v>
      </c>
      <c r="W58" s="141" t="s">
        <v>136</v>
      </c>
      <c r="X58" s="141" t="s">
        <v>137</v>
      </c>
      <c r="Y58" s="142" t="str">
        <f t="shared" ca="1" si="75"/>
        <v>EUR6ML</v>
      </c>
      <c r="Z58" s="178" t="s">
        <v>120</v>
      </c>
      <c r="AA58" s="141" t="s">
        <v>6</v>
      </c>
      <c r="AB58" s="141" t="s">
        <v>21</v>
      </c>
      <c r="AC58" s="141" t="s">
        <v>2</v>
      </c>
      <c r="AD58" s="187"/>
      <c r="AE58" s="187"/>
      <c r="AF58" s="142">
        <f t="shared" ca="1" si="83"/>
        <v>23</v>
      </c>
      <c r="AG58" s="141" t="s">
        <v>136</v>
      </c>
      <c r="AH58" s="145">
        <f t="shared" ca="1" si="76"/>
        <v>-1.31E-3</v>
      </c>
      <c r="AI58" s="146"/>
      <c r="AJ58" s="141" t="s">
        <v>136</v>
      </c>
      <c r="AK58" s="141" t="s">
        <v>137</v>
      </c>
      <c r="AL58" s="142" t="str">
        <f t="shared" ca="1" si="77"/>
        <v>EURYC_BUMPED</v>
      </c>
      <c r="AM58" s="142" t="str">
        <f t="shared" ca="1" si="84"/>
        <v>EURDF_NOCSA</v>
      </c>
      <c r="AN58" s="142" t="str">
        <f t="shared" ca="1" si="78"/>
        <v>Spline</v>
      </c>
      <c r="AO58" s="196">
        <f ca="1">IF(AND(NOW(),isBumpedEUR6MLLoaded),_xll.meProductSwapParRate(_xll.meUtilityLVBFromMultipleKeysValues($B$28:$C$28, B35:C35,,$O$51:$AN$51,O58:AN58),FALSE),"LOAD CURVE")</f>
        <v>3.1171893187343981E-3</v>
      </c>
      <c r="AP58" s="147">
        <f ca="1">IF(AND(NOW(),isBumpedEUR6MLLoaded),_xll.meProductSwapPV(_xll.meUtilityLVBFromMultipleKeysValues($B$28:$E$28, B35:E35,,$N$51:$AN$51,N58:AN58),FALSE),"LOAD CURVE")</f>
        <v>330282.30563701346</v>
      </c>
      <c r="AQ58" s="163">
        <f ca="1">IF(AND(NOW(),isBumpedEUR6MLLoaded),_xll.meProductSwapPV01(_xll.meUtilityLVBFromMultipleKeysValues($B$28:$E$28, B35:E35,,$P$51:$AN$51,P58:AN58),FALSE),"LOAD CURVE")</f>
        <v>704.48486521520454</v>
      </c>
      <c r="AR58" s="244"/>
      <c r="AS58" s="244"/>
      <c r="AT58" s="224"/>
      <c r="AU58" s="116"/>
    </row>
    <row r="59" spans="1:47" x14ac:dyDescent="0.25">
      <c r="A59" s="202">
        <v>8</v>
      </c>
      <c r="B59" s="136">
        <f t="shared" ref="B59:L59" ca="1" si="90">B13</f>
        <v>42423</v>
      </c>
      <c r="C59" s="266" t="str">
        <f t="shared" ca="1" si="80"/>
        <v>8Y</v>
      </c>
      <c r="D59" s="238">
        <f t="shared" ca="1" si="80"/>
        <v>1000000</v>
      </c>
      <c r="E59" s="241" t="str">
        <f t="shared" ca="1" si="80"/>
        <v>RECEIVER</v>
      </c>
      <c r="F59" s="250" t="str">
        <f t="shared" ca="1" si="90"/>
        <v>2D</v>
      </c>
      <c r="G59" s="238" t="str">
        <f t="shared" ca="1" si="90"/>
        <v>EUR</v>
      </c>
      <c r="H59" s="198">
        <f t="shared" ca="1" si="90"/>
        <v>0.05</v>
      </c>
      <c r="I59" s="99" t="str">
        <f t="shared" ca="1" si="90"/>
        <v>6ML</v>
      </c>
      <c r="J59" s="238">
        <f t="shared" ca="1" si="73"/>
        <v>0</v>
      </c>
      <c r="K59" s="264">
        <f t="shared" ca="1" si="73"/>
        <v>-1.31E-3</v>
      </c>
      <c r="L59" s="139" t="str">
        <f t="shared" ca="1" si="90"/>
        <v>NOCSA</v>
      </c>
      <c r="M59" s="144">
        <f ca="1">_xll.meDateFromTenor(COB,"-"&amp;AG59,$AB59,$AC59)</f>
        <v>42419</v>
      </c>
      <c r="N59" s="148">
        <f t="shared" ca="1" si="81"/>
        <v>0.05</v>
      </c>
      <c r="O59" s="143">
        <f t="shared" ca="1" si="74"/>
        <v>0</v>
      </c>
      <c r="P59" s="141" t="s">
        <v>25</v>
      </c>
      <c r="Q59" s="141" t="s">
        <v>19</v>
      </c>
      <c r="R59" s="141" t="s">
        <v>21</v>
      </c>
      <c r="S59" s="141" t="s">
        <v>2</v>
      </c>
      <c r="T59" s="187"/>
      <c r="U59" s="187"/>
      <c r="V59" s="142">
        <f t="shared" ca="1" si="82"/>
        <v>23</v>
      </c>
      <c r="W59" s="141" t="s">
        <v>136</v>
      </c>
      <c r="X59" s="141" t="s">
        <v>137</v>
      </c>
      <c r="Y59" s="142" t="str">
        <f t="shared" ca="1" si="75"/>
        <v>EUR6ML</v>
      </c>
      <c r="Z59" s="178" t="s">
        <v>120</v>
      </c>
      <c r="AA59" s="141" t="s">
        <v>6</v>
      </c>
      <c r="AB59" s="141" t="s">
        <v>21</v>
      </c>
      <c r="AC59" s="141" t="s">
        <v>2</v>
      </c>
      <c r="AD59" s="187"/>
      <c r="AE59" s="187"/>
      <c r="AF59" s="142">
        <f t="shared" ca="1" si="83"/>
        <v>23</v>
      </c>
      <c r="AG59" s="141" t="s">
        <v>136</v>
      </c>
      <c r="AH59" s="145">
        <f t="shared" ca="1" si="76"/>
        <v>-1.31E-3</v>
      </c>
      <c r="AI59" s="146"/>
      <c r="AJ59" s="141" t="s">
        <v>136</v>
      </c>
      <c r="AK59" s="141" t="s">
        <v>137</v>
      </c>
      <c r="AL59" s="142" t="str">
        <f t="shared" ca="1" si="77"/>
        <v>EURYC_BUMPED</v>
      </c>
      <c r="AM59" s="142" t="str">
        <f t="shared" ca="1" si="84"/>
        <v>EURDF_NOCSA</v>
      </c>
      <c r="AN59" s="142" t="str">
        <f t="shared" ca="1" si="78"/>
        <v>Spline</v>
      </c>
      <c r="AO59" s="196">
        <f ca="1">IF(AND(NOW(),isBumpedEUR6MLLoaded),_xll.meProductSwapParRate(_xll.meUtilityLVBFromMultipleKeysValues($B$28:$C$28, B36:C36,,$O$51:$AN$51,O59:AN59),FALSE),"LOAD CURVE")</f>
        <v>4.3463068324896027E-3</v>
      </c>
      <c r="AP59" s="147">
        <f ca="1">IF(AND(NOW(),isBumpedEUR6MLLoaded),_xll.meProductSwapPV(_xll.meUtilityLVBFromMultipleKeysValues($B$28:$E$28, B36:E36,,$N$51:$AN$51,N59:AN59),FALSE),"LOAD CURVE")</f>
        <v>366616.36190347472</v>
      </c>
      <c r="AQ59" s="163">
        <f ca="1">IF(AND(NOW(),isBumpedEUR6MLLoaded),_xll.meProductSwapPV01(_xll.meUtilityLVBFromMultipleKeysValues($B$28:$E$28, B36:E36,,$P$51:$AN$51,P59:AN59),FALSE),"LOAD CURVE")</f>
        <v>803.03768757174396</v>
      </c>
      <c r="AR59" s="244"/>
      <c r="AS59" s="244"/>
      <c r="AT59" s="224"/>
      <c r="AU59" s="116"/>
    </row>
    <row r="60" spans="1:47" x14ac:dyDescent="0.25">
      <c r="A60" s="202">
        <v>9</v>
      </c>
      <c r="B60" s="136">
        <f t="shared" ref="B60:L60" ca="1" si="91">B14</f>
        <v>42423</v>
      </c>
      <c r="C60" s="266" t="str">
        <f t="shared" ca="1" si="80"/>
        <v>9Y</v>
      </c>
      <c r="D60" s="238">
        <f t="shared" ca="1" si="80"/>
        <v>1000000</v>
      </c>
      <c r="E60" s="241" t="str">
        <f t="shared" ca="1" si="80"/>
        <v>RECEIVER</v>
      </c>
      <c r="F60" s="250" t="str">
        <f t="shared" ca="1" si="91"/>
        <v>2D</v>
      </c>
      <c r="G60" s="238" t="str">
        <f t="shared" ca="1" si="91"/>
        <v>EUR</v>
      </c>
      <c r="H60" s="198">
        <f t="shared" ca="1" si="91"/>
        <v>0.05</v>
      </c>
      <c r="I60" s="99" t="str">
        <f t="shared" ca="1" si="91"/>
        <v>6ML</v>
      </c>
      <c r="J60" s="238">
        <f t="shared" ca="1" si="73"/>
        <v>0</v>
      </c>
      <c r="K60" s="264">
        <f t="shared" ca="1" si="73"/>
        <v>-1.31E-3</v>
      </c>
      <c r="L60" s="139" t="str">
        <f t="shared" ca="1" si="91"/>
        <v>NOCSA</v>
      </c>
      <c r="M60" s="144">
        <f ca="1">_xll.meDateFromTenor(COB,"-"&amp;AG60,$AB60,$AC60)</f>
        <v>42419</v>
      </c>
      <c r="N60" s="148">
        <f t="shared" ca="1" si="81"/>
        <v>0.05</v>
      </c>
      <c r="O60" s="143">
        <f t="shared" ca="1" si="74"/>
        <v>0</v>
      </c>
      <c r="P60" s="141" t="s">
        <v>25</v>
      </c>
      <c r="Q60" s="141" t="s">
        <v>19</v>
      </c>
      <c r="R60" s="141" t="s">
        <v>21</v>
      </c>
      <c r="S60" s="141" t="s">
        <v>2</v>
      </c>
      <c r="T60" s="187"/>
      <c r="U60" s="187"/>
      <c r="V60" s="142">
        <f t="shared" ca="1" si="82"/>
        <v>23</v>
      </c>
      <c r="W60" s="141" t="s">
        <v>136</v>
      </c>
      <c r="X60" s="141" t="s">
        <v>137</v>
      </c>
      <c r="Y60" s="142" t="str">
        <f t="shared" ca="1" si="75"/>
        <v>EUR6ML</v>
      </c>
      <c r="Z60" s="178" t="s">
        <v>120</v>
      </c>
      <c r="AA60" s="141" t="s">
        <v>6</v>
      </c>
      <c r="AB60" s="141" t="s">
        <v>21</v>
      </c>
      <c r="AC60" s="141" t="s">
        <v>2</v>
      </c>
      <c r="AD60" s="187"/>
      <c r="AE60" s="187"/>
      <c r="AF60" s="142">
        <f t="shared" ca="1" si="83"/>
        <v>23</v>
      </c>
      <c r="AG60" s="141" t="s">
        <v>136</v>
      </c>
      <c r="AH60" s="145">
        <f t="shared" ca="1" si="76"/>
        <v>-1.31E-3</v>
      </c>
      <c r="AI60" s="146"/>
      <c r="AJ60" s="141" t="s">
        <v>136</v>
      </c>
      <c r="AK60" s="141" t="s">
        <v>137</v>
      </c>
      <c r="AL60" s="142" t="str">
        <f t="shared" ca="1" si="77"/>
        <v>EURYC_BUMPED</v>
      </c>
      <c r="AM60" s="142" t="str">
        <f t="shared" ca="1" si="84"/>
        <v>EURDF_NOCSA</v>
      </c>
      <c r="AN60" s="142" t="str">
        <f t="shared" ca="1" si="78"/>
        <v>Spline</v>
      </c>
      <c r="AO60" s="196">
        <f ca="1">IF(AND(NOW(),isBumpedEUR6MLLoaded),_xll.meProductSwapParRate(_xll.meUtilityLVBFromMultipleKeysValues($B$28:$C$28, B37:C37,,$O$51:$AN$51,O60:AN60),FALSE),"LOAD CURVE")</f>
        <v>5.5156237067834849E-3</v>
      </c>
      <c r="AP60" s="147">
        <f ca="1">IF(AND(NOW(),isBumpedEUR6MLLoaded),_xll.meProductSwapPV(_xll.meUtilityLVBFromMultipleKeysValues($B$28:$E$28, B37:E37,,$N$51:$AN$51,N60:AN60),FALSE),"LOAD CURVE")</f>
        <v>400600.41134839883</v>
      </c>
      <c r="AQ60" s="163">
        <f ca="1">IF(AND(NOW(),isBumpedEUR6MLLoaded),_xll.meProductSwapPV01(_xll.meUtilityLVBFromMultipleKeysValues($B$28:$E$28, B37:E37,,$P$51:$AN$51,P60:AN60),FALSE),"LOAD CURVE")</f>
        <v>900.54181879017824</v>
      </c>
      <c r="AR60" s="244"/>
      <c r="AS60" s="244"/>
      <c r="AT60" s="224"/>
      <c r="AU60" s="116"/>
    </row>
    <row r="61" spans="1:47" x14ac:dyDescent="0.25">
      <c r="A61" s="202">
        <v>10</v>
      </c>
      <c r="B61" s="136">
        <f t="shared" ref="B61:L61" ca="1" si="92">B15</f>
        <v>42423</v>
      </c>
      <c r="C61" s="266" t="str">
        <f t="shared" ca="1" si="80"/>
        <v>10Y</v>
      </c>
      <c r="D61" s="238">
        <f t="shared" ca="1" si="80"/>
        <v>1000000</v>
      </c>
      <c r="E61" s="241" t="str">
        <f t="shared" ca="1" si="80"/>
        <v>RECEIVER</v>
      </c>
      <c r="F61" s="250" t="str">
        <f t="shared" ca="1" si="92"/>
        <v>2D</v>
      </c>
      <c r="G61" s="238" t="str">
        <f t="shared" ca="1" si="92"/>
        <v>EUR</v>
      </c>
      <c r="H61" s="198">
        <f t="shared" ca="1" si="92"/>
        <v>0.05</v>
      </c>
      <c r="I61" s="99" t="str">
        <f t="shared" ca="1" si="92"/>
        <v>6ML</v>
      </c>
      <c r="J61" s="238">
        <f t="shared" ca="1" si="73"/>
        <v>0</v>
      </c>
      <c r="K61" s="264">
        <f t="shared" ca="1" si="73"/>
        <v>-1.31E-3</v>
      </c>
      <c r="L61" s="139" t="str">
        <f t="shared" ca="1" si="92"/>
        <v>NOCSA</v>
      </c>
      <c r="M61" s="144">
        <f ca="1">_xll.meDateFromTenor(COB,"-"&amp;AG61,$AB61,$AC61)</f>
        <v>42419</v>
      </c>
      <c r="N61" s="148">
        <f t="shared" ca="1" si="81"/>
        <v>0.05</v>
      </c>
      <c r="O61" s="143">
        <f t="shared" ca="1" si="74"/>
        <v>0</v>
      </c>
      <c r="P61" s="141" t="s">
        <v>25</v>
      </c>
      <c r="Q61" s="141" t="s">
        <v>19</v>
      </c>
      <c r="R61" s="141" t="s">
        <v>21</v>
      </c>
      <c r="S61" s="141" t="s">
        <v>2</v>
      </c>
      <c r="T61" s="187"/>
      <c r="U61" s="187"/>
      <c r="V61" s="142">
        <f t="shared" ca="1" si="82"/>
        <v>23</v>
      </c>
      <c r="W61" s="141" t="s">
        <v>136</v>
      </c>
      <c r="X61" s="141" t="s">
        <v>137</v>
      </c>
      <c r="Y61" s="142" t="str">
        <f t="shared" ca="1" si="75"/>
        <v>EUR6ML</v>
      </c>
      <c r="Z61" s="178" t="s">
        <v>120</v>
      </c>
      <c r="AA61" s="141" t="s">
        <v>6</v>
      </c>
      <c r="AB61" s="141" t="s">
        <v>21</v>
      </c>
      <c r="AC61" s="141" t="s">
        <v>2</v>
      </c>
      <c r="AD61" s="187"/>
      <c r="AE61" s="187"/>
      <c r="AF61" s="142">
        <f t="shared" ca="1" si="83"/>
        <v>23</v>
      </c>
      <c r="AG61" s="141" t="s">
        <v>136</v>
      </c>
      <c r="AH61" s="145">
        <f t="shared" ca="1" si="76"/>
        <v>-1.31E-3</v>
      </c>
      <c r="AI61" s="146"/>
      <c r="AJ61" s="141" t="s">
        <v>136</v>
      </c>
      <c r="AK61" s="141" t="s">
        <v>137</v>
      </c>
      <c r="AL61" s="142" t="str">
        <f t="shared" ca="1" si="77"/>
        <v>EURYC_BUMPED</v>
      </c>
      <c r="AM61" s="142" t="str">
        <f t="shared" ca="1" si="84"/>
        <v>EURDF_NOCSA</v>
      </c>
      <c r="AN61" s="142" t="str">
        <f t="shared" ca="1" si="78"/>
        <v>Spline</v>
      </c>
      <c r="AO61" s="196">
        <f ca="1">IF(AND(NOW(),isBumpedEUR6MLLoaded),_xll.meProductSwapParRate(_xll.meUtilityLVBFromMultipleKeysValues($B$28:$C$28, B38:C38,,$O$51:$AN$51,O61:AN61),FALSE),"LOAD CURVE")</f>
        <v>6.5750845852751661E-3</v>
      </c>
      <c r="AP61" s="147">
        <f ca="1">IF(AND(NOW(),isBumpedEUR6MLLoaded),_xll.meProductSwapPV(_xll.meUtilityLVBFromMultipleKeysValues($B$28:$E$28, B38:E38,,$N$51:$AN$51,N61:AN61),FALSE),"LOAD CURVE")</f>
        <v>432539.98581030691</v>
      </c>
      <c r="AQ61" s="163">
        <f ca="1">IF(AND(NOW(),isBumpedEUR6MLLoaded),_xll.meProductSwapPV01(_xll.meUtilityLVBFromMultipleKeysValues($B$28:$E$28, B38:E38,,$P$51:$AN$51,P61:AN61),FALSE),"LOAD CURVE")</f>
        <v>996.06408367035783</v>
      </c>
      <c r="AR61" s="244"/>
      <c r="AS61" s="244"/>
      <c r="AT61" s="224"/>
      <c r="AU61" s="116"/>
    </row>
    <row r="62" spans="1:47" x14ac:dyDescent="0.25">
      <c r="A62" s="202">
        <v>11</v>
      </c>
      <c r="B62" s="136">
        <f t="shared" ref="B62:L62" ca="1" si="93">B16</f>
        <v>42423</v>
      </c>
      <c r="C62" s="266" t="str">
        <f t="shared" ca="1" si="80"/>
        <v>11Y</v>
      </c>
      <c r="D62" s="238">
        <f t="shared" ca="1" si="80"/>
        <v>1000000</v>
      </c>
      <c r="E62" s="241" t="str">
        <f t="shared" ca="1" si="80"/>
        <v>RECEIVER</v>
      </c>
      <c r="F62" s="250" t="str">
        <f t="shared" ca="1" si="93"/>
        <v>2D</v>
      </c>
      <c r="G62" s="238" t="str">
        <f t="shared" ca="1" si="93"/>
        <v>EUR</v>
      </c>
      <c r="H62" s="198">
        <f t="shared" ca="1" si="93"/>
        <v>0.05</v>
      </c>
      <c r="I62" s="99" t="str">
        <f t="shared" ca="1" si="93"/>
        <v>6ML</v>
      </c>
      <c r="J62" s="238">
        <f t="shared" ca="1" si="73"/>
        <v>0</v>
      </c>
      <c r="K62" s="264">
        <f t="shared" ca="1" si="73"/>
        <v>-1.31E-3</v>
      </c>
      <c r="L62" s="139" t="str">
        <f t="shared" ca="1" si="93"/>
        <v>NOCSA</v>
      </c>
      <c r="M62" s="144">
        <f ca="1">_xll.meDateFromTenor(COB,"-"&amp;AG62,$AB62,$AC62)</f>
        <v>42419</v>
      </c>
      <c r="N62" s="148">
        <f t="shared" ca="1" si="81"/>
        <v>0.05</v>
      </c>
      <c r="O62" s="143">
        <f t="shared" ca="1" si="74"/>
        <v>0</v>
      </c>
      <c r="P62" s="141" t="s">
        <v>25</v>
      </c>
      <c r="Q62" s="141" t="s">
        <v>19</v>
      </c>
      <c r="R62" s="141" t="s">
        <v>21</v>
      </c>
      <c r="S62" s="141" t="s">
        <v>2</v>
      </c>
      <c r="T62" s="187"/>
      <c r="U62" s="187"/>
      <c r="V62" s="142">
        <f t="shared" ca="1" si="82"/>
        <v>23</v>
      </c>
      <c r="W62" s="141" t="s">
        <v>136</v>
      </c>
      <c r="X62" s="141" t="s">
        <v>137</v>
      </c>
      <c r="Y62" s="142" t="str">
        <f t="shared" ca="1" si="75"/>
        <v>EUR6ML</v>
      </c>
      <c r="Z62" s="178" t="s">
        <v>120</v>
      </c>
      <c r="AA62" s="141" t="s">
        <v>6</v>
      </c>
      <c r="AB62" s="141" t="s">
        <v>21</v>
      </c>
      <c r="AC62" s="141" t="s">
        <v>2</v>
      </c>
      <c r="AD62" s="187"/>
      <c r="AE62" s="187"/>
      <c r="AF62" s="142">
        <f t="shared" ca="1" si="83"/>
        <v>23</v>
      </c>
      <c r="AG62" s="141" t="s">
        <v>136</v>
      </c>
      <c r="AH62" s="145">
        <f t="shared" ca="1" si="76"/>
        <v>-1.31E-3</v>
      </c>
      <c r="AI62" s="146"/>
      <c r="AJ62" s="141" t="s">
        <v>136</v>
      </c>
      <c r="AK62" s="141" t="s">
        <v>137</v>
      </c>
      <c r="AL62" s="142" t="str">
        <f t="shared" ca="1" si="77"/>
        <v>EURYC_BUMPED</v>
      </c>
      <c r="AM62" s="142" t="str">
        <f t="shared" ca="1" si="84"/>
        <v>EURDF_NOCSA</v>
      </c>
      <c r="AN62" s="142" t="str">
        <f t="shared" ca="1" si="78"/>
        <v>Spline</v>
      </c>
      <c r="AO62" s="196">
        <f ca="1">IF(AND(NOW(),isBumpedEUR6MLLoaded),_xll.meProductSwapParRate(_xll.meUtilityLVBFromMultipleKeysValues($B$28:$C$28, B39:C39,,$O$51:$AN$51,O62:AN62),FALSE),"LOAD CURVE")</f>
        <v>7.5346450661498664E-3</v>
      </c>
      <c r="AP62" s="147">
        <f ca="1">IF(AND(NOW(),isBumpedEUR6MLLoaded),_xll.meProductSwapPV(_xll.meUtilityLVBFromMultipleKeysValues($B$28:$E$28, B39:E39,,$N$51:$AN$51,N62:AN62),FALSE),"LOAD CURVE")</f>
        <v>463005.9090895172</v>
      </c>
      <c r="AQ62" s="163">
        <f ca="1">IF(AND(NOW(),isBumpedEUR6MLLoaded),_xll.meProductSwapPV01(_xll.meUtilityLVBFromMultipleKeysValues($B$28:$E$28, B39:E39,,$P$51:$AN$51,P62:AN62),FALSE),"LOAD CURVE")</f>
        <v>1090.3144688435048</v>
      </c>
      <c r="AR62" s="244"/>
      <c r="AS62" s="244"/>
      <c r="AT62" s="224"/>
      <c r="AU62" s="116"/>
    </row>
    <row r="63" spans="1:47" x14ac:dyDescent="0.25">
      <c r="A63" s="202">
        <v>12</v>
      </c>
      <c r="B63" s="136">
        <f t="shared" ref="B63:L63" ca="1" si="94">B17</f>
        <v>42423</v>
      </c>
      <c r="C63" s="266" t="str">
        <f t="shared" ca="1" si="80"/>
        <v>12Y</v>
      </c>
      <c r="D63" s="238">
        <f t="shared" ca="1" si="80"/>
        <v>1000000</v>
      </c>
      <c r="E63" s="241" t="str">
        <f t="shared" ca="1" si="80"/>
        <v>RECEIVER</v>
      </c>
      <c r="F63" s="250" t="str">
        <f t="shared" ca="1" si="94"/>
        <v>2D</v>
      </c>
      <c r="G63" s="238" t="str">
        <f t="shared" ca="1" si="94"/>
        <v>EUR</v>
      </c>
      <c r="H63" s="198">
        <f t="shared" ca="1" si="94"/>
        <v>0.05</v>
      </c>
      <c r="I63" s="99" t="str">
        <f t="shared" ca="1" si="94"/>
        <v>6ML</v>
      </c>
      <c r="J63" s="238">
        <f t="shared" ca="1" si="73"/>
        <v>0</v>
      </c>
      <c r="K63" s="264">
        <f t="shared" ca="1" si="73"/>
        <v>-1.31E-3</v>
      </c>
      <c r="L63" s="139" t="str">
        <f t="shared" ca="1" si="94"/>
        <v>NOCSA</v>
      </c>
      <c r="M63" s="144">
        <f ca="1">_xll.meDateFromTenor(COB,"-"&amp;AG63,$AB63,$AC63)</f>
        <v>42419</v>
      </c>
      <c r="N63" s="148">
        <f t="shared" ca="1" si="81"/>
        <v>0.05</v>
      </c>
      <c r="O63" s="143">
        <f t="shared" ca="1" si="74"/>
        <v>0</v>
      </c>
      <c r="P63" s="141" t="s">
        <v>25</v>
      </c>
      <c r="Q63" s="141" t="s">
        <v>19</v>
      </c>
      <c r="R63" s="141" t="s">
        <v>21</v>
      </c>
      <c r="S63" s="141" t="s">
        <v>2</v>
      </c>
      <c r="T63" s="187"/>
      <c r="U63" s="187"/>
      <c r="V63" s="142">
        <f t="shared" ca="1" si="82"/>
        <v>23</v>
      </c>
      <c r="W63" s="141" t="s">
        <v>136</v>
      </c>
      <c r="X63" s="141" t="s">
        <v>137</v>
      </c>
      <c r="Y63" s="142" t="str">
        <f t="shared" ca="1" si="75"/>
        <v>EUR6ML</v>
      </c>
      <c r="Z63" s="178" t="s">
        <v>120</v>
      </c>
      <c r="AA63" s="141" t="s">
        <v>6</v>
      </c>
      <c r="AB63" s="141" t="s">
        <v>21</v>
      </c>
      <c r="AC63" s="141" t="s">
        <v>2</v>
      </c>
      <c r="AD63" s="187"/>
      <c r="AE63" s="187"/>
      <c r="AF63" s="142">
        <f t="shared" ca="1" si="83"/>
        <v>23</v>
      </c>
      <c r="AG63" s="141" t="s">
        <v>136</v>
      </c>
      <c r="AH63" s="145">
        <f t="shared" ca="1" si="76"/>
        <v>-1.31E-3</v>
      </c>
      <c r="AI63" s="146"/>
      <c r="AJ63" s="141" t="s">
        <v>136</v>
      </c>
      <c r="AK63" s="141" t="s">
        <v>137</v>
      </c>
      <c r="AL63" s="142" t="str">
        <f t="shared" ca="1" si="77"/>
        <v>EURYC_BUMPED</v>
      </c>
      <c r="AM63" s="142" t="str">
        <f t="shared" ca="1" si="84"/>
        <v>EURDF_NOCSA</v>
      </c>
      <c r="AN63" s="142" t="str">
        <f t="shared" ca="1" si="78"/>
        <v>Spline</v>
      </c>
      <c r="AO63" s="196">
        <f ca="1">IF(AND(NOW(),isBumpedEUR6MLLoaded),_xll.meProductSwapParRate(_xll.meUtilityLVBFromMultipleKeysValues($B$28:$C$28, B40:C40,,$O$51:$AN$51,O63:AN63),FALSE),"LOAD CURVE")</f>
        <v>8.3742800007786163E-3</v>
      </c>
      <c r="AP63" s="147">
        <f ca="1">IF(AND(NOW(),isBumpedEUR6MLLoaded),_xll.meProductSwapPV(_xll.meUtilityLVBFromMultipleKeysValues($B$28:$E$28, B40:E40,,$N$51:$AN$51,N63:AN63),FALSE),"LOAD CURVE")</f>
        <v>492430.59682985663</v>
      </c>
      <c r="AQ63" s="163">
        <f ca="1">IF(AND(NOW(),isBumpedEUR6MLLoaded),_xll.meProductSwapPV01(_xll.meUtilityLVBFromMultipleKeysValues($B$28:$E$28, B40:E40,,$P$51:$AN$51,P63:AN63),FALSE),"LOAD CURVE")</f>
        <v>1182.9959862293495</v>
      </c>
      <c r="AR63" s="244"/>
      <c r="AS63" s="244"/>
      <c r="AT63" s="224"/>
      <c r="AU63" s="116"/>
    </row>
    <row r="64" spans="1:47" x14ac:dyDescent="0.25">
      <c r="A64" s="202">
        <v>13</v>
      </c>
      <c r="B64" s="136">
        <f t="shared" ref="B64:L64" ca="1" si="95">B18</f>
        <v>42423</v>
      </c>
      <c r="C64" s="266" t="str">
        <f t="shared" ca="1" si="80"/>
        <v>13Y</v>
      </c>
      <c r="D64" s="238">
        <f t="shared" ca="1" si="80"/>
        <v>1000000</v>
      </c>
      <c r="E64" s="241" t="str">
        <f t="shared" ca="1" si="80"/>
        <v>RECEIVER</v>
      </c>
      <c r="F64" s="250" t="str">
        <f t="shared" ca="1" si="95"/>
        <v>2D</v>
      </c>
      <c r="G64" s="238" t="str">
        <f t="shared" ca="1" si="95"/>
        <v>EUR</v>
      </c>
      <c r="H64" s="198">
        <f t="shared" ca="1" si="95"/>
        <v>0.05</v>
      </c>
      <c r="I64" s="99" t="str">
        <f t="shared" ca="1" si="95"/>
        <v>6ML</v>
      </c>
      <c r="J64" s="238">
        <f t="shared" ca="1" si="73"/>
        <v>0</v>
      </c>
      <c r="K64" s="264">
        <f t="shared" ca="1" si="73"/>
        <v>-1.31E-3</v>
      </c>
      <c r="L64" s="139" t="str">
        <f t="shared" ca="1" si="95"/>
        <v>NOCSA</v>
      </c>
      <c r="M64" s="144">
        <f ca="1">_xll.meDateFromTenor(COB,"-"&amp;AG64,$AB64,$AC64)</f>
        <v>42419</v>
      </c>
      <c r="N64" s="148">
        <f t="shared" ca="1" si="81"/>
        <v>0.05</v>
      </c>
      <c r="O64" s="143">
        <f t="shared" ca="1" si="74"/>
        <v>0</v>
      </c>
      <c r="P64" s="141" t="s">
        <v>25</v>
      </c>
      <c r="Q64" s="141" t="s">
        <v>19</v>
      </c>
      <c r="R64" s="141" t="s">
        <v>21</v>
      </c>
      <c r="S64" s="141" t="s">
        <v>2</v>
      </c>
      <c r="T64" s="187"/>
      <c r="U64" s="187"/>
      <c r="V64" s="142">
        <f t="shared" ca="1" si="82"/>
        <v>23</v>
      </c>
      <c r="W64" s="141" t="s">
        <v>136</v>
      </c>
      <c r="X64" s="141" t="s">
        <v>137</v>
      </c>
      <c r="Y64" s="142" t="str">
        <f t="shared" ca="1" si="75"/>
        <v>EUR6ML</v>
      </c>
      <c r="Z64" s="178" t="s">
        <v>120</v>
      </c>
      <c r="AA64" s="141" t="s">
        <v>6</v>
      </c>
      <c r="AB64" s="141" t="s">
        <v>21</v>
      </c>
      <c r="AC64" s="141" t="s">
        <v>2</v>
      </c>
      <c r="AD64" s="187"/>
      <c r="AE64" s="187"/>
      <c r="AF64" s="142">
        <f t="shared" ca="1" si="83"/>
        <v>23</v>
      </c>
      <c r="AG64" s="141" t="s">
        <v>136</v>
      </c>
      <c r="AH64" s="145">
        <f t="shared" ca="1" si="76"/>
        <v>-1.31E-3</v>
      </c>
      <c r="AI64" s="146"/>
      <c r="AJ64" s="141" t="s">
        <v>136</v>
      </c>
      <c r="AK64" s="141" t="s">
        <v>137</v>
      </c>
      <c r="AL64" s="142" t="str">
        <f t="shared" ca="1" si="77"/>
        <v>EURYC_BUMPED</v>
      </c>
      <c r="AM64" s="142" t="str">
        <f t="shared" ca="1" si="84"/>
        <v>EURDF_NOCSA</v>
      </c>
      <c r="AN64" s="142" t="str">
        <f t="shared" ca="1" si="78"/>
        <v>Spline</v>
      </c>
      <c r="AO64" s="196">
        <f ca="1">IF(AND(NOW(),isBumpedEUR6MLLoaded),_xll.meProductSwapParRate(_xll.meUtilityLVBFromMultipleKeysValues($B$28:$C$28, B41:C41,,$O$51:$AN$51,O64:AN64),FALSE),"LOAD CURVE")</f>
        <v>9.0937454506389622E-3</v>
      </c>
      <c r="AP64" s="147">
        <f ca="1">IF(AND(NOW(),isBumpedEUR6MLLoaded),_xll.meProductSwapPV(_xll.meUtilityLVBFromMultipleKeysValues($B$28:$E$28, B41:E41,,$N$51:$AN$51,N64:AN64),FALSE),"LOAD CURVE")</f>
        <v>521198.46584068617</v>
      </c>
      <c r="AQ64" s="163">
        <f ca="1">IF(AND(NOW(),isBumpedEUR6MLLoaded),_xll.meProductSwapPV01(_xll.meUtilityLVBFromMultipleKeysValues($B$28:$E$28, B41:E41,,$P$51:$AN$51,P64:AN64),FALSE),"LOAD CURVE")</f>
        <v>1274.1290337685718</v>
      </c>
      <c r="AR64" s="244"/>
      <c r="AS64" s="244"/>
      <c r="AT64" s="224"/>
      <c r="AU64" s="116"/>
    </row>
    <row r="65" spans="1:51" x14ac:dyDescent="0.25">
      <c r="A65" s="202">
        <v>14</v>
      </c>
      <c r="B65" s="136">
        <f t="shared" ref="B65:L65" ca="1" si="96">B19</f>
        <v>42423</v>
      </c>
      <c r="C65" s="266" t="str">
        <f t="shared" ca="1" si="80"/>
        <v>14Y</v>
      </c>
      <c r="D65" s="238">
        <f t="shared" ca="1" si="80"/>
        <v>1000000</v>
      </c>
      <c r="E65" s="241" t="str">
        <f t="shared" ca="1" si="80"/>
        <v>RECEIVER</v>
      </c>
      <c r="F65" s="250" t="str">
        <f t="shared" ca="1" si="96"/>
        <v>2D</v>
      </c>
      <c r="G65" s="238" t="str">
        <f t="shared" ca="1" si="96"/>
        <v>EUR</v>
      </c>
      <c r="H65" s="198">
        <f t="shared" ca="1" si="96"/>
        <v>0.05</v>
      </c>
      <c r="I65" s="99" t="str">
        <f t="shared" ca="1" si="96"/>
        <v>6ML</v>
      </c>
      <c r="J65" s="238">
        <f t="shared" ca="1" si="73"/>
        <v>0</v>
      </c>
      <c r="K65" s="264">
        <f t="shared" ca="1" si="73"/>
        <v>-1.31E-3</v>
      </c>
      <c r="L65" s="139" t="str">
        <f t="shared" ca="1" si="96"/>
        <v>NOCSA</v>
      </c>
      <c r="M65" s="144">
        <f ca="1">_xll.meDateFromTenor(COB,"-"&amp;AG65,$AB65,$AC65)</f>
        <v>42419</v>
      </c>
      <c r="N65" s="148">
        <f t="shared" ca="1" si="81"/>
        <v>0.05</v>
      </c>
      <c r="O65" s="143">
        <f t="shared" ca="1" si="74"/>
        <v>0</v>
      </c>
      <c r="P65" s="141" t="s">
        <v>25</v>
      </c>
      <c r="Q65" s="141" t="s">
        <v>19</v>
      </c>
      <c r="R65" s="141" t="s">
        <v>21</v>
      </c>
      <c r="S65" s="141" t="s">
        <v>2</v>
      </c>
      <c r="T65" s="187"/>
      <c r="U65" s="187"/>
      <c r="V65" s="142">
        <f t="shared" ca="1" si="82"/>
        <v>23</v>
      </c>
      <c r="W65" s="141" t="s">
        <v>136</v>
      </c>
      <c r="X65" s="141" t="s">
        <v>137</v>
      </c>
      <c r="Y65" s="142" t="str">
        <f t="shared" ca="1" si="75"/>
        <v>EUR6ML</v>
      </c>
      <c r="Z65" s="178" t="s">
        <v>120</v>
      </c>
      <c r="AA65" s="141" t="s">
        <v>6</v>
      </c>
      <c r="AB65" s="141" t="s">
        <v>21</v>
      </c>
      <c r="AC65" s="141" t="s">
        <v>2</v>
      </c>
      <c r="AD65" s="187"/>
      <c r="AE65" s="187"/>
      <c r="AF65" s="142">
        <f t="shared" ca="1" si="83"/>
        <v>23</v>
      </c>
      <c r="AG65" s="141" t="s">
        <v>136</v>
      </c>
      <c r="AH65" s="145">
        <f t="shared" ca="1" si="76"/>
        <v>-1.31E-3</v>
      </c>
      <c r="AI65" s="146"/>
      <c r="AJ65" s="141" t="s">
        <v>136</v>
      </c>
      <c r="AK65" s="141" t="s">
        <v>137</v>
      </c>
      <c r="AL65" s="142" t="str">
        <f t="shared" ca="1" si="77"/>
        <v>EURYC_BUMPED</v>
      </c>
      <c r="AM65" s="142" t="str">
        <f t="shared" ca="1" si="84"/>
        <v>EURDF_NOCSA</v>
      </c>
      <c r="AN65" s="142" t="str">
        <f t="shared" ca="1" si="78"/>
        <v>Spline</v>
      </c>
      <c r="AO65" s="196">
        <f ca="1">IF(AND(NOW(),isBumpedEUR6MLLoaded),_xll.meProductSwapParRate(_xll.meUtilityLVBFromMultipleKeysValues($B$28:$C$28, B42:C42,,$O$51:$AN$51,O65:AN65),FALSE),"LOAD CURVE")</f>
        <v>9.7031939479922304E-3</v>
      </c>
      <c r="AP65" s="147">
        <f ca="1">IF(AND(NOW(),isBumpedEUR6MLLoaded),_xll.meProductSwapPV(_xll.meUtilityLVBFromMultipleKeysValues($B$28:$E$28, B42:E42,,$N$51:$AN$51,N65:AN65),FALSE),"LOAD CURVE")</f>
        <v>549734.91122460214</v>
      </c>
      <c r="AQ65" s="163">
        <f ca="1">IF(AND(NOW(),isBumpedEUR6MLLoaded),_xll.meProductSwapPV01(_xll.meUtilityLVBFromMultipleKeysValues($B$28:$E$28, B42:E42,,$P$51:$AN$51,P65:AN65),FALSE),"LOAD CURVE")</f>
        <v>1364.2145993285537</v>
      </c>
      <c r="AR65" s="244"/>
      <c r="AS65" s="244"/>
      <c r="AT65" s="224"/>
      <c r="AU65" s="116"/>
    </row>
    <row r="66" spans="1:51" x14ac:dyDescent="0.25">
      <c r="A66" s="202">
        <v>15</v>
      </c>
      <c r="B66" s="136">
        <f t="shared" ref="B66:L66" ca="1" si="97">B20</f>
        <v>42423</v>
      </c>
      <c r="C66" s="266" t="str">
        <f t="shared" ca="1" si="80"/>
        <v>15Y</v>
      </c>
      <c r="D66" s="238">
        <f t="shared" ca="1" si="80"/>
        <v>1000000</v>
      </c>
      <c r="E66" s="241" t="str">
        <f t="shared" ca="1" si="80"/>
        <v>RECEIVER</v>
      </c>
      <c r="F66" s="250" t="str">
        <f t="shared" ca="1" si="97"/>
        <v>2D</v>
      </c>
      <c r="G66" s="238" t="str">
        <f t="shared" ca="1" si="97"/>
        <v>EUR</v>
      </c>
      <c r="H66" s="198">
        <f t="shared" ca="1" si="97"/>
        <v>0.05</v>
      </c>
      <c r="I66" s="99" t="str">
        <f t="shared" ca="1" si="97"/>
        <v>6ML</v>
      </c>
      <c r="J66" s="238">
        <f t="shared" ca="1" si="73"/>
        <v>0</v>
      </c>
      <c r="K66" s="264">
        <f t="shared" ca="1" si="73"/>
        <v>-1.31E-3</v>
      </c>
      <c r="L66" s="139" t="str">
        <f t="shared" ca="1" si="97"/>
        <v>NOCSA</v>
      </c>
      <c r="M66" s="144">
        <f ca="1">_xll.meDateFromTenor(COB,"-"&amp;AG66,$AB66,$AC66)</f>
        <v>42419</v>
      </c>
      <c r="N66" s="148">
        <f t="shared" ca="1" si="81"/>
        <v>0.05</v>
      </c>
      <c r="O66" s="143">
        <f t="shared" ca="1" si="74"/>
        <v>0</v>
      </c>
      <c r="P66" s="141" t="s">
        <v>25</v>
      </c>
      <c r="Q66" s="141" t="s">
        <v>19</v>
      </c>
      <c r="R66" s="141" t="s">
        <v>21</v>
      </c>
      <c r="S66" s="141" t="s">
        <v>2</v>
      </c>
      <c r="T66" s="187"/>
      <c r="U66" s="187"/>
      <c r="V66" s="142">
        <f t="shared" ca="1" si="82"/>
        <v>23</v>
      </c>
      <c r="W66" s="141" t="s">
        <v>136</v>
      </c>
      <c r="X66" s="141" t="s">
        <v>137</v>
      </c>
      <c r="Y66" s="142" t="str">
        <f t="shared" ca="1" si="75"/>
        <v>EUR6ML</v>
      </c>
      <c r="Z66" s="178" t="s">
        <v>120</v>
      </c>
      <c r="AA66" s="141" t="s">
        <v>6</v>
      </c>
      <c r="AB66" s="141" t="s">
        <v>21</v>
      </c>
      <c r="AC66" s="141" t="s">
        <v>2</v>
      </c>
      <c r="AD66" s="187"/>
      <c r="AE66" s="187"/>
      <c r="AF66" s="142">
        <f t="shared" ca="1" si="83"/>
        <v>23</v>
      </c>
      <c r="AG66" s="141" t="s">
        <v>136</v>
      </c>
      <c r="AH66" s="145">
        <f t="shared" ca="1" si="76"/>
        <v>-1.31E-3</v>
      </c>
      <c r="AI66" s="146"/>
      <c r="AJ66" s="141" t="s">
        <v>136</v>
      </c>
      <c r="AK66" s="141" t="s">
        <v>137</v>
      </c>
      <c r="AL66" s="142" t="str">
        <f t="shared" ca="1" si="77"/>
        <v>EURYC_BUMPED</v>
      </c>
      <c r="AM66" s="142" t="str">
        <f t="shared" ca="1" si="84"/>
        <v>EURDF_NOCSA</v>
      </c>
      <c r="AN66" s="142" t="str">
        <f t="shared" ca="1" si="78"/>
        <v>Spline</v>
      </c>
      <c r="AO66" s="196">
        <f ca="1">IF(AND(NOW(),isBumpedEUR6MLLoaded),_xll.meProductSwapParRate(_xll.meUtilityLVBFromMultipleKeysValues($B$28:$C$28, B43:C43,,$O$51:$AN$51,O66:AN66),FALSE),"LOAD CURVE")</f>
        <v>1.0203487152615806E-2</v>
      </c>
      <c r="AP66" s="147">
        <f ca="1">IF(AND(NOW(),isBumpedEUR6MLLoaded),_xll.meProductSwapPV(_xll.meUtilityLVBFromMultipleKeysValues($B$28:$E$28, B43:E43,,$N$51:$AN$51,N66:AN66),FALSE),"LOAD CURVE")</f>
        <v>577843.65927195456</v>
      </c>
      <c r="AQ66" s="163">
        <f ca="1">IF(AND(NOW(),isBumpedEUR6MLLoaded),_xll.meProductSwapPV01(_xll.meUtilityLVBFromMultipleKeysValues($B$28:$E$28, B43:E43,,$P$51:$AN$51,P66:AN66),FALSE),"LOAD CURVE")</f>
        <v>1451.9957099958219</v>
      </c>
      <c r="AR66" s="244"/>
      <c r="AS66" s="244"/>
      <c r="AT66" s="224"/>
      <c r="AU66" s="116"/>
    </row>
    <row r="67" spans="1:51" x14ac:dyDescent="0.25">
      <c r="A67" s="202">
        <v>16</v>
      </c>
      <c r="B67" s="136">
        <f t="shared" ref="B67:L67" ca="1" si="98">B21</f>
        <v>42423</v>
      </c>
      <c r="C67" s="266" t="str">
        <f t="shared" ca="1" si="80"/>
        <v>16Y</v>
      </c>
      <c r="D67" s="238">
        <f t="shared" ca="1" si="80"/>
        <v>1000000</v>
      </c>
      <c r="E67" s="241" t="str">
        <f t="shared" ca="1" si="80"/>
        <v>RECEIVER</v>
      </c>
      <c r="F67" s="250" t="str">
        <f t="shared" ca="1" si="98"/>
        <v>2D</v>
      </c>
      <c r="G67" s="238" t="str">
        <f t="shared" ca="1" si="98"/>
        <v>EUR</v>
      </c>
      <c r="H67" s="198">
        <f t="shared" ca="1" si="98"/>
        <v>0.05</v>
      </c>
      <c r="I67" s="99" t="str">
        <f t="shared" ca="1" si="98"/>
        <v>6ML</v>
      </c>
      <c r="J67" s="238">
        <f t="shared" ca="1" si="73"/>
        <v>0</v>
      </c>
      <c r="K67" s="264">
        <f t="shared" ca="1" si="73"/>
        <v>-1.31E-3</v>
      </c>
      <c r="L67" s="139" t="str">
        <f t="shared" ca="1" si="98"/>
        <v>NOCSA</v>
      </c>
      <c r="M67" s="144">
        <f ca="1">_xll.meDateFromTenor(COB,"-"&amp;AG67,$AB67,$AC67)</f>
        <v>42419</v>
      </c>
      <c r="N67" s="148">
        <f t="shared" ca="1" si="81"/>
        <v>0.05</v>
      </c>
      <c r="O67" s="143">
        <f t="shared" ca="1" si="74"/>
        <v>0</v>
      </c>
      <c r="P67" s="141" t="s">
        <v>25</v>
      </c>
      <c r="Q67" s="141" t="s">
        <v>19</v>
      </c>
      <c r="R67" s="141" t="s">
        <v>21</v>
      </c>
      <c r="S67" s="141" t="s">
        <v>2</v>
      </c>
      <c r="T67" s="187"/>
      <c r="U67" s="187"/>
      <c r="V67" s="142">
        <f t="shared" ca="1" si="82"/>
        <v>23</v>
      </c>
      <c r="W67" s="141" t="s">
        <v>136</v>
      </c>
      <c r="X67" s="141" t="s">
        <v>137</v>
      </c>
      <c r="Y67" s="142" t="str">
        <f t="shared" ca="1" si="75"/>
        <v>EUR6ML</v>
      </c>
      <c r="Z67" s="178" t="s">
        <v>120</v>
      </c>
      <c r="AA67" s="141" t="s">
        <v>6</v>
      </c>
      <c r="AB67" s="141" t="s">
        <v>21</v>
      </c>
      <c r="AC67" s="141" t="s">
        <v>2</v>
      </c>
      <c r="AD67" s="187"/>
      <c r="AE67" s="187"/>
      <c r="AF67" s="142">
        <f t="shared" ca="1" si="83"/>
        <v>23</v>
      </c>
      <c r="AG67" s="141" t="s">
        <v>136</v>
      </c>
      <c r="AH67" s="145">
        <f t="shared" ca="1" si="76"/>
        <v>-1.31E-3</v>
      </c>
      <c r="AI67" s="146"/>
      <c r="AJ67" s="141" t="s">
        <v>136</v>
      </c>
      <c r="AK67" s="141" t="s">
        <v>137</v>
      </c>
      <c r="AL67" s="142" t="str">
        <f t="shared" ca="1" si="77"/>
        <v>EURYC_BUMPED</v>
      </c>
      <c r="AM67" s="142" t="str">
        <f t="shared" ca="1" si="84"/>
        <v>EURDF_NOCSA</v>
      </c>
      <c r="AN67" s="142" t="str">
        <f t="shared" ca="1" si="78"/>
        <v>Spline</v>
      </c>
      <c r="AO67" s="196">
        <f ca="1">IF(AND(NOW(),isBumpedEUR6MLLoaded),_xll.meProductSwapParRate(_xll.meUtilityLVBFromMultipleKeysValues($B$28:$C$28, B44:C44,,$O$51:$AN$51,O67:AN67),FALSE),"LOAD CURVE")</f>
        <v>1.0608325538340803E-2</v>
      </c>
      <c r="AP67" s="147">
        <f ca="1">IF(AND(NOW(),isBumpedEUR6MLLoaded),_xll.meProductSwapPV(_xll.meUtilityLVBFromMultipleKeysValues($B$28:$E$28, B44:E44,,$N$51:$AN$51,N67:AN67),FALSE),"LOAD CURVE")</f>
        <v>605960.94520850375</v>
      </c>
      <c r="AQ67" s="163">
        <f ca="1">IF(AND(NOW(),isBumpedEUR6MLLoaded),_xll.meProductSwapPV01(_xll.meUtilityLVBFromMultipleKeysValues($B$28:$E$28, B44:E44,,$P$51:$AN$51,P67:AN67),FALSE),"LOAD CURVE")</f>
        <v>1538.2969967379761</v>
      </c>
      <c r="AR67" s="244"/>
      <c r="AS67" s="244"/>
      <c r="AT67" s="224"/>
      <c r="AU67" s="116"/>
    </row>
    <row r="68" spans="1:51" x14ac:dyDescent="0.25">
      <c r="A68" s="202">
        <v>17</v>
      </c>
      <c r="B68" s="136">
        <f t="shared" ref="B68:L68" ca="1" si="99">B22</f>
        <v>42423</v>
      </c>
      <c r="C68" s="266" t="str">
        <f t="shared" ca="1" si="80"/>
        <v>17Y</v>
      </c>
      <c r="D68" s="238">
        <f t="shared" ca="1" si="80"/>
        <v>1000000</v>
      </c>
      <c r="E68" s="241" t="str">
        <f t="shared" ca="1" si="80"/>
        <v>RECEIVER</v>
      </c>
      <c r="F68" s="250" t="str">
        <f t="shared" ca="1" si="99"/>
        <v>2D</v>
      </c>
      <c r="G68" s="238" t="str">
        <f t="shared" ca="1" si="99"/>
        <v>EUR</v>
      </c>
      <c r="H68" s="198">
        <f t="shared" ca="1" si="99"/>
        <v>0.05</v>
      </c>
      <c r="I68" s="99" t="str">
        <f t="shared" ca="1" si="99"/>
        <v>6ML</v>
      </c>
      <c r="J68" s="238">
        <f t="shared" ca="1" si="73"/>
        <v>0</v>
      </c>
      <c r="K68" s="264">
        <f t="shared" ca="1" si="73"/>
        <v>-1.31E-3</v>
      </c>
      <c r="L68" s="139" t="str">
        <f t="shared" ca="1" si="99"/>
        <v>NOCSA</v>
      </c>
      <c r="M68" s="144">
        <f ca="1">_xll.meDateFromTenor(COB,"-"&amp;AG68,$AB68,$AC68)</f>
        <v>42419</v>
      </c>
      <c r="N68" s="148">
        <f t="shared" ca="1" si="81"/>
        <v>0.05</v>
      </c>
      <c r="O68" s="143">
        <f t="shared" ca="1" si="74"/>
        <v>0</v>
      </c>
      <c r="P68" s="141" t="s">
        <v>25</v>
      </c>
      <c r="Q68" s="141" t="s">
        <v>19</v>
      </c>
      <c r="R68" s="141" t="s">
        <v>21</v>
      </c>
      <c r="S68" s="141" t="s">
        <v>2</v>
      </c>
      <c r="T68" s="187"/>
      <c r="U68" s="187"/>
      <c r="V68" s="142">
        <f t="shared" ca="1" si="82"/>
        <v>23</v>
      </c>
      <c r="W68" s="141" t="s">
        <v>136</v>
      </c>
      <c r="X68" s="141" t="s">
        <v>137</v>
      </c>
      <c r="Y68" s="142" t="str">
        <f t="shared" ca="1" si="75"/>
        <v>EUR6ML</v>
      </c>
      <c r="Z68" s="178" t="s">
        <v>120</v>
      </c>
      <c r="AA68" s="141" t="s">
        <v>6</v>
      </c>
      <c r="AB68" s="141" t="s">
        <v>21</v>
      </c>
      <c r="AC68" s="141" t="s">
        <v>2</v>
      </c>
      <c r="AD68" s="187"/>
      <c r="AE68" s="187"/>
      <c r="AF68" s="142">
        <f t="shared" ca="1" si="83"/>
        <v>23</v>
      </c>
      <c r="AG68" s="141" t="s">
        <v>136</v>
      </c>
      <c r="AH68" s="145">
        <f t="shared" ca="1" si="76"/>
        <v>-1.31E-3</v>
      </c>
      <c r="AI68" s="146"/>
      <c r="AJ68" s="141" t="s">
        <v>136</v>
      </c>
      <c r="AK68" s="141" t="s">
        <v>137</v>
      </c>
      <c r="AL68" s="142" t="str">
        <f t="shared" ca="1" si="77"/>
        <v>EURYC_BUMPED</v>
      </c>
      <c r="AM68" s="142" t="str">
        <f t="shared" ca="1" si="84"/>
        <v>EURDF_NOCSA</v>
      </c>
      <c r="AN68" s="142" t="str">
        <f t="shared" ca="1" si="78"/>
        <v>Spline</v>
      </c>
      <c r="AO68" s="196">
        <f ca="1">IF(AND(NOW(),isBumpedEUR6MLLoaded),_xll.meProductSwapParRate(_xll.meUtilityLVBFromMultipleKeysValues($B$28:$C$28, B45:C45,,$O$51:$AN$51,O68:AN68),FALSE),"LOAD CURVE")</f>
        <v>1.093530869965469E-2</v>
      </c>
      <c r="AP68" s="147">
        <f ca="1">IF(AND(NOW(),isBumpedEUR6MLLoaded),_xll.meProductSwapPV(_xll.meUtilityLVBFromMultipleKeysValues($B$28:$E$28, B45:E45,,$N$51:$AN$51,N68:AN68),FALSE),"LOAD CURVE")</f>
        <v>634196.3288205557</v>
      </c>
      <c r="AQ68" s="163">
        <f ca="1">IF(AND(NOW(),isBumpedEUR6MLLoaded),_xll.meProductSwapPV01(_xll.meUtilityLVBFromMultipleKeysValues($B$28:$E$28, B45:E45,,$P$51:$AN$51,P68:AN68),FALSE),"LOAD CURVE")</f>
        <v>1623.4515305511957</v>
      </c>
      <c r="AR68" s="244"/>
      <c r="AS68" s="244"/>
      <c r="AT68" s="224"/>
      <c r="AU68" s="116"/>
      <c r="AX68" s="116"/>
      <c r="AY68" s="116"/>
    </row>
    <row r="69" spans="1:51" x14ac:dyDescent="0.25">
      <c r="A69" s="202">
        <v>18</v>
      </c>
      <c r="B69" s="136">
        <f t="shared" ref="B69:L69" ca="1" si="100">B23</f>
        <v>42423</v>
      </c>
      <c r="C69" s="266" t="str">
        <f t="shared" ca="1" si="80"/>
        <v>18Y</v>
      </c>
      <c r="D69" s="238">
        <f t="shared" ca="1" si="80"/>
        <v>1000000</v>
      </c>
      <c r="E69" s="241" t="str">
        <f t="shared" ca="1" si="80"/>
        <v>RECEIVER</v>
      </c>
      <c r="F69" s="250" t="str">
        <f t="shared" ca="1" si="100"/>
        <v>2D</v>
      </c>
      <c r="G69" s="238" t="str">
        <f t="shared" ca="1" si="100"/>
        <v>EUR</v>
      </c>
      <c r="H69" s="198">
        <f t="shared" ca="1" si="100"/>
        <v>0.05</v>
      </c>
      <c r="I69" s="99" t="str">
        <f t="shared" ca="1" si="100"/>
        <v>6ML</v>
      </c>
      <c r="J69" s="238">
        <f t="shared" ca="1" si="73"/>
        <v>0</v>
      </c>
      <c r="K69" s="264">
        <f t="shared" ca="1" si="73"/>
        <v>-1.31E-3</v>
      </c>
      <c r="L69" s="139" t="str">
        <f t="shared" ca="1" si="100"/>
        <v>NOCSA</v>
      </c>
      <c r="M69" s="144">
        <f ca="1">_xll.meDateFromTenor(COB,"-"&amp;AG69,$AB69,$AC69)</f>
        <v>42419</v>
      </c>
      <c r="N69" s="148">
        <f t="shared" ca="1" si="81"/>
        <v>0.05</v>
      </c>
      <c r="O69" s="143">
        <f t="shared" ca="1" si="74"/>
        <v>0</v>
      </c>
      <c r="P69" s="141" t="s">
        <v>25</v>
      </c>
      <c r="Q69" s="141" t="s">
        <v>19</v>
      </c>
      <c r="R69" s="141" t="s">
        <v>21</v>
      </c>
      <c r="S69" s="141" t="s">
        <v>2</v>
      </c>
      <c r="T69" s="187"/>
      <c r="U69" s="187"/>
      <c r="V69" s="142">
        <f t="shared" ca="1" si="82"/>
        <v>23</v>
      </c>
      <c r="W69" s="141" t="s">
        <v>136</v>
      </c>
      <c r="X69" s="141" t="s">
        <v>137</v>
      </c>
      <c r="Y69" s="142" t="str">
        <f t="shared" ca="1" si="75"/>
        <v>EUR6ML</v>
      </c>
      <c r="Z69" s="178" t="s">
        <v>120</v>
      </c>
      <c r="AA69" s="141" t="s">
        <v>6</v>
      </c>
      <c r="AB69" s="141" t="s">
        <v>21</v>
      </c>
      <c r="AC69" s="141" t="s">
        <v>2</v>
      </c>
      <c r="AD69" s="187"/>
      <c r="AE69" s="187"/>
      <c r="AF69" s="142">
        <f t="shared" ca="1" si="83"/>
        <v>23</v>
      </c>
      <c r="AG69" s="141" t="s">
        <v>136</v>
      </c>
      <c r="AH69" s="145">
        <f t="shared" ca="1" si="76"/>
        <v>-1.31E-3</v>
      </c>
      <c r="AI69" s="146"/>
      <c r="AJ69" s="141" t="s">
        <v>136</v>
      </c>
      <c r="AK69" s="141" t="s">
        <v>137</v>
      </c>
      <c r="AL69" s="142" t="str">
        <f t="shared" ca="1" si="77"/>
        <v>EURYC_BUMPED</v>
      </c>
      <c r="AM69" s="142" t="str">
        <f t="shared" ca="1" si="84"/>
        <v>EURDF_NOCSA</v>
      </c>
      <c r="AN69" s="142" t="str">
        <f t="shared" ca="1" si="78"/>
        <v>Spline</v>
      </c>
      <c r="AO69" s="196">
        <f ca="1">IF(AND(NOW(),isBumpedEUR6MLLoaded),_xll.meProductSwapParRate(_xll.meUtilityLVBFromMultipleKeysValues($B$28:$C$28, B46:C46,,$O$51:$AN$51,O69:AN69),FALSE),"LOAD CURVE")</f>
        <v>1.1196164133860893E-2</v>
      </c>
      <c r="AP69" s="147">
        <f ca="1">IF(AND(NOW(),isBumpedEUR6MLLoaded),_xll.meProductSwapPV(_xll.meUtilityLVBFromMultipleKeysValues($B$28:$E$28, B46:E46,,$N$51:$AN$51,N69:AN69),FALSE),"LOAD CURVE")</f>
        <v>662499.0566764148</v>
      </c>
      <c r="AQ69" s="163">
        <f ca="1">IF(AND(NOW(),isBumpedEUR6MLLoaded),_xll.meProductSwapPV01(_xll.meUtilityLVBFromMultipleKeysValues($B$28:$E$28, B46:E46,,$P$51:$AN$51,P69:AN69),FALSE),"LOAD CURVE")</f>
        <v>1707.3030072640909</v>
      </c>
      <c r="AR69" s="244"/>
      <c r="AS69" s="244"/>
      <c r="AT69" s="224"/>
      <c r="AU69" s="116"/>
      <c r="AX69" s="116"/>
      <c r="AY69" s="116"/>
    </row>
    <row r="70" spans="1:51" x14ac:dyDescent="0.25">
      <c r="A70" s="202">
        <v>19</v>
      </c>
      <c r="B70" s="136">
        <f t="shared" ref="B70:L70" ca="1" si="101">B24</f>
        <v>42423</v>
      </c>
      <c r="C70" s="266" t="str">
        <f t="shared" ca="1" si="80"/>
        <v>19Y</v>
      </c>
      <c r="D70" s="238">
        <f t="shared" ca="1" si="80"/>
        <v>1000000</v>
      </c>
      <c r="E70" s="241" t="str">
        <f t="shared" ca="1" si="80"/>
        <v>RECEIVER</v>
      </c>
      <c r="F70" s="250" t="str">
        <f t="shared" ca="1" si="101"/>
        <v>2D</v>
      </c>
      <c r="G70" s="238" t="str">
        <f t="shared" ca="1" si="101"/>
        <v>EUR</v>
      </c>
      <c r="H70" s="198">
        <f t="shared" ca="1" si="101"/>
        <v>0.05</v>
      </c>
      <c r="I70" s="99" t="str">
        <f t="shared" ca="1" si="101"/>
        <v>6ML</v>
      </c>
      <c r="J70" s="238">
        <f t="shared" ca="1" si="73"/>
        <v>0</v>
      </c>
      <c r="K70" s="264">
        <f t="shared" ca="1" si="73"/>
        <v>-1.31E-3</v>
      </c>
      <c r="L70" s="139" t="str">
        <f t="shared" ca="1" si="101"/>
        <v>NOCSA</v>
      </c>
      <c r="M70" s="144">
        <f ca="1">_xll.meDateFromTenor(COB,"-"&amp;AG70,$AB70,$AC70)</f>
        <v>42419</v>
      </c>
      <c r="N70" s="148">
        <f t="shared" ca="1" si="81"/>
        <v>0.05</v>
      </c>
      <c r="O70" s="143">
        <f t="shared" ca="1" si="74"/>
        <v>0</v>
      </c>
      <c r="P70" s="141" t="s">
        <v>25</v>
      </c>
      <c r="Q70" s="141" t="s">
        <v>19</v>
      </c>
      <c r="R70" s="141" t="s">
        <v>21</v>
      </c>
      <c r="S70" s="141" t="s">
        <v>2</v>
      </c>
      <c r="T70" s="187"/>
      <c r="U70" s="187"/>
      <c r="V70" s="142">
        <f t="shared" ca="1" si="82"/>
        <v>23</v>
      </c>
      <c r="W70" s="141" t="s">
        <v>136</v>
      </c>
      <c r="X70" s="141" t="s">
        <v>137</v>
      </c>
      <c r="Y70" s="142" t="str">
        <f t="shared" ca="1" si="75"/>
        <v>EUR6ML</v>
      </c>
      <c r="Z70" s="178" t="s">
        <v>120</v>
      </c>
      <c r="AA70" s="141" t="s">
        <v>6</v>
      </c>
      <c r="AB70" s="141" t="s">
        <v>21</v>
      </c>
      <c r="AC70" s="141" t="s">
        <v>2</v>
      </c>
      <c r="AD70" s="187"/>
      <c r="AE70" s="187"/>
      <c r="AF70" s="142">
        <f t="shared" ca="1" si="83"/>
        <v>23</v>
      </c>
      <c r="AG70" s="141" t="s">
        <v>136</v>
      </c>
      <c r="AH70" s="145">
        <f t="shared" ca="1" si="76"/>
        <v>-1.31E-3</v>
      </c>
      <c r="AI70" s="146"/>
      <c r="AJ70" s="141" t="s">
        <v>136</v>
      </c>
      <c r="AK70" s="141" t="s">
        <v>137</v>
      </c>
      <c r="AL70" s="142" t="str">
        <f t="shared" ca="1" si="77"/>
        <v>EURYC_BUMPED</v>
      </c>
      <c r="AM70" s="142" t="str">
        <f t="shared" ca="1" si="84"/>
        <v>EURDF_NOCSA</v>
      </c>
      <c r="AN70" s="142" t="str">
        <f t="shared" ca="1" si="78"/>
        <v>Spline</v>
      </c>
      <c r="AO70" s="196">
        <f ca="1">IF(AND(NOW(),isBumpedEUR6MLLoaded),_xll.meProductSwapParRate(_xll.meUtilityLVBFromMultipleKeysValues($B$28:$C$28, B47:C47,,$O$51:$AN$51,O70:AN70),FALSE),"LOAD CURVE")</f>
        <v>1.1402261263945761E-2</v>
      </c>
      <c r="AP70" s="147">
        <f ca="1">IF(AND(NOW(),isBumpedEUR6MLLoaded),_xll.meProductSwapPV(_xll.meUtilityLVBFromMultipleKeysValues($B$28:$E$28, B47:E47,,$N$51:$AN$51,N70:AN70),FALSE),"LOAD CURVE")</f>
        <v>690863.95466544607</v>
      </c>
      <c r="AQ70" s="163">
        <f ca="1">IF(AND(NOW(),isBumpedEUR6MLLoaded),_xll.meProductSwapPV01(_xll.meUtilityLVBFromMultipleKeysValues($B$28:$E$28, B47:E47,,$P$51:$AN$51,P70:AN70),FALSE),"LOAD CURVE")</f>
        <v>1789.9078476846323</v>
      </c>
      <c r="AR70" s="244"/>
      <c r="AS70" s="244"/>
      <c r="AT70" s="224"/>
      <c r="AU70" s="116"/>
      <c r="AY70" s="116"/>
    </row>
    <row r="71" spans="1:51" x14ac:dyDescent="0.25">
      <c r="A71" s="202">
        <v>20</v>
      </c>
      <c r="B71" s="149">
        <f t="shared" ref="B71:L71" ca="1" si="102">B25</f>
        <v>42423</v>
      </c>
      <c r="C71" s="267" t="str">
        <f t="shared" ca="1" si="80"/>
        <v>20Y</v>
      </c>
      <c r="D71" s="239">
        <f t="shared" ca="1" si="80"/>
        <v>1000000</v>
      </c>
      <c r="E71" s="242" t="str">
        <f t="shared" ca="1" si="80"/>
        <v>RECEIVER</v>
      </c>
      <c r="F71" s="286" t="str">
        <f t="shared" ca="1" si="102"/>
        <v>2D</v>
      </c>
      <c r="G71" s="239" t="str">
        <f t="shared" ca="1" si="102"/>
        <v>EUR</v>
      </c>
      <c r="H71" s="199">
        <f t="shared" ca="1" si="102"/>
        <v>0.05</v>
      </c>
      <c r="I71" s="272" t="str">
        <f t="shared" ca="1" si="102"/>
        <v>6ML</v>
      </c>
      <c r="J71" s="239">
        <f t="shared" ca="1" si="73"/>
        <v>0</v>
      </c>
      <c r="K71" s="265">
        <f t="shared" ca="1" si="73"/>
        <v>-1.31E-3</v>
      </c>
      <c r="L71" s="152" t="str">
        <f t="shared" ca="1" si="102"/>
        <v>NOCSA</v>
      </c>
      <c r="M71" s="157">
        <f ca="1">_xll.meDateFromTenor(COB,"-"&amp;AG71,$AB71,$AC71)</f>
        <v>42419</v>
      </c>
      <c r="N71" s="153">
        <f t="shared" ca="1" si="81"/>
        <v>0.05</v>
      </c>
      <c r="O71" s="156">
        <f t="shared" ca="1" si="74"/>
        <v>0</v>
      </c>
      <c r="P71" s="154" t="s">
        <v>25</v>
      </c>
      <c r="Q71" s="154" t="s">
        <v>19</v>
      </c>
      <c r="R71" s="154" t="s">
        <v>21</v>
      </c>
      <c r="S71" s="154" t="s">
        <v>2</v>
      </c>
      <c r="T71" s="188"/>
      <c r="U71" s="188"/>
      <c r="V71" s="155">
        <f t="shared" ca="1" si="82"/>
        <v>23</v>
      </c>
      <c r="W71" s="154" t="s">
        <v>136</v>
      </c>
      <c r="X71" s="154" t="s">
        <v>137</v>
      </c>
      <c r="Y71" s="155" t="str">
        <f t="shared" ca="1" si="75"/>
        <v>EUR6ML</v>
      </c>
      <c r="Z71" s="179" t="s">
        <v>120</v>
      </c>
      <c r="AA71" s="154" t="s">
        <v>6</v>
      </c>
      <c r="AB71" s="154" t="s">
        <v>21</v>
      </c>
      <c r="AC71" s="154" t="s">
        <v>2</v>
      </c>
      <c r="AD71" s="188"/>
      <c r="AE71" s="188"/>
      <c r="AF71" s="155">
        <f t="shared" ca="1" si="83"/>
        <v>23</v>
      </c>
      <c r="AG71" s="154" t="s">
        <v>136</v>
      </c>
      <c r="AH71" s="158">
        <f t="shared" ca="1" si="76"/>
        <v>-1.31E-3</v>
      </c>
      <c r="AI71" s="159"/>
      <c r="AJ71" s="154" t="s">
        <v>136</v>
      </c>
      <c r="AK71" s="154" t="s">
        <v>137</v>
      </c>
      <c r="AL71" s="155" t="str">
        <f t="shared" ca="1" si="77"/>
        <v>EURYC_BUMPED</v>
      </c>
      <c r="AM71" s="155" t="str">
        <f t="shared" ca="1" si="84"/>
        <v>EURDF_NOCSA</v>
      </c>
      <c r="AN71" s="155" t="str">
        <f t="shared" ca="1" si="78"/>
        <v>Spline</v>
      </c>
      <c r="AO71" s="277">
        <f ca="1">IF(AND(NOW(),isBumpedEUR6MLLoaded),_xll.meProductSwapParRate(_xll.meUtilityLVBFromMultipleKeysValues($B$28:$C$28, B48:C48,,$O$51:$AN$51,O71:AN71),FALSE),"LOAD CURVE")</f>
        <v>1.156270528423445E-2</v>
      </c>
      <c r="AP71" s="160">
        <f ca="1">IF(AND(NOW(),isBumpedEUR6MLLoaded),_xll.meProductSwapPV(_xll.meUtilityLVBFromMultipleKeysValues($B$28:$E$28, B48:E48,,$N$51:$AN$51,N71:AN71),FALSE),"LOAD CURVE")</f>
        <v>719443.68173938547</v>
      </c>
      <c r="AQ71" s="164">
        <f ca="1">IF(AND(NOW(),isBumpedEUR6MLLoaded),_xll.meProductSwapPV01(_xll.meUtilityLVBFromMultipleKeysValues($B$28:$E$28, B48:E48,,$P$51:$AN$51,P71:AN71),FALSE),"LOAD CURVE")</f>
        <v>1871.7333960662334</v>
      </c>
      <c r="AR71" s="244"/>
      <c r="AS71" s="244"/>
      <c r="AT71" s="224"/>
      <c r="AU71" s="116"/>
    </row>
    <row r="72" spans="1:51" x14ac:dyDescent="0.25">
      <c r="AR72" s="244"/>
      <c r="AS72" s="244"/>
      <c r="AT72" s="224"/>
      <c r="AU72" s="116"/>
    </row>
    <row r="102" spans="3:50" x14ac:dyDescent="0.25">
      <c r="C102" s="220"/>
      <c r="H102" s="183"/>
      <c r="I102" s="166"/>
      <c r="J102" s="166"/>
      <c r="K102" s="195"/>
      <c r="L102" s="166"/>
      <c r="M102" s="166"/>
      <c r="N102" s="166"/>
      <c r="O102" s="166"/>
      <c r="P102" s="166"/>
      <c r="Q102" s="166"/>
      <c r="R102" s="166"/>
      <c r="S102" s="166"/>
      <c r="T102" s="189"/>
      <c r="U102" s="189"/>
      <c r="V102" s="166"/>
      <c r="W102" s="166"/>
      <c r="X102" s="166"/>
      <c r="Y102" s="166"/>
      <c r="Z102" s="180"/>
      <c r="AA102" s="166"/>
      <c r="AB102" s="166"/>
      <c r="AC102" s="166"/>
      <c r="AD102" s="189"/>
      <c r="AE102" s="189"/>
      <c r="AF102" s="166"/>
      <c r="AG102" s="166"/>
      <c r="AH102" s="166"/>
      <c r="AI102" s="166"/>
      <c r="AJ102" s="166"/>
      <c r="AK102" s="166"/>
      <c r="AL102" s="166"/>
      <c r="AQ102" s="166"/>
      <c r="AR102" s="220"/>
      <c r="AS102" s="220"/>
      <c r="AT102" s="221"/>
      <c r="AU102" s="166"/>
    </row>
    <row r="103" spans="3:50" x14ac:dyDescent="0.25">
      <c r="C103" s="220"/>
      <c r="H103" s="183"/>
      <c r="I103" s="166"/>
      <c r="J103" s="166"/>
      <c r="K103" s="195"/>
      <c r="L103" s="166"/>
      <c r="M103" s="166"/>
      <c r="N103" s="166"/>
      <c r="O103" s="166"/>
      <c r="P103" s="166"/>
      <c r="Q103" s="166"/>
      <c r="R103" s="166"/>
      <c r="S103" s="166"/>
      <c r="T103" s="189"/>
      <c r="U103" s="189"/>
      <c r="V103" s="166"/>
      <c r="W103" s="166"/>
      <c r="X103" s="166"/>
      <c r="Y103" s="166"/>
      <c r="Z103" s="180"/>
      <c r="AA103" s="166"/>
      <c r="AB103" s="166"/>
      <c r="AC103" s="166"/>
      <c r="AD103" s="189"/>
      <c r="AE103" s="189"/>
      <c r="AF103" s="166"/>
      <c r="AG103" s="166"/>
      <c r="AH103" s="166"/>
      <c r="AI103" s="166"/>
      <c r="AJ103" s="166"/>
      <c r="AK103" s="166"/>
      <c r="AL103" s="166"/>
      <c r="AX103" s="168"/>
    </row>
    <row r="104" spans="3:50" x14ac:dyDescent="0.25">
      <c r="AX104" s="168"/>
    </row>
  </sheetData>
  <dataValidations count="8">
    <dataValidation type="list" allowBlank="1" showInputMessage="1" showErrorMessage="1" sqref="I29:I48 I52:I71 I6:I25">
      <formula1>"1ML,3ML,6ML,12ML"</formula1>
    </dataValidation>
    <dataValidation type="list" allowBlank="1" showInputMessage="1" showErrorMessage="1" sqref="AC29 S29 AC52 S52 AC6 S6">
      <formula1>"TGT,NYB:LNB,LNB,TKB:LNB"</formula1>
    </dataValidation>
    <dataValidation type="list" allowBlank="1" showInputMessage="1" showErrorMessage="1" sqref="X29 AK29 X52 AK52 X6 AK6">
      <formula1>"None,ShortStart,ShortEnd,LongStart,LongEnd"</formula1>
    </dataValidation>
    <dataValidation type="list" allowBlank="1" showInputMessage="1" showErrorMessage="1" sqref="Q29 AA29 Q52 AA52 Q6 AA6">
      <formula1>"30/360,ACT/360,ACT/365"</formula1>
    </dataValidation>
    <dataValidation type="list" allowBlank="1" showInputMessage="1" showErrorMessage="1" sqref="P29 Z29 P52 Z52 P6 Z6">
      <formula1>"Annual,Semi-Annual,Quarterly,Monthly"</formula1>
    </dataValidation>
    <dataValidation type="list" allowBlank="1" showInputMessage="1" showErrorMessage="1" sqref="AB29 R29 AB52 R52 AB6 R6">
      <formula1>"MOD_FOLLOWING,FOLLOWING,MOD_PRECEDING,PRECEDING,NO_CHANGE"</formula1>
    </dataValidation>
    <dataValidation type="list" allowBlank="1" showInputMessage="1" showErrorMessage="1" sqref="F3 E6:E25 E29:E48 E52:E71">
      <formula1>"PAYER,RECEIVER"</formula1>
    </dataValidation>
    <dataValidation type="list" allowBlank="1" showInputMessage="1" showErrorMessage="1" sqref="L52:L71 L6:L25 L29:L48">
      <formula1>"NOCSA,EURCSA,GBPCSA"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44</vt:i4>
      </vt:variant>
    </vt:vector>
  </HeadingPairs>
  <TitlesOfParts>
    <vt:vector size="50" baseType="lpstr">
      <vt:lpstr>Settings</vt:lpstr>
      <vt:lpstr>EUR OIS</vt:lpstr>
      <vt:lpstr>EUR SWAP 6ML</vt:lpstr>
      <vt:lpstr>EUR OIS Bumped</vt:lpstr>
      <vt:lpstr>EUR SWAP 6ML Bumped</vt:lpstr>
      <vt:lpstr>Swap Pricing &amp; Risk</vt:lpstr>
      <vt:lpstr>Bump</vt:lpstr>
      <vt:lpstr>BumpOIS</vt:lpstr>
      <vt:lpstr>BumpSTD</vt:lpstr>
      <vt:lpstr>COB</vt:lpstr>
      <vt:lpstr>Curve.BuildProperties</vt:lpstr>
      <vt:lpstr>Curve.CollectionName</vt:lpstr>
      <vt:lpstr>Curve.MarketDataTable</vt:lpstr>
      <vt:lpstr>Curve.OISIndexName</vt:lpstr>
      <vt:lpstr>CurveCollectionBase</vt:lpstr>
      <vt:lpstr>CurveCollectionBumped</vt:lpstr>
      <vt:lpstr>EffectiveLag</vt:lpstr>
      <vt:lpstr>FixingFromEUR6MLCurve</vt:lpstr>
      <vt:lpstr>FRA.Conventions</vt:lpstr>
      <vt:lpstr>FRA.MarketDataX3</vt:lpstr>
      <vt:lpstr>FRA.MarketDataX6</vt:lpstr>
      <vt:lpstr>Futures.Conventions</vt:lpstr>
      <vt:lpstr>Futures.MarketData</vt:lpstr>
      <vt:lpstr>Interpolation</vt:lpstr>
      <vt:lpstr>InterpolationLabelForCurves</vt:lpstr>
      <vt:lpstr>isBumpedEUR6MLLoaded</vt:lpstr>
      <vt:lpstr>isBumpedEUROISLoaded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Notional</vt:lpstr>
      <vt:lpstr>OIS.Conventions</vt:lpstr>
      <vt:lpstr>OIS.FixingTable</vt:lpstr>
      <vt:lpstr>OIS.MarketData</vt:lpstr>
      <vt:lpstr>PayRec</vt:lpstr>
      <vt:lpstr>Rate</vt:lpstr>
      <vt:lpstr>Spread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TenorInterval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2016-10-10T16:09:02Z</dcterms:modified>
</cp:coreProperties>
</file>