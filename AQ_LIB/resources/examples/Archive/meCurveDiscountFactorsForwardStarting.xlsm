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definedNames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P5" i="1" l="1"/>
  <c r="I5" i="1" a="1"/>
  <c r="I5" i="1"/>
  <c r="I6" i="1"/>
  <c r="I7" i="1"/>
  <c r="I8" i="1"/>
  <c r="C5" i="1"/>
  <c r="J6" i="1" l="1"/>
  <c r="L5" i="1"/>
  <c r="L6" i="1"/>
  <c r="R7" i="1"/>
  <c r="R8" i="1"/>
  <c r="R5" i="1"/>
  <c r="D7" i="4"/>
  <c r="R6" i="1"/>
  <c r="J7" i="1" l="1"/>
  <c r="D8" i="4"/>
  <c r="L7" i="1"/>
  <c r="J8" i="1" l="1"/>
  <c r="L8" i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<sst xmlns="http://schemas.openxmlformats.org/spreadsheetml/2006/main" count="225" uniqueCount="105">
  <si>
    <t xml:space="preserve"> </t>
  </si>
  <si>
    <t>MOD_FOLLOWING</t>
  </si>
  <si>
    <t>StartDate</t>
  </si>
  <si>
    <t>EURYC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</si>
  <si>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</si>
  <si>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</si>
  <si>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</si>
  <si>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</si>
  <si>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</si>
  <si>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</si>
  <si>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</si>
  <si>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</si>
  <si>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</si>
  <si>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</si>
  <si>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</si>
  <si>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</si>
  <si>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</si>
  <si>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</si>
  <si>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</si>
  <si>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</si>
  <si>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</si>
  <si>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</si>
  <si>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</si>
  <si>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</si>
  <si>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</si>
  <si>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</si>
  <si>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</si>
  <si>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</si>
  <si>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</si>
  <si>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</si>
  <si>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</si>
  <si>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</si>
  <si>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</si>
  <si>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</si>
  <si>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</si>
  <si>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</si>
  <si>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</si>
  <si>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</si>
  <si>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</si>
  <si>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</si>
  <si>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</si>
  <si>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</si>
  <si>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</si>
  <si>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</si>
  <si>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</si>
  <si>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</si>
  <si>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</si>
  <si>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</si>
  <si>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</si>
  <si>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</si>
  <si>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</si>
  <si>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</si>
  <si>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</si>
  <si>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</si>
  <si>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</si>
  <si>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</si>
  <si>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</si>
  <si>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</si>
  <si>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</si>
  <si>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</si>
  <si>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</si>
  <si>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</si>
  <si>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</si>
  <si>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</si>
  <si>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</si>
  <si>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</si>
  <si>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</si>
  <si>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</si>
  <si>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</si>
  <si>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</si>
  <si>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</si>
  <si>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</si>
  <si>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</si>
  <si>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</si>
  <si>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</si>
  <si>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</si>
  <si>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</si>
  <si>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</si>
  <si>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</si>
  <si>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</si>
  <si>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</si>
  <si>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</si>
  <si>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</si>
  <si>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</si>
  <si>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</si>
  <si>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</si>
  <si>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</si>
  <si>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</si>
  <si>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</si>
  <si>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</si>
  <si>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</si>
  <si>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</si>
  <si>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slidingrule</t>
  </si>
  <si>
    <t>SlidingRule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</si>
  <si>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</si>
  <si>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</si>
  <si>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meCurveDiscountFactorsForwardStarting</t>
  </si>
  <si>
    <t>isCurveLoaded</t>
  </si>
  <si>
    <t>DiscountFactor(s)</t>
  </si>
  <si>
    <t>meCurveDiscountFactorsForwardStarting (multiple inputs)</t>
  </si>
  <si>
    <t>CurveID</t>
  </si>
  <si>
    <t>CurveIndex</t>
  </si>
  <si>
    <t>Term (tenor)</t>
  </si>
  <si>
    <t>6M</t>
  </si>
  <si>
    <t>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</si>
</sst>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#,##0.0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10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5" fontId="10" fillId="3" borderId="2" xfId="0" applyNumberFormat="1" applyFont="1" applyFill="1" applyBorder="1" applyAlignment="1">
      <alignment horizontal="center" vertical="center"/>
    </xf>
    <xf numFmtId="15" fontId="10" fillId="3" borderId="3" xfId="0" applyNumberFormat="1" applyFont="1" applyFill="1" applyBorder="1" applyAlignment="1">
      <alignment horizontal="center" vertical="center"/>
    </xf>
    <xf numFmtId="15" fontId="10" fillId="3" borderId="0" xfId="0" applyNumberFormat="1" applyFont="1" applyFill="1" applyBorder="1" applyAlignment="1">
      <alignment horizontal="center" vertical="center"/>
    </xf>
    <xf numFmtId="15" fontId="10" fillId="3" borderId="7" xfId="0" applyNumberFormat="1" applyFont="1" applyFill="1" applyBorder="1" applyAlignment="1">
      <alignment horizontal="center" vertical="center"/>
    </xf>
    <xf numFmtId="15" fontId="10" fillId="3" borderId="12" xfId="0" applyNumberFormat="1" applyFont="1" applyFill="1" applyBorder="1" applyAlignment="1">
      <alignment horizontal="center" vertical="center"/>
    </xf>
    <xf numFmtId="15" fontId="10" fillId="3" borderId="13" xfId="0" applyNumberFormat="1" applyFont="1" applyFill="1" applyBorder="1" applyAlignment="1">
      <alignment horizontal="center" vertical="center"/>
    </xf>
    <xf numFmtId="165" fontId="10" fillId="0" borderId="4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8" fillId="0" borderId="6" xfId="0" quotePrefix="1" applyNumberFormat="1" applyFont="1" applyFill="1" applyBorder="1" applyAlignment="1">
      <alignment horizontal="center" vertical="center"/>
    </xf>
    <xf numFmtId="165" fontId="10" fillId="0" borderId="11" xfId="0" applyNumberFormat="1" applyFont="1" applyFill="1" applyBorder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165" fontId="4" fillId="3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166" fontId="10" fillId="0" borderId="2" xfId="0" applyNumberFormat="1" applyFont="1" applyFill="1" applyBorder="1" applyAlignment="1">
      <alignment horizontal="center" vertical="center"/>
    </xf>
    <xf numFmtId="166" fontId="10" fillId="0" borderId="3" xfId="0" applyNumberFormat="1" applyFont="1" applyFill="1" applyBorder="1" applyAlignment="1">
      <alignment horizontal="center" vertical="center"/>
    </xf>
    <xf numFmtId="165" fontId="4" fillId="0" borderId="4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4" fillId="3" borderId="0" xfId="0" applyFont="1" applyFill="1" applyBorder="1"/>
    <xf numFmtId="165" fontId="4" fillId="0" borderId="11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4" fillId="0" borderId="5" xfId="0" quotePrefix="1" applyFont="1" applyFill="1" applyBorder="1" applyAlignment="1">
      <alignment horizontal="center"/>
    </xf>
    <xf numFmtId="166" fontId="10" fillId="3" borderId="8" xfId="0" applyNumberFormat="1" applyFont="1" applyFill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10" fillId="3" borderId="10" xfId="0" applyNumberFormat="1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95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94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94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97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6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7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8</v>
      </c>
      <c r="D12" s="29" t="s">
        <v>4</v>
      </c>
      <c r="E12" s="2" t="s">
        <v>9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10</v>
      </c>
      <c r="D13" s="31" t="s">
        <v>11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12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12</v>
      </c>
      <c r="D19" s="34"/>
      <c r="E19" s="2"/>
      <c r="F19" s="35" t="s">
        <v>13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14</v>
      </c>
      <c r="D20" s="28">
        <v>42419</v>
      </c>
      <c r="E20" s="2"/>
      <c r="F20" s="36" t="s">
        <v>15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16</v>
      </c>
      <c r="D21" s="29" t="s">
        <v>17</v>
      </c>
      <c r="E21" s="2"/>
      <c r="F21" s="39" t="s">
        <v>18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19</v>
      </c>
      <c r="D22" s="19" t="s">
        <v>20</v>
      </c>
      <c r="E22" s="2"/>
      <c r="F22" s="39" t="s">
        <v>20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21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22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23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24</v>
      </c>
      <c r="D30" s="48"/>
      <c r="E30" s="48"/>
      <c r="F30" s="47" t="s">
        <v>25</v>
      </c>
      <c r="G30" s="48"/>
      <c r="H30" s="48"/>
      <c r="I30" s="48"/>
      <c r="J30" s="48"/>
      <c r="K30" s="48"/>
      <c r="L30" s="47" t="s">
        <v>26</v>
      </c>
      <c r="M30" s="48"/>
      <c r="N30" s="49"/>
    </row>
    <row r="31" spans="2:14" x14ac:dyDescent="0.25">
      <c r="B31" s="10"/>
      <c r="C31" s="15" t="s">
        <v>27</v>
      </c>
      <c r="D31" s="50" t="s">
        <v>5</v>
      </c>
      <c r="E31" s="2"/>
      <c r="F31" s="51" t="s">
        <v>28</v>
      </c>
      <c r="G31" s="51" t="s">
        <v>29</v>
      </c>
      <c r="H31" s="51" t="s">
        <v>2</v>
      </c>
      <c r="I31" s="51" t="s">
        <v>30</v>
      </c>
      <c r="J31" s="51" t="s">
        <v>31</v>
      </c>
      <c r="K31" s="48"/>
      <c r="L31" s="51" t="s">
        <v>32</v>
      </c>
      <c r="M31" s="51" t="s">
        <v>29</v>
      </c>
      <c r="N31" s="49"/>
    </row>
    <row r="32" spans="2:14" x14ac:dyDescent="0.25">
      <c r="B32" s="10"/>
      <c r="C32" s="16" t="s">
        <v>33</v>
      </c>
      <c r="D32" s="52" t="s">
        <v>34</v>
      </c>
      <c r="E32" s="53"/>
      <c r="F32" s="18" t="s">
        <v>35</v>
      </c>
      <c r="G32" s="54">
        <v>-2.4299999999999999E-3</v>
      </c>
      <c r="H32" s="55" t="s">
        <v>36</v>
      </c>
      <c r="I32" s="55" t="s">
        <v>36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37</v>
      </c>
      <c r="D33" s="52" t="s">
        <v>38</v>
      </c>
      <c r="E33" s="53"/>
      <c r="F33" s="18" t="s">
        <v>39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40</v>
      </c>
      <c r="D34" s="52" t="s">
        <v>41</v>
      </c>
      <c r="E34" s="53"/>
      <c r="F34" s="18" t="s">
        <v>42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92</v>
      </c>
      <c r="D35" s="52" t="s">
        <v>1</v>
      </c>
      <c r="E35" s="53"/>
      <c r="F35" s="18" t="s">
        <v>43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44</v>
      </c>
      <c r="D36" s="52" t="b">
        <v>1</v>
      </c>
      <c r="E36" s="53"/>
      <c r="F36" s="18" t="s">
        <v>45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46</v>
      </c>
      <c r="D37" s="59">
        <v>31</v>
      </c>
      <c r="E37" s="53"/>
      <c r="F37" s="18" t="s">
        <v>47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48</v>
      </c>
      <c r="D38" s="52" t="s">
        <v>49</v>
      </c>
      <c r="E38" s="53"/>
      <c r="F38" s="18" t="s">
        <v>50</v>
      </c>
      <c r="G38" s="54">
        <v>-3.6900000000000001E-3</v>
      </c>
      <c r="H38" s="55" t="s">
        <v>36</v>
      </c>
      <c r="I38" s="55" t="s">
        <v>36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51</v>
      </c>
      <c r="D39" s="52" t="s">
        <v>52</v>
      </c>
      <c r="E39" s="53"/>
      <c r="F39" s="18" t="s">
        <v>53</v>
      </c>
      <c r="G39" s="54">
        <v>-3.79E-3</v>
      </c>
      <c r="H39" s="55" t="s">
        <v>36</v>
      </c>
      <c r="I39" s="55" t="s">
        <v>36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54</v>
      </c>
      <c r="D40" s="52" t="s">
        <v>55</v>
      </c>
      <c r="E40" s="53"/>
      <c r="F40" s="18" t="s">
        <v>56</v>
      </c>
      <c r="G40" s="54">
        <v>-3.7699999999999999E-3</v>
      </c>
      <c r="H40" s="55" t="s">
        <v>36</v>
      </c>
      <c r="I40" s="55" t="s">
        <v>36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57</v>
      </c>
      <c r="D41" s="52" t="s">
        <v>58</v>
      </c>
      <c r="E41" s="53"/>
      <c r="F41" s="18" t="s">
        <v>59</v>
      </c>
      <c r="G41" s="54">
        <v>-3.4000000000000002E-3</v>
      </c>
      <c r="H41" s="55" t="s">
        <v>36</v>
      </c>
      <c r="I41" s="55" t="s">
        <v>36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60</v>
      </c>
      <c r="D42" s="52" t="s">
        <v>59</v>
      </c>
      <c r="E42" s="53"/>
      <c r="F42" s="18" t="s">
        <v>61</v>
      </c>
      <c r="G42" s="54">
        <v>-2.6900000000000001E-3</v>
      </c>
      <c r="H42" s="55" t="s">
        <v>36</v>
      </c>
      <c r="I42" s="55" t="s">
        <v>36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62</v>
      </c>
      <c r="D43" s="52" t="s">
        <v>63</v>
      </c>
      <c r="E43" s="53"/>
      <c r="F43" s="18" t="s">
        <v>64</v>
      </c>
      <c r="G43" s="54">
        <v>-1.7499999999999998E-3</v>
      </c>
      <c r="H43" s="55" t="s">
        <v>36</v>
      </c>
      <c r="I43" s="55" t="s">
        <v>36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65</v>
      </c>
      <c r="D44" s="60">
        <v>1E-10</v>
      </c>
      <c r="E44" s="53"/>
      <c r="F44" s="18" t="s">
        <v>66</v>
      </c>
      <c r="G44" s="54">
        <v>-6.4000000000000005E-4</v>
      </c>
      <c r="H44" s="55" t="s">
        <v>36</v>
      </c>
      <c r="I44" s="55" t="s">
        <v>36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67</v>
      </c>
      <c r="D45" s="61">
        <v>1000</v>
      </c>
      <c r="E45" s="53"/>
      <c r="F45" s="18" t="s">
        <v>68</v>
      </c>
      <c r="G45" s="54">
        <v>5.6999999999999998E-4</v>
      </c>
      <c r="H45" s="55" t="s">
        <v>36</v>
      </c>
      <c r="I45" s="55" t="s">
        <v>36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69</v>
      </c>
      <c r="G46" s="54">
        <v>1.83E-3</v>
      </c>
      <c r="H46" s="55" t="s">
        <v>36</v>
      </c>
      <c r="I46" s="55" t="s">
        <v>36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70</v>
      </c>
      <c r="G47" s="54">
        <v>3.0599999999999998E-3</v>
      </c>
      <c r="H47" s="55" t="s">
        <v>36</v>
      </c>
      <c r="I47" s="55" t="s">
        <v>36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71</v>
      </c>
      <c r="G48" s="54">
        <v>4.1900000000000001E-3</v>
      </c>
      <c r="H48" s="55" t="s">
        <v>36</v>
      </c>
      <c r="I48" s="55" t="s">
        <v>36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72</v>
      </c>
      <c r="G49" s="54">
        <v>5.2100000000000002E-3</v>
      </c>
      <c r="H49" s="55" t="s">
        <v>36</v>
      </c>
      <c r="I49" s="55" t="s">
        <v>36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73</v>
      </c>
      <c r="G50" s="54">
        <v>6.0899999999999999E-3</v>
      </c>
      <c r="H50" s="55" t="s">
        <v>36</v>
      </c>
      <c r="I50" s="55" t="s">
        <v>36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74</v>
      </c>
      <c r="G51" s="54">
        <v>8.1000000000000013E-3</v>
      </c>
      <c r="H51" s="55" t="s">
        <v>36</v>
      </c>
      <c r="I51" s="55" t="s">
        <v>36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75</v>
      </c>
      <c r="G52" s="54">
        <v>9.75E-3</v>
      </c>
      <c r="H52" s="55" t="s">
        <v>36</v>
      </c>
      <c r="I52" s="55" t="s">
        <v>36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76</v>
      </c>
      <c r="G53" s="54">
        <v>1.0329999999999999E-2</v>
      </c>
      <c r="H53" s="55" t="s">
        <v>36</v>
      </c>
      <c r="I53" s="55" t="s">
        <v>36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77</v>
      </c>
      <c r="G54" s="54">
        <v>1.0529999999999999E-2</v>
      </c>
      <c r="H54" s="55" t="s">
        <v>36</v>
      </c>
      <c r="I54" s="55" t="s">
        <v>36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78</v>
      </c>
      <c r="G55" s="54">
        <v>1.061E-2</v>
      </c>
      <c r="H55" s="55" t="s">
        <v>36</v>
      </c>
      <c r="I55" s="55" t="s">
        <v>36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79</v>
      </c>
      <c r="G56" s="54">
        <v>1.01E-2</v>
      </c>
      <c r="H56" s="55" t="s">
        <v>36</v>
      </c>
      <c r="I56" s="55" t="s">
        <v>36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80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81</v>
      </c>
      <c r="D63" s="48"/>
      <c r="E63" s="48"/>
      <c r="F63" s="47" t="s">
        <v>82</v>
      </c>
      <c r="G63" s="48"/>
      <c r="H63" s="48"/>
      <c r="I63" s="47" t="s">
        <v>83</v>
      </c>
      <c r="J63" s="48"/>
      <c r="K63" s="48"/>
      <c r="L63" s="47" t="s">
        <v>84</v>
      </c>
      <c r="M63" s="48"/>
      <c r="N63" s="49"/>
    </row>
    <row r="64" spans="2:14" x14ac:dyDescent="0.25">
      <c r="B64" s="10"/>
      <c r="C64" s="15" t="s">
        <v>85</v>
      </c>
      <c r="D64" s="50" t="s">
        <v>5</v>
      </c>
      <c r="E64" s="2"/>
      <c r="F64" s="51" t="s">
        <v>28</v>
      </c>
      <c r="G64" s="51" t="s">
        <v>29</v>
      </c>
      <c r="H64" s="48"/>
      <c r="I64" s="15" t="s">
        <v>27</v>
      </c>
      <c r="J64" s="50" t="s">
        <v>5</v>
      </c>
      <c r="K64" s="48"/>
      <c r="L64" s="51" t="s">
        <v>28</v>
      </c>
      <c r="M64" s="51" t="s">
        <v>29</v>
      </c>
      <c r="N64" s="49"/>
    </row>
    <row r="65" spans="2:14" x14ac:dyDescent="0.25">
      <c r="B65" s="10"/>
      <c r="C65" s="16" t="s">
        <v>86</v>
      </c>
      <c r="D65" s="52" t="s">
        <v>34</v>
      </c>
      <c r="E65" s="53"/>
      <c r="F65" s="18" t="s">
        <v>56</v>
      </c>
      <c r="G65" s="57">
        <v>1.2600000000000001E-3</v>
      </c>
      <c r="H65" s="48"/>
      <c r="I65" s="16" t="s">
        <v>87</v>
      </c>
      <c r="J65" s="52" t="s">
        <v>88</v>
      </c>
      <c r="K65" s="48"/>
      <c r="L65" s="18" t="s">
        <v>56</v>
      </c>
      <c r="M65" s="57">
        <v>-2.5400000000000002E-3</v>
      </c>
      <c r="N65" s="49"/>
    </row>
    <row r="66" spans="2:14" x14ac:dyDescent="0.25">
      <c r="B66" s="10"/>
      <c r="C66" s="16" t="s">
        <v>89</v>
      </c>
      <c r="D66" s="52" t="s">
        <v>90</v>
      </c>
      <c r="E66" s="53"/>
      <c r="F66" s="18" t="s">
        <v>59</v>
      </c>
      <c r="G66" s="57">
        <v>1.2999999999999999E-3</v>
      </c>
      <c r="H66" s="48"/>
      <c r="I66" s="16" t="s">
        <v>91</v>
      </c>
      <c r="J66" s="52" t="s">
        <v>38</v>
      </c>
      <c r="K66" s="48"/>
      <c r="L66" s="18" t="s">
        <v>59</v>
      </c>
      <c r="M66" s="57">
        <v>-2.14E-3</v>
      </c>
      <c r="N66" s="49"/>
    </row>
    <row r="67" spans="2:14" x14ac:dyDescent="0.25">
      <c r="B67" s="10"/>
      <c r="C67" s="16" t="s">
        <v>93</v>
      </c>
      <c r="D67" s="52" t="s">
        <v>1</v>
      </c>
      <c r="E67" s="53"/>
      <c r="F67" s="18" t="s">
        <v>61</v>
      </c>
      <c r="G67" s="57">
        <v>1.32E-3</v>
      </c>
      <c r="H67" s="48"/>
      <c r="I67" s="16" t="s">
        <v>92</v>
      </c>
      <c r="J67" s="52" t="s">
        <v>1</v>
      </c>
      <c r="K67" s="48"/>
      <c r="L67" s="18" t="s">
        <v>61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64</v>
      </c>
      <c r="G68" s="57">
        <v>1.34E-3</v>
      </c>
      <c r="H68" s="48"/>
      <c r="I68" s="16"/>
      <c r="J68" s="52"/>
      <c r="K68" s="48"/>
      <c r="L68" s="18" t="s">
        <v>64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66</v>
      </c>
      <c r="G69" s="57">
        <v>1.33E-3</v>
      </c>
      <c r="H69" s="48"/>
      <c r="I69" s="42"/>
      <c r="J69" s="52"/>
      <c r="K69" s="48"/>
      <c r="L69" s="18" t="s">
        <v>66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68</v>
      </c>
      <c r="G70" s="57">
        <v>1.32E-3</v>
      </c>
      <c r="H70" s="48"/>
      <c r="I70" s="58"/>
      <c r="J70" s="59"/>
      <c r="K70" s="48"/>
      <c r="L70" s="18" t="s">
        <v>68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69</v>
      </c>
      <c r="G71" s="57">
        <v>1.31E-3</v>
      </c>
      <c r="H71" s="48"/>
      <c r="I71" s="16"/>
      <c r="J71" s="52"/>
      <c r="K71" s="48"/>
      <c r="L71" s="18" t="s">
        <v>69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70</v>
      </c>
      <c r="G72" s="57">
        <v>1.2999999999999999E-3</v>
      </c>
      <c r="H72" s="48"/>
      <c r="I72" s="16"/>
      <c r="J72" s="52"/>
      <c r="K72" s="48"/>
      <c r="L72" s="18" t="s">
        <v>70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71</v>
      </c>
      <c r="G73" s="57">
        <v>1.2800000000000001E-3</v>
      </c>
      <c r="H73" s="48"/>
      <c r="I73" s="16"/>
      <c r="J73" s="52"/>
      <c r="K73" s="48"/>
      <c r="L73" s="18" t="s">
        <v>71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72</v>
      </c>
      <c r="G74" s="57">
        <v>1.2699999999999999E-3</v>
      </c>
      <c r="H74" s="48"/>
      <c r="I74" s="16"/>
      <c r="J74" s="52"/>
      <c r="K74" s="48"/>
      <c r="L74" s="18" t="s">
        <v>72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73</v>
      </c>
      <c r="G75" s="57">
        <v>1.2600000000000001E-3</v>
      </c>
      <c r="H75" s="48"/>
      <c r="I75" s="16"/>
      <c r="J75" s="52"/>
      <c r="K75" s="48"/>
      <c r="L75" s="18" t="s">
        <v>73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74</v>
      </c>
      <c r="G76" s="57">
        <v>1.1900000000000001E-3</v>
      </c>
      <c r="H76" s="48"/>
      <c r="I76" s="42"/>
      <c r="J76" s="52"/>
      <c r="K76" s="48"/>
      <c r="L76" s="18" t="s">
        <v>74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75</v>
      </c>
      <c r="G77" s="57">
        <v>1.0400000000000001E-3</v>
      </c>
      <c r="H77" s="48"/>
      <c r="I77" s="62"/>
      <c r="J77" s="63"/>
      <c r="K77" s="48"/>
      <c r="L77" s="18" t="s">
        <v>75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76</v>
      </c>
      <c r="G78" s="57">
        <v>9.1999999999999992E-4</v>
      </c>
      <c r="H78" s="48"/>
      <c r="I78" s="62"/>
      <c r="J78" s="60"/>
      <c r="K78" s="48"/>
      <c r="L78" s="18" t="s">
        <v>76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77</v>
      </c>
      <c r="G79" s="57">
        <v>8.1999999999999998E-4</v>
      </c>
      <c r="H79" s="48"/>
      <c r="I79" s="62"/>
      <c r="J79" s="63"/>
      <c r="K79" s="48"/>
      <c r="L79" s="18" t="s">
        <v>77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78</v>
      </c>
      <c r="G80" s="57">
        <v>6.6E-4</v>
      </c>
      <c r="H80" s="48"/>
      <c r="I80" s="64"/>
      <c r="J80" s="52"/>
      <c r="K80" s="48"/>
      <c r="L80" s="18" t="s">
        <v>78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79</v>
      </c>
      <c r="G81" s="57">
        <v>5.6999999999999998E-4</v>
      </c>
      <c r="H81" s="48"/>
      <c r="I81" s="64"/>
      <c r="J81" s="65"/>
      <c r="K81" s="48"/>
      <c r="L81" s="18" t="s">
        <v>79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3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93" customWidth="1"/>
    <col min="4" max="5" width="17.7109375" style="78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93" customWidth="1"/>
    <col min="10" max="11" width="17.5703125" style="78" customWidth="1"/>
    <col min="12" max="12" width="17.7109375" style="78" customWidth="1"/>
    <col min="13" max="13" width="2.7109375" style="3" customWidth="1"/>
    <col min="14" max="14" width="4.7109375" customWidth="1"/>
    <col min="15" max="15" width="2.7109375" customWidth="1"/>
    <col min="16" max="16" width="27.5703125" style="88" customWidth="1"/>
    <col min="17" max="18" width="17.7109375" style="75" customWidth="1"/>
    <col min="19" max="19" width="2.7109375" customWidth="1"/>
  </cols>
  <sheetData>
    <row r="2" spans="2:19" x14ac:dyDescent="0.25">
      <c r="B2" s="4" t="s">
        <v>96</v>
      </c>
      <c r="C2" s="88"/>
      <c r="D2" s="75"/>
      <c r="F2"/>
      <c r="H2" s="4" t="s">
        <v>99</v>
      </c>
      <c r="I2" s="88"/>
      <c r="J2" s="75"/>
      <c r="K2" s="75"/>
      <c r="L2" s="75"/>
      <c r="M2"/>
      <c r="O2" s="4" t="s">
        <v>99</v>
      </c>
    </row>
    <row r="3" spans="2:19" x14ac:dyDescent="0.25">
      <c r="B3" s="5"/>
      <c r="C3" s="89"/>
      <c r="D3" s="76"/>
      <c r="E3" s="76"/>
      <c r="F3" s="9"/>
      <c r="H3" s="5"/>
      <c r="I3" s="89"/>
      <c r="J3" s="76"/>
      <c r="K3" s="76"/>
      <c r="L3" s="76"/>
      <c r="M3" s="9"/>
      <c r="O3" s="5"/>
      <c r="P3" s="89"/>
      <c r="Q3" s="76"/>
      <c r="R3" s="76"/>
      <c r="S3" s="9"/>
    </row>
    <row r="4" spans="2:19" x14ac:dyDescent="0.25">
      <c r="B4" s="10"/>
      <c r="C4" s="90" t="s">
        <v>98</v>
      </c>
      <c r="D4" s="80" t="s">
        <v>2</v>
      </c>
      <c r="E4" s="79" t="s">
        <v>30</v>
      </c>
      <c r="F4" s="12" t="s">
        <v>0</v>
      </c>
      <c r="H4" s="10"/>
      <c r="I4" s="90" t="s">
        <v>98</v>
      </c>
      <c r="J4" s="80" t="s">
        <v>2</v>
      </c>
      <c r="K4" s="106" t="s">
        <v>102</v>
      </c>
      <c r="L4" s="80" t="s">
        <v>30</v>
      </c>
      <c r="M4" s="12" t="s">
        <v>0</v>
      </c>
      <c r="O4" s="10"/>
      <c r="P4" s="90" t="s">
        <v>98</v>
      </c>
      <c r="Q4" s="80" t="s">
        <v>2</v>
      </c>
      <c r="R4" s="79" t="s">
        <v>30</v>
      </c>
      <c r="S4" s="12" t="s">
        <v>0</v>
      </c>
    </row>
    <row r="5" spans="2:19" x14ac:dyDescent="0.25">
      <c r="B5" s="10"/>
      <c r="C5" s="87">
        <f ca="1">IF(NOW(),_xll.meCurveDiscountFactorsForwardStarting(D5,E5,D10,D11))</f>
        <v>1.0017409185401773</v>
      </c>
      <c r="D5" s="81">
        <v>42419</v>
      </c>
      <c r="E5" s="82">
        <v>42601</v>
      </c>
      <c r="F5" s="12"/>
      <c r="H5" s="10"/>
      <c r="I5" s="87">
        <f t="array" aca="1" ref="I5:I8" ca="1">IF(NOW(),_xll.meCurveDiscountFactorsForwardStarting($J$5:$J$8,$L$5:$L$8,J10,J11))</f>
        <v>1.0017409185401773</v>
      </c>
      <c r="J5" s="81">
        <v>42419</v>
      </c>
      <c r="K5" s="107" t="s">
        <v>103</v>
      </c>
      <c r="L5" s="81">
        <f ca="1">IF(NOW(),_xll.meDateFromTenor(J5,K5,#REF!,$J$12))</f>
        <v>42601</v>
      </c>
      <c r="M5" s="12"/>
      <c r="O5" s="10"/>
      <c r="P5" s="87">
        <f ca="1">IF(NOW(),_xll.meCurveDiscountFactorsForwardStarting(Q5,R5:R8,Q10,Q11))</f>
        <v>1.0017409185401773</v>
      </c>
      <c r="Q5" s="81">
        <v>42419</v>
      </c>
      <c r="R5" s="82">
        <f ca="1">_xll.meDateFromTenor(Q5,"6M")</f>
        <v>42601</v>
      </c>
      <c r="S5" s="12"/>
    </row>
    <row r="6" spans="2:19" x14ac:dyDescent="0.25">
      <c r="B6" s="10"/>
      <c r="C6" s="87"/>
      <c r="D6" s="83"/>
      <c r="E6" s="84"/>
      <c r="F6" s="12"/>
      <c r="H6" s="10"/>
      <c r="I6" s="87">
        <f ca="1"/>
        <v>1.003760774628772</v>
      </c>
      <c r="J6" s="83">
        <f>J5</f>
        <v>42419</v>
      </c>
      <c r="K6" s="108" t="s">
        <v>104</v>
      </c>
      <c r="L6" s="83">
        <f ca="1">IF(NOW(),_xll.meDateFromTenor(J6,K6,#REF!,$J$12))</f>
        <v>42786</v>
      </c>
      <c r="M6" s="12"/>
      <c r="O6" s="10"/>
      <c r="P6" s="87"/>
      <c r="Q6" s="83"/>
      <c r="R6" s="84">
        <f ca="1">_xll.meDateFromTenor(Q5,"12M")</f>
        <v>42785</v>
      </c>
      <c r="S6" s="12"/>
    </row>
    <row r="7" spans="2:19" x14ac:dyDescent="0.25">
      <c r="B7" s="10"/>
      <c r="C7" s="87"/>
      <c r="D7" s="83"/>
      <c r="E7" s="84"/>
      <c r="F7" s="12"/>
      <c r="H7" s="10"/>
      <c r="I7" s="87">
        <f ca="1"/>
        <v>1.0057924267679788</v>
      </c>
      <c r="J7" s="83">
        <f>J6</f>
        <v>42419</v>
      </c>
      <c r="K7" s="108" t="s">
        <v>53</v>
      </c>
      <c r="L7" s="83">
        <f ca="1">IF(NOW(),_xll.meDateFromTenor(J7,K7,#REF!,$J$12))</f>
        <v>42968</v>
      </c>
      <c r="M7" s="12"/>
      <c r="O7" s="10"/>
      <c r="P7" s="87"/>
      <c r="Q7" s="83"/>
      <c r="R7" s="84">
        <f ca="1">_xll.meDateFromTenor(Q5,"18M")</f>
        <v>42966</v>
      </c>
      <c r="S7" s="12"/>
    </row>
    <row r="8" spans="2:19" x14ac:dyDescent="0.25">
      <c r="B8" s="10"/>
      <c r="C8" s="91"/>
      <c r="D8" s="85"/>
      <c r="E8" s="86"/>
      <c r="F8" s="12"/>
      <c r="H8" s="10"/>
      <c r="I8" s="91">
        <f ca="1"/>
        <v>1.0076902435460235</v>
      </c>
      <c r="J8" s="85">
        <f>J7</f>
        <v>42419</v>
      </c>
      <c r="K8" s="109" t="s">
        <v>56</v>
      </c>
      <c r="L8" s="85">
        <f ca="1">IF(NOW(),_xll.meDateFromTenor(J8,K8,#REF!,$J$12))</f>
        <v>43150</v>
      </c>
      <c r="M8" s="12"/>
      <c r="O8" s="10"/>
      <c r="P8" s="91"/>
      <c r="Q8" s="85"/>
      <c r="R8" s="86">
        <f ca="1">_xll.meDateFromTenor(Q5,"24M")</f>
        <v>43150</v>
      </c>
      <c r="S8" s="12"/>
    </row>
    <row r="9" spans="2:19" x14ac:dyDescent="0.25">
      <c r="B9" s="10"/>
      <c r="C9" s="94"/>
      <c r="D9" s="95"/>
      <c r="E9" s="95"/>
      <c r="F9" s="12"/>
      <c r="H9" s="10"/>
      <c r="I9" s="94"/>
      <c r="J9" s="95"/>
      <c r="K9" s="95"/>
      <c r="L9" s="95"/>
      <c r="M9" s="12"/>
      <c r="O9" s="10"/>
      <c r="P9" s="94"/>
      <c r="Q9" s="95"/>
      <c r="R9" s="95"/>
      <c r="S9" s="12"/>
    </row>
    <row r="10" spans="2:19" x14ac:dyDescent="0.25">
      <c r="B10" s="10"/>
      <c r="C10" s="96" t="s">
        <v>100</v>
      </c>
      <c r="D10" s="97" t="s">
        <v>3</v>
      </c>
      <c r="E10" s="98"/>
      <c r="F10" s="12"/>
      <c r="H10" s="10"/>
      <c r="I10" s="96" t="s">
        <v>100</v>
      </c>
      <c r="J10" s="97" t="s">
        <v>3</v>
      </c>
      <c r="K10" s="97"/>
      <c r="L10" s="98"/>
      <c r="M10" s="12"/>
      <c r="O10" s="10"/>
      <c r="P10" s="96" t="s">
        <v>100</v>
      </c>
      <c r="Q10" s="97" t="s">
        <v>3</v>
      </c>
      <c r="R10" s="98"/>
      <c r="S10" s="12"/>
    </row>
    <row r="11" spans="2:19" x14ac:dyDescent="0.25">
      <c r="B11" s="10"/>
      <c r="C11" s="99" t="s">
        <v>101</v>
      </c>
      <c r="D11" s="100" t="s">
        <v>4</v>
      </c>
      <c r="E11" s="101"/>
      <c r="F11" s="12"/>
      <c r="G11" s="102"/>
      <c r="H11" s="10"/>
      <c r="I11" s="99" t="s">
        <v>101</v>
      </c>
      <c r="J11" s="100" t="s">
        <v>4</v>
      </c>
      <c r="K11" s="100"/>
      <c r="L11" s="101"/>
      <c r="M11" s="12"/>
      <c r="O11" s="10"/>
      <c r="P11" s="99" t="s">
        <v>101</v>
      </c>
      <c r="Q11" s="100" t="s">
        <v>4</v>
      </c>
      <c r="R11" s="101"/>
      <c r="S11" s="12"/>
    </row>
    <row r="12" spans="2:19" x14ac:dyDescent="0.25">
      <c r="B12" s="10"/>
      <c r="C12" s="103"/>
      <c r="D12" s="104"/>
      <c r="E12" s="105"/>
      <c r="F12" s="12"/>
      <c r="G12" s="102"/>
      <c r="H12" s="10"/>
      <c r="I12" s="103"/>
      <c r="J12" s="104"/>
      <c r="K12" s="104"/>
      <c r="L12" s="105"/>
      <c r="M12" s="12"/>
      <c r="O12" s="10"/>
      <c r="P12" s="103"/>
      <c r="Q12" s="104"/>
      <c r="R12" s="105"/>
      <c r="S12" s="12"/>
    </row>
    <row r="13" spans="2:19" x14ac:dyDescent="0.25">
      <c r="B13" s="20"/>
      <c r="C13" s="92"/>
      <c r="D13" s="77"/>
      <c r="E13" s="77"/>
      <c r="F13" s="22"/>
      <c r="H13" s="20"/>
      <c r="I13" s="92"/>
      <c r="J13" s="77"/>
      <c r="K13" s="77"/>
      <c r="L13" s="77"/>
      <c r="M13" s="22"/>
      <c r="O13" s="20"/>
      <c r="P13" s="92"/>
      <c r="Q13" s="77"/>
      <c r="R13" s="77"/>
      <c r="S13" s="2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2016-10-10T11:40:19Z</dcterms:modified>
</cp:coreProperties>
</file>